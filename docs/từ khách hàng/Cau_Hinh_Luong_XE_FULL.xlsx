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g_Lương" sheetId="1" state="visible" r:id="rId1"/>
    <sheet xmlns:r="http://schemas.openxmlformats.org/officeDocument/2006/relationships" name="Thành_Phần_Lương" sheetId="2" state="visible" r:id="rId2"/>
    <sheet xmlns:r="http://schemas.openxmlformats.org/officeDocument/2006/relationships" name="Định_Mức_Lái_Xe_Tải" sheetId="3" state="visible" r:id="rId3"/>
    <sheet xmlns:r="http://schemas.openxmlformats.org/officeDocument/2006/relationships" name="Đơn_Giá_Lái_Xe_Tuyến" sheetId="4" state="visible" r:id="rId4"/>
    <sheet xmlns:r="http://schemas.openxmlformats.org/officeDocument/2006/relationships" name="Công_Thức_Tổng_Đài_1500" sheetId="5" state="visible" r:id="rId5"/>
    <sheet xmlns:r="http://schemas.openxmlformats.org/officeDocument/2006/relationships" name="Nhóm_Lương_Config" sheetId="6" state="visible" r:id="rId6"/>
    <sheet xmlns:r="http://schemas.openxmlformats.org/officeDocument/2006/relationships" name="Mặc_Định_và_Tham_Số" sheetId="7" state="visible" r:id="rId7"/>
    <sheet xmlns:r="http://schemas.openxmlformats.org/officeDocument/2006/relationships" name="Hướng_dẫ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1F497D"/>
      <sz val="10"/>
    </font>
  </fonts>
  <fills count="1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9E6"/>
      </patternFill>
    </fill>
    <fill>
      <patternFill patternType="solid">
        <fgColor rgb="00006064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D7D31"/>
      </patternFill>
    </fill>
    <fill>
      <patternFill patternType="solid">
        <fgColor rgb="008B4513"/>
      </patternFill>
    </fill>
    <fill>
      <patternFill patternType="solid">
        <fgColor rgb="004B0082"/>
      </patternFill>
    </fill>
    <fill>
      <patternFill patternType="solid">
        <fgColor rgb="00C00000"/>
      </patternFill>
    </fill>
    <fill>
      <patternFill patternType="solid">
        <fgColor rgb="00595959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HỆ THỐNG THANG LƯƠNG — CÔNG TY TNHH X.E VIỆT NAM  |  QĐ 2A/2026/QĐ-XE (hiệu lực 01/01/2026)</t>
        </is>
      </c>
    </row>
    <row r="2" ht="15" customHeight="1">
      <c r="A2" s="2" t="inlineStr">
        <is>
          <t>Lương tối thiểu Công ty áp dụng: 5,310,000 đ/tháng  |  Nguồn: Nghị định 293/2025/NĐ-CP + Nghị định 128/2025/NĐ-CP  |  Đơn vị: VNĐ</t>
        </is>
      </c>
    </row>
    <row r="3" ht="8" customHeight="1"/>
    <row r="4" ht="20" customHeight="1">
      <c r="A4" s="3" t="inlineStr">
        <is>
          <t>A. BẢNG LƯƠNG LÃNH ĐẠO — CỐ VẤN — CHUYÊN GIA</t>
        </is>
      </c>
    </row>
    <row r="5" ht="22" customHeight="1">
      <c r="A5" s="4" t="inlineStr">
        <is>
          <t>STT</t>
        </is>
      </c>
      <c r="B5" s="4" t="inlineStr">
        <is>
          <t>Ngạch</t>
        </is>
      </c>
      <c r="C5" s="4" t="inlineStr">
        <is>
          <t>Chức danh áp dụng</t>
        </is>
      </c>
      <c r="D5" s="4" t="inlineStr">
        <is>
          <t>Bậc I</t>
        </is>
      </c>
      <c r="E5" s="4" t="inlineStr">
        <is>
          <t>Bậc II</t>
        </is>
      </c>
      <c r="F5" s="4" t="inlineStr">
        <is>
          <t>Bậc III</t>
        </is>
      </c>
      <c r="G5" s="4" t="inlineStr">
        <is>
          <t>Bậc IV</t>
        </is>
      </c>
      <c r="H5" s="4" t="inlineStr">
        <is>
          <t>Bậc V</t>
        </is>
      </c>
      <c r="I5" s="4" t="inlineStr">
        <is>
          <t>Bậc VI</t>
        </is>
      </c>
      <c r="J5" s="4" t="inlineStr">
        <is>
          <t>Bậc VII</t>
        </is>
      </c>
      <c r="K5" s="4" t="inlineStr"/>
      <c r="L5" s="4" t="inlineStr"/>
    </row>
    <row r="6" ht="18" customHeight="1">
      <c r="A6" s="5" t="n">
        <v>1</v>
      </c>
      <c r="B6" s="6" t="inlineStr">
        <is>
          <t>D1</t>
        </is>
      </c>
      <c r="C6" s="6" t="inlineStr">
        <is>
          <t>Chủ tịch HĐTV (Chairman)</t>
        </is>
      </c>
      <c r="D6" s="6" t="n">
        <v>13100000</v>
      </c>
      <c r="E6" s="6" t="n">
        <v>15000000</v>
      </c>
      <c r="F6" s="6" t="n">
        <v>17200000</v>
      </c>
      <c r="G6" s="6" t="n">
        <v>19700000</v>
      </c>
      <c r="H6" s="6" t="n">
        <v>22600000</v>
      </c>
      <c r="I6" s="6" t="n">
        <v>26000000</v>
      </c>
      <c r="J6" s="6" t="inlineStr"/>
      <c r="K6" s="6" t="inlineStr"/>
      <c r="L6" s="6" t="inlineStr"/>
    </row>
    <row r="7" ht="18" customHeight="1">
      <c r="A7" s="7" t="n">
        <v>2</v>
      </c>
      <c r="B7" s="8" t="inlineStr">
        <is>
          <t>D2</t>
        </is>
      </c>
      <c r="C7" s="8" t="inlineStr">
        <is>
          <t>Tổng giám đốc / Giám đốc Công ty (CEO)</t>
        </is>
      </c>
      <c r="D7" s="8" t="n">
        <v>11100000</v>
      </c>
      <c r="E7" s="8" t="n">
        <v>12700000</v>
      </c>
      <c r="F7" s="8" t="n">
        <v>14500000</v>
      </c>
      <c r="G7" s="8" t="n">
        <v>16500000</v>
      </c>
      <c r="H7" s="8" t="n">
        <v>18800000</v>
      </c>
      <c r="I7" s="8" t="n">
        <v>21400000</v>
      </c>
      <c r="J7" s="8" t="inlineStr"/>
      <c r="K7" s="8" t="inlineStr"/>
      <c r="L7" s="8" t="inlineStr"/>
    </row>
    <row r="8" ht="18" customHeight="1">
      <c r="A8" s="5" t="n">
        <v>3</v>
      </c>
      <c r="B8" s="6" t="inlineStr">
        <is>
          <t>D3</t>
        </is>
      </c>
      <c r="C8" s="6" t="inlineStr">
        <is>
          <t>Phó GĐ; Trưởng ban KSNB; GĐ khối (CFO/CCO/COO/CTO/CMO/CHRO); GĐ/PGĐ đơn vị thành viên</t>
        </is>
      </c>
      <c r="D8" s="6" t="n">
        <v>9600000</v>
      </c>
      <c r="E8" s="6" t="n">
        <v>10800000</v>
      </c>
      <c r="F8" s="6" t="n">
        <v>12200000</v>
      </c>
      <c r="G8" s="6" t="n">
        <v>13800000</v>
      </c>
      <c r="H8" s="6" t="n">
        <v>15600000</v>
      </c>
      <c r="I8" s="6" t="n">
        <v>17600000</v>
      </c>
      <c r="J8" s="6" t="n">
        <v>19900000</v>
      </c>
      <c r="K8" s="6" t="inlineStr"/>
      <c r="L8" s="6" t="inlineStr"/>
    </row>
    <row r="9" ht="18" customHeight="1">
      <c r="A9" s="7" t="n">
        <v>4</v>
      </c>
      <c r="B9" s="8" t="inlineStr">
        <is>
          <t>C1</t>
        </is>
      </c>
      <c r="C9" s="8" t="inlineStr">
        <is>
          <t>Cố vấn chiến lược</t>
        </is>
      </c>
      <c r="D9" s="8" t="n">
        <v>9600000</v>
      </c>
      <c r="E9" s="8" t="n">
        <v>10800000</v>
      </c>
      <c r="F9" s="8" t="n">
        <v>12200000</v>
      </c>
      <c r="G9" s="8" t="n">
        <v>13800000</v>
      </c>
      <c r="H9" s="8" t="n">
        <v>15600000</v>
      </c>
      <c r="I9" s="8" t="n">
        <v>17600000</v>
      </c>
      <c r="J9" s="8" t="n">
        <v>19900000</v>
      </c>
      <c r="K9" s="8" t="inlineStr"/>
      <c r="L9" s="8" t="inlineStr"/>
    </row>
    <row r="10" ht="18" customHeight="1">
      <c r="A10" s="5" t="n">
        <v>5</v>
      </c>
      <c r="B10" s="6" t="inlineStr">
        <is>
          <t>C2</t>
        </is>
      </c>
      <c r="C10" s="6" t="inlineStr">
        <is>
          <t>Chuyên gia cao cấp</t>
        </is>
      </c>
      <c r="D10" s="6" t="n">
        <v>7000000</v>
      </c>
      <c r="E10" s="6" t="n">
        <v>7700000</v>
      </c>
      <c r="F10" s="6" t="n">
        <v>8500000</v>
      </c>
      <c r="G10" s="6" t="n">
        <v>9400000</v>
      </c>
      <c r="H10" s="6" t="n">
        <v>10300000</v>
      </c>
      <c r="I10" s="6" t="n">
        <v>11300000</v>
      </c>
      <c r="J10" s="6" t="n">
        <v>12400000</v>
      </c>
      <c r="K10" s="6" t="inlineStr"/>
      <c r="L10" s="6" t="inlineStr"/>
    </row>
    <row r="11" ht="8" customHeight="1"/>
    <row r="12" ht="20" customHeight="1">
      <c r="A12" s="3" t="inlineStr">
        <is>
          <t>B. BẢNG LƯƠNG QUẢN LÝ</t>
        </is>
      </c>
    </row>
    <row r="13" ht="22" customHeight="1">
      <c r="A13" s="9" t="inlineStr">
        <is>
          <t>STT</t>
        </is>
      </c>
      <c r="B13" s="9" t="inlineStr">
        <is>
          <t>Ngạch</t>
        </is>
      </c>
      <c r="C13" s="9" t="inlineStr">
        <is>
          <t>Chức danh áp dụng</t>
        </is>
      </c>
      <c r="D13" s="9" t="inlineStr">
        <is>
          <t>Bậc I</t>
        </is>
      </c>
      <c r="E13" s="9" t="inlineStr">
        <is>
          <t>Bậc II</t>
        </is>
      </c>
      <c r="F13" s="9" t="inlineStr">
        <is>
          <t>Bậc III</t>
        </is>
      </c>
      <c r="G13" s="9" t="inlineStr">
        <is>
          <t>Bậc IV</t>
        </is>
      </c>
      <c r="H13" s="9" t="inlineStr">
        <is>
          <t>Bậc V</t>
        </is>
      </c>
      <c r="I13" s="9" t="inlineStr">
        <is>
          <t>Bậc VI</t>
        </is>
      </c>
      <c r="J13" s="9" t="inlineStr">
        <is>
          <t>Bậc VII</t>
        </is>
      </c>
      <c r="K13" s="9" t="inlineStr">
        <is>
          <t>Bậc VIII</t>
        </is>
      </c>
      <c r="L13" s="9" t="inlineStr"/>
    </row>
    <row r="14" ht="18" customHeight="1">
      <c r="A14" s="5" t="n">
        <v>1</v>
      </c>
      <c r="B14" s="6" t="inlineStr">
        <is>
          <t>M1</t>
        </is>
      </c>
      <c r="C14" s="6" t="inlineStr">
        <is>
          <t>Trưởng phòng nghiệp vụ; Trợ lý chủ tịch</t>
        </is>
      </c>
      <c r="D14" s="6" t="n">
        <v>8300000</v>
      </c>
      <c r="E14" s="6" t="n">
        <v>9200000</v>
      </c>
      <c r="F14" s="6" t="n">
        <v>10200000</v>
      </c>
      <c r="G14" s="6" t="n">
        <v>11300000</v>
      </c>
      <c r="H14" s="6" t="n">
        <v>12500000</v>
      </c>
      <c r="I14" s="6" t="n">
        <v>13900000</v>
      </c>
      <c r="J14" s="6" t="n">
        <v>15400000</v>
      </c>
      <c r="K14" s="6" t="n">
        <v>17100000</v>
      </c>
      <c r="L14" s="6" t="inlineStr"/>
    </row>
    <row r="15" ht="18" customHeight="1">
      <c r="A15" s="7" t="n">
        <v>2</v>
      </c>
      <c r="B15" s="8" t="inlineStr">
        <is>
          <t>M2</t>
        </is>
      </c>
      <c r="C15" s="8" t="inlineStr">
        <is>
          <t>Phụ trách phòng / Quyền trưởng phòng; Phó phòng; Trưởng Chi nhánh</t>
        </is>
      </c>
      <c r="D15" s="8" t="n">
        <v>7000000</v>
      </c>
      <c r="E15" s="8" t="n">
        <v>7700000</v>
      </c>
      <c r="F15" s="8" t="n">
        <v>8500000</v>
      </c>
      <c r="G15" s="8" t="n">
        <v>9400000</v>
      </c>
      <c r="H15" s="8" t="n">
        <v>10300000</v>
      </c>
      <c r="I15" s="8" t="n">
        <v>11300000</v>
      </c>
      <c r="J15" s="8" t="n">
        <v>12400000</v>
      </c>
      <c r="K15" s="8" t="n">
        <v>13600000</v>
      </c>
      <c r="L15" s="8" t="inlineStr"/>
    </row>
    <row r="16" ht="18" customHeight="1">
      <c r="A16" s="5" t="n">
        <v>3</v>
      </c>
      <c r="B16" s="6" t="inlineStr">
        <is>
          <t>L1</t>
        </is>
      </c>
      <c r="C16" s="6" t="inlineStr">
        <is>
          <t>Trợ lý GĐ; Thư ký BLĐ; Trưởng bộ phận nghiệp vụ (điều hành, tổng đài, kỹ thuật...); Quyền Trưởng CN</t>
        </is>
      </c>
      <c r="D16" s="6" t="n">
        <v>6400000</v>
      </c>
      <c r="E16" s="6" t="n">
        <v>7000000</v>
      </c>
      <c r="F16" s="6" t="n">
        <v>7600000</v>
      </c>
      <c r="G16" s="6" t="n">
        <v>8300000</v>
      </c>
      <c r="H16" s="6" t="n">
        <v>9000000</v>
      </c>
      <c r="I16" s="6" t="n">
        <v>9800000</v>
      </c>
      <c r="J16" s="6" t="n">
        <v>10700000</v>
      </c>
      <c r="K16" s="6" t="n">
        <v>11700000</v>
      </c>
      <c r="L16" s="6" t="inlineStr"/>
    </row>
    <row r="17" ht="18" customHeight="1">
      <c r="A17" s="7" t="n">
        <v>4</v>
      </c>
      <c r="B17" s="8" t="inlineStr">
        <is>
          <t>L2</t>
        </is>
      </c>
      <c r="C17" s="8" t="inlineStr">
        <is>
          <t>Quyền trưởng bộ phận; Trưởng nhóm NV (giám sát, pháp chế, đào tạo, nhân sự, kế toán, kinh doanh, xưởng...); Trưởng ĐVPKD</t>
        </is>
      </c>
      <c r="D17" s="8" t="n">
        <v>6000000</v>
      </c>
      <c r="E17" s="8" t="n">
        <v>6500000</v>
      </c>
      <c r="F17" s="8" t="n">
        <v>7000000</v>
      </c>
      <c r="G17" s="8" t="n">
        <v>7600000</v>
      </c>
      <c r="H17" s="8" t="n">
        <v>8200000</v>
      </c>
      <c r="I17" s="8" t="n">
        <v>8900000</v>
      </c>
      <c r="J17" s="8" t="n">
        <v>9600000</v>
      </c>
      <c r="K17" s="8" t="n">
        <v>10400000</v>
      </c>
      <c r="L17" s="8" t="inlineStr"/>
    </row>
    <row r="18" ht="8" customHeight="1"/>
    <row r="19" ht="20" customHeight="1">
      <c r="A19" s="10" t="inlineStr">
        <is>
          <t>C. BẢNG LƯƠNG NHÂN VIÊN — CHUYÊN VIÊN</t>
        </is>
      </c>
    </row>
    <row r="20" ht="22" customHeight="1">
      <c r="A20" s="11" t="inlineStr">
        <is>
          <t>STT</t>
        </is>
      </c>
      <c r="B20" s="11" t="inlineStr">
        <is>
          <t>Ngạch</t>
        </is>
      </c>
      <c r="C20" s="11" t="inlineStr">
        <is>
          <t>Chức danh áp dụng</t>
        </is>
      </c>
      <c r="D20" s="11" t="inlineStr">
        <is>
          <t>Bậc I</t>
        </is>
      </c>
      <c r="E20" s="11" t="inlineStr">
        <is>
          <t>Bậc II</t>
        </is>
      </c>
      <c r="F20" s="11" t="inlineStr">
        <is>
          <t>Bậc III</t>
        </is>
      </c>
      <c r="G20" s="11" t="inlineStr">
        <is>
          <t>Bậc IV</t>
        </is>
      </c>
      <c r="H20" s="11" t="inlineStr">
        <is>
          <t>Bậc V</t>
        </is>
      </c>
      <c r="I20" s="11" t="inlineStr">
        <is>
          <t>Bậc VI</t>
        </is>
      </c>
      <c r="J20" s="11" t="inlineStr">
        <is>
          <t>Bậc VII</t>
        </is>
      </c>
      <c r="K20" s="11" t="inlineStr">
        <is>
          <t>Bậc VIII</t>
        </is>
      </c>
      <c r="L20" s="11" t="inlineStr">
        <is>
          <t>Bậc IX</t>
        </is>
      </c>
    </row>
    <row r="21" ht="36" customHeight="1">
      <c r="A21" s="5" t="n">
        <v>1</v>
      </c>
      <c r="B21" s="6" t="inlineStr">
        <is>
          <t>E1</t>
        </is>
      </c>
      <c r="C21" s="6" t="inlineStr">
        <is>
          <t>Chuyên viên nghiệp vụ khối văn phòng (marketing, HCNS, kế toán, QLPT); Giám sát tuân thủ; ĐH khách và hàng; Trưởng ca Tổng đài; Trưởng bưu cục; Quản lý vùng; Tổ trưởng/phó; Cố vấn DV; Thợ chính; Thủ kho</t>
        </is>
      </c>
      <c r="D21" s="6" t="n">
        <v>5700000</v>
      </c>
      <c r="E21" s="6" t="n">
        <v>6100000</v>
      </c>
      <c r="F21" s="6" t="n">
        <v>6500000</v>
      </c>
      <c r="G21" s="6" t="n">
        <v>6900000</v>
      </c>
      <c r="H21" s="6" t="n">
        <v>7300000</v>
      </c>
      <c r="I21" s="6" t="n">
        <v>7800000</v>
      </c>
      <c r="J21" s="6" t="n">
        <v>8300000</v>
      </c>
      <c r="K21" s="6" t="n">
        <v>8800000</v>
      </c>
      <c r="L21" s="6" t="n">
        <v>9400000</v>
      </c>
    </row>
    <row r="22" ht="36" customHeight="1">
      <c r="A22" s="7" t="n">
        <v>2</v>
      </c>
      <c r="B22" s="8" t="inlineStr">
        <is>
          <t>E2</t>
        </is>
      </c>
      <c r="C22" s="8" t="inlineStr">
        <is>
          <t>Nhân viên phục vụ (tổng đài, kinh doanh, GSCLỊDV, ĐH giám sát điểm hàng hóa, ĐP hàng và khách, lái xe, thợ kỹ thuật); Nhân viên thừa hành (lễ tân, tạp vụ, bảo vệ, bốc xếp, rửa xe, cấp dưỡng, chăm sóc cây cảnh...)</t>
        </is>
      </c>
      <c r="D22" s="8" t="n">
        <v>5310000</v>
      </c>
      <c r="E22" s="8" t="n">
        <v>5580000</v>
      </c>
      <c r="F22" s="8" t="n">
        <v>5860000</v>
      </c>
      <c r="G22" s="8" t="n">
        <v>6150000</v>
      </c>
      <c r="H22" s="8" t="n">
        <v>6460000</v>
      </c>
      <c r="I22" s="8" t="n">
        <v>6780000</v>
      </c>
      <c r="J22" s="8" t="n">
        <v>7120000</v>
      </c>
      <c r="K22" s="8" t="n">
        <v>7480000</v>
      </c>
      <c r="L22" s="8" t="n">
        <v>7850000</v>
      </c>
    </row>
    <row r="23" ht="8" customHeight="1"/>
    <row r="24" ht="15" customHeight="1">
      <c r="A24" s="2" t="inlineStr">
        <is>
          <t>Nguồn: Hệ thống thang lương bảng lương ban hành kèm QĐ 2A/2026/QĐ-XE ngày 02/01/2026 | GĐ Nguyễn Trọng Khánh ký</t>
        </is>
      </c>
    </row>
    <row r="25" ht="15" customHeight="1">
      <c r="A25" s="2" t="inlineStr">
        <is>
          <t>Cách sử dụng: Nhân viên được xếp vào Ngạch (D/C/M/L/E) và Bậc (I→IX) khi ký hợp đồng. Lương BHXH = Lương cơ bản theo bậc ngạch được xếp.</t>
        </is>
      </c>
    </row>
  </sheetData>
  <mergeCells count="7">
    <mergeCell ref="A24:L24"/>
    <mergeCell ref="A2:L2"/>
    <mergeCell ref="A25:L25"/>
    <mergeCell ref="A19:L19"/>
    <mergeCell ref="A1:L1"/>
    <mergeCell ref="A12:L1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8" customWidth="1" min="4" max="4"/>
    <col width="14" customWidth="1" min="5" max="5"/>
    <col width="16" customWidth="1" min="6" max="6"/>
    <col width="36" customWidth="1" min="7" max="7"/>
  </cols>
  <sheetData>
    <row r="1" ht="28" customHeight="1">
      <c r="A1" s="12" t="inlineStr">
        <is>
          <t>DANH MỤC THÀNH PHẦN LƯƠNG — CẤU HÌNH HRM  |  Nhập vào: Cài đặt → Lương &amp; Thu nhập → Thành phần lương</t>
        </is>
      </c>
    </row>
    <row r="2" ht="22" customHeight="1">
      <c r="A2" s="13" t="inlineStr">
        <is>
          <t>STT</t>
        </is>
      </c>
      <c r="B2" s="13" t="inlineStr">
        <is>
          <t>code (mã hệ thống)</t>
        </is>
      </c>
      <c r="C2" s="13" t="inlineStr">
        <is>
          <t>name_vi (tên hiển thị)</t>
        </is>
      </c>
      <c r="D2" s="13" t="inlineStr">
        <is>
          <t>component_type</t>
        </is>
      </c>
      <c r="E2" s="13" t="inlineStr">
        <is>
          <t>taxable (tính thuế TNCN)</t>
        </is>
      </c>
      <c r="F2" s="13" t="inlineStr">
        <is>
          <t>in_bhxh_base (tính BHXH)</t>
        </is>
      </c>
      <c r="G2" s="13" t="inlineStr">
        <is>
          <t>ghi_chu</t>
        </is>
      </c>
    </row>
    <row r="3" ht="18" customHeight="1">
      <c r="A3" s="5" t="n">
        <v>1</v>
      </c>
      <c r="B3" s="6" t="inlineStr">
        <is>
          <t>LUONG_CO_BAN_NGACH</t>
        </is>
      </c>
      <c r="C3" s="6" t="inlineStr">
        <is>
          <t>Lương cơ bản theo ngạch bậc (thang lương)</t>
        </is>
      </c>
      <c r="D3" s="6" t="inlineStr">
        <is>
          <t>Lương cơ bản</t>
        </is>
      </c>
      <c r="E3" s="6" t="inlineStr">
        <is>
          <t>Có</t>
        </is>
      </c>
      <c r="F3" s="6" t="inlineStr">
        <is>
          <t>Có</t>
        </is>
      </c>
      <c r="G3" s="6">
        <f> Mức lương ngạch bậc trong QĐ 2A. Cơ sở tính BHXH (P1)</f>
        <v/>
      </c>
    </row>
    <row r="4" ht="18" customHeight="1">
      <c r="A4" s="7" t="n">
        <v>2</v>
      </c>
      <c r="B4" s="8" t="inlineStr">
        <is>
          <t>LUONG_CUOC_NGHE</t>
        </is>
      </c>
      <c r="C4" s="8" t="inlineStr">
        <is>
          <t>Lương cuộc nghe (Tổng đài 1500)</t>
        </is>
      </c>
      <c r="D4" s="8" t="inlineStr">
        <is>
          <t>Lương biến đổi</t>
        </is>
      </c>
      <c r="E4" s="8" t="inlineStr">
        <is>
          <t>Có</t>
        </is>
      </c>
      <c r="F4" s="8" t="inlineStr">
        <is>
          <t>Không</t>
        </is>
      </c>
      <c r="G4" s="8">
        <f> Đơn giá/cuộc × Số cuộc. Chỉ áp dụng nhóm Tổng đài</f>
        <v/>
      </c>
    </row>
    <row r="5" ht="18" customHeight="1">
      <c r="A5" s="5" t="n">
        <v>3</v>
      </c>
      <c r="B5" s="6" t="inlineStr">
        <is>
          <t>LUONG_HOP_DONG_TD</t>
        </is>
      </c>
      <c r="C5" s="6" t="inlineStr">
        <is>
          <t>Lương hợp đồng (Tổng đài 1500)</t>
        </is>
      </c>
      <c r="D5" s="6" t="inlineStr">
        <is>
          <t>Lương biến đổi</t>
        </is>
      </c>
      <c r="E5" s="6" t="inlineStr">
        <is>
          <t>Có</t>
        </is>
      </c>
      <c r="F5" s="6" t="inlineStr">
        <is>
          <t>Không</t>
        </is>
      </c>
      <c r="G5" s="6" t="inlineStr">
        <is>
          <t>Ca sáng=600k; ca chiều=800k/tháng (đủ công → 100%; &lt;50% → 50%)</t>
        </is>
      </c>
    </row>
    <row r="6" ht="18" customHeight="1">
      <c r="A6" s="7" t="n">
        <v>4</v>
      </c>
      <c r="B6" s="8" t="inlineStr">
        <is>
          <t>LUONG_THOI_GIAN_TD</t>
        </is>
      </c>
      <c r="C6" s="8" t="inlineStr">
        <is>
          <t>Lương thời gian làm việc (Tổng đài 1500)</t>
        </is>
      </c>
      <c r="D6" s="8" t="inlineStr">
        <is>
          <t>Lương biến đổi</t>
        </is>
      </c>
      <c r="E6" s="8" t="inlineStr">
        <is>
          <t>Có</t>
        </is>
      </c>
      <c r="F6" s="8" t="inlineStr">
        <is>
          <t>Không</t>
        </is>
      </c>
      <c r="G6" s="8" t="inlineStr">
        <is>
          <t>Ca sáng=700k; ca chiều=1,500k/tháng</t>
        </is>
      </c>
    </row>
    <row r="7" ht="18" customHeight="1">
      <c r="A7" s="5" t="n">
        <v>5</v>
      </c>
      <c r="B7" s="6" t="inlineStr">
        <is>
          <t>LUONG_CUOC_LX_TUYEN</t>
        </is>
      </c>
      <c r="C7" s="6" t="inlineStr">
        <is>
          <t>Lương lượt chạy (Lái xe Tuyến)</t>
        </is>
      </c>
      <c r="D7" s="6" t="inlineStr">
        <is>
          <t>Lương biến đổi</t>
        </is>
      </c>
      <c r="E7" s="6" t="inlineStr">
        <is>
          <t>Có</t>
        </is>
      </c>
      <c r="F7" s="6" t="inlineStr">
        <is>
          <t>Không</t>
        </is>
      </c>
      <c r="G7" s="6">
        <f> Số lượt × Đơn giá lượt (theo tuyến và ngưỡng). Xem sheet Đơn_Giá_Lái_Xe_Tuyến</f>
        <v/>
      </c>
    </row>
    <row r="8" ht="18" customHeight="1">
      <c r="A8" s="7" t="n">
        <v>6</v>
      </c>
      <c r="B8" s="8" t="inlineStr">
        <is>
          <t>LUONG_CUNG_LX_TAI</t>
        </is>
      </c>
      <c r="C8" s="8" t="inlineStr">
        <is>
          <t>Lương cứng Lái xe Tải</t>
        </is>
      </c>
      <c r="D8" s="8" t="inlineStr">
        <is>
          <t>Lương cơ bản</t>
        </is>
      </c>
      <c r="E8" s="8" t="inlineStr">
        <is>
          <t>Có</t>
        </is>
      </c>
      <c r="F8" s="8" t="inlineStr">
        <is>
          <t>Có</t>
        </is>
      </c>
      <c r="G8" s="8" t="inlineStr">
        <is>
          <t>Theo trọng tải xe + ngày công thực tế. Xem sheet Định_Mức_Lái_Xe_Tải</t>
        </is>
      </c>
    </row>
    <row r="9" ht="18" customHeight="1">
      <c r="A9" s="5" t="n">
        <v>7</v>
      </c>
      <c r="B9" s="6" t="inlineStr">
        <is>
          <t>LUONG_QLPT</t>
        </is>
      </c>
      <c r="C9" s="6" t="inlineStr">
        <is>
          <t>Lương trách nhiệm Quản lý Phương tiện (QLPT)</t>
        </is>
      </c>
      <c r="D9" s="6" t="inlineStr">
        <is>
          <t>Phụ cấp đặc thù</t>
        </is>
      </c>
      <c r="E9" s="6" t="inlineStr">
        <is>
          <t>Có</t>
        </is>
      </c>
      <c r="F9" s="6" t="inlineStr">
        <is>
          <t>Không</t>
        </is>
      </c>
      <c r="G9" s="6">
        <f> Mức QLPT × Số ngày quản lý xe / Tổng ngày tháng. Xem PL1 QĐ206</f>
        <v/>
      </c>
    </row>
    <row r="10" ht="18" customHeight="1">
      <c r="A10" s="7" t="n">
        <v>8</v>
      </c>
      <c r="B10" s="8" t="inlineStr">
        <is>
          <t>THUONG_DOANH_THU</t>
        </is>
      </c>
      <c r="C10" s="8" t="inlineStr">
        <is>
          <t>Thưởng doanh thu (Lái xe Tải)</t>
        </is>
      </c>
      <c r="D10" s="8" t="inlineStr">
        <is>
          <t>Thưởng</t>
        </is>
      </c>
      <c r="E10" s="8" t="inlineStr">
        <is>
          <t>Có</t>
        </is>
      </c>
      <c r="F10" s="8" t="inlineStr">
        <is>
          <t>Không</t>
        </is>
      </c>
      <c r="G10" s="8">
        <f> DT tính thưởng × Tỷ lệ (6%/8%/10%). Xem sheet Định_Mức_Lái_Xe_Tải</f>
        <v/>
      </c>
    </row>
    <row r="11" ht="18" customHeight="1">
      <c r="A11" s="5" t="n">
        <v>9</v>
      </c>
      <c r="B11" s="6" t="inlineStr">
        <is>
          <t>THUONG_CHUYEN_CAN</t>
        </is>
      </c>
      <c r="C11" s="6" t="inlineStr">
        <is>
          <t>Thưởng chuyên cần (Lái xe Tuyến)</t>
        </is>
      </c>
      <c r="D11" s="6" t="inlineStr">
        <is>
          <t>Thưởng</t>
        </is>
      </c>
      <c r="E11" s="6" t="inlineStr">
        <is>
          <t>Có</t>
        </is>
      </c>
      <c r="F11" s="6" t="inlineStr">
        <is>
          <t>Không</t>
        </is>
      </c>
      <c r="G11" s="6" t="inlineStr">
        <is>
          <t>QĐ 169/2026. Không nghỉ không phép trong tháng</t>
        </is>
      </c>
    </row>
    <row r="12" ht="18" customHeight="1">
      <c r="A12" s="7" t="n">
        <v>10</v>
      </c>
      <c r="B12" s="8" t="inlineStr">
        <is>
          <t>THUONG_AN_TOAN</t>
        </is>
      </c>
      <c r="C12" s="8" t="inlineStr">
        <is>
          <t>Thưởng an toàn giao thông</t>
        </is>
      </c>
      <c r="D12" s="8" t="inlineStr">
        <is>
          <t>Thưởng</t>
        </is>
      </c>
      <c r="E12" s="8" t="inlineStr">
        <is>
          <t>Có</t>
        </is>
      </c>
      <c r="F12" s="8" t="inlineStr">
        <is>
          <t>Không</t>
        </is>
      </c>
      <c r="G12" s="8" t="inlineStr">
        <is>
          <t>Không tai nạn, không phạt trong tháng</t>
        </is>
      </c>
    </row>
    <row r="13" ht="18" customHeight="1">
      <c r="A13" s="5" t="n">
        <v>11</v>
      </c>
      <c r="B13" s="6" t="inlineStr">
        <is>
          <t>THUONG_TOP_TD</t>
        </is>
      </c>
      <c r="C13" s="6" t="inlineStr">
        <is>
          <t>Thưởng Top (Tổng đài 1500)</t>
        </is>
      </c>
      <c r="D13" s="6" t="inlineStr">
        <is>
          <t>Thưởng KPI</t>
        </is>
      </c>
      <c r="E13" s="6" t="inlineStr">
        <is>
          <t>Có</t>
        </is>
      </c>
      <c r="F13" s="6" t="inlineStr">
        <is>
          <t>Không</t>
        </is>
      </c>
      <c r="G13" s="6" t="inlineStr">
        <is>
          <t>Top1=1,000k; Top2,3=500k. Yêu cầu CLDV ≥ 9.5</t>
        </is>
      </c>
    </row>
    <row r="14" ht="18" customHeight="1">
      <c r="A14" s="7" t="n">
        <v>12</v>
      </c>
      <c r="B14" s="8" t="inlineStr">
        <is>
          <t>THUONG_GOI_NHO</t>
        </is>
      </c>
      <c r="C14" s="8" t="inlineStr">
        <is>
          <t>Thưởng hạn chế cuộc gọi nhỡ (Tổng đài)</t>
        </is>
      </c>
      <c r="D14" s="8" t="inlineStr">
        <is>
          <t>Thưởng KPI</t>
        </is>
      </c>
      <c r="E14" s="8" t="inlineStr">
        <is>
          <t>Có</t>
        </is>
      </c>
      <c r="F14" s="8" t="inlineStr">
        <is>
          <t>Không</t>
        </is>
      </c>
      <c r="G14" s="8" t="inlineStr">
        <is>
          <t>Quỹ 500k/tháng. Hệ số theo tỷ lệ nhỡ: ≤2%→1.1; ≤3%→1.0; ≤5%→0.8; ≤8%→0.5; &gt;8%→0</t>
        </is>
      </c>
    </row>
    <row r="15" ht="18" customHeight="1">
      <c r="A15" s="5" t="n">
        <v>13</v>
      </c>
      <c r="B15" s="6" t="inlineStr">
        <is>
          <t>THUONG_KPI_LX_TC</t>
        </is>
      </c>
      <c r="C15" s="6" t="inlineStr">
        <is>
          <t>Lương KPI (Lái xe Tải Trung chuyển Express)</t>
        </is>
      </c>
      <c r="D15" s="6" t="inlineStr">
        <is>
          <t>Thưởng KPI</t>
        </is>
      </c>
      <c r="E15" s="6" t="inlineStr">
        <is>
          <t>Có</t>
        </is>
      </c>
      <c r="F15" s="6" t="inlineStr">
        <is>
          <t>Không</t>
        </is>
      </c>
      <c r="G15" s="6" t="inlineStr">
        <is>
          <t>KPI chuẩn=2,000k/tháng; tỷ lệ đạt do Phòng VTHH đánh giá</t>
        </is>
      </c>
    </row>
    <row r="16" ht="18" customHeight="1">
      <c r="A16" s="7" t="n">
        <v>14</v>
      </c>
      <c r="B16" s="8" t="inlineStr">
        <is>
          <t>THUONG_TET</t>
        </is>
      </c>
      <c r="C16" s="8" t="inlineStr">
        <is>
          <t>Thưởng Tết Nguyên Đán</t>
        </is>
      </c>
      <c r="D16" s="8" t="inlineStr">
        <is>
          <t>Thưởng</t>
        </is>
      </c>
      <c r="E16" s="8" t="inlineStr">
        <is>
          <t>Có</t>
        </is>
      </c>
      <c r="F16" s="8" t="inlineStr">
        <is>
          <t>Không</t>
        </is>
      </c>
      <c r="G16" s="8" t="inlineStr">
        <is>
          <t>Tùy quyết định hàng năm BGĐ</t>
        </is>
      </c>
    </row>
    <row r="17" ht="18" customHeight="1">
      <c r="A17" s="5" t="n">
        <v>15</v>
      </c>
      <c r="B17" s="6" t="inlineStr">
        <is>
          <t>THUONG_HIEU_SUAT</t>
        </is>
      </c>
      <c r="C17" s="6" t="inlineStr">
        <is>
          <t>Thưởng hiệu suất / KPI Quý/Năm</t>
        </is>
      </c>
      <c r="D17" s="6" t="inlineStr">
        <is>
          <t>Thưởng KPI</t>
        </is>
      </c>
      <c r="E17" s="6" t="inlineStr">
        <is>
          <t>Có</t>
        </is>
      </c>
      <c r="F17" s="6" t="inlineStr">
        <is>
          <t>Không</t>
        </is>
      </c>
      <c r="G17" s="6" t="inlineStr"/>
    </row>
    <row r="18" ht="18" customHeight="1">
      <c r="A18" s="7" t="n">
        <v>16</v>
      </c>
      <c r="B18" s="8" t="inlineStr">
        <is>
          <t>PC_AN_CA_CN</t>
        </is>
      </c>
      <c r="C18" s="8" t="inlineStr">
        <is>
          <t>Tiền ăn ca Chủ Nhật (Lái xe Tuyến)</t>
        </is>
      </c>
      <c r="D18" s="8" t="inlineStr">
        <is>
          <t>Phụ cấp</t>
        </is>
      </c>
      <c r="E18" s="8" t="inlineStr">
        <is>
          <t>Không</t>
        </is>
      </c>
      <c r="F18" s="8" t="inlineStr">
        <is>
          <t>Không</t>
        </is>
      </c>
      <c r="G18" s="8" t="inlineStr">
        <is>
          <t>25,000đ/ngày (NĐ, NB, TB kể từ 01/09/2025). QĐ 439</t>
        </is>
      </c>
    </row>
    <row r="19" ht="18" customHeight="1">
      <c r="A19" s="5" t="n">
        <v>17</v>
      </c>
      <c r="B19" s="6" t="inlineStr">
        <is>
          <t>PC_GIAO_HANG_PP</t>
        </is>
      </c>
      <c r="C19" s="6" t="inlineStr">
        <is>
          <t>PC giao hàng phân phối (Lái xe Tải)</t>
        </is>
      </c>
      <c r="D19" s="6" t="inlineStr">
        <is>
          <t>Phụ cấp đặc thù</t>
        </is>
      </c>
      <c r="E19" s="6" t="inlineStr">
        <is>
          <t>Có</t>
        </is>
      </c>
      <c r="F19" s="6" t="inlineStr">
        <is>
          <t>Không</t>
        </is>
      </c>
      <c r="G19" s="6">
        <f> 6% DT hàng phân phối, lái xe chủ động bốc dỡ</f>
        <v/>
      </c>
    </row>
    <row r="20" ht="18" customHeight="1">
      <c r="A20" s="7" t="n">
        <v>18</v>
      </c>
      <c r="B20" s="8" t="inlineStr">
        <is>
          <t>PC_BOC_XEP_TC</t>
        </is>
      </c>
      <c r="C20" s="8" t="inlineStr">
        <is>
          <t>Hỗ trợ bốc xếp (Lái xe Tải Logistic)</t>
        </is>
      </c>
      <c r="D20" s="8" t="inlineStr">
        <is>
          <t>Phụ cấp đặc thù</t>
        </is>
      </c>
      <c r="E20" s="8" t="inlineStr">
        <is>
          <t>Có</t>
        </is>
      </c>
      <c r="F20" s="8" t="inlineStr">
        <is>
          <t>Không</t>
        </is>
      </c>
      <c r="G20" s="8" t="inlineStr">
        <is>
          <t>4,400,000đ/tháng (cả 2 miền)</t>
        </is>
      </c>
    </row>
    <row r="21" ht="18" customHeight="1">
      <c r="A21" s="5" t="n">
        <v>19</v>
      </c>
      <c r="B21" s="6" t="inlineStr">
        <is>
          <t>PC_DIEN_THOAI</t>
        </is>
      </c>
      <c r="C21" s="6" t="inlineStr">
        <is>
          <t>Phụ cấp điện thoại</t>
        </is>
      </c>
      <c r="D21" s="6" t="inlineStr">
        <is>
          <t>Phụ cấp công cụ</t>
        </is>
      </c>
      <c r="E21" s="6" t="inlineStr">
        <is>
          <t>Không</t>
        </is>
      </c>
      <c r="F21" s="6" t="inlineStr">
        <is>
          <t>Không</t>
        </is>
      </c>
      <c r="G21" s="6" t="inlineStr">
        <is>
          <t>Miễn thuế theo TT80/2021</t>
        </is>
      </c>
    </row>
    <row r="22" ht="18" customHeight="1">
      <c r="A22" s="7" t="n">
        <v>20</v>
      </c>
      <c r="B22" s="8" t="inlineStr">
        <is>
          <t>PC_XANG_XE</t>
        </is>
      </c>
      <c r="C22" s="8" t="inlineStr">
        <is>
          <t>Phụ cấp xăng xe / đi lại</t>
        </is>
      </c>
      <c r="D22" s="8" t="inlineStr">
        <is>
          <t>Phụ cấp công cụ</t>
        </is>
      </c>
      <c r="E22" s="8" t="inlineStr">
        <is>
          <t>Không</t>
        </is>
      </c>
      <c r="F22" s="8" t="inlineStr">
        <is>
          <t>Không</t>
        </is>
      </c>
      <c r="G22" s="8" t="inlineStr"/>
    </row>
    <row r="23" ht="18" customHeight="1">
      <c r="A23" s="5" t="n">
        <v>21</v>
      </c>
      <c r="B23" s="6" t="inlineStr">
        <is>
          <t>PC_AN_TRUA</t>
        </is>
      </c>
      <c r="C23" s="6" t="inlineStr">
        <is>
          <t>Tiền ăn trưa</t>
        </is>
      </c>
      <c r="D23" s="6" t="inlineStr">
        <is>
          <t>Phụ cấp công cụ</t>
        </is>
      </c>
      <c r="E23" s="6" t="inlineStr">
        <is>
          <t>Không</t>
        </is>
      </c>
      <c r="F23" s="6" t="inlineStr">
        <is>
          <t>Không</t>
        </is>
      </c>
      <c r="G23" s="6" t="inlineStr">
        <is>
          <t>≤730,000đ/tháng miễn thuế theo TT80</t>
        </is>
      </c>
    </row>
    <row r="24" ht="18" customHeight="1">
      <c r="A24" s="7" t="n">
        <v>22</v>
      </c>
      <c r="B24" s="8" t="inlineStr">
        <is>
          <t>PC_TRACH_NHIEM</t>
        </is>
      </c>
      <c r="C24" s="8" t="inlineStr">
        <is>
          <t>Phụ cấp trách nhiệm / chức vụ</t>
        </is>
      </c>
      <c r="D24" s="8" t="inlineStr">
        <is>
          <t>Phụ cấp</t>
        </is>
      </c>
      <c r="E24" s="8" t="inlineStr">
        <is>
          <t>Có</t>
        </is>
      </c>
      <c r="F24" s="8" t="inlineStr">
        <is>
          <t>Không</t>
        </is>
      </c>
      <c r="G24" s="8" t="inlineStr">
        <is>
          <t>Trưởng ca, tổ trưởng, quản lý</t>
        </is>
      </c>
    </row>
    <row r="25" ht="18" customHeight="1">
      <c r="A25" s="5" t="n">
        <v>23</v>
      </c>
      <c r="B25" s="6" t="inlineStr">
        <is>
          <t>PC_CA_DEM</t>
        </is>
      </c>
      <c r="C25" s="6" t="inlineStr">
        <is>
          <t>Phụ cấp ca đêm (22h-6h)</t>
        </is>
      </c>
      <c r="D25" s="6" t="inlineStr">
        <is>
          <t>Phụ cấp đặc thù</t>
        </is>
      </c>
      <c r="E25" s="6" t="inlineStr">
        <is>
          <t>Có</t>
        </is>
      </c>
      <c r="F25" s="6" t="inlineStr">
        <is>
          <t>Không</t>
        </is>
      </c>
      <c r="G25" s="6" t="inlineStr">
        <is>
          <t>+30% so với lương giờ ban ngày</t>
        </is>
      </c>
    </row>
    <row r="26" ht="18" customHeight="1">
      <c r="A26" s="7" t="n">
        <v>24</v>
      </c>
      <c r="B26" s="8" t="inlineStr">
        <is>
          <t>KT_BHXH_NLD</t>
        </is>
      </c>
      <c r="C26" s="8" t="inlineStr">
        <is>
          <t>Khấu trừ BHXH NLĐ đóng (8%+1.5%+1%=10.5%)</t>
        </is>
      </c>
      <c r="D26" s="8" t="inlineStr">
        <is>
          <t>Khấu trừ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Trừ vào lương đóng BH. Giới hạn trần 46,800,000đ/tháng</t>
        </is>
      </c>
    </row>
    <row r="27" ht="18" customHeight="1">
      <c r="A27" s="5" t="n">
        <v>25</v>
      </c>
      <c r="B27" s="6" t="inlineStr">
        <is>
          <t>KT_THUE_TNCN</t>
        </is>
      </c>
      <c r="C27" s="6" t="inlineStr">
        <is>
          <t>Khấu trừ thuế TNCN (biểu lũy tiến 7 bậc)</t>
        </is>
      </c>
      <c r="D27" s="6" t="inlineStr">
        <is>
          <t>Khấu trừ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Tính sau khi trừ BHXH và giảm trừ gia cảnh</t>
        </is>
      </c>
    </row>
    <row r="28" ht="18" customHeight="1">
      <c r="A28" s="7" t="n">
        <v>26</v>
      </c>
      <c r="B28" s="8" t="inlineStr">
        <is>
          <t>KT_TAM_UNG</t>
        </is>
      </c>
      <c r="C28" s="8" t="inlineStr">
        <is>
          <t>Tạm ứng lương (khấu trừ kỳ cuối)</t>
        </is>
      </c>
      <c r="D28" s="8" t="inlineStr">
        <is>
          <t>Khấu trừ</t>
        </is>
      </c>
      <c r="E28" s="8" t="inlineStr">
        <is>
          <t>—</t>
        </is>
      </c>
      <c r="F28" s="8" t="inlineStr">
        <is>
          <t>—</t>
        </is>
      </c>
      <c r="G28" s="8" t="inlineStr"/>
    </row>
    <row r="29" ht="18" customHeight="1">
      <c r="A29" s="5" t="n">
        <v>27</v>
      </c>
      <c r="B29" s="6" t="inlineStr">
        <is>
          <t>KT_VI_PHAM</t>
        </is>
      </c>
      <c r="C29" s="6" t="inlineStr">
        <is>
          <t>Khấu trừ vi phạm / QLPT (điểm CLHĐ × 100k)</t>
        </is>
      </c>
      <c r="D29" s="6" t="inlineStr">
        <is>
          <t>Khấu trừ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Theo PL2 QĐ206. 1 điểm CLHĐ = 100,000đ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54" customWidth="1" min="3" max="3"/>
    <col width="44" customWidth="1" min="4" max="4"/>
    <col width="18" customWidth="1" min="5" max="5"/>
    <col width="18" customWidth="1" min="6" max="6"/>
    <col width="36" customWidth="1" min="7" max="7"/>
  </cols>
  <sheetData>
    <row r="1" ht="28" customHeight="1">
      <c r="A1" s="14" t="inlineStr">
        <is>
          <t>ĐỊNH MỨC LƯƠNG CỨNG — QLPT — DOANH THU LÁI XE TẢI  |  QĐ 206/2026/QĐ-XE (01/04/2026)</t>
        </is>
      </c>
    </row>
    <row r="2" ht="15" customHeight="1">
      <c r="A2" s="2" t="inlineStr">
        <is>
          <t>Công thức TTN = Lương cứng + Lương TN QLPT + Thưởng doanh thu + PC đặc thù + Lương KPI (nếu là Tải trung chuyển CPN) − Giảm trừ  |  Đơn vị: VNĐ</t>
        </is>
      </c>
    </row>
    <row r="3" ht="22" customHeight="1">
      <c r="A3" s="15" t="inlineStr">
        <is>
          <t>STT</t>
        </is>
      </c>
      <c r="B3" s="15" t="inlineStr">
        <is>
          <t>Phân loại tải trọng xe</t>
        </is>
      </c>
      <c r="C3" s="15" t="inlineStr">
        <is>
          <t>Lương cứng</t>
        </is>
      </c>
      <c r="D3" s="15" t="inlineStr">
        <is>
          <t>Lương TN QLPT</t>
        </is>
      </c>
      <c r="E3" s="15" t="inlineStr">
        <is>
          <t>Mức 1 DT hỗ trợ</t>
        </is>
      </c>
      <c r="F3" s="15" t="inlineStr">
        <is>
          <t>Mức 2 DT mục tiêu</t>
        </is>
      </c>
      <c r="G3" s="15" t="inlineStr">
        <is>
          <t>Ghi chú</t>
        </is>
      </c>
    </row>
    <row r="4" ht="18" customHeight="1">
      <c r="A4" s="5" t="n">
        <v>1</v>
      </c>
      <c r="B4" s="6" t="inlineStr">
        <is>
          <t>Xe từ 01 tấn đến dưới 02 tấn</t>
        </is>
      </c>
      <c r="C4" s="6" t="n">
        <v>7500000</v>
      </c>
      <c r="D4" s="6" t="n">
        <v>2200000</v>
      </c>
      <c r="E4" s="6" t="n">
        <v>27000000</v>
      </c>
      <c r="F4" s="6" t="n">
        <v>32000000</v>
      </c>
      <c r="G4" s="6" t="inlineStr">
        <is>
          <t>Tỷ lệ thưởng: ≤M1→6%; M1&lt;DT≤M2→8%; &gt;M2 vượt 10%</t>
        </is>
      </c>
    </row>
    <row r="5" ht="18" customHeight="1">
      <c r="A5" s="7" t="n">
        <v>2</v>
      </c>
      <c r="B5" s="8" t="inlineStr">
        <is>
          <t>Xe từ 01 tấn đến dưới 02 tấn (lạnh)</t>
        </is>
      </c>
      <c r="C5" s="8" t="n">
        <v>7500000</v>
      </c>
      <c r="D5" s="8" t="n">
        <v>2500000</v>
      </c>
      <c r="E5" s="8" t="n">
        <v>30000000</v>
      </c>
      <c r="F5" s="8" t="n">
        <v>36000000</v>
      </c>
      <c r="G5" s="8" t="inlineStr">
        <is>
          <t>Xe lạnh mức QLPT và DT cao hơn xe thường</t>
        </is>
      </c>
    </row>
    <row r="6" ht="18" customHeight="1">
      <c r="A6" s="5" t="n">
        <v>3</v>
      </c>
      <c r="B6" s="6" t="inlineStr">
        <is>
          <t>Xe từ 02 tấn đến dưới 3,5 tấn</t>
        </is>
      </c>
      <c r="C6" s="6" t="n">
        <v>7800000</v>
      </c>
      <c r="D6" s="6" t="n">
        <v>2500000</v>
      </c>
      <c r="E6" s="6" t="n">
        <v>35000000</v>
      </c>
      <c r="F6" s="6" t="n">
        <v>41000000</v>
      </c>
      <c r="G6" s="6" t="inlineStr"/>
    </row>
    <row r="7" ht="18" customHeight="1">
      <c r="A7" s="7" t="n">
        <v>4</v>
      </c>
      <c r="B7" s="8" t="inlineStr">
        <is>
          <t>Xe từ 02 tấn đến dưới 3,5 tấn (lạnh)</t>
        </is>
      </c>
      <c r="C7" s="8" t="n">
        <v>7800000</v>
      </c>
      <c r="D7" s="8" t="n">
        <v>2800000</v>
      </c>
      <c r="E7" s="8" t="n">
        <v>38000000</v>
      </c>
      <c r="F7" s="8" t="n">
        <v>48000000</v>
      </c>
      <c r="G7" s="8" t="inlineStr"/>
    </row>
    <row r="8" ht="18" customHeight="1">
      <c r="A8" s="5" t="n">
        <v>5</v>
      </c>
      <c r="B8" s="6" t="inlineStr">
        <is>
          <t>Xe từ 3,5 tấn đến dưới 05 tấn</t>
        </is>
      </c>
      <c r="C8" s="6" t="n">
        <v>8000000</v>
      </c>
      <c r="D8" s="6" t="n">
        <v>2800000</v>
      </c>
      <c r="E8" s="6" t="n">
        <v>42000000</v>
      </c>
      <c r="F8" s="6" t="n">
        <v>52000000</v>
      </c>
      <c r="G8" s="6" t="inlineStr"/>
    </row>
    <row r="9" ht="18" customHeight="1">
      <c r="A9" s="7" t="n">
        <v>6</v>
      </c>
      <c r="B9" s="8" t="inlineStr">
        <is>
          <t>Xe từ 3,5 tấn đến dưới 05 tấn (lạnh)</t>
        </is>
      </c>
      <c r="C9" s="8" t="n">
        <v>8000000</v>
      </c>
      <c r="D9" s="8" t="n">
        <v>3100000</v>
      </c>
      <c r="E9" s="8" t="n">
        <v>46000000</v>
      </c>
      <c r="F9" s="8" t="n">
        <v>60000000</v>
      </c>
      <c r="G9" s="8" t="inlineStr"/>
    </row>
    <row r="10" ht="18" customHeight="1">
      <c r="A10" s="5" t="n">
        <v>7</v>
      </c>
      <c r="B10" s="6" t="inlineStr">
        <is>
          <t>Xe từ 05 tấn đến 6,5 tấn</t>
        </is>
      </c>
      <c r="C10" s="6" t="n">
        <v>8500000</v>
      </c>
      <c r="D10" s="6" t="n">
        <v>3000000</v>
      </c>
      <c r="E10" s="6" t="n">
        <v>50000000</v>
      </c>
      <c r="F10" s="6" t="n">
        <v>63000000</v>
      </c>
      <c r="G10" s="6" t="inlineStr"/>
    </row>
    <row r="11" ht="18" customHeight="1">
      <c r="A11" s="7" t="n">
        <v>8</v>
      </c>
      <c r="B11" s="8" t="inlineStr">
        <is>
          <t>Xe từ 05 tấn đến 6,5 tấn (lạnh)</t>
        </is>
      </c>
      <c r="C11" s="8" t="n">
        <v>8500000</v>
      </c>
      <c r="D11" s="8" t="n">
        <v>3300000</v>
      </c>
      <c r="E11" s="8" t="n">
        <v>55000000</v>
      </c>
      <c r="F11" s="8" t="n">
        <v>72000000</v>
      </c>
      <c r="G11" s="8" t="inlineStr"/>
    </row>
    <row r="12" ht="18" customHeight="1">
      <c r="A12" s="5" t="n">
        <v>9</v>
      </c>
      <c r="B12" s="6" t="inlineStr">
        <is>
          <t>Xe trên 6,5 tấn đến dưới 08 tấn</t>
        </is>
      </c>
      <c r="C12" s="6" t="n">
        <v>9000000</v>
      </c>
      <c r="D12" s="6" t="n">
        <v>3500000</v>
      </c>
      <c r="E12" s="6" t="n">
        <v>55000000</v>
      </c>
      <c r="F12" s="6" t="n">
        <v>76000000</v>
      </c>
      <c r="G12" s="6" t="inlineStr"/>
    </row>
    <row r="13" ht="18" customHeight="1">
      <c r="A13" s="7" t="n">
        <v>10</v>
      </c>
      <c r="B13" s="8" t="inlineStr">
        <is>
          <t>Xe trên 6,5 tấn đến dưới 08 tấn (lạnh)</t>
        </is>
      </c>
      <c r="C13" s="8" t="n">
        <v>9000000</v>
      </c>
      <c r="D13" s="8" t="n">
        <v>3800000</v>
      </c>
      <c r="E13" s="8" t="n">
        <v>60000000</v>
      </c>
      <c r="F13" s="8" t="n">
        <v>85000000</v>
      </c>
      <c r="G13" s="8" t="inlineStr"/>
    </row>
    <row r="14" ht="18" customHeight="1">
      <c r="A14" s="5" t="n">
        <v>11</v>
      </c>
      <c r="B14" s="6" t="inlineStr">
        <is>
          <t>Xe từ 08 tấn đến 10 tấn</t>
        </is>
      </c>
      <c r="C14" s="6" t="n">
        <v>9500000</v>
      </c>
      <c r="D14" s="6" t="n">
        <v>3700000</v>
      </c>
      <c r="E14" s="6" t="n">
        <v>62000000</v>
      </c>
      <c r="F14" s="6" t="n">
        <v>88000000</v>
      </c>
      <c r="G14" s="6" t="inlineStr"/>
    </row>
    <row r="15" ht="18" customHeight="1">
      <c r="A15" s="7" t="n">
        <v>12</v>
      </c>
      <c r="B15" s="8" t="inlineStr">
        <is>
          <t>Xe từ 08 tấn đến 10 tấn (lạnh)</t>
        </is>
      </c>
      <c r="C15" s="8" t="n">
        <v>9500000</v>
      </c>
      <c r="D15" s="8" t="n">
        <v>4000000</v>
      </c>
      <c r="E15" s="8" t="n">
        <v>70000000</v>
      </c>
      <c r="F15" s="8" t="n">
        <v>99000000</v>
      </c>
      <c r="G15" s="8" t="inlineStr"/>
    </row>
    <row r="16" ht="18" customHeight="1">
      <c r="A16" s="5" t="n">
        <v>13</v>
      </c>
      <c r="B16" s="6" t="inlineStr">
        <is>
          <t>Xe trên 10 tấn đến 15 tấn</t>
        </is>
      </c>
      <c r="C16" s="6" t="n">
        <v>10000000</v>
      </c>
      <c r="D16" s="6" t="n">
        <v>4000000</v>
      </c>
      <c r="E16" s="6" t="n">
        <v>72000000</v>
      </c>
      <c r="F16" s="6" t="n">
        <v>105000000</v>
      </c>
      <c r="G16" s="6" t="inlineStr"/>
    </row>
    <row r="17" ht="18" customHeight="1">
      <c r="A17" s="7" t="n">
        <v>14</v>
      </c>
      <c r="B17" s="8" t="inlineStr">
        <is>
          <t>Xe trên 10 tấn đến 15 tấn (lạnh)</t>
        </is>
      </c>
      <c r="C17" s="8" t="n">
        <v>10000000</v>
      </c>
      <c r="D17" s="8" t="n">
        <v>4300000</v>
      </c>
      <c r="E17" s="8" t="n">
        <v>82000000</v>
      </c>
      <c r="F17" s="8" t="n">
        <v>123000000</v>
      </c>
      <c r="G17" s="8" t="inlineStr"/>
    </row>
    <row r="18" ht="18" customHeight="1">
      <c r="A18" s="5" t="n">
        <v>15</v>
      </c>
      <c r="B18" s="6" t="inlineStr">
        <is>
          <t>Xe trên 15 tấn đến 20 tấn</t>
        </is>
      </c>
      <c r="C18" s="6" t="n">
        <v>10500000</v>
      </c>
      <c r="D18" s="6" t="n">
        <v>4300000</v>
      </c>
      <c r="E18" s="6" t="n">
        <v>85000000</v>
      </c>
      <c r="F18" s="6" t="n">
        <v>125000000</v>
      </c>
      <c r="G18" s="6" t="inlineStr"/>
    </row>
    <row r="19" ht="18" customHeight="1">
      <c r="A19" s="7" t="n">
        <v>16</v>
      </c>
      <c r="B19" s="8" t="inlineStr">
        <is>
          <t>Xe trên 15 tấn đến 20 tấn (lạnh)</t>
        </is>
      </c>
      <c r="C19" s="8" t="n">
        <v>10500000</v>
      </c>
      <c r="D19" s="8" t="n">
        <v>4600000</v>
      </c>
      <c r="E19" s="8" t="n">
        <v>95000000</v>
      </c>
      <c r="F19" s="8" t="n">
        <v>145000000</v>
      </c>
      <c r="G19" s="8" t="inlineStr"/>
    </row>
    <row r="20" ht="18" customHeight="1">
      <c r="A20" s="5" t="n">
        <v>17</v>
      </c>
      <c r="B20" s="6" t="inlineStr">
        <is>
          <t>Đầu kéo container (nóng)</t>
        </is>
      </c>
      <c r="C20" s="6" t="n">
        <v>11500000</v>
      </c>
      <c r="D20" s="6" t="n">
        <v>4800000</v>
      </c>
      <c r="E20" s="6" t="n">
        <v>65000000</v>
      </c>
      <c r="F20" s="6" t="n"/>
      <c r="G20" s="6" t="inlineStr">
        <is>
          <t>Tỷ lệ thưởng: ≤65M→6%; &gt;65M DT thực tế 8%</t>
        </is>
      </c>
    </row>
    <row r="21" ht="18" customHeight="1">
      <c r="A21" s="7" t="n">
        <v>18</v>
      </c>
      <c r="B21" s="8" t="inlineStr">
        <is>
          <t>Đầu kéo container (lạnh)</t>
        </is>
      </c>
      <c r="C21" s="8" t="n">
        <v>12500000</v>
      </c>
      <c r="D21" s="8" t="n">
        <v>5200000</v>
      </c>
      <c r="E21" s="8" t="n">
        <v>75000000</v>
      </c>
      <c r="F21" s="8" t="n"/>
      <c r="G21" s="8" t="inlineStr">
        <is>
          <t>Tỷ lệ thưởng: ≤75M→6%; &gt;75M: 10% trái cây / 8% hàng khác. Thưởng chuyến: CH3=2M; CH4+→5M</t>
        </is>
      </c>
    </row>
    <row r="22" ht="18" customHeight="1">
      <c r="A22" s="5" t="n">
        <v>19</v>
      </c>
      <c r="B22" s="6" t="inlineStr">
        <is>
          <t>Xe tải trung chuyển Logistic</t>
        </is>
      </c>
      <c r="C22" s="6" t="n">
        <v>7800000</v>
      </c>
      <c r="D22" s="6" t="n">
        <v>2800000</v>
      </c>
      <c r="E22" s="6" t="n"/>
      <c r="F22" s="6" t="n"/>
      <c r="G22" s="6" t="inlineStr">
        <is>
          <t>Không thưởng DT mục tiêu. Hỗ trợ bốc xếp: 4,400,000đ/tháng (2 miền)</t>
        </is>
      </c>
    </row>
    <row r="23" ht="8" customHeight="1"/>
    <row r="24" ht="20" customHeight="1">
      <c r="A24" s="16" t="inlineStr">
        <is>
          <t>CÔNG THỨC CHI TIẾT TÍNH LƯƠNG LÁI XE TẢI</t>
        </is>
      </c>
    </row>
    <row r="25" ht="22" customHeight="1">
      <c r="A25" s="15" t="inlineStr">
        <is>
          <t>STT</t>
        </is>
      </c>
      <c r="B25" s="15" t="inlineStr">
        <is>
          <t>Khoản mục</t>
        </is>
      </c>
      <c r="C25" s="15" t="inlineStr">
        <is>
          <t>Công thức tính</t>
        </is>
      </c>
      <c r="D25" s="15" t="inlineStr">
        <is>
          <t>Ghi chú / Điều kiện</t>
        </is>
      </c>
    </row>
    <row r="26" ht="36" customHeight="1">
      <c r="A26" s="6" t="n">
        <v>1</v>
      </c>
      <c r="B26" s="6" t="inlineStr">
        <is>
          <t>Lương cứng thực tế</t>
        </is>
      </c>
      <c r="C26" s="6">
        <f> Mức lương cứng / Ngày công tiêu chuẩn × Ngày công thực tế</f>
        <v/>
      </c>
      <c r="D26" s="6" t="inlineStr">
        <is>
          <t>Ngày công TC = Số ngày trong tháng − 04 ngày nghỉ/tháng</t>
        </is>
      </c>
    </row>
    <row r="27" ht="36" customHeight="1">
      <c r="A27" s="8" t="n">
        <v>2</v>
      </c>
      <c r="B27" s="8" t="inlineStr">
        <is>
          <t>Lương TN QLPT thực tế</t>
        </is>
      </c>
      <c r="C27" s="8">
        <f> Mức lương QLPT / Số ngày trong tháng × Số ngày quản lý xe</f>
        <v/>
      </c>
      <c r="D27" s="8" t="inlineStr">
        <is>
          <t>Số ngày QLPT = kể cả ngày lễ, tết, nghỉ tuần, việc riêng. Bị giảm trừ theo PL2 nếu vi phạm</t>
        </is>
      </c>
    </row>
    <row r="28" ht="36" customHeight="1">
      <c r="A28" s="6" t="n">
        <v>3</v>
      </c>
      <c r="B28" s="6" t="inlineStr">
        <is>
          <t>Thưởng DT xe tải 1-20T</t>
        </is>
      </c>
      <c r="C28" s="6" t="inlineStr">
        <is>
          <t>Nếu DT ≤ M1 (xe &lt;5T) → 6% × M1 ; Nếu DT ≤ M1 (xe 5-20T) → 6% × DT
Nếu M1 &lt; DT ≤ M2 → 8% × DT
Nếu DT &gt; M2 → 8% × M2 + 10% × (DT - M2)</t>
        </is>
      </c>
      <c r="D28" s="6" t="inlineStr">
        <is>
          <t>M1/M2 tra Phụ lục 1 theo trọng tải xe</t>
        </is>
      </c>
    </row>
    <row r="29" ht="36" customHeight="1">
      <c r="A29" s="8" t="n">
        <v>4</v>
      </c>
      <c r="B29" s="8" t="inlineStr">
        <is>
          <t>Thưởng DT container nóng</t>
        </is>
      </c>
      <c r="C29" s="8" t="inlineStr">
        <is>
          <t>≤65M→ 6%×65M ; &gt;65M→ 8%×DT thực tế</t>
        </is>
      </c>
      <c r="D29" s="8" t="inlineStr"/>
    </row>
    <row r="30" ht="36" customHeight="1">
      <c r="A30" s="6" t="n">
        <v>5</v>
      </c>
      <c r="B30" s="6" t="inlineStr">
        <is>
          <t>Thưởng DT container lạnh</t>
        </is>
      </c>
      <c r="C30" s="6" t="inlineStr">
        <is>
          <t>≤75M→ 6%×75M ; &gt;75M→ (10% trái cây / 8% hàng khác)×DT
+ Thưởng chuyến: chuyến 3→2M; chuyến 4+→5M</t>
        </is>
      </c>
      <c r="D30" s="6" t="inlineStr">
        <is>
          <t>Áp dụng hàng trái cây</t>
        </is>
      </c>
    </row>
    <row r="31" ht="36" customHeight="1">
      <c r="A31" s="8" t="n">
        <v>6</v>
      </c>
      <c r="B31" s="8" t="inlineStr">
        <is>
          <t>Lái tải Express (Trung chuyển CPN)</t>
        </is>
      </c>
      <c r="C31" s="8" t="inlineStr">
        <is>
          <t>TTN = Lương cứng + Lương QLPT + KPI (2,000k × tỷ lệ đạt) + 1.5% × DT thực tế</t>
        </is>
      </c>
      <c r="D31" s="8" t="inlineStr">
        <is>
          <t>KPI tiêu chuẩn 2,000,000đ/tháng</t>
        </is>
      </c>
    </row>
    <row r="32" ht="36" customHeight="1">
      <c r="A32" s="6" t="n">
        <v>7</v>
      </c>
      <c r="B32" s="6" t="inlineStr">
        <is>
          <t>Lái tải Logistic (dự án)</t>
        </is>
      </c>
      <c r="C32" s="6" t="inlineStr">
        <is>
          <t>TTN = Lương cứng + Lương QLPT + 4,400,000đ bốc xếp</t>
        </is>
      </c>
      <c r="D32" s="6" t="inlineStr">
        <is>
          <t>Không yêu cầu DT mục tiêu, không thưởng DT</t>
        </is>
      </c>
    </row>
    <row r="33" ht="36" customHeight="1">
      <c r="A33" s="8" t="n">
        <v>8</v>
      </c>
      <c r="B33" s="8" t="inlineStr">
        <is>
          <t>Giảm trừ vi phạm QLPT</t>
        </is>
      </c>
      <c r="C33" s="8" t="inlineStr">
        <is>
          <t>Số điểm CLHĐ vi phạm × 100,000đ</t>
        </is>
      </c>
      <c r="D33" s="8" t="inlineStr">
        <is>
          <t>1 điểm CLHĐ = 1 lần vi phạm quy định vệ sinh / an toàn phương tiện</t>
        </is>
      </c>
    </row>
    <row r="34" ht="15" customHeight="1">
      <c r="A34" s="2" t="inlineStr">
        <is>
          <t>Ví dụ: Lái xe A, xe 2.4T, 20 ngày làm, DT = 42.5 triệu (vượt M2=41M) → TTN = 7,800k + 2,500k + (41M×8%) + (1.5M×10%) = 15,620,000đ</t>
        </is>
      </c>
    </row>
  </sheetData>
  <mergeCells count="4">
    <mergeCell ref="A34:H34"/>
    <mergeCell ref="A24:H2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064"/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24" customWidth="1" min="4" max="4"/>
    <col width="18" customWidth="1" min="5" max="5"/>
    <col width="18" customWidth="1" min="6" max="6"/>
    <col width="28" customWidth="1" min="7" max="7"/>
  </cols>
  <sheetData>
    <row r="1" ht="28" customHeight="1">
      <c r="A1" s="17" t="inlineStr">
        <is>
          <t>ĐƠN GIÁ LƯỢT CHẠY — LÁI XE TUYẾN  |  QĐ 439/2025/QĐ-XE (hiệu lực 01/09/2025)  — Phòng VTHK</t>
        </is>
      </c>
    </row>
    <row r="2" ht="15" customHeight="1">
      <c r="A2" s="2" t="inlineStr">
        <is>
          <t>Công thức: Lương lượt = Số lượt thực tế × Đơn giá lượt (theo chi nhánh + ngưỡng)  |  Tổng thu nhập = Lương thoả thuận + Lương lượt + Thưởng chuyên cần + Tiền ăn ca CN</t>
        </is>
      </c>
    </row>
    <row r="3" ht="22" customHeight="1">
      <c r="A3" s="9" t="inlineStr">
        <is>
          <t>STT</t>
        </is>
      </c>
      <c r="B3" s="9" t="inlineStr">
        <is>
          <t>Chi nhánh</t>
        </is>
      </c>
      <c r="C3" s="9" t="inlineStr">
        <is>
          <t>Lộ trình</t>
        </is>
      </c>
      <c r="D3" s="9" t="inlineStr">
        <is>
          <t>Ngưỡng số lượt/tháng</t>
        </is>
      </c>
      <c r="E3" s="9" t="inlineStr">
        <is>
          <t>Đơn giá cũ (đ/lượt)</t>
        </is>
      </c>
      <c r="F3" s="9" t="inlineStr">
        <is>
          <t>Đơn giá mới (đ/lượt) từ 01/09/2025</t>
        </is>
      </c>
      <c r="G3" s="9" t="inlineStr">
        <is>
          <t>Ghi chú</t>
        </is>
      </c>
    </row>
    <row r="4" ht="18" customHeight="1">
      <c r="A4" s="5" t="n">
        <v>1</v>
      </c>
      <c r="B4" s="6" t="inlineStr">
        <is>
          <t>Nam Định</t>
        </is>
      </c>
      <c r="C4" s="6" t="inlineStr">
        <is>
          <t>NĐ-HN / HN-NĐ</t>
        </is>
      </c>
      <c r="D4" s="6" t="inlineStr">
        <is>
          <t>Từ 01 đến 100 lượt</t>
        </is>
      </c>
      <c r="E4" s="6" t="n">
        <v>55000</v>
      </c>
      <c r="F4" s="6" t="n">
        <v>65000</v>
      </c>
      <c r="G4" s="6" t="inlineStr"/>
    </row>
    <row r="5" ht="18" customHeight="1">
      <c r="A5" s="7" t="n">
        <v>2</v>
      </c>
      <c r="B5" s="8" t="inlineStr">
        <is>
          <t>Nam Định</t>
        </is>
      </c>
      <c r="C5" s="8" t="inlineStr">
        <is>
          <t>NĐ-HN / HN-NĐ</t>
        </is>
      </c>
      <c r="D5" s="8" t="inlineStr">
        <is>
          <t>Trên 100 lượt</t>
        </is>
      </c>
      <c r="E5" s="8" t="n">
        <v>60000</v>
      </c>
      <c r="F5" s="8" t="n">
        <v>70000</v>
      </c>
      <c r="G5" s="8" t="inlineStr"/>
    </row>
    <row r="6" ht="18" customHeight="1">
      <c r="A6" s="5" t="n">
        <v>3</v>
      </c>
      <c r="B6" s="6" t="inlineStr">
        <is>
          <t>Ninh Bình</t>
        </is>
      </c>
      <c r="C6" s="6" t="inlineStr">
        <is>
          <t>NB-HN / HN-NB</t>
        </is>
      </c>
      <c r="D6" s="6" t="inlineStr">
        <is>
          <t>Từ 01 đến 100 lượt</t>
        </is>
      </c>
      <c r="E6" s="6" t="n">
        <v>50000</v>
      </c>
      <c r="F6" s="6" t="n">
        <v>55000</v>
      </c>
      <c r="G6" s="6" t="inlineStr"/>
    </row>
    <row r="7" ht="18" customHeight="1">
      <c r="A7" s="7" t="n">
        <v>4</v>
      </c>
      <c r="B7" s="8" t="inlineStr">
        <is>
          <t>Ninh Bình</t>
        </is>
      </c>
      <c r="C7" s="8" t="inlineStr">
        <is>
          <t>NB-HN / HN-NB</t>
        </is>
      </c>
      <c r="D7" s="8" t="inlineStr">
        <is>
          <t>Trên 100 lượt</t>
        </is>
      </c>
      <c r="E7" s="8" t="n">
        <v>60000</v>
      </c>
      <c r="F7" s="8" t="n">
        <v>65000</v>
      </c>
      <c r="G7" s="8" t="inlineStr"/>
    </row>
    <row r="8" ht="18" customHeight="1">
      <c r="A8" s="5" t="n">
        <v>5</v>
      </c>
      <c r="B8" s="6" t="inlineStr">
        <is>
          <t>Thái Bình</t>
        </is>
      </c>
      <c r="C8" s="6" t="inlineStr">
        <is>
          <t>TB-HN / HN-TB</t>
        </is>
      </c>
      <c r="D8" s="6" t="inlineStr">
        <is>
          <t>Từ 01 đến 100 lượt</t>
        </is>
      </c>
      <c r="E8" s="6" t="n">
        <v>60000</v>
      </c>
      <c r="F8" s="6" t="n">
        <v>70000</v>
      </c>
      <c r="G8" s="6" t="inlineStr"/>
    </row>
    <row r="9" ht="18" customHeight="1">
      <c r="A9" s="7" t="n">
        <v>6</v>
      </c>
      <c r="B9" s="8" t="inlineStr">
        <is>
          <t>Thái Bình</t>
        </is>
      </c>
      <c r="C9" s="8" t="inlineStr">
        <is>
          <t>TB-HN / HN-TB</t>
        </is>
      </c>
      <c r="D9" s="8" t="inlineStr">
        <is>
          <t>Trên 100 lượt</t>
        </is>
      </c>
      <c r="E9" s="8" t="n">
        <v>65000</v>
      </c>
      <c r="F9" s="8" t="n">
        <v>75000</v>
      </c>
      <c r="G9" s="8" t="inlineStr"/>
    </row>
    <row r="10" ht="18" customHeight="1">
      <c r="A10" s="5" t="n">
        <v>7</v>
      </c>
      <c r="B10" s="6" t="inlineStr">
        <is>
          <t>Việt Trì</t>
        </is>
      </c>
      <c r="C10" s="6" t="inlineStr">
        <is>
          <t>VT-GA / GA-VT</t>
        </is>
      </c>
      <c r="D10" s="6" t="inlineStr">
        <is>
          <t>Từ 01 đến 50 lượt</t>
        </is>
      </c>
      <c r="E10" s="6" t="n">
        <v>65000</v>
      </c>
      <c r="F10" s="6" t="inlineStr">
        <is>
          <t>Không điều chỉnh</t>
        </is>
      </c>
      <c r="G10" s="6" t="inlineStr">
        <is>
          <t>QĐ 439 không điều chỉnh Việt Trì</t>
        </is>
      </c>
    </row>
    <row r="11" ht="18" customHeight="1">
      <c r="A11" s="7" t="n">
        <v>8</v>
      </c>
      <c r="B11" s="8" t="inlineStr">
        <is>
          <t>Việt Trì</t>
        </is>
      </c>
      <c r="C11" s="8" t="inlineStr">
        <is>
          <t>VT-GA / GA-VT</t>
        </is>
      </c>
      <c r="D11" s="8" t="inlineStr">
        <is>
          <t>Trên 50 lượt</t>
        </is>
      </c>
      <c r="E11" s="8" t="n">
        <v>75000</v>
      </c>
      <c r="F11" s="8" t="inlineStr">
        <is>
          <t>Không điều chỉnh</t>
        </is>
      </c>
      <c r="G11" s="8" t="inlineStr"/>
    </row>
    <row r="12" ht="18" customHeight="1">
      <c r="A12" s="5" t="n">
        <v>9</v>
      </c>
      <c r="B12" s="6" t="inlineStr">
        <is>
          <t>Việt Trì</t>
        </is>
      </c>
      <c r="C12" s="6" t="inlineStr">
        <is>
          <t>VT-BC / BC-VT</t>
        </is>
      </c>
      <c r="D12" s="6" t="inlineStr">
        <is>
          <t>Từ 01 đến 50 lượt</t>
        </is>
      </c>
      <c r="E12" s="6" t="n">
        <v>65000</v>
      </c>
      <c r="F12" s="6" t="inlineStr">
        <is>
          <t>Không điều chỉnh</t>
        </is>
      </c>
      <c r="G12" s="6" t="inlineStr"/>
    </row>
    <row r="13" ht="18" customHeight="1">
      <c r="A13" s="7" t="n">
        <v>10</v>
      </c>
      <c r="B13" s="8" t="inlineStr">
        <is>
          <t>Việt Trì</t>
        </is>
      </c>
      <c r="C13" s="8" t="inlineStr">
        <is>
          <t>VT-BC / BC-VT</t>
        </is>
      </c>
      <c r="D13" s="8" t="inlineStr">
        <is>
          <t>Trên 50 lượt</t>
        </is>
      </c>
      <c r="E13" s="8" t="n">
        <v>75000</v>
      </c>
      <c r="F13" s="8" t="inlineStr">
        <is>
          <t>Không điều chỉnh</t>
        </is>
      </c>
      <c r="G13" s="8" t="inlineStr"/>
    </row>
    <row r="14" ht="18" customHeight="1">
      <c r="A14" s="5" t="n">
        <v>11</v>
      </c>
      <c r="B14" s="6" t="inlineStr">
        <is>
          <t>Phú Thọ</t>
        </is>
      </c>
      <c r="C14" s="6" t="inlineStr">
        <is>
          <t>PT-GA / GA-PT</t>
        </is>
      </c>
      <c r="D14" s="6" t="inlineStr">
        <is>
          <t>Từ 01 đến 50 lượt</t>
        </is>
      </c>
      <c r="E14" s="6" t="n">
        <v>70000</v>
      </c>
      <c r="F14" s="6" t="inlineStr">
        <is>
          <t>Không điều chỉnh</t>
        </is>
      </c>
      <c r="G14" s="6" t="inlineStr"/>
    </row>
    <row r="15" ht="18" customHeight="1">
      <c r="A15" s="7" t="n">
        <v>12</v>
      </c>
      <c r="B15" s="8" t="inlineStr">
        <is>
          <t>Phú Thọ</t>
        </is>
      </c>
      <c r="C15" s="8" t="inlineStr">
        <is>
          <t>PT-GA / GA-PT</t>
        </is>
      </c>
      <c r="D15" s="8" t="inlineStr">
        <is>
          <t>Trên 50 lượt</t>
        </is>
      </c>
      <c r="E15" s="8" t="n">
        <v>80000</v>
      </c>
      <c r="F15" s="8" t="inlineStr">
        <is>
          <t>Không điều chỉnh</t>
        </is>
      </c>
      <c r="G15" s="8" t="inlineStr"/>
    </row>
    <row r="16" ht="18" customHeight="1">
      <c r="A16" s="5" t="n">
        <v>13</v>
      </c>
      <c r="B16" s="6" t="inlineStr">
        <is>
          <t>Phú Thọ</t>
        </is>
      </c>
      <c r="C16" s="6" t="inlineStr">
        <is>
          <t>PT-BC / BC-PT</t>
        </is>
      </c>
      <c r="D16" s="6" t="inlineStr">
        <is>
          <t>Từ 01 đến 50 lượt</t>
        </is>
      </c>
      <c r="E16" s="6" t="n">
        <v>70000</v>
      </c>
      <c r="F16" s="6" t="inlineStr">
        <is>
          <t>Không điều chỉnh</t>
        </is>
      </c>
      <c r="G16" s="6" t="inlineStr"/>
    </row>
    <row r="17" ht="18" customHeight="1">
      <c r="A17" s="7" t="n">
        <v>14</v>
      </c>
      <c r="B17" s="8" t="inlineStr">
        <is>
          <t>Phú Thọ</t>
        </is>
      </c>
      <c r="C17" s="8" t="inlineStr">
        <is>
          <t>PT-BC / BC-PT</t>
        </is>
      </c>
      <c r="D17" s="8" t="inlineStr">
        <is>
          <t>Trên 50 lượt</t>
        </is>
      </c>
      <c r="E17" s="8" t="n">
        <v>80000</v>
      </c>
      <c r="F17" s="8" t="inlineStr">
        <is>
          <t>Không điều chỉnh</t>
        </is>
      </c>
      <c r="G17" s="8" t="inlineStr"/>
    </row>
    <row r="18" ht="18" customHeight="1">
      <c r="A18" s="5" t="n">
        <v>15</v>
      </c>
      <c r="B18" s="6" t="inlineStr">
        <is>
          <t>Yên Bái</t>
        </is>
      </c>
      <c r="C18" s="6" t="inlineStr">
        <is>
          <t>YB-HN / HN-YB</t>
        </is>
      </c>
      <c r="D18" s="6" t="inlineStr">
        <is>
          <t>Từ 01 đến 90 lượt</t>
        </is>
      </c>
      <c r="E18" s="6" t="n">
        <v>95000</v>
      </c>
      <c r="F18" s="6" t="inlineStr">
        <is>
          <t>Không điều chỉnh</t>
        </is>
      </c>
      <c r="G18" s="6" t="inlineStr">
        <is>
          <t>Yên Bái tuyến dài nhất; đơn giá cao nhất</t>
        </is>
      </c>
    </row>
    <row r="19" ht="18" customHeight="1">
      <c r="A19" s="7" t="n">
        <v>16</v>
      </c>
      <c r="B19" s="8" t="inlineStr">
        <is>
          <t>Yên Bái</t>
        </is>
      </c>
      <c r="C19" s="8" t="inlineStr">
        <is>
          <t>YB-HN / HN-YB</t>
        </is>
      </c>
      <c r="D19" s="8" t="inlineStr">
        <is>
          <t>Trên 90 lượt</t>
        </is>
      </c>
      <c r="E19" s="8" t="n">
        <v>115000</v>
      </c>
      <c r="F19" s="8" t="inlineStr">
        <is>
          <t>Không điều chỉnh</t>
        </is>
      </c>
      <c r="G19" s="8" t="inlineStr"/>
    </row>
    <row r="20" ht="8" customHeight="1"/>
    <row r="21" ht="20" customHeight="1">
      <c r="A21" s="3" t="inlineStr">
        <is>
          <t>TIỀN ĂN CA CHỦ NHẬT (kể từ 01/09/2025)</t>
        </is>
      </c>
    </row>
    <row r="22" ht="22" customHeight="1">
      <c r="A22" s="9" t="inlineStr">
        <is>
          <t>STT</t>
        </is>
      </c>
      <c r="B22" s="9" t="inlineStr">
        <is>
          <t>Chi nhánh</t>
        </is>
      </c>
      <c r="C22" s="9" t="inlineStr">
        <is>
          <t>Đơn giá cũ (đ/ngày)</t>
        </is>
      </c>
      <c r="D22" s="9" t="inlineStr">
        <is>
          <t>Đơn giá mới (đ/ngày)</t>
        </is>
      </c>
      <c r="E22" s="9" t="inlineStr"/>
      <c r="F22" s="9" t="inlineStr"/>
      <c r="G22" s="9" t="inlineStr">
        <is>
          <t>Ghi chú</t>
        </is>
      </c>
    </row>
    <row r="23" ht="18" customHeight="1">
      <c r="A23" s="5" t="n">
        <v>1</v>
      </c>
      <c r="B23" s="6" t="inlineStr">
        <is>
          <t>Nam Định, Thái Bình</t>
        </is>
      </c>
      <c r="C23" s="6" t="n">
        <v>20000</v>
      </c>
      <c r="D23" s="6" t="n">
        <v>25000</v>
      </c>
      <c r="E23" s="6" t="inlineStr"/>
      <c r="F23" s="6" t="inlineStr"/>
      <c r="G23" s="6" t="inlineStr"/>
    </row>
    <row r="24" ht="18" customHeight="1">
      <c r="A24" s="7" t="n">
        <v>2</v>
      </c>
      <c r="B24" s="8" t="inlineStr">
        <is>
          <t>Ninh Bình</t>
        </is>
      </c>
      <c r="C24" s="8" t="n">
        <v>22000</v>
      </c>
      <c r="D24" s="8" t="n">
        <v>25000</v>
      </c>
      <c r="E24" s="8" t="inlineStr"/>
      <c r="F24" s="8" t="inlineStr"/>
      <c r="G24" s="8" t="inlineStr"/>
    </row>
    <row r="25" ht="18" customHeight="1">
      <c r="A25" s="5" t="n">
        <v>3</v>
      </c>
      <c r="B25" s="6" t="inlineStr">
        <is>
          <t>Việt Trì, Phú Thọ, Yên Bái</t>
        </is>
      </c>
      <c r="C25" s="6" t="inlineStr">
        <is>
          <t>Chưa áp dụng</t>
        </is>
      </c>
      <c r="D25" s="6" t="inlineStr">
        <is>
          <t>Chưa áp dụng</t>
        </is>
      </c>
      <c r="E25" s="6" t="inlineStr"/>
      <c r="F25" s="6" t="inlineStr"/>
      <c r="G25" s="6" t="inlineStr">
        <is>
          <t>Chờ quyết định riêng</t>
        </is>
      </c>
    </row>
    <row r="26" ht="15" customHeight="1">
      <c r="A26" s="2" t="inlineStr">
        <is>
          <t>Lưu ý: Lương thoả thuận = Mức lương cố định ghi trong HĐLĐ (lương BHXH = ngạch E2 tương ứng). Lương lượt = biến đổi theo thực tế chạy.</t>
        </is>
      </c>
    </row>
  </sheetData>
  <mergeCells count="4">
    <mergeCell ref="A21:G21"/>
    <mergeCell ref="A26:G26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B0082"/>
    <outlinePr summaryBelow="1" summaryRight="1"/>
    <pageSetUpPr/>
  </sheetPr>
  <dimension ref="A1:E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58" customWidth="1" min="3" max="3"/>
    <col width="38" customWidth="1" min="4" max="4"/>
    <col width="22" customWidth="1" min="5" max="5"/>
  </cols>
  <sheetData>
    <row r="1" ht="28" customHeight="1">
      <c r="A1" s="18" t="inlineStr">
        <is>
          <t>CƠ CHẾ TÍNH LƯƠNG TỔNG ĐÀI 1500  |  QĐ 96/2024/QĐ-X.EVN (hiệu lực 01/07/2024)</t>
        </is>
      </c>
    </row>
    <row r="2" ht="15" customHeight="1">
      <c r="A2" s="2" t="inlineStr">
        <is>
          <t>Phạm vi: CBNV chính thức bộ phận Tổng đài 19001500. Trả lương 2 lần/tháng.</t>
        </is>
      </c>
    </row>
    <row r="3" ht="20" customHeight="1">
      <c r="A3" s="19" t="inlineStr">
        <is>
          <t>CÔNG THỨC TỔNG QUÁT</t>
        </is>
      </c>
    </row>
    <row r="4" ht="26" customHeight="1">
      <c r="A4" s="20" t="inlineStr">
        <is>
          <t>Tổng lương = Lương cuộc nghe  +  Lương hợp đồng  +  Lương thời gian  +  Thưởng Top  +  Thưởng hạn chế cuộc gọi nhỡ  +  Lương phép  +  Phụ cấp khác (nếu có)</t>
        </is>
      </c>
    </row>
    <row r="5" ht="8" customHeight="1"/>
    <row r="6" ht="22" customHeight="1">
      <c r="A6" s="21" t="inlineStr">
        <is>
          <t>STT</t>
        </is>
      </c>
      <c r="B6" s="21" t="inlineStr">
        <is>
          <t>Thành phần</t>
        </is>
      </c>
      <c r="C6" s="21" t="inlineStr">
        <is>
          <t>Chi tiết công thức / Cách tính</t>
        </is>
      </c>
      <c r="D6" s="21" t="inlineStr">
        <is>
          <t>Tham số cụ thể</t>
        </is>
      </c>
      <c r="E6" s="21" t="inlineStr">
        <is>
          <t>Ghi chú</t>
        </is>
      </c>
    </row>
    <row r="7" ht="54" customHeight="1">
      <c r="A7" s="6" t="n">
        <v>1</v>
      </c>
      <c r="B7" s="6" t="inlineStr">
        <is>
          <t>Lương cuộc nghe</t>
        </is>
      </c>
      <c r="C7" s="6">
        <f> Đơn giá/cuộc × Số cuộc nghe trong tháng của NV
Đơn giá/cuộc = Tổng quỹ lương cơ sở (a) ÷ Tổng cuộc nghe (b)</f>
        <v/>
      </c>
      <c r="D7" s="6" t="inlineStr">
        <is>
          <t>Lương cơ sở: 5,000,000đ/tháng
Ngày công chuẩn = Số ngày tháng − 04 ngày nghỉ
Quỹ LC cơ sở = 5M/ngày công chuẩn × Số ngày LV thực tế</t>
        </is>
      </c>
      <c r="E7" s="6" t="inlineStr">
        <is>
          <t>Cả NV làm lệnh: cuộc nghe bình quân = Tổng cuộc / Tổng NV làm trong ca</t>
        </is>
      </c>
    </row>
    <row r="8" ht="54" customHeight="1">
      <c r="A8" s="8" t="n">
        <v>2</v>
      </c>
      <c r="B8" s="8" t="inlineStr">
        <is>
          <t>Lương hợp đồng</t>
        </is>
      </c>
      <c r="C8" s="8">
        <f> Số hợp đồng NV thực hiện × Đơn giá/1 hợp đồng
Đơn giá/HĐ = Quỹ thưởng HĐ (c) ÷ Tổng HĐ trong tháng (d)</f>
        <v/>
      </c>
      <c r="D8" s="8" t="inlineStr">
        <is>
          <t>Ca sáng: quỹ thưởng HĐ = 600,000đ/tháng
Ca chiều: quỹ thưởng HĐ = 800,000đ/tháng
≥50% công tiêu chuẩn → 100%; &lt;50% → 50%</t>
        </is>
      </c>
      <c r="E8" s="8" t="inlineStr">
        <is>
          <t>HĐ làm lệnh = Tổng HĐ phát sinh / Tổng NV trong ca</t>
        </is>
      </c>
    </row>
    <row r="9" ht="54" customHeight="1">
      <c r="A9" s="6" t="n">
        <v>3</v>
      </c>
      <c r="B9" s="6" t="inlineStr">
        <is>
          <t>Lương thời gian</t>
        </is>
      </c>
      <c r="C9" s="6">
        <f> Số giờ LV thực tế NV × Đơn giá/giờ
Đơn giá = Tổng quỹ thưởng TG (e) ÷ Tổng giờ LV thực tế tất cả NV (f)</f>
        <v/>
      </c>
      <c r="D9" s="6" t="inlineStr">
        <is>
          <t>Ca sáng: quỹ TG = 700,000đ/tháng
Ca chiều: quỹ TG = 1,500,000đ/tháng
≥50% công tiêu chuẩn → 100%; &lt;50% → 50%</t>
        </is>
      </c>
      <c r="E9" s="6" t="inlineStr">
        <is>
          <t>f = tổng giờ thực tế của TẤT CẢ NV, kể cả làm thêm</t>
        </is>
      </c>
    </row>
    <row r="10" ht="54" customHeight="1">
      <c r="A10" s="8" t="n">
        <v>4</v>
      </c>
      <c r="B10" s="8" t="inlineStr">
        <is>
          <t>Thưởng Top</t>
        </is>
      </c>
      <c r="C10" s="8" t="inlineStr">
        <is>
          <t>Xét theo Điểm CLDV (g) và xếp hạng số cuộc nghe (h)
CLDV ≥ 9.5 → 105% KPI + được xét Top
9 ≤ CLDV &lt; 9.5 → 100% KPI
CLDV &lt; 9 → KPI × (CLDV/9)</t>
        </is>
      </c>
      <c r="D10" s="8" t="inlineStr">
        <is>
          <t>Top 1: 1,000,000đ
Top 2, 3: 500,000đ/người
(Mỗi ca chọn ra Top từ danh sách đủ điều kiện CLDV ≥ 9.5)</t>
        </is>
      </c>
      <c r="E10" s="8" t="inlineStr">
        <is>
          <t>Điểm CLDV do bộ phận giám sát chấm hàng ngày</t>
        </is>
      </c>
    </row>
    <row r="11" ht="54" customHeight="1">
      <c r="A11" s="6" t="n">
        <v>5</v>
      </c>
      <c r="B11" s="6" t="inlineStr">
        <is>
          <t>Thưởng hạn chế cuộc gọi nhỡ</t>
        </is>
      </c>
      <c r="C11" s="6">
        <f> Số cuộc nghe thành công × Đơn giá thưởng
Đơn giá = Quỹ thưởng hạn chế (i) ÷ Tổng lượt nghe TC (k)
Hệ số theo tỷ lệ gọi nhỡ của ca:</f>
        <v/>
      </c>
      <c r="D11" s="6" t="inlineStr">
        <is>
          <t>Quỹ = 500,000đ/tháng (≥50% công→100%; &lt;50%→50%)
Tỷ lệ nhỡ ≤ 2% → hệ số 1.1
Tỷ lệ nhỡ ≤ 3% → hệ số 1.0
Tỷ lệ nhỡ ≤ 5% → hệ số 0.8
Tỷ lệ nhỡ ≤ 8% → hệ số 0.5
Tỷ lệ nhỡ &gt; 8% → Không thưởng</t>
        </is>
      </c>
      <c r="E11" s="6" t="inlineStr">
        <is>
          <t>Tỷ lệ gọi nhỡ = Số cuộc nhỡ / Tổng cuộc gọi đến trong ca</t>
        </is>
      </c>
    </row>
    <row r="12" ht="54" customHeight="1">
      <c r="A12" s="8" t="n">
        <v>6</v>
      </c>
      <c r="B12" s="8" t="inlineStr">
        <is>
          <t>Lương phép</t>
        </is>
      </c>
      <c r="C12" s="8" t="inlineStr">
        <is>
          <t>Theo quy định của Công ty</t>
        </is>
      </c>
      <c r="D12" s="8" t="inlineStr"/>
      <c r="E12" s="8" t="inlineStr"/>
    </row>
    <row r="13" ht="54" customHeight="1">
      <c r="A13" s="6" t="n">
        <v>7</v>
      </c>
      <c r="B13" s="6" t="inlineStr">
        <is>
          <t>Phụ cấp khác</t>
        </is>
      </c>
      <c r="C13" s="6" t="inlineStr">
        <is>
          <t>QĐ 752/2025: PC chức vụ, PC khác nếu có</t>
        </is>
      </c>
      <c r="D13" s="6" t="inlineStr"/>
      <c r="E13" s="6" t="inlineStr"/>
    </row>
  </sheetData>
  <mergeCells count="4">
    <mergeCell ref="A2:E2"/>
    <mergeCell ref="A1:E1"/>
    <mergeCell ref="A4:E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26" customWidth="1" min="4" max="4"/>
    <col width="22" customWidth="1" min="5" max="5"/>
    <col width="36" customWidth="1" min="6" max="6"/>
  </cols>
  <sheetData>
    <row r="1" ht="28" customHeight="1">
      <c r="A1" s="22" t="inlineStr">
        <is>
          <t>NHÓM LƯƠNG — CẤU HÌNH HRM  |  Nhập vào: Cài đặt → Lương &amp; Thu nhập → Nhóm lương</t>
        </is>
      </c>
    </row>
    <row r="2" ht="22" customHeight="1">
      <c r="A2" s="11" t="inlineStr">
        <is>
          <t>STT</t>
        </is>
      </c>
      <c r="B2" s="11" t="inlineStr">
        <is>
          <t>code</t>
        </is>
      </c>
      <c r="C2" s="11" t="inlineStr">
        <is>
          <t>name_vi</t>
        </is>
      </c>
      <c r="D2" s="11" t="inlineStr">
        <is>
          <t>apply_to (Khối áp dụng)</t>
        </is>
      </c>
      <c r="E2" s="11" t="inlineStr">
        <is>
          <t>salary_type (Loại lương)</t>
        </is>
      </c>
      <c r="F2" s="11" t="inlineStr">
        <is>
          <t>Thành phần lương cốt lõi</t>
        </is>
      </c>
    </row>
    <row r="3" ht="18" customHeight="1">
      <c r="A3" s="5" t="n">
        <v>1</v>
      </c>
      <c r="B3" s="6" t="inlineStr">
        <is>
          <t>GRP_LANH_DAO</t>
        </is>
      </c>
      <c r="C3" s="6" t="inlineStr">
        <is>
          <t>Lương Lãnh đạo — Cố vấn</t>
        </is>
      </c>
      <c r="D3" s="6" t="inlineStr">
        <is>
          <t>D1/D2/D3/C1/C2</t>
        </is>
      </c>
      <c r="E3" s="6" t="inlineStr">
        <is>
          <t>Thang lương ngạch D/C</t>
        </is>
      </c>
      <c r="F3" s="6" t="inlineStr">
        <is>
          <t>LC cơ bản (ngạch D/C bậc I→VII) + BHXH đầy đủ</t>
        </is>
      </c>
    </row>
    <row r="4" ht="18" customHeight="1">
      <c r="A4" s="7" t="n">
        <v>2</v>
      </c>
      <c r="B4" s="8" t="inlineStr">
        <is>
          <t>GRP_QUAN_LY</t>
        </is>
      </c>
      <c r="C4" s="8" t="inlineStr">
        <is>
          <t>Lương Quản lý</t>
        </is>
      </c>
      <c r="D4" s="8" t="inlineStr">
        <is>
          <t>M1/M2/L1/L2</t>
        </is>
      </c>
      <c r="E4" s="8" t="inlineStr">
        <is>
          <t>Thang lương ngạch M/L</t>
        </is>
      </c>
      <c r="F4" s="8" t="inlineStr">
        <is>
          <t>LC cơ bản (ngạch M/L bậc I→VIII) + PC chức vụ</t>
        </is>
      </c>
    </row>
    <row r="5" ht="18" customHeight="1">
      <c r="A5" s="5" t="n">
        <v>3</v>
      </c>
      <c r="B5" s="6" t="inlineStr">
        <is>
          <t>GRP_VP_HN</t>
        </is>
      </c>
      <c r="C5" s="6" t="inlineStr">
        <is>
          <t>Lương nhân viên VP Hà Nội</t>
        </is>
      </c>
      <c r="D5" s="6" t="inlineStr">
        <is>
          <t>Ngạch E1 — Khối VP HN</t>
        </is>
      </c>
      <c r="E5" s="6" t="inlineStr">
        <is>
          <t>Thời gian</t>
        </is>
      </c>
      <c r="F5" s="6" t="inlineStr">
        <is>
          <t>LC cơ bản E1 + THU NHẬP BS (P2 không BHXH) + Thưởng CC</t>
        </is>
      </c>
    </row>
    <row r="6" ht="18" customHeight="1">
      <c r="A6" s="7" t="n">
        <v>4</v>
      </c>
      <c r="B6" s="8" t="inlineStr">
        <is>
          <t>GRP_VP_TINH</t>
        </is>
      </c>
      <c r="C6" s="8" t="inlineStr">
        <is>
          <t>Lương nhân viên VP Tỉnh</t>
        </is>
      </c>
      <c r="D6" s="8" t="inlineStr">
        <is>
          <t>Ngạch E1/E2 — CN Tỉnh</t>
        </is>
      </c>
      <c r="E6" s="8" t="inlineStr">
        <is>
          <t>Thời gian</t>
        </is>
      </c>
      <c r="F6" s="8" t="inlineStr">
        <is>
          <t>Cấu trúc giống VP HN, mức lương theo tỉnh vùng II/III</t>
        </is>
      </c>
    </row>
    <row r="7" ht="18" customHeight="1">
      <c r="A7" s="5" t="n">
        <v>5</v>
      </c>
      <c r="B7" s="6" t="inlineStr">
        <is>
          <t>GRP_LX_TUYEN</t>
        </is>
      </c>
      <c r="C7" s="6" t="inlineStr">
        <is>
          <t>Lương Lái xe Tuyến (VTHK)</t>
        </is>
      </c>
      <c r="D7" s="6" t="inlineStr">
        <is>
          <t>Ngạch E2 — Khối LX Tuyến</t>
        </is>
      </c>
      <c r="E7" s="6" t="inlineStr">
        <is>
          <t>Hỗn hợp (cứng + lượt)</t>
        </is>
      </c>
      <c r="F7" s="6" t="inlineStr">
        <is>
          <t>Lương thoả thuận + Lương lượt (đơn giá × số lượt) + Thưởng CC + Ăn CN</t>
        </is>
      </c>
    </row>
    <row r="8" ht="18" customHeight="1">
      <c r="A8" s="7" t="n">
        <v>6</v>
      </c>
      <c r="B8" s="8" t="inlineStr">
        <is>
          <t>GRP_LX_TAI</t>
        </is>
      </c>
      <c r="C8" s="8" t="inlineStr">
        <is>
          <t>Lương Lái xe Tải (VTHH)</t>
        </is>
      </c>
      <c r="D8" s="8" t="inlineStr">
        <is>
          <t>Ngạch E2 — Khối LX Tải</t>
        </is>
      </c>
      <c r="E8" s="8" t="inlineStr">
        <is>
          <t>Hỗn hợp (cứng + doanh thu)</t>
        </is>
      </c>
      <c r="F8" s="8" t="inlineStr">
        <is>
          <t>Lương cứng + QLPT + Thưởng DT (6-10%) + PC đặc thù</t>
        </is>
      </c>
    </row>
    <row r="9" ht="18" customHeight="1">
      <c r="A9" s="5" t="n">
        <v>7</v>
      </c>
      <c r="B9" s="6" t="inlineStr">
        <is>
          <t>GRP_LX_TAI_TC_EXPRESS</t>
        </is>
      </c>
      <c r="C9" s="6" t="inlineStr">
        <is>
          <t>Lương LX Tải Trung chuyển Express</t>
        </is>
      </c>
      <c r="D9" s="6" t="inlineStr">
        <is>
          <t>Ngạch E2 — Tải Express</t>
        </is>
      </c>
      <c r="E9" s="6" t="inlineStr">
        <is>
          <t>Hỗn hợp (cứng + KPI + DT)</t>
        </is>
      </c>
      <c r="F9" s="6" t="inlineStr">
        <is>
          <t>Lương cứng + QLPT + KPI 2M + 1.5% DT thực tế</t>
        </is>
      </c>
    </row>
    <row r="10" ht="18" customHeight="1">
      <c r="A10" s="7" t="n">
        <v>8</v>
      </c>
      <c r="B10" s="8" t="inlineStr">
        <is>
          <t>GRP_LX_TAI_TC_LOGISTIC</t>
        </is>
      </c>
      <c r="C10" s="8" t="inlineStr">
        <is>
          <t>Lương LX Tải Logistic (dự án)</t>
        </is>
      </c>
      <c r="D10" s="8" t="inlineStr">
        <is>
          <t>Ngạch E2 — Tải Logistic</t>
        </is>
      </c>
      <c r="E10" s="8" t="inlineStr">
        <is>
          <t>Cứng + bốc xếp</t>
        </is>
      </c>
      <c r="F10" s="8" t="inlineStr">
        <is>
          <t>Lương cứng + QLPT + 4,400k hỗ trợ bốc xếp</t>
        </is>
      </c>
    </row>
    <row r="11" ht="18" customHeight="1">
      <c r="A11" s="5" t="n">
        <v>9</v>
      </c>
      <c r="B11" s="6" t="inlineStr">
        <is>
          <t>GRP_DPHH</t>
        </is>
      </c>
      <c r="C11" s="6" t="inlineStr">
        <is>
          <t>Lương Điều phối Hàng hóa</t>
        </is>
      </c>
      <c r="D11" s="6" t="inlineStr">
        <is>
          <t>Ngạch E1 — Khối ĐPHH</t>
        </is>
      </c>
      <c r="E11" s="6" t="inlineStr">
        <is>
          <t>Thời gian + hoa hồng DT</t>
        </is>
      </c>
      <c r="F11" s="6" t="inlineStr">
        <is>
          <t>Lương cứng + % doanh thu giao hàng + Thưởng ship</t>
        </is>
      </c>
    </row>
    <row r="12" ht="18" customHeight="1">
      <c r="A12" s="7" t="n">
        <v>10</v>
      </c>
      <c r="B12" s="8" t="inlineStr">
        <is>
          <t>GRP_TONGDAI</t>
        </is>
      </c>
      <c r="C12" s="8" t="inlineStr">
        <is>
          <t>Lương Tổng đài 1500</t>
        </is>
      </c>
      <c r="D12" s="8" t="inlineStr">
        <is>
          <t>Ngạch E2/E1 — Khối TD</t>
        </is>
      </c>
      <c r="E12" s="8" t="inlineStr">
        <is>
          <t>Lương cuộc nghe + hợp đồng + TG</t>
        </is>
      </c>
      <c r="F12" s="8" t="inlineStr">
        <is>
          <t>Cuộc nghe + HĐ + TG + Thưởng Top + Hạn chế nhỡ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C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52" customWidth="1" min="3" max="3"/>
  </cols>
  <sheetData>
    <row r="1" ht="28" customHeight="1">
      <c r="A1" s="23" t="inlineStr">
        <is>
          <t>THAM SỐ MẶC ĐỊNH TÍNH LƯƠNG — CÀI ĐẶT HRM  |  Nhập vào: Cài đặt → Lương &amp; Thu nhập → Mặc định tính lương</t>
        </is>
      </c>
    </row>
    <row r="2" ht="22" customHeight="1">
      <c r="A2" s="24" t="inlineStr">
        <is>
          <t>Tham số</t>
        </is>
      </c>
      <c r="B2" s="24" t="inlineStr">
        <is>
          <t>Giá trị X.E Việt Nam</t>
        </is>
      </c>
      <c r="C2" s="24" t="inlineStr">
        <is>
          <t>Nguồn / Căn cứ pháp lý</t>
        </is>
      </c>
    </row>
    <row r="3" ht="18" customHeight="1">
      <c r="A3" s="6" t="inlineStr">
        <is>
          <t>Lương tối thiểu Công ty áp dụng</t>
        </is>
      </c>
      <c r="B3" s="6" t="inlineStr">
        <is>
          <t>5,310,000 đ/tháng</t>
        </is>
      </c>
      <c r="C3" s="6" t="inlineStr">
        <is>
          <t>NĐ 293/2025/NĐ-CP + NĐ 128/2025/NĐ-CP (Vùng I HN); QĐ 2A/2026/QĐ-XE</t>
        </is>
      </c>
    </row>
    <row r="4" ht="18" customHeight="1">
      <c r="A4" s="8" t="inlineStr">
        <is>
          <t>Ngày công tiêu chuẩn/tháng (VP HN)</t>
        </is>
      </c>
      <c r="B4" s="8" t="inlineStr">
        <is>
          <t>26 ngày</t>
        </is>
      </c>
      <c r="C4" s="8" t="inlineStr">
        <is>
          <t>Quy chế lương Công ty. BLLĐ tối đa 26 ngày</t>
        </is>
      </c>
    </row>
    <row r="5" ht="18" customHeight="1">
      <c r="A5" s="6" t="inlineStr">
        <is>
          <t>Ngày công tiêu chuẩn/tháng (Tổng đài)</t>
        </is>
      </c>
      <c r="B5" s="6" t="inlineStr">
        <is>
          <t>Tổng ngày tháng − 04 ngày</t>
        </is>
      </c>
      <c r="C5" s="6" t="inlineStr">
        <is>
          <t>QĐ tổng đài 1500 mục 3.1</t>
        </is>
      </c>
    </row>
    <row r="6" ht="18" customHeight="1">
      <c r="A6" s="8" t="inlineStr">
        <is>
          <t>Ngày công tiêu chuẩn/tháng (Lái xe tải)</t>
        </is>
      </c>
      <c r="B6" s="8" t="inlineStr">
        <is>
          <t>Tổng ngày tháng − 04 ngày</t>
        </is>
      </c>
      <c r="C6" s="8" t="inlineStr">
        <is>
          <t>QĐ 206/2026 mục 6.1</t>
        </is>
      </c>
    </row>
    <row r="7" ht="18" customHeight="1">
      <c r="A7" s="6" t="inlineStr">
        <is>
          <t>Giờ công/ngày tiêu chuẩn</t>
        </is>
      </c>
      <c r="B7" s="6" t="inlineStr">
        <is>
          <t>8 giờ</t>
        </is>
      </c>
      <c r="C7" s="6" t="inlineStr">
        <is>
          <t>BLLĐ Điều 105</t>
        </is>
      </c>
    </row>
    <row r="8" ht="18" customHeight="1">
      <c r="A8" s="8" t="inlineStr">
        <is>
          <t>Lương cơ sở BHXH 2026</t>
        </is>
      </c>
      <c r="B8" s="8" t="inlineStr">
        <is>
          <t>2,340,000 đ/tháng</t>
        </is>
      </c>
      <c r="C8" s="8" t="inlineStr">
        <is>
          <t>NĐ 73/2024/NĐ-CP từ 01/07/2024</t>
        </is>
      </c>
    </row>
    <row r="9" ht="18" customHeight="1">
      <c r="A9" s="6" t="inlineStr">
        <is>
          <t>Mức trần lương đóng BHXH tháng</t>
        </is>
      </c>
      <c r="B9" s="6" t="inlineStr">
        <is>
          <t>46,800,000 đ</t>
        </is>
      </c>
      <c r="C9" s="6">
        <f> 20 × 2,340,000</f>
        <v/>
      </c>
    </row>
    <row r="10" ht="18" customHeight="1">
      <c r="A10" s="8" t="inlineStr">
        <is>
          <t>BHXH — Công ty đóng</t>
        </is>
      </c>
      <c r="B10" s="8" t="inlineStr">
        <is>
          <t>17.5%</t>
        </is>
      </c>
      <c r="C10" s="8" t="inlineStr">
        <is>
          <t>BHXH 14% + BHYT 3% + BHTN 0.5%</t>
        </is>
      </c>
    </row>
    <row r="11" ht="18" customHeight="1">
      <c r="A11" s="6" t="inlineStr">
        <is>
          <t>BHXH — NLĐ đóng</t>
        </is>
      </c>
      <c r="B11" s="6" t="inlineStr">
        <is>
          <t>10.5%</t>
        </is>
      </c>
      <c r="C11" s="6" t="inlineStr">
        <is>
          <t>BHXH 8% + BHYT 1.5% + BHTN 1%</t>
        </is>
      </c>
    </row>
    <row r="12" ht="18" customHeight="1">
      <c r="A12" s="8" t="inlineStr">
        <is>
          <t>Tai nạn LĐ/BNN — Công ty đóng</t>
        </is>
      </c>
      <c r="B12" s="8" t="inlineStr">
        <is>
          <t>0.5%</t>
        </is>
      </c>
      <c r="C12" s="8" t="inlineStr">
        <is>
          <t>Vận tải = ngành rủi ro; không thu NLĐ</t>
        </is>
      </c>
    </row>
    <row r="13" ht="18" customHeight="1">
      <c r="A13" s="6" t="inlineStr">
        <is>
          <t>Giảm trừ gia cảnh bản thân</t>
        </is>
      </c>
      <c r="B13" s="6" t="inlineStr">
        <is>
          <t>11,000,000 đ/tháng</t>
        </is>
      </c>
      <c r="C13" s="6" t="inlineStr">
        <is>
          <t>Luật Thuế TNCN sửa đổi 2023</t>
        </is>
      </c>
    </row>
    <row r="14" ht="18" customHeight="1">
      <c r="A14" s="8" t="inlineStr">
        <is>
          <t>Giảm trừ người phụ thuộc</t>
        </is>
      </c>
      <c r="B14" s="8" t="inlineStr">
        <is>
          <t>4,400,000 đ/người/tháng</t>
        </is>
      </c>
      <c r="C14" s="8" t="inlineStr"/>
    </row>
    <row r="15" ht="18" customHeight="1">
      <c r="A15" s="6" t="inlineStr">
        <is>
          <t>Thuế TNCN Bậc 1: ≤ 5 triệu</t>
        </is>
      </c>
      <c r="B15" s="6" t="inlineStr">
        <is>
          <t>5%</t>
        </is>
      </c>
      <c r="C15" s="6" t="inlineStr">
        <is>
          <t>TNCT sau khi trừ BHXH và giảm trừ GC</t>
        </is>
      </c>
    </row>
    <row r="16" ht="18" customHeight="1">
      <c r="A16" s="8" t="inlineStr">
        <is>
          <t>Thuế TNCN Bậc 2: 5–10 triệu</t>
        </is>
      </c>
      <c r="B16" s="8" t="inlineStr">
        <is>
          <t>10%</t>
        </is>
      </c>
      <c r="C16" s="8" t="inlineStr"/>
    </row>
    <row r="17" ht="18" customHeight="1">
      <c r="A17" s="6" t="inlineStr">
        <is>
          <t>Thuế TNCN Bậc 3: 10–18 triệu</t>
        </is>
      </c>
      <c r="B17" s="6" t="inlineStr">
        <is>
          <t>15%</t>
        </is>
      </c>
      <c r="C17" s="6" t="inlineStr"/>
    </row>
    <row r="18" ht="18" customHeight="1">
      <c r="A18" s="8" t="inlineStr">
        <is>
          <t>Thuế TNCN Bậc 4: 18–32 triệu</t>
        </is>
      </c>
      <c r="B18" s="8" t="inlineStr">
        <is>
          <t>20%</t>
        </is>
      </c>
      <c r="C18" s="8" t="inlineStr"/>
    </row>
    <row r="19" ht="18" customHeight="1">
      <c r="A19" s="6" t="inlineStr">
        <is>
          <t>Thuế TNCN Bậc 5: 32–52 triệu</t>
        </is>
      </c>
      <c r="B19" s="6" t="inlineStr">
        <is>
          <t>25%</t>
        </is>
      </c>
      <c r="C19" s="6" t="inlineStr"/>
    </row>
    <row r="20" ht="18" customHeight="1">
      <c r="A20" s="8" t="inlineStr">
        <is>
          <t>Thuế TNCN Bậc 6: 52–80 triệu</t>
        </is>
      </c>
      <c r="B20" s="8" t="inlineStr">
        <is>
          <t>30%</t>
        </is>
      </c>
      <c r="C20" s="8" t="inlineStr"/>
    </row>
    <row r="21" ht="18" customHeight="1">
      <c r="A21" s="6" t="inlineStr">
        <is>
          <t>Thuế TNCN Bậc 7: trên 80 triệu</t>
        </is>
      </c>
      <c r="B21" s="6" t="inlineStr">
        <is>
          <t>35%</t>
        </is>
      </c>
      <c r="C21" s="6" t="inlineStr"/>
    </row>
    <row r="22" ht="18" customHeight="1">
      <c r="A22" s="8" t="inlineStr">
        <is>
          <t>Kỳ trả lương</t>
        </is>
      </c>
      <c r="B22" s="8" t="inlineStr">
        <is>
          <t>Hàng tháng</t>
        </is>
      </c>
      <c r="C22" s="8" t="inlineStr">
        <is>
          <t>1 lần chính + 1 lần ứng</t>
        </is>
      </c>
    </row>
    <row r="23" ht="18" customHeight="1">
      <c r="A23" s="6" t="inlineStr">
        <is>
          <t>Ngày chốt chấm công</t>
        </is>
      </c>
      <c r="B23" s="6" t="inlineStr">
        <is>
          <t>25 hàng tháng</t>
        </is>
      </c>
      <c r="C23" s="6" t="inlineStr"/>
    </row>
    <row r="24" ht="18" customHeight="1">
      <c r="A24" s="8" t="inlineStr">
        <is>
          <t>Ngày trả lương chính</t>
        </is>
      </c>
      <c r="B24" s="8" t="inlineStr">
        <is>
          <t>10 tháng sau</t>
        </is>
      </c>
      <c r="C24" s="8" t="inlineStr"/>
    </row>
    <row r="25" ht="18" customHeight="1">
      <c r="A25" s="6" t="inlineStr">
        <is>
          <t>Ngày ứng lương</t>
        </is>
      </c>
      <c r="B25" s="6" t="inlineStr">
        <is>
          <t>20 hàng tháng</t>
        </is>
      </c>
      <c r="C25" s="6" t="inlineStr">
        <is>
          <t>Tối đa 70% lương thực tế</t>
        </is>
      </c>
    </row>
    <row r="26" ht="18" customHeight="1">
      <c r="A26" s="8" t="inlineStr">
        <is>
          <t>Lương cơ sở Tổng đài (tính cuộc nghe)</t>
        </is>
      </c>
      <c r="B26" s="8" t="inlineStr">
        <is>
          <t>5,000,000 đ/tháng</t>
        </is>
      </c>
      <c r="C26" s="8" t="inlineStr">
        <is>
          <t>QĐ tổng đài 1500 mục 3.1</t>
        </is>
      </c>
    </row>
    <row r="27" ht="18" customHeight="1">
      <c r="A27" s="6" t="inlineStr">
        <is>
          <t>Ngày nghỉ tiêu chuẩn/tháng — Tổng đài</t>
        </is>
      </c>
      <c r="B27" s="6" t="inlineStr">
        <is>
          <t>04 ngày/tháng</t>
        </is>
      </c>
      <c r="C27" s="6" t="inlineStr">
        <is>
          <t>Phân bổ theo từng tuần trong tháng</t>
        </is>
      </c>
    </row>
    <row r="28" ht="18" customHeight="1">
      <c r="A28" s="8" t="inlineStr">
        <is>
          <t>Mức thưởng HĐ Ca sáng Tổng đài</t>
        </is>
      </c>
      <c r="B28" s="8" t="inlineStr">
        <is>
          <t>600,000 đ/tháng</t>
        </is>
      </c>
      <c r="C28" s="8" t="inlineStr">
        <is>
          <t>QĐ tổng đài 1500 mục 3.2</t>
        </is>
      </c>
    </row>
    <row r="29" ht="18" customHeight="1">
      <c r="A29" s="6" t="inlineStr">
        <is>
          <t>Mức thưởng HĐ Ca chiều Tổng đài</t>
        </is>
      </c>
      <c r="B29" s="6" t="inlineStr">
        <is>
          <t>800,000 đ/tháng</t>
        </is>
      </c>
      <c r="C29" s="6" t="inlineStr"/>
    </row>
    <row r="30" ht="18" customHeight="1">
      <c r="A30" s="8" t="inlineStr">
        <is>
          <t>Mức thưởng TG Ca sáng Tổng đài</t>
        </is>
      </c>
      <c r="B30" s="8" t="inlineStr">
        <is>
          <t>700,000 đ/tháng</t>
        </is>
      </c>
      <c r="C30" s="8" t="inlineStr">
        <is>
          <t>QĐ tổng đài 1500 mục 3.3</t>
        </is>
      </c>
    </row>
    <row r="31" ht="18" customHeight="1">
      <c r="A31" s="6" t="inlineStr">
        <is>
          <t>Mức thưởng TG Ca chiều Tổng đài</t>
        </is>
      </c>
      <c r="B31" s="6" t="inlineStr">
        <is>
          <t>1,500,000 đ/tháng</t>
        </is>
      </c>
      <c r="C31" s="6" t="inlineStr"/>
    </row>
    <row r="32" ht="18" customHeight="1">
      <c r="A32" s="8" t="inlineStr">
        <is>
          <t>Thưởng Top Tổng đài — Mức 1</t>
        </is>
      </c>
      <c r="B32" s="8" t="inlineStr">
        <is>
          <t>1,000,000 đ</t>
        </is>
      </c>
      <c r="C32" s="8" t="inlineStr">
        <is>
          <t>Điều kiện: CLDV ≥ 9.5</t>
        </is>
      </c>
    </row>
    <row r="33" ht="18" customHeight="1">
      <c r="A33" s="6" t="inlineStr">
        <is>
          <t>Thưởng Top Tổng đài — Mức 2,3</t>
        </is>
      </c>
      <c r="B33" s="6" t="inlineStr">
        <is>
          <t>500,000 đ</t>
        </is>
      </c>
      <c r="C33" s="6" t="inlineStr"/>
    </row>
    <row r="34" ht="18" customHeight="1">
      <c r="A34" s="8" t="inlineStr">
        <is>
          <t>Quỹ thưởng hạn chế gọi nhỡ Tổng đài</t>
        </is>
      </c>
      <c r="B34" s="8" t="inlineStr">
        <is>
          <t>500,000 đ/tháng</t>
        </is>
      </c>
      <c r="C34" s="8" t="inlineStr">
        <is>
          <t>QĐ tổng đài 1500 mục 3.6</t>
        </is>
      </c>
    </row>
    <row r="35" ht="18" customHeight="1">
      <c r="A35" s="6" t="inlineStr">
        <is>
          <t>KPI tiêu chuẩn — Lái xe Tải Express</t>
        </is>
      </c>
      <c r="B35" s="6" t="inlineStr">
        <is>
          <t>2,000,000 đ/tháng</t>
        </is>
      </c>
      <c r="C35" s="6" t="inlineStr">
        <is>
          <t>QĐ 206/2026 mục 7.1</t>
        </is>
      </c>
    </row>
    <row r="36" ht="18" customHeight="1">
      <c r="A36" s="8" t="inlineStr">
        <is>
          <t>Thưởng DT — Lái xe Tải Express</t>
        </is>
      </c>
      <c r="B36" s="8" t="inlineStr">
        <is>
          <t>1.5% DT thực tế</t>
        </is>
      </c>
      <c r="C36" s="8" t="inlineStr"/>
    </row>
    <row r="37" ht="18" customHeight="1">
      <c r="A37" s="6" t="inlineStr">
        <is>
          <t>Hỗ trợ bốc xếp — Lái xe Tải Logistic</t>
        </is>
      </c>
      <c r="B37" s="6" t="inlineStr">
        <is>
          <t>4,400,000 đ/tháng</t>
        </is>
      </c>
      <c r="C37" s="6" t="inlineStr">
        <is>
          <t>Áp dụng cả 2 miền Nam, Bắc</t>
        </is>
      </c>
    </row>
    <row r="38" ht="18" customHeight="1">
      <c r="A38" s="8" t="inlineStr">
        <is>
          <t>Tiền ăn ca CN — NĐ, NB, TB</t>
        </is>
      </c>
      <c r="B38" s="8" t="inlineStr">
        <is>
          <t>25,000 đ/ngày</t>
        </is>
      </c>
      <c r="C38" s="8" t="inlineStr">
        <is>
          <t>QĐ 439/2025 (từ 01/09/2025)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95959"/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 ht="28" customHeight="1">
      <c r="A1" s="25" t="inlineStr">
        <is>
          <t>HƯỚNG DẪN CẤU HÌNH LƯƠNG TOÀN DIỆN — X.E VIỆT NAM  |  Nhập theo thứ tự từ 1 đến 7</t>
        </is>
      </c>
    </row>
    <row r="3" ht="20" customHeight="1">
      <c r="A3" s="26" t="inlineStr">
        <is>
          <t>1. CẤU HÌNH THANG LƯƠNG → Cài đặt → Lương &amp; Thu nhập → Thành phần lương</t>
        </is>
      </c>
    </row>
    <row r="4" ht="15" customHeight="1">
      <c r="A4" s="2" t="inlineStr">
        <is>
          <t xml:space="preserve">  B1: Vào sheet Thang_Lương, đọc toàn bộ hệ thống ngạch bậc (QĐ 2A/2026)</t>
        </is>
      </c>
    </row>
    <row r="5" ht="15" customHeight="1">
      <c r="A5" s="2" t="inlineStr">
        <is>
          <t xml:space="preserve">  B2: Tạo Nhóm lương theo sheet Nhóm_Lương_Config (10 nhóm)</t>
        </is>
      </c>
    </row>
    <row r="6" ht="15" customHeight="1">
      <c r="A6" s="2" t="inlineStr">
        <is>
          <t xml:space="preserve">  B3: Khi tạo hồ sơ NV → xếp NV vào đúng ngạch (D/C/M/L/E) và bậc (I→IX)</t>
        </is>
      </c>
    </row>
    <row r="7" ht="15" customHeight="1">
      <c r="A7" s="2" t="inlineStr">
        <is>
          <t xml:space="preserve">  ⚠ Lương đóng BHXH = Lương cơ bản theo ngạch bậc (không tính phụ cấp P2)</t>
        </is>
      </c>
    </row>
    <row r="9" ht="20" customHeight="1">
      <c r="A9" s="26" t="inlineStr">
        <is>
          <t>2. THÀNH PHẦN LƯƠNG → tab 'Thành phần lương' (27 thành phần)</t>
        </is>
      </c>
    </row>
    <row r="10" ht="15" customHeight="1">
      <c r="A10" s="2" t="inlineStr">
        <is>
          <t xml:space="preserve">  B1: Nhập 27 dòng theo sheet Thành_Phần_Lương</t>
        </is>
      </c>
    </row>
    <row r="11" ht="15" customHeight="1">
      <c r="A11" s="2" t="inlineStr">
        <is>
          <t xml:space="preserve">  B2: Bật flag 'Tính thuế TNCN' / 'Tính BHXH' đúng theo cột</t>
        </is>
      </c>
    </row>
    <row r="12" ht="15" customHeight="1">
      <c r="A12" s="2" t="inlineStr">
        <is>
          <t xml:space="preserve">  ⚠ Chỉ có LUONG_CO_BAN_NGACH bật cả 2 flag. PC công cụ tắt cả 2.</t>
        </is>
      </c>
    </row>
    <row r="13" ht="15" customHeight="1">
      <c r="A13" s="2" t="inlineStr">
        <is>
          <t xml:space="preserve">  ⚠ Các khoản KT_BHXH / KT_THUE / KT_TAM_UNG là khoản trừ (số âm)</t>
        </is>
      </c>
    </row>
    <row r="15" ht="20" customHeight="1">
      <c r="A15" s="26" t="inlineStr">
        <is>
          <t>3. NHÓM LƯƠNG → tab 'Nhóm lương' (10 nhóm)</t>
        </is>
      </c>
    </row>
    <row r="16" ht="15" customHeight="1">
      <c r="A16" s="2" t="inlineStr">
        <is>
          <t xml:space="preserve">  Nhập 10 nhóm theo sheet Nhóm_Lương_Config. Gán đúng Thành phần lương cho từng nhóm.</t>
        </is>
      </c>
    </row>
    <row r="17" ht="15" customHeight="1">
      <c r="A17" s="2" t="inlineStr">
        <is>
          <t xml:space="preserve">  ⚠ LX Tải có 3 nhóm riêng: GRP_LX_TAI (dự án), GRP_LX_TAI_TC_EXPRESS, GRP_LX_TAI_TC_LOGISTIC</t>
        </is>
      </c>
    </row>
    <row r="19" ht="20" customHeight="1">
      <c r="A19" s="26" t="inlineStr">
        <is>
          <t>4. CÔNG THỨC LÁI XE TẢI → sheet Định_Mức_Lái_Xe_Tải</t>
        </is>
      </c>
    </row>
    <row r="20" ht="15" customHeight="1">
      <c r="A20" s="2" t="inlineStr">
        <is>
          <t xml:space="preserve">  Nhập Phụ lục 1 (19 loại xe) vào cấu hình Công thức lương (pay-salary-formulas)</t>
        </is>
      </c>
    </row>
    <row r="21" ht="15" customHeight="1">
      <c r="A21" s="2" t="inlineStr">
        <is>
          <t xml:space="preserve">  Mỗi loại xe = 1 công thức: Lương cứng + QLPT + Thưởng DT (tỷ lệ theo dải DT)</t>
        </is>
      </c>
    </row>
    <row r="22" ht="15" customHeight="1">
      <c r="A22" s="2" t="inlineStr">
        <is>
          <t xml:space="preserve">  ⚠ Đặc biệt: xe &lt;5T tính DT thưởng theo mức M1 (cam kết sàn); xe ≥5T theo DT thực tế</t>
        </is>
      </c>
    </row>
    <row r="24" ht="20" customHeight="1">
      <c r="A24" s="26" t="inlineStr">
        <is>
          <t>5. CÔNG THỨC LÁI XE TUYẾN → sheet Đơn_Giá_Lái_Xe_Tuyến</t>
        </is>
      </c>
    </row>
    <row r="25" ht="15" customHeight="1">
      <c r="A25" s="2" t="inlineStr">
        <is>
          <t xml:space="preserve">  Nhập đơn giá lượt 16 dòng theo 6 chi nhánh (Nam Định / Ninh Bình / Thái Bình / Việt Trì / Phú Thọ / Yên Bái)</t>
        </is>
      </c>
    </row>
    <row r="26" ht="15" customHeight="1">
      <c r="A26" s="2" t="inlineStr">
        <is>
          <t xml:space="preserve">  Cấu hình ngưỡng lượt: ví dụ Nam Định = 2 mức (≤100 lượt = 65k; &gt;100 lượt = 70k)</t>
        </is>
      </c>
    </row>
    <row r="27" ht="15" customHeight="1">
      <c r="A27" s="2" t="inlineStr">
        <is>
          <t xml:space="preserve">  ⚠ Tiền ăn CN (25,000đ) nhập vào Phụ cấp đặc thù, áp dụng cho NĐ/NB/TB từ 01/09/2025</t>
        </is>
      </c>
    </row>
    <row r="29" ht="20" customHeight="1">
      <c r="A29" s="26" t="inlineStr">
        <is>
          <t>6. CÔNG THỨC TỔNG ĐÀI → sheet Công_Thức_Tổng_Đài_1500</t>
        </is>
      </c>
    </row>
    <row r="30" ht="15" customHeight="1">
      <c r="A30" s="2" t="inlineStr">
        <is>
          <t xml:space="preserve">  Cấu hình 7 thành phần lương riêng cho nhóm GRP_TONGDAI</t>
        </is>
      </c>
    </row>
    <row r="31" ht="15" customHeight="1">
      <c r="A31" s="2" t="inlineStr">
        <is>
          <t xml:space="preserve">  Lương cuộc nghe + HĐ + TG = biến đổi theo ngày thực tế; cần import dữ liệu từ phần mềm tổng đài</t>
        </is>
      </c>
    </row>
    <row r="32" ht="15" customHeight="1">
      <c r="A32" s="2" t="inlineStr">
        <is>
          <t xml:space="preserve">  Thưởng Top + Hạn chế nhỡ = do Trưởng BP xác nhận dữ liệu rồi nhập vào HRM</t>
        </is>
      </c>
    </row>
    <row r="33" ht="15" customHeight="1">
      <c r="A33" s="2" t="inlineStr">
        <is>
          <t xml:space="preserve">  ⚠ Mức lương tổng đài cơ sở = 5,000,000đ (KHÔNG phải ngạch bậc thang lương QĐ 2A)</t>
        </is>
      </c>
    </row>
    <row r="35" ht="20" customHeight="1">
      <c r="A35" s="26" t="inlineStr">
        <is>
          <t>7. THAM SỐ MẶC ĐỊNH → tab 'Mặc định tính lương'</t>
        </is>
      </c>
    </row>
    <row r="36" ht="15" customHeight="1">
      <c r="A36" s="2" t="inlineStr">
        <is>
          <t xml:space="preserve">  Nhập 36 tham số trong sheet Mặc_Định_và_Tham_Số</t>
        </is>
      </c>
    </row>
    <row r="37" ht="15" customHeight="1">
      <c r="A37" s="2" t="inlineStr">
        <is>
          <t xml:space="preserve">  Ưu tiên: lương tối thiểu (5.31M), ngày công chuẩn, mức trần BHXH, biểu thuế TNCN 7 bậc</t>
        </is>
      </c>
    </row>
    <row r="38" ht="15" customHeight="1">
      <c r="A38" s="2" t="inlineStr">
        <is>
          <t xml:space="preserve">  ⚠ SAU KHI nhập xong: chạy thử tính lương tháng thử nghiệm, so sánh với file Excel gốc Gửi P.CNTT</t>
        </is>
      </c>
    </row>
  </sheetData>
  <mergeCells count="31">
    <mergeCell ref="A24:B24"/>
    <mergeCell ref="A30:B30"/>
    <mergeCell ref="A15:B15"/>
    <mergeCell ref="A11:B11"/>
    <mergeCell ref="A36:B36"/>
    <mergeCell ref="A1:B1"/>
    <mergeCell ref="A6:B6"/>
    <mergeCell ref="A16:B16"/>
    <mergeCell ref="A7:B7"/>
    <mergeCell ref="A25:B25"/>
    <mergeCell ref="A37:B37"/>
    <mergeCell ref="A27:B27"/>
    <mergeCell ref="A3:B3"/>
    <mergeCell ref="A12:B12"/>
    <mergeCell ref="A26:B26"/>
    <mergeCell ref="A21:B21"/>
    <mergeCell ref="A33:B33"/>
    <mergeCell ref="A5:B5"/>
    <mergeCell ref="A32:B32"/>
    <mergeCell ref="A17:B17"/>
    <mergeCell ref="A22:B22"/>
    <mergeCell ref="A35:B35"/>
    <mergeCell ref="A4:B4"/>
    <mergeCell ref="A20:B20"/>
    <mergeCell ref="A38:B38"/>
    <mergeCell ref="A29:B29"/>
    <mergeCell ref="A19:B19"/>
    <mergeCell ref="A10:B10"/>
    <mergeCell ref="A13:B13"/>
    <mergeCell ref="A9:B9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2026-08-19T13:59:22Z</dcterms:created>
  <dcterms:modified xmlns:dcterms="http://purl.org/dc/terms/" xmlns:xsi="http://www.w3.org/2001/XMLSchema-instance" xsi:type="dcterms:W3CDTF">2026-08-19T13:59:22Z</dcterms:modified>
</cp:coreProperties>
</file>