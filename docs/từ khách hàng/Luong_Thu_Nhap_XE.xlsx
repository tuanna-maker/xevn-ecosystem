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ành_Phần_Lương" sheetId="1" state="visible" r:id="rId1"/>
    <sheet xmlns:r="http://schemas.openxmlformats.org/officeDocument/2006/relationships" name="Cong_Thuc_Tinh_Luong" sheetId="2" state="visible" r:id="rId2"/>
    <sheet xmlns:r="http://schemas.openxmlformats.org/officeDocument/2006/relationships" name="Nhóm_Lương" sheetId="3" state="visible" r:id="rId3"/>
    <sheet xmlns:r="http://schemas.openxmlformats.org/officeDocument/2006/relationships" name="Mặc_Định_Tính_Lương" sheetId="4" state="visible" r:id="rId4"/>
    <sheet xmlns:r="http://schemas.openxmlformats.org/officeDocument/2006/relationships" name="Hướng_dẫ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97D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F9E6"/>
      </patternFill>
    </fill>
    <fill>
      <patternFill patternType="solid">
        <fgColor rgb="002E75B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2" fillId="8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20" customWidth="1" min="4" max="4"/>
    <col width="12" customWidth="1" min="5" max="5"/>
    <col width="16" customWidth="1" min="6" max="6"/>
    <col width="40" customWidth="1" min="7" max="7"/>
  </cols>
  <sheetData>
    <row r="1" ht="26" customHeight="1">
      <c r="A1" s="1" t="inlineStr">
        <is>
          <t>DANH SÁCH THÀNH PHẦN LƯƠNG — X.E VIỆT NAM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component_type</t>
        </is>
      </c>
      <c r="E2" s="2" t="inlineStr">
        <is>
          <t>taxable</t>
        </is>
      </c>
      <c r="F2" s="2" t="inlineStr">
        <is>
          <t>in_bhxh_base</t>
        </is>
      </c>
      <c r="G2" s="2" t="inlineStr">
        <is>
          <t>ghi_chu</t>
        </is>
      </c>
    </row>
    <row r="3">
      <c r="A3" s="3" t="n">
        <v>1</v>
      </c>
      <c r="B3" s="4" t="inlineStr">
        <is>
          <t>LUONG_CHINH</t>
        </is>
      </c>
      <c r="C3" s="4" t="inlineStr">
        <is>
          <t>Lương cơ bản (P1 - BHXH)</t>
        </is>
      </c>
      <c r="D3" s="4" t="inlineStr">
        <is>
          <t>Lương cơ bản</t>
        </is>
      </c>
      <c r="E3" s="4" t="inlineStr">
        <is>
          <t>Có</t>
        </is>
      </c>
      <c r="F3" s="4" t="inlineStr">
        <is>
          <t>Có</t>
        </is>
      </c>
      <c r="G3" s="4" t="inlineStr">
        <is>
          <t>Cột P1 trong bảng lương; đây là lương đóng BHXH</t>
        </is>
      </c>
    </row>
    <row r="4">
      <c r="A4" s="5" t="n">
        <v>2</v>
      </c>
      <c r="B4" s="6" t="inlineStr">
        <is>
          <t>THU_NHAP_BS</t>
        </is>
      </c>
      <c r="C4" s="6" t="inlineStr">
        <is>
          <t>Thu nhập bổ sung (P2)</t>
        </is>
      </c>
      <c r="D4" s="6" t="inlineStr">
        <is>
          <t>Phụ cấp</t>
        </is>
      </c>
      <c r="E4" s="6" t="inlineStr">
        <is>
          <t>Có</t>
        </is>
      </c>
      <c r="F4" s="6" t="inlineStr">
        <is>
          <t>Không</t>
        </is>
      </c>
      <c r="G4" s="6" t="inlineStr">
        <is>
          <t>Cột P2; không đóng BHXH; thưởng chuyên cần, PC trách nhiệm...</t>
        </is>
      </c>
    </row>
    <row r="5">
      <c r="A5" s="3" t="n">
        <v>3</v>
      </c>
      <c r="B5" s="4" t="inlineStr">
        <is>
          <t>PC_DIEN_THOAI</t>
        </is>
      </c>
      <c r="C5" s="4" t="inlineStr">
        <is>
          <t>Phụ cấp điện thoại</t>
        </is>
      </c>
      <c r="D5" s="4" t="inlineStr">
        <is>
          <t>Phụ cấp</t>
        </is>
      </c>
      <c r="E5" s="4" t="inlineStr">
        <is>
          <t>Không</t>
        </is>
      </c>
      <c r="F5" s="4" t="inlineStr">
        <is>
          <t>Không</t>
        </is>
      </c>
      <c r="G5" s="4" t="inlineStr">
        <is>
          <t>Phụ cấp công cụ, miễn thuế theo TT80/2021</t>
        </is>
      </c>
    </row>
    <row r="6">
      <c r="A6" s="5" t="n">
        <v>4</v>
      </c>
      <c r="B6" s="6" t="inlineStr">
        <is>
          <t>PC_XANG_XE</t>
        </is>
      </c>
      <c r="C6" s="6" t="inlineStr">
        <is>
          <t>Phụ cấp xăng xe / đi lại</t>
        </is>
      </c>
      <c r="D6" s="6" t="inlineStr">
        <is>
          <t>Phụ cấp</t>
        </is>
      </c>
      <c r="E6" s="6" t="inlineStr">
        <is>
          <t>Không</t>
        </is>
      </c>
      <c r="F6" s="6" t="inlineStr">
        <is>
          <t>Không</t>
        </is>
      </c>
      <c r="G6" s="6" t="inlineStr">
        <is>
          <t>Áp dụng cho VP, điều phối</t>
        </is>
      </c>
    </row>
    <row r="7">
      <c r="A7" s="3" t="n">
        <v>5</v>
      </c>
      <c r="B7" s="4" t="inlineStr">
        <is>
          <t>PC_AN_TRUA</t>
        </is>
      </c>
      <c r="C7" s="4" t="inlineStr">
        <is>
          <t>Tiền ăn trưa</t>
        </is>
      </c>
      <c r="D7" s="4" t="inlineStr">
        <is>
          <t>Phụ cấp</t>
        </is>
      </c>
      <c r="E7" s="4" t="inlineStr">
        <is>
          <t>Không</t>
        </is>
      </c>
      <c r="F7" s="4" t="inlineStr">
        <is>
          <t>Không</t>
        </is>
      </c>
      <c r="G7" s="4" t="inlineStr">
        <is>
          <t>≤ 730,000đ/tháng miễn thuế (TT80/2021)</t>
        </is>
      </c>
    </row>
    <row r="8">
      <c r="A8" s="5" t="n">
        <v>6</v>
      </c>
      <c r="B8" s="6" t="inlineStr">
        <is>
          <t>PC_TRACH_NHIEM</t>
        </is>
      </c>
      <c r="C8" s="6" t="inlineStr">
        <is>
          <t>Phụ cấp trách nhiệm / chức vụ</t>
        </is>
      </c>
      <c r="D8" s="6" t="inlineStr">
        <is>
          <t>Phụ cấp</t>
        </is>
      </c>
      <c r="E8" s="6" t="inlineStr">
        <is>
          <t>Có</t>
        </is>
      </c>
      <c r="F8" s="6" t="inlineStr">
        <is>
          <t>Không</t>
        </is>
      </c>
      <c r="G8" s="6" t="inlineStr">
        <is>
          <t>Cho tổ trưởng, quản lý</t>
        </is>
      </c>
    </row>
    <row r="9">
      <c r="A9" s="3" t="n">
        <v>7</v>
      </c>
      <c r="B9" s="4" t="inlineStr">
        <is>
          <t>PC_DIEU_KIEN</t>
        </is>
      </c>
      <c r="C9" s="4" t="inlineStr">
        <is>
          <t>Phụ cấp điều kiện lao động</t>
        </is>
      </c>
      <c r="D9" s="4" t="inlineStr">
        <is>
          <t>Phụ cấp</t>
        </is>
      </c>
      <c r="E9" s="4" t="inlineStr">
        <is>
          <t>Có</t>
        </is>
      </c>
      <c r="F9" s="4" t="inlineStr">
        <is>
          <t>Không</t>
        </is>
      </c>
      <c r="G9" s="4" t="inlineStr">
        <is>
          <t>Cho lái xe nặng nhọc, ca đêm</t>
        </is>
      </c>
    </row>
    <row r="10">
      <c r="A10" s="5" t="n">
        <v>8</v>
      </c>
      <c r="B10" s="6" t="inlineStr">
        <is>
          <t>LUONG_CUOC</t>
        </is>
      </c>
      <c r="C10" s="6" t="inlineStr">
        <is>
          <t>Lương cước (theo tuyến/chuyến)</t>
        </is>
      </c>
      <c r="D10" s="6" t="inlineStr">
        <is>
          <t>Lương biến đổi</t>
        </is>
      </c>
      <c r="E10" s="6" t="inlineStr">
        <is>
          <t>Có</t>
        </is>
      </c>
      <c r="F10" s="6" t="inlineStr">
        <is>
          <t>Không</t>
        </is>
      </c>
      <c r="G10" s="6" t="inlineStr">
        <is>
          <t>Áp dụng cho lái xe tuyến; tính theo số lượt/km</t>
        </is>
      </c>
    </row>
    <row r="11">
      <c r="A11" s="3" t="n">
        <v>9</v>
      </c>
      <c r="B11" s="4" t="inlineStr">
        <is>
          <t>THUONG_CHUYEM_CAN</t>
        </is>
      </c>
      <c r="C11" s="4" t="inlineStr">
        <is>
          <t>Thưởng chuyên cần</t>
        </is>
      </c>
      <c r="D11" s="4" t="inlineStr">
        <is>
          <t>Thưởng</t>
        </is>
      </c>
      <c r="E11" s="4" t="inlineStr">
        <is>
          <t>Có</t>
        </is>
      </c>
      <c r="F11" s="4" t="inlineStr">
        <is>
          <t>Không</t>
        </is>
      </c>
      <c r="G11" s="4" t="inlineStr">
        <is>
          <t>Điều kiện: không nghỉ phép/vắng trong tháng</t>
        </is>
      </c>
    </row>
    <row r="12">
      <c r="A12" s="5" t="n">
        <v>10</v>
      </c>
      <c r="B12" s="6" t="inlineStr">
        <is>
          <t>THUONG_AN_TOAN</t>
        </is>
      </c>
      <c r="C12" s="6" t="inlineStr">
        <is>
          <t>Thưởng an toàn giao thông</t>
        </is>
      </c>
      <c r="D12" s="6" t="inlineStr">
        <is>
          <t>Thưởng</t>
        </is>
      </c>
      <c r="E12" s="6" t="inlineStr">
        <is>
          <t>Có</t>
        </is>
      </c>
      <c r="F12" s="6" t="inlineStr">
        <is>
          <t>Không</t>
        </is>
      </c>
      <c r="G12" s="6" t="inlineStr">
        <is>
          <t>Lái xe không tai nạn, không phạt tháng</t>
        </is>
      </c>
    </row>
    <row r="13">
      <c r="A13" s="3" t="n">
        <v>11</v>
      </c>
      <c r="B13" s="4" t="inlineStr">
        <is>
          <t>THUONG_TET</t>
        </is>
      </c>
      <c r="C13" s="4" t="inlineStr">
        <is>
          <t>Thưởng Tết Nguyên Đán</t>
        </is>
      </c>
      <c r="D13" s="4" t="inlineStr">
        <is>
          <t>Thưởng</t>
        </is>
      </c>
      <c r="E13" s="4" t="inlineStr">
        <is>
          <t>Có</t>
        </is>
      </c>
      <c r="F13" s="4" t="inlineStr">
        <is>
          <t>Không</t>
        </is>
      </c>
      <c r="G13" s="4" t="inlineStr">
        <is>
          <t>Thưởng một lần/năm, trước Tết ÂL</t>
        </is>
      </c>
    </row>
    <row r="14">
      <c r="A14" s="5" t="n">
        <v>12</v>
      </c>
      <c r="B14" s="6" t="inlineStr">
        <is>
          <t>THUONG_HIEU_SUAT</t>
        </is>
      </c>
      <c r="C14" s="6" t="inlineStr">
        <is>
          <t>Thưởng hiệu suất / KPI</t>
        </is>
      </c>
      <c r="D14" s="6" t="inlineStr">
        <is>
          <t>Thưởng</t>
        </is>
      </c>
      <c r="E14" s="6" t="inlineStr">
        <is>
          <t>Có</t>
        </is>
      </c>
      <c r="F14" s="6" t="inlineStr">
        <is>
          <t>Không</t>
        </is>
      </c>
      <c r="G14" s="6" t="inlineStr">
        <is>
          <t>Theo đánh giá quý/năm</t>
        </is>
      </c>
    </row>
    <row r="15">
      <c r="A15" s="3" t="n">
        <v>13</v>
      </c>
      <c r="B15" s="4" t="inlineStr">
        <is>
          <t>HOA_HONG</t>
        </is>
      </c>
      <c r="C15" s="4" t="inlineStr">
        <is>
          <t>Hoa hồng bán vé / dịch vụ</t>
        </is>
      </c>
      <c r="D15" s="4" t="inlineStr">
        <is>
          <t>Hoa hồng</t>
        </is>
      </c>
      <c r="E15" s="4" t="inlineStr">
        <is>
          <t>Có</t>
        </is>
      </c>
      <c r="F15" s="4" t="inlineStr">
        <is>
          <t>Không</t>
        </is>
      </c>
      <c r="G15" s="4" t="inlineStr">
        <is>
          <t>Tổng đài / nhân viên bán vé</t>
        </is>
      </c>
    </row>
    <row r="16">
      <c r="A16" s="5" t="n">
        <v>14</v>
      </c>
      <c r="B16" s="6" t="inlineStr">
        <is>
          <t>KHAU_TRU_BHXH</t>
        </is>
      </c>
      <c r="C16" s="6" t="inlineStr">
        <is>
          <t>Khấu trừ BHXH (NLĐ đóng)</t>
        </is>
      </c>
      <c r="D16" s="6" t="inlineStr">
        <is>
          <t>Khấu trừ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Trừ 8% BHXH + 1.5% BHYT + 1% BHTN = 10.5%</t>
        </is>
      </c>
    </row>
    <row r="17">
      <c r="A17" s="3" t="n">
        <v>15</v>
      </c>
      <c r="B17" s="4" t="inlineStr">
        <is>
          <t>KHAU_TRU_THUE</t>
        </is>
      </c>
      <c r="C17" s="4" t="inlineStr">
        <is>
          <t>Khấu trừ thuế TNCN</t>
        </is>
      </c>
      <c r="D17" s="4" t="inlineStr">
        <is>
          <t>Khấu trừ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PIT khấu trừ tại nguồn theo biểu lũy tiến</t>
        </is>
      </c>
    </row>
    <row r="18">
      <c r="A18" s="5" t="n">
        <v>16</v>
      </c>
      <c r="B18" s="6" t="inlineStr">
        <is>
          <t>TAM_UNG</t>
        </is>
      </c>
      <c r="C18" s="6" t="inlineStr">
        <is>
          <t>Ứng lương (đã tạm ứng)</t>
        </is>
      </c>
      <c r="D18" s="6" t="inlineStr">
        <is>
          <t>Khấu trừ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Trừ số đã tạm ứng trước kỳ</t>
        </is>
      </c>
    </row>
    <row r="19">
      <c r="A19" s="3" t="n">
        <v>17</v>
      </c>
      <c r="B19" s="4" t="inlineStr">
        <is>
          <t>KTTC_KHOAN_PHAT</t>
        </is>
      </c>
      <c r="C19" s="4" t="inlineStr">
        <is>
          <t>Khấu trừ khác (kỷ luật / phạt)</t>
        </is>
      </c>
      <c r="D19" s="4" t="inlineStr">
        <is>
          <t>Khấu trừ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Tai nạn xe, vi phạm nội quy...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22" customWidth="1" min="4" max="4"/>
    <col width="50" customWidth="1" min="5" max="5"/>
    <col width="28" customWidth="1" min="6" max="6"/>
    <col width="28" customWidth="1" min="7" max="7"/>
  </cols>
  <sheetData>
    <row r="1">
      <c r="A1" s="9" t="inlineStr">
        <is>
          <t>CONG THUC TINH LUONG - X.E VIET NAM</t>
        </is>
      </c>
    </row>
    <row r="2">
      <c r="A2" s="10" t="inlineStr">
        <is>
          <t>STT</t>
        </is>
      </c>
      <c r="B2" s="10" t="inlineStr">
        <is>
          <t>code</t>
        </is>
      </c>
      <c r="C2" s="10" t="inlineStr">
        <is>
          <t>name_vi</t>
        </is>
      </c>
      <c r="D2" s="10" t="inlineStr">
        <is>
          <t>apply_to_group</t>
        </is>
      </c>
      <c r="E2" s="10" t="inlineStr">
        <is>
          <t>formula_desc</t>
        </is>
      </c>
      <c r="F2" s="10" t="inlineStr">
        <is>
          <t>component_codes</t>
        </is>
      </c>
      <c r="G2" s="10" t="inlineStr">
        <is>
          <t>ghi_chu</t>
        </is>
      </c>
    </row>
    <row r="3">
      <c r="A3" s="11" t="inlineStr">
        <is>
          <t>1</t>
        </is>
      </c>
      <c r="B3" s="11" t="inlineStr">
        <is>
          <t>FORMULA_VP</t>
        </is>
      </c>
      <c r="C3" s="11" t="inlineStr">
        <is>
          <t>Luong thoi gian VP</t>
        </is>
      </c>
      <c r="D3" s="11" t="inlineStr">
        <is>
          <t>GRP_VP_HN, GRP_VP_TINH</t>
        </is>
      </c>
      <c r="E3" s="11" t="inlineStr">
        <is>
          <t>TN = P1x(cong_thuc/26) + P2 + PC_DT + THUONG - KT_BHXH_NLD</t>
        </is>
      </c>
      <c r="F3" s="11" t="inlineStr">
        <is>
          <t>LUONG_CHINH, THU_NHAP_BS, PC_DIEN_THOAI</t>
        </is>
      </c>
      <c r="G3" s="11" t="inlineStr">
        <is>
          <t>Ngay cong chuan 26; tinh ty le neu nghi khong phep</t>
        </is>
      </c>
    </row>
    <row r="4">
      <c r="A4" s="11" t="inlineStr">
        <is>
          <t>2</t>
        </is>
      </c>
      <c r="B4" s="11" t="inlineStr">
        <is>
          <t>FORMULA_LX_TUYEN</t>
        </is>
      </c>
      <c r="C4" s="11" t="inlineStr">
        <is>
          <t>Luong lai xe tuyen</t>
        </is>
      </c>
      <c r="D4" s="11" t="inlineStr">
        <is>
          <t>GRP_LX_TUYEN</t>
        </is>
      </c>
      <c r="E4" s="11" t="inlineStr">
        <is>
          <t>TN = P1(thoa thuan) + CUOC_TUYEN x so_chuyen + PC_NANG_NHOC + THUONG</t>
        </is>
      </c>
      <c r="F4" s="11" t="inlineStr">
        <is>
          <t>LUONG_CHINH, PC_CUOC_TUYEN, PC_NANG_NHOC</t>
        </is>
      </c>
      <c r="G4" s="11" t="inlineStr">
        <is>
          <t>Cuoc tuyen theo bang don gia QD 439/2025</t>
        </is>
      </c>
    </row>
    <row r="5">
      <c r="A5" s="11" t="inlineStr">
        <is>
          <t>3</t>
        </is>
      </c>
      <c r="B5" s="11" t="inlineStr">
        <is>
          <t>FORMULA_LX_TAI</t>
        </is>
      </c>
      <c r="C5" s="11" t="inlineStr">
        <is>
          <t>Luong lai xe tai</t>
        </is>
      </c>
      <c r="D5" s="11" t="inlineStr">
        <is>
          <t>GRP_LX_TAI</t>
        </is>
      </c>
      <c r="E5" s="11" t="inlineStr">
        <is>
          <t>TN = DINH_MUC_LX_TAI x HE_SO_LOAI_XE + THUONG_QLPT + PC_AN</t>
        </is>
      </c>
      <c r="F5" s="11" t="inlineStr">
        <is>
          <t>LUONG_CHINH, PC_AN, THUONG_QLPT</t>
        </is>
      </c>
      <c r="G5" s="11" t="inlineStr">
        <is>
          <t>Dinh muc theo loai xe QD 206/2026</t>
        </is>
      </c>
    </row>
    <row r="6">
      <c r="A6" s="11" t="inlineStr">
        <is>
          <t>4</t>
        </is>
      </c>
      <c r="B6" s="11" t="inlineStr">
        <is>
          <t>FORMULA_DP</t>
        </is>
      </c>
      <c r="C6" s="11" t="inlineStr">
        <is>
          <t>Luong dieu phoi HH</t>
        </is>
      </c>
      <c r="D6" s="11" t="inlineStr">
        <is>
          <t>GRP_DP</t>
        </is>
      </c>
      <c r="E6" s="11" t="inlineStr">
        <is>
          <t>TN = P1x(cong_thuc/26) + PC_CA3 + THUONG_CLDV x he_so_CLDV</t>
        </is>
      </c>
      <c r="F6" s="11" t="inlineStr">
        <is>
          <t>LUONG_CHINH, PC_CA, THUONG_KPI</t>
        </is>
      </c>
      <c r="G6" s="11" t="inlineStr">
        <is>
          <t>CLDV &gt;= 95%: nhan 1.0; &gt;= 98%: nhan 1.1</t>
        </is>
      </c>
    </row>
    <row r="7">
      <c r="A7" s="11" t="inlineStr">
        <is>
          <t>5</t>
        </is>
      </c>
      <c r="B7" s="11" t="inlineStr">
        <is>
          <t>FORMULA_TONG_DAI</t>
        </is>
      </c>
      <c r="C7" s="11" t="inlineStr">
        <is>
          <t>Luong tong dai 1500</t>
        </is>
      </c>
      <c r="D7" s="11" t="inlineStr">
        <is>
          <t>GRP_TD</t>
        </is>
      </c>
      <c r="E7" s="11" t="inlineStr">
        <is>
          <t>TN = LUONG_CO_BAN + THUONG_CLDV + PC_CA + DOANH_THU_LUOT_GOI x KPI_PCT</t>
        </is>
      </c>
      <c r="F7" s="11" t="inlineStr">
        <is>
          <t>LUONG_CHINH, PC_CA, THUONG_KPI</t>
        </is>
      </c>
      <c r="G7" s="11" t="inlineStr">
        <is>
          <t>KPI theo QD 96/2024; CLDV 95-98%: 100% thuong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30" customWidth="1" min="4" max="4"/>
    <col width="22" customWidth="1" min="5" max="5"/>
    <col width="36" customWidth="1" min="6" max="6"/>
  </cols>
  <sheetData>
    <row r="1" ht="26" customHeight="1">
      <c r="A1" s="1" t="inlineStr">
        <is>
          <t>DANH SÁCH NHÓM LƯƠNG — X.E VIỆT NAM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apply_to</t>
        </is>
      </c>
      <c r="E2" s="2" t="inlineStr">
        <is>
          <t>salary_type</t>
        </is>
      </c>
      <c r="F2" s="2" t="inlineStr">
        <is>
          <t>ghi_chu</t>
        </is>
      </c>
    </row>
    <row r="3">
      <c r="A3" s="3" t="n">
        <v>1</v>
      </c>
      <c r="B3" s="4" t="inlineStr">
        <is>
          <t>GRP_VP_HN</t>
        </is>
      </c>
      <c r="C3" s="4" t="inlineStr">
        <is>
          <t>Bảng lương VP Hà Nội</t>
        </is>
      </c>
      <c r="D3" s="4" t="inlineStr">
        <is>
          <t>Phòng X / CNTT / HCN-KT HN</t>
        </is>
      </c>
      <c r="E3" s="4" t="inlineStr">
        <is>
          <t>Lương thời gian</t>
        </is>
      </c>
      <c r="F3" s="4" t="inlineStr">
        <is>
          <t>P1 BHXH + P2 phụ cấp + Thưởng CC</t>
        </is>
      </c>
    </row>
    <row r="4">
      <c r="A4" s="5" t="n">
        <v>2</v>
      </c>
      <c r="B4" s="6" t="inlineStr">
        <is>
          <t>GRP_VP_TINH</t>
        </is>
      </c>
      <c r="C4" s="6" t="inlineStr">
        <is>
          <t>Bảng lương VP Tỉnh</t>
        </is>
      </c>
      <c r="D4" s="6" t="inlineStr">
        <is>
          <t>CN Phú Thọ / Yên Bái / Nam Định...</t>
        </is>
      </c>
      <c r="E4" s="6" t="inlineStr">
        <is>
          <t>Lương thời gian</t>
        </is>
      </c>
      <c r="F4" s="6" t="inlineStr">
        <is>
          <t>Cấu trúc tương tự VP HN, lương cơ bản thấp hơn</t>
        </is>
      </c>
    </row>
    <row r="5">
      <c r="A5" s="3" t="n">
        <v>3</v>
      </c>
      <c r="B5" s="4" t="inlineStr">
        <is>
          <t>GRP_LX_TUYEN</t>
        </is>
      </c>
      <c r="C5" s="4" t="inlineStr">
        <is>
          <t>Bảng lương Lái xe Tuyến</t>
        </is>
      </c>
      <c r="D5" s="4" t="inlineStr">
        <is>
          <t>Khối Lái Xe Tuyến (PT/YB/ND)</t>
        </is>
      </c>
      <c r="E5" s="4" t="inlineStr">
        <is>
          <t>Lương hỗn hợp</t>
        </is>
      </c>
      <c r="F5" s="4" t="inlineStr">
        <is>
          <t>Lương thoả thuận + Lương cước theo lượt + Thưởng AT</t>
        </is>
      </c>
    </row>
    <row r="6">
      <c r="A6" s="5" t="n">
        <v>4</v>
      </c>
      <c r="B6" s="6" t="inlineStr">
        <is>
          <t>GRP_LX_TAI</t>
        </is>
      </c>
      <c r="C6" s="6" t="inlineStr">
        <is>
          <t>Bảng lương Lái xe Tải</t>
        </is>
      </c>
      <c r="D6" s="6" t="inlineStr">
        <is>
          <t>Khối Lái Xe Tải</t>
        </is>
      </c>
      <c r="E6" s="6" t="inlineStr">
        <is>
          <t>Lương hỗn hợp</t>
        </is>
      </c>
      <c r="F6" s="6" t="inlineStr">
        <is>
          <t>Lương cố định + Lương cước theo chuyến/km</t>
        </is>
      </c>
    </row>
    <row r="7">
      <c r="A7" s="3" t="n">
        <v>5</v>
      </c>
      <c r="B7" s="4" t="inlineStr">
        <is>
          <t>GRP_DPHH</t>
        </is>
      </c>
      <c r="C7" s="4" t="inlineStr">
        <is>
          <t>Bảng lương Điều phối Hàng Hoá</t>
        </is>
      </c>
      <c r="D7" s="4" t="inlineStr">
        <is>
          <t>BP Điều phối HH</t>
        </is>
      </c>
      <c r="E7" s="4" t="inlineStr">
        <is>
          <t>Lương thời gian</t>
        </is>
      </c>
      <c r="F7" s="4" t="inlineStr">
        <is>
          <t>Theo ca 3 kíp; phụ cấp ca đêm</t>
        </is>
      </c>
    </row>
    <row r="8">
      <c r="A8" s="5" t="n">
        <v>6</v>
      </c>
      <c r="B8" s="6" t="inlineStr">
        <is>
          <t>GRP_TONGDAI</t>
        </is>
      </c>
      <c r="C8" s="6" t="inlineStr">
        <is>
          <t>Bảng lương Tổng đài Hành Khách</t>
        </is>
      </c>
      <c r="D8" s="6" t="inlineStr">
        <is>
          <t>Khối Tổng Đài HK</t>
        </is>
      </c>
      <c r="E8" s="6" t="inlineStr">
        <is>
          <t>Lương thời gian</t>
        </is>
      </c>
      <c r="F8" s="6" t="inlineStr">
        <is>
          <t>Lương cứng + Hoa hồng/KPI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4" customWidth="1" min="3" max="3"/>
  </cols>
  <sheetData>
    <row r="1" ht="26" customHeight="1">
      <c r="A1" s="1" t="inlineStr">
        <is>
          <t>CÀI ĐẶT MẶC ĐỊNH TÍNH LƯƠNG — X.E VIỆT NAM</t>
        </is>
      </c>
    </row>
    <row r="2">
      <c r="A2" s="2" t="inlineStr">
        <is>
          <t>Tham số</t>
        </is>
      </c>
      <c r="B2" s="2" t="inlineStr">
        <is>
          <t>Giá trị mặc định X.E</t>
        </is>
      </c>
      <c r="C2" s="2" t="inlineStr">
        <is>
          <t>Ghi chú / Cơ sở pháp lý</t>
        </is>
      </c>
    </row>
    <row r="3" ht="20" customHeight="1">
      <c r="A3" s="4" t="inlineStr">
        <is>
          <t>Ngày công tiêu chuẩn/tháng</t>
        </is>
      </c>
      <c r="B3" s="4" t="inlineStr">
        <is>
          <t>26 ngày</t>
        </is>
      </c>
      <c r="C3" s="4" t="inlineStr">
        <is>
          <t>Theo quy chế lương X.E; BLLĐ cho phép 22-26</t>
        </is>
      </c>
    </row>
    <row r="4" ht="20" customHeight="1">
      <c r="A4" s="6" t="inlineStr">
        <is>
          <t>Giờ công/ngày tiêu chuẩn</t>
        </is>
      </c>
      <c r="B4" s="6" t="inlineStr">
        <is>
          <t>8 giờ</t>
        </is>
      </c>
      <c r="C4" s="6" t="inlineStr">
        <is>
          <t>BLLĐ Điều 105</t>
        </is>
      </c>
    </row>
    <row r="5" ht="20" customHeight="1">
      <c r="A5" s="4" t="inlineStr">
        <is>
          <t>Lương tối thiểu vùng I (HN)</t>
        </is>
      </c>
      <c r="B5" s="4" t="inlineStr">
        <is>
          <t>4,960,000 đ</t>
        </is>
      </c>
      <c r="C5" s="4" t="inlineStr">
        <is>
          <t>NĐ 74/2024/NĐ-CP áp dụng 1/7/2024</t>
        </is>
      </c>
    </row>
    <row r="6" ht="20" customHeight="1">
      <c r="A6" s="6" t="inlineStr">
        <is>
          <t>Lương cơ sở BHXH 2026</t>
        </is>
      </c>
      <c r="B6" s="6" t="inlineStr">
        <is>
          <t>2,340,000 đ</t>
        </is>
      </c>
      <c r="C6" s="6" t="inlineStr">
        <is>
          <t>NĐ 73/2024/NĐ-CP từ 1/7/2024</t>
        </is>
      </c>
    </row>
    <row r="7" ht="20" customHeight="1">
      <c r="A7" s="4" t="inlineStr">
        <is>
          <t>Mức trần lương đóng BHXH</t>
        </is>
      </c>
      <c r="B7" s="4" t="inlineStr">
        <is>
          <t>46,800,000 đ</t>
        </is>
      </c>
      <c r="C7" s="4">
        <f> 20 × 2,340,000</f>
        <v/>
      </c>
    </row>
    <row r="8" ht="20" customHeight="1">
      <c r="A8" s="6" t="inlineStr">
        <is>
          <t>Tỷ lệ BHXH (Công ty đóng)</t>
        </is>
      </c>
      <c r="B8" s="6" t="inlineStr">
        <is>
          <t>17.5%</t>
        </is>
      </c>
      <c r="C8" s="6" t="inlineStr">
        <is>
          <t>BHXH 14% + BHYT 3% + BHTN 0.5%</t>
        </is>
      </c>
    </row>
    <row r="9" ht="20" customHeight="1">
      <c r="A9" s="4" t="inlineStr">
        <is>
          <t>Tỷ lệ BHXH (NLĐ đóng)</t>
        </is>
      </c>
      <c r="B9" s="4" t="inlineStr">
        <is>
          <t>10.5%</t>
        </is>
      </c>
      <c r="C9" s="4" t="inlineStr">
        <is>
          <t>BHXH 8% + BHYT 1.5% + BHTN 1%</t>
        </is>
      </c>
    </row>
    <row r="10" ht="20" customHeight="1">
      <c r="A10" s="6" t="inlineStr">
        <is>
          <t>Tỷ lệ tai nạn LĐ (CT đóng)</t>
        </is>
      </c>
      <c r="B10" s="6" t="inlineStr">
        <is>
          <t>0.5%</t>
        </is>
      </c>
      <c r="C10" s="6" t="inlineStr">
        <is>
          <t>Nhóm ngành vận tải; không thu NLĐ</t>
        </is>
      </c>
    </row>
    <row r="11" ht="20" customHeight="1">
      <c r="A11" s="4" t="inlineStr">
        <is>
          <t>Giảm trừ gia cảnh bản thân</t>
        </is>
      </c>
      <c r="B11" s="4" t="inlineStr">
        <is>
          <t>11,000,000 đ</t>
        </is>
      </c>
      <c r="C11" s="4" t="inlineStr">
        <is>
          <t>Luật thuế TNCN 2023</t>
        </is>
      </c>
    </row>
    <row r="12" ht="20" customHeight="1">
      <c r="A12" s="6" t="inlineStr">
        <is>
          <t>Giảm trừ người phụ thuộc</t>
        </is>
      </c>
      <c r="B12" s="6" t="inlineStr">
        <is>
          <t>4,400,000 đ</t>
        </is>
      </c>
      <c r="C12" s="6" t="inlineStr">
        <is>
          <t>Mỗi người phụ thuộc/tháng</t>
        </is>
      </c>
    </row>
    <row r="13" ht="20" customHeight="1">
      <c r="A13" s="4" t="inlineStr">
        <is>
          <t>Kỳ lương</t>
        </is>
      </c>
      <c r="B13" s="4" t="inlineStr">
        <is>
          <t>Tháng</t>
        </is>
      </c>
      <c r="C13" s="4" t="inlineStr">
        <is>
          <t>Trả lương 1 lần/tháng; ứng 1 lần vào giữa tháng</t>
        </is>
      </c>
    </row>
    <row r="14" ht="20" customHeight="1">
      <c r="A14" s="6" t="inlineStr">
        <is>
          <t>Ngày chốt công</t>
        </is>
      </c>
      <c r="B14" s="6" t="inlineStr">
        <is>
          <t>25 hàng tháng</t>
        </is>
      </c>
      <c r="C14" s="6" t="inlineStr">
        <is>
          <t>Chốt chấm công ngày 25 hàng tháng</t>
        </is>
      </c>
    </row>
    <row r="15" ht="20" customHeight="1">
      <c r="A15" s="4" t="inlineStr">
        <is>
          <t>Ngày trả lương</t>
        </is>
      </c>
      <c r="B15" s="4" t="inlineStr">
        <is>
          <t>10 tháng sau</t>
        </is>
      </c>
      <c r="C15" s="4" t="inlineStr">
        <is>
          <t>Trả lương ngày 10 tháng tiếp theo</t>
        </is>
      </c>
    </row>
    <row r="16" ht="20" customHeight="1">
      <c r="A16" s="6" t="inlineStr">
        <is>
          <t>Ngày ứng lương</t>
        </is>
      </c>
      <c r="B16" s="6" t="inlineStr">
        <is>
          <t>20 hàng tháng</t>
        </is>
      </c>
      <c r="C16" s="6" t="inlineStr">
        <is>
          <t>NV được ứng tối đa 70% lương thực tế</t>
        </is>
      </c>
    </row>
    <row r="17" ht="20" customHeight="1">
      <c r="A17" s="4" t="inlineStr">
        <is>
          <t>Thuế TNCN: Bậc 1 (≤ 5tr)</t>
        </is>
      </c>
      <c r="B17" s="4" t="inlineStr">
        <is>
          <t>5%</t>
        </is>
      </c>
      <c r="C17" s="4" t="inlineStr">
        <is>
          <t>Thu nhập chịu thuế ≤ 5,000,000 đ</t>
        </is>
      </c>
    </row>
    <row r="18" ht="20" customHeight="1">
      <c r="A18" s="6" t="inlineStr">
        <is>
          <t>Thuế TNCN: Bậc 2 (5-10tr)</t>
        </is>
      </c>
      <c r="B18" s="6" t="inlineStr">
        <is>
          <t>10%</t>
        </is>
      </c>
      <c r="C18" s="6" t="inlineStr">
        <is>
          <t>Từ 5,000,001 đến 10,000,000 đ</t>
        </is>
      </c>
    </row>
    <row r="19" ht="20" customHeight="1">
      <c r="A19" s="4" t="inlineStr">
        <is>
          <t>Thuế TNCN: Bậc 3 (10-18tr)</t>
        </is>
      </c>
      <c r="B19" s="4" t="inlineStr">
        <is>
          <t>15%</t>
        </is>
      </c>
      <c r="C19" s="4" t="inlineStr">
        <is>
          <t>Từ 10,000,001 đến 18,000,000 đ</t>
        </is>
      </c>
    </row>
    <row r="20" ht="20" customHeight="1">
      <c r="A20" s="6" t="inlineStr">
        <is>
          <t>Thuế TNCN: Bậc 4 (18-32tr)</t>
        </is>
      </c>
      <c r="B20" s="6" t="inlineStr">
        <is>
          <t>20%</t>
        </is>
      </c>
      <c r="C20" s="6" t="inlineStr">
        <is>
          <t>Từ 18,000,001 đến 32,000,000 đ</t>
        </is>
      </c>
    </row>
    <row r="21" ht="20" customHeight="1">
      <c r="A21" s="4" t="inlineStr">
        <is>
          <t>Thuế TNCN: Bậc 5 (32-52tr)</t>
        </is>
      </c>
      <c r="B21" s="4" t="inlineStr">
        <is>
          <t>25%</t>
        </is>
      </c>
      <c r="C21" s="4" t="inlineStr">
        <is>
          <t>Từ 32,000,001 đến 52,000,000 đ</t>
        </is>
      </c>
    </row>
    <row r="22" ht="20" customHeight="1">
      <c r="A22" s="6" t="inlineStr">
        <is>
          <t>Thuế TNCN: Bậc 6 (52-80tr)</t>
        </is>
      </c>
      <c r="B22" s="6" t="inlineStr">
        <is>
          <t>30%</t>
        </is>
      </c>
      <c r="C22" s="6" t="inlineStr">
        <is>
          <t>Từ 52,000,001 đến 80,000,000 đ</t>
        </is>
      </c>
    </row>
    <row r="23" ht="20" customHeight="1">
      <c r="A23" s="4" t="inlineStr">
        <is>
          <t>Thuế TNCN: Bậc 7 (&gt; 80tr)</t>
        </is>
      </c>
      <c r="B23" s="4" t="inlineStr">
        <is>
          <t>35%</t>
        </is>
      </c>
      <c r="C23" s="4" t="inlineStr">
        <is>
          <t>Trên 80,000,000 đ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6" customHeight="1">
      <c r="A1" s="1" t="inlineStr">
        <is>
          <t>HƯỚNG DẪN NHẬP LIỆU — LƯƠNG &amp; THU NHẬP (HRM)</t>
        </is>
      </c>
    </row>
    <row r="3" ht="20" customHeight="1">
      <c r="A3" s="7" t="inlineStr">
        <is>
          <t>1. THÀNH PHẦN LƯƠNG → Cài đặt → Lương &amp; Thu nhập → tab 'Thành phần lương'</t>
        </is>
      </c>
    </row>
    <row r="4" ht="16" customHeight="1">
      <c r="A4" s="8" t="inlineStr">
        <is>
          <t xml:space="preserve">  • Nhập 13 thành phần (dương) + 4 khấu trừ từ sheet Thành_Phần_Lương</t>
        </is>
      </c>
    </row>
    <row r="5" ht="16" customHeight="1">
      <c r="A5" s="8" t="inlineStr">
        <is>
          <t xml:space="preserve">  • Cột 'Tính thuế': Có = tính vào thu nhập chịu thuế TNCN</t>
        </is>
      </c>
    </row>
    <row r="6" ht="16" customHeight="1">
      <c r="A6" s="8" t="inlineStr">
        <is>
          <t xml:space="preserve">  • Cột 'Tính BHXH': Có = cộng vào quỹ lương đóng BHXH</t>
        </is>
      </c>
    </row>
    <row r="7" ht="16" customHeight="1">
      <c r="A7" s="8" t="inlineStr">
        <is>
          <t xml:space="preserve">  ⚠ LUONG_CHINH (P1) phải bật cả 2 flag 'Có' để đúng pháp luật</t>
        </is>
      </c>
    </row>
    <row r="9" ht="20" customHeight="1">
      <c r="A9" s="7" t="inlineStr">
        <is>
          <t>2. NHÓM LƯƠNG → tab 'Nhóm lương'</t>
        </is>
      </c>
    </row>
    <row r="10" ht="16" customHeight="1">
      <c r="A10" s="8" t="inlineStr">
        <is>
          <t xml:space="preserve">  • Nhập 6 nhóm theo sheet Nhóm_Lương</t>
        </is>
      </c>
    </row>
    <row r="11" ht="16" customHeight="1">
      <c r="A11" s="8" t="inlineStr">
        <is>
          <t xml:space="preserve">  • Mỗi nhóm gán cho 1 khối nghiệp vụ riêng biệt</t>
        </is>
      </c>
    </row>
    <row r="12" ht="16" customHeight="1">
      <c r="A12" s="8" t="inlineStr">
        <is>
          <t xml:space="preserve">  • Nhóm lương xác định bộ thành phần + công thức nào áp dụng cho NV đó</t>
        </is>
      </c>
    </row>
    <row r="14" ht="20" customHeight="1">
      <c r="A14" s="7" t="inlineStr">
        <is>
          <t>3. MẶC ĐỊNH TÍNH LƯƠNG → tab 'Mặc định tính lương'</t>
        </is>
      </c>
    </row>
    <row r="15" ht="16" customHeight="1">
      <c r="A15" s="8" t="inlineStr">
        <is>
          <t xml:space="preserve">  • Nhập 21 tham số theo sheet Mặc_Định_Tính_Lương</t>
        </is>
      </c>
    </row>
    <row r="16" ht="16" customHeight="1">
      <c r="A16" s="8" t="inlineStr">
        <is>
          <t xml:space="preserve">  • ĐẶC BIỆT QUAN TRỌNG: ngày công chuẩn, mức trần BHXH, biểu thuế TNCN</t>
        </is>
      </c>
    </row>
    <row r="17" ht="16" customHeight="1">
      <c r="A17" s="8" t="inlineStr">
        <is>
          <t xml:space="preserve">  ⚠ Sau khi nhập xong, chạy thử bảng lương tháng thử nghiệm trước khi go-live</t>
        </is>
      </c>
    </row>
    <row r="19" ht="20" customHeight="1">
      <c r="A19" s="7" t="inlineStr">
        <is>
          <t>4. MẪU BẢNG LƯƠNG / TEMPLATE PHIẾU LƯƠNG</t>
        </is>
      </c>
    </row>
    <row r="20" ht="16" customHeight="1">
      <c r="A20" s="8" t="inlineStr">
        <is>
          <t xml:space="preserve">  • Xem file gốc Excel bảng lương từng khối trong thư mục 'Gửi P.CNTT'</t>
        </is>
      </c>
    </row>
    <row r="21" ht="16" customHeight="1">
      <c r="A21" s="8" t="inlineStr">
        <is>
          <t xml:space="preserve">  • Upload template PDF / Word vào tab 'Mẫu bảng lương' + 'Template phiếu lương'</t>
        </is>
      </c>
    </row>
    <row r="22" ht="16" customHeight="1">
      <c r="A22" s="8" t="inlineStr">
        <is>
          <t xml:space="preserve">  • Mỗi khối có 1 mẫu riêng; cần thiết kế merge-token cho từng cột lương</t>
        </is>
      </c>
    </row>
  </sheetData>
  <mergeCells count="18">
    <mergeCell ref="A4:B4"/>
    <mergeCell ref="A20:B20"/>
    <mergeCell ref="A21:B21"/>
    <mergeCell ref="A16:B16"/>
    <mergeCell ref="A15:B15"/>
    <mergeCell ref="A7:B7"/>
    <mergeCell ref="A19:B19"/>
    <mergeCell ref="A11:B11"/>
    <mergeCell ref="A10:B10"/>
    <mergeCell ref="A5:B5"/>
    <mergeCell ref="A14:B14"/>
    <mergeCell ref="A1:B1"/>
    <mergeCell ref="A17:B17"/>
    <mergeCell ref="A9:B9"/>
    <mergeCell ref="A3:B3"/>
    <mergeCell ref="A6:B6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2026-08-19T13:49:00Z</dcterms:created>
  <dcterms:modified xmlns:dcterms="http://purl.org/dc/terms/" xmlns:xsi="http://www.w3.org/2001/XMLSchema-instance" xsi:type="dcterms:W3CDTF">2026-08-20T04:18:18Z</dcterms:modified>
</cp:coreProperties>
</file>