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VN\Documents\"/>
    </mc:Choice>
  </mc:AlternateContent>
  <xr:revisionPtr revIDLastSave="0" documentId="8_{9EAD6F1E-48ED-4436-A5BB-4DCBFE580C04}" xr6:coauthVersionLast="47" xr6:coauthVersionMax="47" xr10:uidLastSave="{00000000-0000-0000-0000-000000000000}"/>
  <bookViews>
    <workbookView xWindow="-120" yWindow="-120" windowWidth="29040" windowHeight="15720" xr2:uid="{72302878-D789-41F2-90FC-586710338771}"/>
  </bookViews>
  <sheets>
    <sheet name="Điểm đánh giá Cldv lx T.6.2026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171" i="1" l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AK170" i="1" s="1"/>
  <c r="B170" i="1"/>
  <c r="AN170" i="1" s="1"/>
  <c r="A170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AM169" i="1" s="1"/>
  <c r="B169" i="1"/>
  <c r="AN169" i="1" s="1"/>
  <c r="A169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AM168" i="1" s="1"/>
  <c r="H168" i="1"/>
  <c r="G168" i="1"/>
  <c r="AK168" i="1" s="1"/>
  <c r="B168" i="1"/>
  <c r="AN168" i="1" s="1"/>
  <c r="A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AK167" i="1" s="1"/>
  <c r="H167" i="1"/>
  <c r="G167" i="1"/>
  <c r="AM167" i="1" s="1"/>
  <c r="B167" i="1"/>
  <c r="AN167" i="1" s="1"/>
  <c r="A167" i="1"/>
  <c r="AN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AK166" i="1" s="1"/>
  <c r="B166" i="1"/>
  <c r="A166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AM165" i="1" s="1"/>
  <c r="I165" i="1"/>
  <c r="H165" i="1"/>
  <c r="G165" i="1"/>
  <c r="AK165" i="1" s="1"/>
  <c r="B165" i="1"/>
  <c r="AN165" i="1" s="1"/>
  <c r="A165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AM164" i="1" s="1"/>
  <c r="H164" i="1"/>
  <c r="G164" i="1"/>
  <c r="B164" i="1"/>
  <c r="AN164" i="1" s="1"/>
  <c r="A164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AK163" i="1" s="1"/>
  <c r="H163" i="1"/>
  <c r="G163" i="1"/>
  <c r="AM163" i="1" s="1"/>
  <c r="B163" i="1"/>
  <c r="AN163" i="1" s="1"/>
  <c r="A163" i="1"/>
  <c r="AN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AK162" i="1" s="1"/>
  <c r="B162" i="1"/>
  <c r="A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AM161" i="1" s="1"/>
  <c r="B161" i="1"/>
  <c r="AN161" i="1" s="1"/>
  <c r="A161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AM160" i="1" s="1"/>
  <c r="H160" i="1"/>
  <c r="G160" i="1"/>
  <c r="B160" i="1"/>
  <c r="AN160" i="1" s="1"/>
  <c r="A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AK159" i="1" s="1"/>
  <c r="H159" i="1"/>
  <c r="G159" i="1"/>
  <c r="AM159" i="1" s="1"/>
  <c r="B159" i="1"/>
  <c r="AN159" i="1" s="1"/>
  <c r="A159" i="1"/>
  <c r="AN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AK158" i="1" s="1"/>
  <c r="B158" i="1"/>
  <c r="A158" i="1"/>
  <c r="AN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AM157" i="1" s="1"/>
  <c r="B157" i="1"/>
  <c r="A157" i="1"/>
  <c r="AN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AM156" i="1" s="1"/>
  <c r="I156" i="1"/>
  <c r="H156" i="1"/>
  <c r="G156" i="1"/>
  <c r="AK155" i="1"/>
  <c r="AN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AK154" i="1" s="1"/>
  <c r="B154" i="1"/>
  <c r="A154" i="1"/>
  <c r="AN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AM153" i="1" s="1"/>
  <c r="B153" i="1"/>
  <c r="A153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AM152" i="1" s="1"/>
  <c r="I152" i="1"/>
  <c r="AK152" i="1" s="1"/>
  <c r="H152" i="1"/>
  <c r="G152" i="1"/>
  <c r="B152" i="1"/>
  <c r="AN152" i="1" s="1"/>
  <c r="A152" i="1"/>
  <c r="AN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AK151" i="1" s="1"/>
  <c r="H151" i="1"/>
  <c r="G151" i="1"/>
  <c r="AM151" i="1" s="1"/>
  <c r="B151" i="1"/>
  <c r="A151" i="1"/>
  <c r="AN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AK150" i="1" s="1"/>
  <c r="B150" i="1"/>
  <c r="A150" i="1"/>
  <c r="AN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AM149" i="1" s="1"/>
  <c r="B149" i="1"/>
  <c r="A149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AM148" i="1" s="1"/>
  <c r="I148" i="1"/>
  <c r="AK148" i="1" s="1"/>
  <c r="H148" i="1"/>
  <c r="G148" i="1"/>
  <c r="B148" i="1"/>
  <c r="AN148" i="1" s="1"/>
  <c r="A148" i="1"/>
  <c r="AN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AK147" i="1" s="1"/>
  <c r="H147" i="1"/>
  <c r="G147" i="1"/>
  <c r="AM147" i="1" s="1"/>
  <c r="B147" i="1"/>
  <c r="A147" i="1"/>
  <c r="AN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AK146" i="1" s="1"/>
  <c r="B146" i="1"/>
  <c r="A146" i="1"/>
  <c r="AN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AM145" i="1" s="1"/>
  <c r="B145" i="1"/>
  <c r="A145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AM144" i="1" s="1"/>
  <c r="I144" i="1"/>
  <c r="AK144" i="1" s="1"/>
  <c r="H144" i="1"/>
  <c r="G144" i="1"/>
  <c r="B144" i="1"/>
  <c r="AN144" i="1" s="1"/>
  <c r="A144" i="1"/>
  <c r="AN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AK143" i="1" s="1"/>
  <c r="H143" i="1"/>
  <c r="G143" i="1"/>
  <c r="AM143" i="1" s="1"/>
  <c r="B143" i="1"/>
  <c r="A143" i="1"/>
  <c r="AN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AK142" i="1" s="1"/>
  <c r="B142" i="1"/>
  <c r="A142" i="1"/>
  <c r="AN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AM141" i="1" s="1"/>
  <c r="B141" i="1"/>
  <c r="A141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M140" i="1" s="1"/>
  <c r="I140" i="1"/>
  <c r="AK140" i="1" s="1"/>
  <c r="H140" i="1"/>
  <c r="G140" i="1"/>
  <c r="B140" i="1"/>
  <c r="AN140" i="1" s="1"/>
  <c r="A140" i="1"/>
  <c r="AN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AK139" i="1" s="1"/>
  <c r="H139" i="1"/>
  <c r="G139" i="1"/>
  <c r="AM139" i="1" s="1"/>
  <c r="B139" i="1"/>
  <c r="A139" i="1"/>
  <c r="AN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AK138" i="1" s="1"/>
  <c r="B138" i="1"/>
  <c r="A138" i="1"/>
  <c r="AN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AM137" i="1" s="1"/>
  <c r="B137" i="1"/>
  <c r="A137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M136" i="1" s="1"/>
  <c r="I136" i="1"/>
  <c r="AK136" i="1" s="1"/>
  <c r="H136" i="1"/>
  <c r="G136" i="1"/>
  <c r="B136" i="1"/>
  <c r="AN136" i="1" s="1"/>
  <c r="A136" i="1"/>
  <c r="AN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AK135" i="1" s="1"/>
  <c r="H135" i="1"/>
  <c r="G135" i="1"/>
  <c r="AM135" i="1" s="1"/>
  <c r="B135" i="1"/>
  <c r="A135" i="1"/>
  <c r="AN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AM134" i="1" s="1"/>
  <c r="AN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AK133" i="1" s="1"/>
  <c r="H133" i="1"/>
  <c r="G133" i="1"/>
  <c r="AM133" i="1" s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AK132" i="1" s="1"/>
  <c r="H132" i="1"/>
  <c r="G132" i="1"/>
  <c r="B132" i="1"/>
  <c r="AN132" i="1" s="1"/>
  <c r="A132" i="1"/>
  <c r="AN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AK131" i="1" s="1"/>
  <c r="B131" i="1"/>
  <c r="A131" i="1"/>
  <c r="AN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AM130" i="1" s="1"/>
  <c r="B130" i="1"/>
  <c r="A130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AM129" i="1" s="1"/>
  <c r="I129" i="1"/>
  <c r="AK129" i="1" s="1"/>
  <c r="H129" i="1"/>
  <c r="G129" i="1"/>
  <c r="B129" i="1"/>
  <c r="AN129" i="1" s="1"/>
  <c r="A129" i="1"/>
  <c r="AN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AK128" i="1" s="1"/>
  <c r="H128" i="1"/>
  <c r="G128" i="1"/>
  <c r="AM128" i="1" s="1"/>
  <c r="B128" i="1"/>
  <c r="A128" i="1"/>
  <c r="AN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AK127" i="1" s="1"/>
  <c r="B127" i="1"/>
  <c r="A127" i="1"/>
  <c r="AN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AM126" i="1" s="1"/>
  <c r="B126" i="1"/>
  <c r="A126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AM125" i="1" s="1"/>
  <c r="I125" i="1"/>
  <c r="AK125" i="1" s="1"/>
  <c r="H125" i="1"/>
  <c r="G125" i="1"/>
  <c r="B125" i="1"/>
  <c r="AN125" i="1" s="1"/>
  <c r="A125" i="1"/>
  <c r="AN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AK124" i="1" s="1"/>
  <c r="H124" i="1"/>
  <c r="G124" i="1"/>
  <c r="AM124" i="1" s="1"/>
  <c r="B124" i="1"/>
  <c r="A124" i="1"/>
  <c r="AN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AK123" i="1" s="1"/>
  <c r="B123" i="1"/>
  <c r="A123" i="1"/>
  <c r="AN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AM122" i="1" s="1"/>
  <c r="B122" i="1"/>
  <c r="A122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M121" i="1" s="1"/>
  <c r="I121" i="1"/>
  <c r="AK121" i="1" s="1"/>
  <c r="H121" i="1"/>
  <c r="G121" i="1"/>
  <c r="B121" i="1"/>
  <c r="AN121" i="1" s="1"/>
  <c r="A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AK120" i="1" s="1"/>
  <c r="H120" i="1"/>
  <c r="G120" i="1"/>
  <c r="AM120" i="1" s="1"/>
  <c r="B120" i="1"/>
  <c r="AN120" i="1" s="1"/>
  <c r="A120" i="1"/>
  <c r="AN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AK119" i="1" s="1"/>
  <c r="B119" i="1"/>
  <c r="A119" i="1"/>
  <c r="AN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AM118" i="1" s="1"/>
  <c r="B118" i="1"/>
  <c r="A118" i="1"/>
  <c r="AN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AM117" i="1" s="1"/>
  <c r="I117" i="1"/>
  <c r="H117" i="1"/>
  <c r="G117" i="1"/>
  <c r="AN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AM116" i="1" s="1"/>
  <c r="AN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AK115" i="1" s="1"/>
  <c r="B115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AM114" i="1" s="1"/>
  <c r="I114" i="1"/>
  <c r="AK114" i="1" s="1"/>
  <c r="H114" i="1"/>
  <c r="G114" i="1"/>
  <c r="B114" i="1"/>
  <c r="AN114" i="1" s="1"/>
  <c r="A114" i="1"/>
  <c r="AN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AK113" i="1" s="1"/>
  <c r="H113" i="1"/>
  <c r="G113" i="1"/>
  <c r="AM113" i="1" s="1"/>
  <c r="B113" i="1"/>
  <c r="A113" i="1"/>
  <c r="AN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AK112" i="1" s="1"/>
  <c r="B112" i="1"/>
  <c r="A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AM111" i="1" s="1"/>
  <c r="B111" i="1"/>
  <c r="AN111" i="1" s="1"/>
  <c r="A111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AM110" i="1" s="1"/>
  <c r="H110" i="1"/>
  <c r="G110" i="1"/>
  <c r="B110" i="1"/>
  <c r="AN110" i="1" s="1"/>
  <c r="A110" i="1"/>
  <c r="AN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AK109" i="1" s="1"/>
  <c r="H109" i="1"/>
  <c r="G109" i="1"/>
  <c r="AM109" i="1" s="1"/>
  <c r="B109" i="1"/>
  <c r="A109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AK108" i="1" s="1"/>
  <c r="B108" i="1"/>
  <c r="AN108" i="1" s="1"/>
  <c r="A108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AK107" i="1" s="1"/>
  <c r="H107" i="1"/>
  <c r="G107" i="1"/>
  <c r="AM107" i="1" s="1"/>
  <c r="B107" i="1"/>
  <c r="AN107" i="1" s="1"/>
  <c r="A107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AM106" i="1" s="1"/>
  <c r="G106" i="1"/>
  <c r="B106" i="1"/>
  <c r="AN106" i="1" s="1"/>
  <c r="A106" i="1"/>
  <c r="AN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B105" i="1"/>
  <c r="A105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AM104" i="1" s="1"/>
  <c r="I104" i="1"/>
  <c r="H104" i="1"/>
  <c r="G104" i="1"/>
  <c r="B104" i="1"/>
  <c r="AN104" i="1" s="1"/>
  <c r="A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AK103" i="1" s="1"/>
  <c r="H103" i="1"/>
  <c r="G103" i="1"/>
  <c r="AM103" i="1" s="1"/>
  <c r="B103" i="1"/>
  <c r="AN103" i="1" s="1"/>
  <c r="A103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B102" i="1"/>
  <c r="AN102" i="1" s="1"/>
  <c r="A102" i="1"/>
  <c r="AN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B101" i="1"/>
  <c r="A101" i="1"/>
  <c r="AM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AK100" i="1" s="1"/>
  <c r="B100" i="1"/>
  <c r="AN100" i="1" s="1"/>
  <c r="A100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AM99" i="1" s="1"/>
  <c r="H99" i="1"/>
  <c r="G99" i="1"/>
  <c r="B99" i="1"/>
  <c r="AN99" i="1" s="1"/>
  <c r="A99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AK98" i="1" s="1"/>
  <c r="G98" i="1"/>
  <c r="B98" i="1"/>
  <c r="AN98" i="1" s="1"/>
  <c r="A98" i="1"/>
  <c r="AN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B97" i="1"/>
  <c r="A97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AM96" i="1" s="1"/>
  <c r="I96" i="1"/>
  <c r="H96" i="1"/>
  <c r="G96" i="1"/>
  <c r="B96" i="1"/>
  <c r="AN96" i="1" s="1"/>
  <c r="A96" i="1"/>
  <c r="AN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AM95" i="1" s="1"/>
  <c r="B95" i="1"/>
  <c r="A95" i="1"/>
  <c r="AM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AK94" i="1" s="1"/>
  <c r="G94" i="1"/>
  <c r="B94" i="1"/>
  <c r="AN94" i="1" s="1"/>
  <c r="A94" i="1"/>
  <c r="AN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AK93" i="1" s="1"/>
  <c r="H93" i="1"/>
  <c r="G93" i="1"/>
  <c r="B93" i="1"/>
  <c r="A93" i="1"/>
  <c r="AN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AM92" i="1" s="1"/>
  <c r="AN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AK90" i="1" s="1"/>
  <c r="H90" i="1"/>
  <c r="AM90" i="1" s="1"/>
  <c r="G90" i="1"/>
  <c r="B90" i="1"/>
  <c r="AN90" i="1" s="1"/>
  <c r="AN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B89" i="1"/>
  <c r="AN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AK88" i="1" s="1"/>
  <c r="G88" i="1"/>
  <c r="B88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AK87" i="1" s="1"/>
  <c r="I87" i="1"/>
  <c r="H87" i="1"/>
  <c r="G87" i="1"/>
  <c r="B87" i="1"/>
  <c r="AN87" i="1" s="1"/>
  <c r="AN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B86" i="1"/>
  <c r="A86" i="1"/>
  <c r="AM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AK85" i="1" s="1"/>
  <c r="B85" i="1"/>
  <c r="AN85" i="1" s="1"/>
  <c r="A85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4" i="1" s="1"/>
  <c r="I84" i="1"/>
  <c r="AK84" i="1" s="1"/>
  <c r="H84" i="1"/>
  <c r="G84" i="1"/>
  <c r="B84" i="1"/>
  <c r="AN84" i="1" s="1"/>
  <c r="A84" i="1"/>
  <c r="AM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AK83" i="1" s="1"/>
  <c r="G83" i="1"/>
  <c r="B83" i="1"/>
  <c r="AN83" i="1" s="1"/>
  <c r="A83" i="1"/>
  <c r="AN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AK82" i="1" s="1"/>
  <c r="G82" i="1"/>
  <c r="B82" i="1"/>
  <c r="A82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B81" i="1"/>
  <c r="AN81" i="1" s="1"/>
  <c r="A81" i="1"/>
  <c r="AN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AK80" i="1" s="1"/>
  <c r="H80" i="1"/>
  <c r="G80" i="1"/>
  <c r="B80" i="1"/>
  <c r="A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AK79" i="1" s="1"/>
  <c r="H79" i="1"/>
  <c r="G79" i="1"/>
  <c r="B79" i="1"/>
  <c r="AN79" i="1" s="1"/>
  <c r="A79" i="1"/>
  <c r="AN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B78" i="1"/>
  <c r="A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AK77" i="1" s="1"/>
  <c r="B77" i="1"/>
  <c r="AN77" i="1" s="1"/>
  <c r="A77" i="1"/>
  <c r="AM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AK76" i="1" s="1"/>
  <c r="B76" i="1"/>
  <c r="AN76" i="1" s="1"/>
  <c r="A76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AK75" i="1" s="1"/>
  <c r="G75" i="1"/>
  <c r="B75" i="1"/>
  <c r="AN75" i="1" s="1"/>
  <c r="A75" i="1"/>
  <c r="AN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AK74" i="1" s="1"/>
  <c r="B74" i="1"/>
  <c r="A74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B73" i="1"/>
  <c r="AN73" i="1" s="1"/>
  <c r="A73" i="1"/>
  <c r="AN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B72" i="1"/>
  <c r="A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AM71" i="1" s="1"/>
  <c r="H71" i="1"/>
  <c r="G71" i="1"/>
  <c r="B71" i="1"/>
  <c r="AN71" i="1" s="1"/>
  <c r="A71" i="1"/>
  <c r="AN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AM70" i="1" s="1"/>
  <c r="B70" i="1"/>
  <c r="A70" i="1"/>
  <c r="AM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AK69" i="1" s="1"/>
  <c r="B69" i="1"/>
  <c r="AN69" i="1" s="1"/>
  <c r="A69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AM68" i="1" s="1"/>
  <c r="H68" i="1"/>
  <c r="G68" i="1"/>
  <c r="B68" i="1"/>
  <c r="AN68" i="1" s="1"/>
  <c r="A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AK67" i="1" s="1"/>
  <c r="G67" i="1"/>
  <c r="B67" i="1"/>
  <c r="AN67" i="1" s="1"/>
  <c r="A67" i="1"/>
  <c r="AN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AK66" i="1" s="1"/>
  <c r="G66" i="1"/>
  <c r="B66" i="1"/>
  <c r="A66" i="1"/>
  <c r="AN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B65" i="1"/>
  <c r="A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AM64" i="1" s="1"/>
  <c r="H64" i="1"/>
  <c r="G64" i="1"/>
  <c r="B64" i="1"/>
  <c r="AN64" i="1" s="1"/>
  <c r="A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AK63" i="1" s="1"/>
  <c r="H63" i="1"/>
  <c r="G63" i="1"/>
  <c r="B63" i="1"/>
  <c r="AN63" i="1" s="1"/>
  <c r="A63" i="1"/>
  <c r="AN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B62" i="1"/>
  <c r="A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AM61" i="1" s="1"/>
  <c r="G61" i="1"/>
  <c r="B61" i="1"/>
  <c r="AN61" i="1" s="1"/>
  <c r="A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B60" i="1"/>
  <c r="AN60" i="1" s="1"/>
  <c r="A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AM59" i="1" s="1"/>
  <c r="G59" i="1"/>
  <c r="B59" i="1"/>
  <c r="AN59" i="1" s="1"/>
  <c r="A59" i="1"/>
  <c r="AN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B58" i="1"/>
  <c r="A58" i="1"/>
  <c r="AM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B57" i="1"/>
  <c r="AN57" i="1" s="1"/>
  <c r="A57" i="1"/>
  <c r="AN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AK56" i="1" s="1"/>
  <c r="B56" i="1"/>
  <c r="A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AM55" i="1" s="1"/>
  <c r="B55" i="1"/>
  <c r="AN55" i="1" s="1"/>
  <c r="A55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AM54" i="1" s="1"/>
  <c r="H54" i="1"/>
  <c r="G54" i="1"/>
  <c r="B54" i="1"/>
  <c r="AN54" i="1" s="1"/>
  <c r="A54" i="1"/>
  <c r="AN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AM53" i="1" s="1"/>
  <c r="B53" i="1"/>
  <c r="A53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AK52" i="1" s="1"/>
  <c r="B52" i="1"/>
  <c r="AN52" i="1" s="1"/>
  <c r="A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AM51" i="1" s="1"/>
  <c r="I51" i="1"/>
  <c r="AK51" i="1" s="1"/>
  <c r="H51" i="1"/>
  <c r="G51" i="1"/>
  <c r="B51" i="1"/>
  <c r="AN51" i="1" s="1"/>
  <c r="A51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AK50" i="1" s="1"/>
  <c r="G50" i="1"/>
  <c r="B50" i="1"/>
  <c r="AN50" i="1" s="1"/>
  <c r="A50" i="1"/>
  <c r="AN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AK49" i="1" s="1"/>
  <c r="G49" i="1"/>
  <c r="B49" i="1"/>
  <c r="A49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B48" i="1"/>
  <c r="AN48" i="1" s="1"/>
  <c r="A48" i="1"/>
  <c r="AN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M47" i="1" s="1"/>
  <c r="B47" i="1"/>
  <c r="A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AK46" i="1" s="1"/>
  <c r="H46" i="1"/>
  <c r="AM46" i="1" s="1"/>
  <c r="G46" i="1"/>
  <c r="B46" i="1"/>
  <c r="AN46" i="1" s="1"/>
  <c r="A46" i="1"/>
  <c r="AN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M45" i="1" s="1"/>
  <c r="B45" i="1"/>
  <c r="A45" i="1"/>
  <c r="AM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AK44" i="1" s="1"/>
  <c r="B44" i="1"/>
  <c r="AN44" i="1" s="1"/>
  <c r="A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M43" i="1" s="1"/>
  <c r="I43" i="1"/>
  <c r="H43" i="1"/>
  <c r="G43" i="1"/>
  <c r="AK43" i="1" s="1"/>
  <c r="B43" i="1"/>
  <c r="AN43" i="1" s="1"/>
  <c r="A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AM42" i="1" s="1"/>
  <c r="G42" i="1"/>
  <c r="B42" i="1"/>
  <c r="AN42" i="1" s="1"/>
  <c r="A42" i="1"/>
  <c r="AN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B41" i="1"/>
  <c r="A41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AM40" i="1" s="1"/>
  <c r="G40" i="1"/>
  <c r="B40" i="1"/>
  <c r="AN40" i="1" s="1"/>
  <c r="A40" i="1"/>
  <c r="AN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AK39" i="1" s="1"/>
  <c r="H39" i="1"/>
  <c r="G39" i="1"/>
  <c r="AM39" i="1" s="1"/>
  <c r="B39" i="1"/>
  <c r="A39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AM38" i="1" s="1"/>
  <c r="H38" i="1"/>
  <c r="G38" i="1"/>
  <c r="B38" i="1"/>
  <c r="AN38" i="1" s="1"/>
  <c r="A38" i="1"/>
  <c r="AN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B37" i="1"/>
  <c r="A37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AK36" i="1" s="1"/>
  <c r="B36" i="1"/>
  <c r="AN36" i="1" s="1"/>
  <c r="A36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M35" i="1" s="1"/>
  <c r="I35" i="1"/>
  <c r="AK35" i="1" s="1"/>
  <c r="H35" i="1"/>
  <c r="G35" i="1"/>
  <c r="B35" i="1"/>
  <c r="AN35" i="1" s="1"/>
  <c r="A35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AK34" i="1" s="1"/>
  <c r="G34" i="1"/>
  <c r="B34" i="1"/>
  <c r="AN34" i="1" s="1"/>
  <c r="A34" i="1"/>
  <c r="AN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AK33" i="1" s="1"/>
  <c r="G33" i="1"/>
  <c r="B33" i="1"/>
  <c r="A33" i="1"/>
  <c r="AN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AN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AJ30" i="1"/>
  <c r="AI30" i="1"/>
  <c r="AH30" i="1"/>
  <c r="AG30" i="1"/>
  <c r="AF30" i="1"/>
  <c r="AE30" i="1"/>
  <c r="AD30" i="1"/>
  <c r="O30" i="1"/>
  <c r="N30" i="1"/>
  <c r="M30" i="1"/>
  <c r="L30" i="1"/>
  <c r="K30" i="1"/>
  <c r="J30" i="1"/>
  <c r="I30" i="1"/>
  <c r="H30" i="1"/>
  <c r="G30" i="1"/>
  <c r="B30" i="1"/>
  <c r="AJ29" i="1"/>
  <c r="AI29" i="1"/>
  <c r="AH29" i="1"/>
  <c r="AG29" i="1"/>
  <c r="AF29" i="1"/>
  <c r="AE29" i="1"/>
  <c r="AD29" i="1"/>
  <c r="O29" i="1"/>
  <c r="N29" i="1"/>
  <c r="M29" i="1"/>
  <c r="L29" i="1"/>
  <c r="K29" i="1"/>
  <c r="J29" i="1"/>
  <c r="I29" i="1"/>
  <c r="H29" i="1"/>
  <c r="G29" i="1"/>
  <c r="AK29" i="1" s="1"/>
  <c r="B29" i="1"/>
  <c r="AJ28" i="1"/>
  <c r="AI28" i="1"/>
  <c r="AH28" i="1"/>
  <c r="AG28" i="1"/>
  <c r="AF28" i="1"/>
  <c r="AE28" i="1"/>
  <c r="AD28" i="1"/>
  <c r="O28" i="1"/>
  <c r="N28" i="1"/>
  <c r="M28" i="1"/>
  <c r="L28" i="1"/>
  <c r="K28" i="1"/>
  <c r="J28" i="1"/>
  <c r="I28" i="1"/>
  <c r="H28" i="1"/>
  <c r="G28" i="1"/>
  <c r="B28" i="1"/>
  <c r="AJ27" i="1"/>
  <c r="AI27" i="1"/>
  <c r="AH27" i="1"/>
  <c r="AG27" i="1"/>
  <c r="AF27" i="1"/>
  <c r="AE27" i="1"/>
  <c r="AD27" i="1"/>
  <c r="O27" i="1"/>
  <c r="N27" i="1"/>
  <c r="M27" i="1"/>
  <c r="L27" i="1"/>
  <c r="K27" i="1"/>
  <c r="J27" i="1"/>
  <c r="I27" i="1"/>
  <c r="H27" i="1"/>
  <c r="G27" i="1"/>
  <c r="AK27" i="1" s="1"/>
  <c r="B27" i="1"/>
  <c r="AJ26" i="1"/>
  <c r="AI26" i="1"/>
  <c r="AH26" i="1"/>
  <c r="AG26" i="1"/>
  <c r="AF26" i="1"/>
  <c r="AE26" i="1"/>
  <c r="AD26" i="1"/>
  <c r="O26" i="1"/>
  <c r="N26" i="1"/>
  <c r="M26" i="1"/>
  <c r="L26" i="1"/>
  <c r="K26" i="1"/>
  <c r="J26" i="1"/>
  <c r="I26" i="1"/>
  <c r="H26" i="1"/>
  <c r="G26" i="1"/>
  <c r="B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AK25" i="1" s="1"/>
  <c r="H25" i="1"/>
  <c r="G25" i="1"/>
  <c r="B25" i="1"/>
  <c r="AN25" i="1" s="1"/>
  <c r="A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AK24" i="1" s="1"/>
  <c r="B24" i="1"/>
  <c r="AN24" i="1" s="1"/>
  <c r="A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AK23" i="1" s="1"/>
  <c r="B23" i="1"/>
  <c r="AN23" i="1" s="1"/>
  <c r="A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AK22" i="1" s="1"/>
  <c r="H22" i="1"/>
  <c r="G22" i="1"/>
  <c r="B22" i="1"/>
  <c r="AN22" i="1" s="1"/>
  <c r="A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AK21" i="1" s="1"/>
  <c r="B21" i="1"/>
  <c r="AN21" i="1" s="1"/>
  <c r="A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AK20" i="1" s="1"/>
  <c r="B20" i="1"/>
  <c r="AN20" i="1" s="1"/>
  <c r="A20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M19" i="1" s="1"/>
  <c r="G19" i="1"/>
  <c r="B19" i="1"/>
  <c r="AN19" i="1" s="1"/>
  <c r="A19" i="1"/>
  <c r="AN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AK18" i="1" s="1"/>
  <c r="H18" i="1"/>
  <c r="G18" i="1"/>
  <c r="AM18" i="1" s="1"/>
  <c r="B18" i="1"/>
  <c r="A18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AM17" i="1" s="1"/>
  <c r="H17" i="1"/>
  <c r="G17" i="1"/>
  <c r="B17" i="1"/>
  <c r="AN17" i="1" s="1"/>
  <c r="A17" i="1"/>
  <c r="AN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AK16" i="1" s="1"/>
  <c r="H16" i="1"/>
  <c r="G16" i="1"/>
  <c r="B16" i="1"/>
  <c r="A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AK15" i="1" s="1"/>
  <c r="B15" i="1"/>
  <c r="AN15" i="1" s="1"/>
  <c r="A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AM14" i="1" s="1"/>
  <c r="I14" i="1"/>
  <c r="AK14" i="1" s="1"/>
  <c r="H14" i="1"/>
  <c r="G14" i="1"/>
  <c r="B14" i="1"/>
  <c r="AN14" i="1" s="1"/>
  <c r="A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AM13" i="1" s="1"/>
  <c r="G13" i="1"/>
  <c r="B13" i="1"/>
  <c r="AN13" i="1" s="1"/>
  <c r="A13" i="1"/>
  <c r="AN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B12" i="1"/>
  <c r="A12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AM11" i="1" s="1"/>
  <c r="B11" i="1"/>
  <c r="AN11" i="1" s="1"/>
  <c r="A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AK10" i="1" s="1"/>
  <c r="B10" i="1"/>
  <c r="AN10" i="1" s="1"/>
  <c r="A10" i="1"/>
  <c r="AN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AM9" i="1" s="1"/>
  <c r="B9" i="1"/>
  <c r="A9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AK8" i="1" s="1"/>
  <c r="H8" i="1"/>
  <c r="AM8" i="1" s="1"/>
  <c r="G8" i="1"/>
  <c r="B8" i="1"/>
  <c r="AN8" i="1" s="1"/>
  <c r="A8" i="1"/>
  <c r="AN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M7" i="1" s="1"/>
  <c r="B7" i="1"/>
  <c r="A7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B6" i="1"/>
  <c r="AN6" i="1" s="1"/>
  <c r="A6" i="1"/>
  <c r="AN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B5" i="1"/>
  <c r="A5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J3" i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I3" i="1"/>
  <c r="H3" i="1"/>
  <c r="AM34" i="1" l="1"/>
  <c r="AM36" i="1"/>
  <c r="AM37" i="1"/>
  <c r="AK38" i="1"/>
  <c r="AK45" i="1"/>
  <c r="AK47" i="1"/>
  <c r="AM50" i="1"/>
  <c r="AM52" i="1"/>
  <c r="AK54" i="1"/>
  <c r="AM62" i="1"/>
  <c r="AK68" i="1"/>
  <c r="AK70" i="1"/>
  <c r="AM73" i="1"/>
  <c r="AM78" i="1"/>
  <c r="AM81" i="1"/>
  <c r="AM86" i="1"/>
  <c r="AK86" i="1"/>
  <c r="AM87" i="1"/>
  <c r="AM5" i="1"/>
  <c r="AK6" i="1"/>
  <c r="AT9" i="1"/>
  <c r="AM12" i="1"/>
  <c r="AK13" i="1"/>
  <c r="AK19" i="1"/>
  <c r="AK30" i="1"/>
  <c r="AM31" i="1"/>
  <c r="AK32" i="1"/>
  <c r="AM41" i="1"/>
  <c r="AK42" i="1"/>
  <c r="AK48" i="1"/>
  <c r="AK59" i="1"/>
  <c r="AK60" i="1"/>
  <c r="AK64" i="1"/>
  <c r="AM72" i="1"/>
  <c r="AM77" i="1"/>
  <c r="AM88" i="1"/>
  <c r="AM91" i="1"/>
  <c r="AK91" i="1"/>
  <c r="AM97" i="1"/>
  <c r="AK97" i="1"/>
  <c r="AK9" i="1"/>
  <c r="AM10" i="1"/>
  <c r="AM16" i="1"/>
  <c r="AK17" i="1"/>
  <c r="AK28" i="1"/>
  <c r="AK37" i="1"/>
  <c r="AQ5" i="1" s="1"/>
  <c r="AK53" i="1"/>
  <c r="AK55" i="1"/>
  <c r="AM56" i="1"/>
  <c r="AM58" i="1"/>
  <c r="AK58" i="1"/>
  <c r="AK62" i="1"/>
  <c r="AK65" i="1"/>
  <c r="AM65" i="1"/>
  <c r="AK71" i="1"/>
  <c r="AK78" i="1"/>
  <c r="AM80" i="1"/>
  <c r="F171" i="1"/>
  <c r="AM4" i="1"/>
  <c r="AK7" i="1"/>
  <c r="AM15" i="1"/>
  <c r="AK5" i="1"/>
  <c r="AM6" i="1"/>
  <c r="AK11" i="1"/>
  <c r="AK12" i="1"/>
  <c r="AK26" i="1"/>
  <c r="AK31" i="1"/>
  <c r="AM32" i="1"/>
  <c r="AM33" i="1"/>
  <c r="AK40" i="1"/>
  <c r="AK41" i="1"/>
  <c r="AM48" i="1"/>
  <c r="AM49" i="1"/>
  <c r="AM60" i="1"/>
  <c r="AK61" i="1"/>
  <c r="AM63" i="1"/>
  <c r="AM67" i="1"/>
  <c r="AK72" i="1"/>
  <c r="AM75" i="1"/>
  <c r="AM79" i="1"/>
  <c r="AK89" i="1"/>
  <c r="AM93" i="1"/>
  <c r="AM105" i="1"/>
  <c r="AK105" i="1"/>
  <c r="AP7" i="1"/>
  <c r="AK57" i="1"/>
  <c r="AM66" i="1"/>
  <c r="AK73" i="1"/>
  <c r="AM82" i="1"/>
  <c r="AK95" i="1"/>
  <c r="AK92" i="1" s="1"/>
  <c r="AK96" i="1"/>
  <c r="AK99" i="1"/>
  <c r="AM101" i="1"/>
  <c r="AK101" i="1"/>
  <c r="AM74" i="1"/>
  <c r="AK81" i="1"/>
  <c r="AM89" i="1"/>
  <c r="AM98" i="1"/>
  <c r="AM102" i="1"/>
  <c r="AK102" i="1"/>
  <c r="AK104" i="1"/>
  <c r="AM108" i="1"/>
  <c r="AK111" i="1"/>
  <c r="AM112" i="1"/>
  <c r="AM115" i="1"/>
  <c r="AK116" i="1"/>
  <c r="AK118" i="1"/>
  <c r="AM119" i="1"/>
  <c r="AK122" i="1"/>
  <c r="AM123" i="1"/>
  <c r="AK126" i="1"/>
  <c r="AM127" i="1"/>
  <c r="AK130" i="1"/>
  <c r="AM131" i="1"/>
  <c r="AK137" i="1"/>
  <c r="AK134" i="1" s="1"/>
  <c r="AM138" i="1"/>
  <c r="AK141" i="1"/>
  <c r="AM142" i="1"/>
  <c r="AK145" i="1"/>
  <c r="AM146" i="1"/>
  <c r="AK149" i="1"/>
  <c r="AM150" i="1"/>
  <c r="AK153" i="1"/>
  <c r="AM154" i="1"/>
  <c r="AK157" i="1"/>
  <c r="AM158" i="1"/>
  <c r="AK161" i="1"/>
  <c r="AM162" i="1"/>
  <c r="AM166" i="1"/>
  <c r="AK169" i="1"/>
  <c r="AM170" i="1"/>
  <c r="AK106" i="1"/>
  <c r="AK110" i="1"/>
  <c r="AK160" i="1"/>
  <c r="AK164" i="1"/>
  <c r="AQ4" i="1" l="1"/>
  <c r="AP4" i="1"/>
  <c r="AK4" i="1"/>
  <c r="AQ7" i="1"/>
  <c r="AK117" i="1"/>
  <c r="AP5" i="1"/>
  <c r="AK156" i="1"/>
  <c r="AP8" i="1"/>
  <c r="AQ8" i="1"/>
  <c r="AQ6" i="1"/>
  <c r="AP6" i="1"/>
  <c r="AQ9" i="1" l="1"/>
  <c r="AQ10" i="1" s="1"/>
</calcChain>
</file>

<file path=xl/sharedStrings.xml><?xml version="1.0" encoding="utf-8"?>
<sst xmlns="http://schemas.openxmlformats.org/spreadsheetml/2006/main" count="664" uniqueCount="196">
  <si>
    <t>BÁO CÁO ĐÁNH GIÁ LÁI XE THÁNG 06/2026</t>
  </si>
  <si>
    <t>STT</t>
  </si>
  <si>
    <t>Mã nhân viên lái xe</t>
  </si>
  <si>
    <t>Họ và Tên lái xe</t>
  </si>
  <si>
    <t>Tỉnh</t>
  </si>
  <si>
    <t>Chức danh</t>
  </si>
  <si>
    <t>Chính thức/ thử việc</t>
  </si>
  <si>
    <t>Phiếu / Điểm</t>
  </si>
  <si>
    <t>Tổng điểm</t>
  </si>
  <si>
    <t>Ghi chú</t>
  </si>
  <si>
    <t>Điểm BQ mới</t>
  </si>
  <si>
    <t>SL &gt;= 9.5</t>
  </si>
  <si>
    <t>Điểm BQ cũ</t>
  </si>
  <si>
    <t>SL</t>
  </si>
  <si>
    <t>NINH BÌNH</t>
  </si>
  <si>
    <t>NB</t>
  </si>
  <si>
    <t>Tống Văn Nam</t>
  </si>
  <si>
    <t>Lái Tuyến</t>
  </si>
  <si>
    <t>Chính thức</t>
  </si>
  <si>
    <t>NĐ</t>
  </si>
  <si>
    <t>Lê Trọng Giáp</t>
  </si>
  <si>
    <t>TB</t>
  </si>
  <si>
    <t>Lê Hữu Bích</t>
  </si>
  <si>
    <t>PT</t>
  </si>
  <si>
    <t>Lê Văn Diện</t>
  </si>
  <si>
    <t>YB</t>
  </si>
  <si>
    <t>Trịnh Xuân Đức</t>
  </si>
  <si>
    <t>Nguyễn Việt Trung</t>
  </si>
  <si>
    <t>Phan Đăng Quang</t>
  </si>
  <si>
    <t>Nguyễn Ngọc Trường</t>
  </si>
  <si>
    <t>Nguyễn Thành Đạt</t>
  </si>
  <si>
    <t>Dương Văn Thọ</t>
  </si>
  <si>
    <t>Nguyễn Ngọc Hưng</t>
  </si>
  <si>
    <t>Nguyễn Đức Thanh</t>
  </si>
  <si>
    <t>Vũ Việt Hùng</t>
  </si>
  <si>
    <t>Cù Xuân Duy</t>
  </si>
  <si>
    <t>Phạm Quốc Hội</t>
  </si>
  <si>
    <t>Đặng Hồng Thuỷ</t>
  </si>
  <si>
    <t>Nguyễn Thanh Sơn</t>
  </si>
  <si>
    <t>Phạm Văn Đồng</t>
  </si>
  <si>
    <t>Vũ Văn Tuyến</t>
  </si>
  <si>
    <t>Phạm Viết Thắng</t>
  </si>
  <si>
    <t>Phạm Thanh Tùng</t>
  </si>
  <si>
    <t>Trần Mạnh Linh</t>
  </si>
  <si>
    <t>Thử việc</t>
  </si>
  <si>
    <t>Lái mới</t>
  </si>
  <si>
    <t>Nguyễn Hải Nam</t>
  </si>
  <si>
    <t>Vũ Văn Chín</t>
  </si>
  <si>
    <t>Phạm Văn Tình</t>
  </si>
  <si>
    <t>Hoàng Mạnh Tú</t>
  </si>
  <si>
    <t>Lái trung chuyển lên tuyến</t>
  </si>
  <si>
    <t>NAM ĐỊNH</t>
  </si>
  <si>
    <t>Nguyễn Anh Hùng</t>
  </si>
  <si>
    <t>Ngô Quốc Hùng</t>
  </si>
  <si>
    <t>Phạm Hồng Chính</t>
  </si>
  <si>
    <t>Trần Hữu Nam 1972</t>
  </si>
  <si>
    <t>Phạm Quang Trung</t>
  </si>
  <si>
    <t>Phạm Văn Vũ</t>
  </si>
  <si>
    <t>Hoàng Trọng Nam</t>
  </si>
  <si>
    <t>Hoàng Tuấn Đạt</t>
  </si>
  <si>
    <t>Bùi Quý Phúc</t>
  </si>
  <si>
    <t>Trần Đức Triều</t>
  </si>
  <si>
    <t>Nguyễn Văn Hùng</t>
  </si>
  <si>
    <t>Nguyễn Văn Chiến</t>
  </si>
  <si>
    <t>Ngô Mạnh Tùng</t>
  </si>
  <si>
    <t>Trần Thanh An</t>
  </si>
  <si>
    <t>Trần Nam</t>
  </si>
  <si>
    <t>Nguyễn Văn Khuyến</t>
  </si>
  <si>
    <t>Vũ Đình Sơn</t>
  </si>
  <si>
    <t>Đinh Văn Sỹ</t>
  </si>
  <si>
    <t>Vũ Ngọc Hà</t>
  </si>
  <si>
    <t>Trần Quốc Toản</t>
  </si>
  <si>
    <t>Phạm Thế Anh</t>
  </si>
  <si>
    <t>Phạm Công Đại</t>
  </si>
  <si>
    <t>Nguyễn Mạnh Trung</t>
  </si>
  <si>
    <t>Nguyễn Trung Trọng</t>
  </si>
  <si>
    <t>Trần Hữu Nam 1978</t>
  </si>
  <si>
    <t>Trần Văn Thanh</t>
  </si>
  <si>
    <t>Hồ Nam Phong</t>
  </si>
  <si>
    <t>Đỗ Văn Tỉnh</t>
  </si>
  <si>
    <t>Vũ Mạnh Hùng</t>
  </si>
  <si>
    <t>Trần Đình Thắng</t>
  </si>
  <si>
    <t>Ngô Phong Thái</t>
  </si>
  <si>
    <t>Trần Quyết Thắng</t>
  </si>
  <si>
    <t>Trần Văn Thiện</t>
  </si>
  <si>
    <t>Phạm Văn Chính</t>
  </si>
  <si>
    <t>Hoàng Ngọc Cường</t>
  </si>
  <si>
    <t>Phùng Văn Hải</t>
  </si>
  <si>
    <t>Trần Mạnh Thắng</t>
  </si>
  <si>
    <t>Nghỉ từ 5/5 cho đến 14/5, nghỉ từ 27/05 đến 31/5</t>
  </si>
  <si>
    <t>Triệu Tuấn Tú</t>
  </si>
  <si>
    <t>Trần Quốc Phong</t>
  </si>
  <si>
    <t>Đỗ Tuấn Anh</t>
  </si>
  <si>
    <t>Đoàn Văn Kiều</t>
  </si>
  <si>
    <t>Tống Văn Hậu</t>
  </si>
  <si>
    <t>Trần Đình Vượng</t>
  </si>
  <si>
    <t>Phạm Hùng Sơn</t>
  </si>
  <si>
    <t>Bùi Xuân Bắc</t>
  </si>
  <si>
    <t>Phạm Văn Sớm</t>
  </si>
  <si>
    <t>Cồ Văn Tiển</t>
  </si>
  <si>
    <t>Trần Đức Toản</t>
  </si>
  <si>
    <t>Phạm Thanh Bình</t>
  </si>
  <si>
    <t>Đinh Trung Dũng</t>
  </si>
  <si>
    <t>Đặng Ngọc Toàn</t>
  </si>
  <si>
    <t>Trần Anh Tuấn</t>
  </si>
  <si>
    <t>Nguyễn Văn Thế</t>
  </si>
  <si>
    <t>Nguyễn Văn Minh</t>
  </si>
  <si>
    <t>Lê Minh Đức</t>
  </si>
  <si>
    <t>Thử việc</t>
  </si>
  <si>
    <t>Chạy xe bắt đầu từ 20/05</t>
  </si>
  <si>
    <t>Nguyễn Mạnh Cường</t>
  </si>
  <si>
    <t>Chạy xe bắt đầu từ 22/05</t>
  </si>
  <si>
    <t>Đặng Văn Thơ</t>
  </si>
  <si>
    <t>Nguyễn Thế Anh</t>
  </si>
  <si>
    <t>Mới quay lại ngày 28/5</t>
  </si>
  <si>
    <t>THÁI BÌNH</t>
  </si>
  <si>
    <t>Lê Văn Liệu</t>
  </si>
  <si>
    <t>Phạm Văn Hà</t>
  </si>
  <si>
    <t>Đinh Văn Chung</t>
  </si>
  <si>
    <t>Vũ Văn Hiển</t>
  </si>
  <si>
    <t>Lê Văn Đảm</t>
  </si>
  <si>
    <t>Phạm Huy Toàn</t>
  </si>
  <si>
    <t>Phạm Văn Ký</t>
  </si>
  <si>
    <t>Nguyễn Việt Cường</t>
  </si>
  <si>
    <t>Đào Đức Liêm</t>
  </si>
  <si>
    <t>Nguyễn Quốc Thắng</t>
  </si>
  <si>
    <t>Bùi Mạnh Hùng</t>
  </si>
  <si>
    <t>Trần Xuân Bách</t>
  </si>
  <si>
    <t>Trần Ngọc Dũng</t>
  </si>
  <si>
    <t>Lê Quang Minh</t>
  </si>
  <si>
    <t>Đào Duy Nhất</t>
  </si>
  <si>
    <t>Phạm Văn Thiêm</t>
  </si>
  <si>
    <t>Nguyễn Thiên Mạnh</t>
  </si>
  <si>
    <t>Nguyễn Quang Thanh</t>
  </si>
  <si>
    <t>Phan Thái Sơn</t>
  </si>
  <si>
    <t>Lê Hùng Cường</t>
  </si>
  <si>
    <t>Lại Thế Thư</t>
  </si>
  <si>
    <t>Lò Văn Dương</t>
  </si>
  <si>
    <t>Lê Thanh Xuân</t>
  </si>
  <si>
    <t>LX thử việc bắt đầu chạy xe từ 22/05.</t>
  </si>
  <si>
    <t>VIỆT TRÌ</t>
  </si>
  <si>
    <t>Nguyễn Đức Thuận</t>
  </si>
  <si>
    <t>VT</t>
  </si>
  <si>
    <t>Nghỉ ốm từ ngày 10/05 đến hết ngày 31/05 hết tháng.</t>
  </si>
  <si>
    <t>Nguyễn Tuấn Trường</t>
  </si>
  <si>
    <t>Nguyễn Tiến Hưng</t>
  </si>
  <si>
    <t>Lê Văn Thắng</t>
  </si>
  <si>
    <t>Trần Trung Kiên</t>
  </si>
  <si>
    <t>Đỗ Văn Hiếu</t>
  </si>
  <si>
    <t>Phan Anh Giang</t>
  </si>
  <si>
    <t>Vũ Đức Duẩn</t>
  </si>
  <si>
    <t>Nguyễn Đức Tâm</t>
  </si>
  <si>
    <t>Phùng Hữu Biên</t>
  </si>
  <si>
    <t>Đinh Công Cường</t>
  </si>
  <si>
    <t>Nguyễn Trung Kiên 1986</t>
  </si>
  <si>
    <t>Nguyễn Trung Kiên 1995</t>
  </si>
  <si>
    <t>Nguyễn Ngọc Lâm</t>
  </si>
  <si>
    <t>Nguyễn Minh Quang</t>
  </si>
  <si>
    <t>T.X PHÚ THỌ</t>
  </si>
  <si>
    <t>Nguyễn Xuân Thắng</t>
  </si>
  <si>
    <t>Hoàng Việt Cường</t>
  </si>
  <si>
    <t>Vũ Duy Long</t>
  </si>
  <si>
    <t>Vũ Đức Toàn</t>
  </si>
  <si>
    <t>Nguyễn Chí Quốc</t>
  </si>
  <si>
    <t>Nguyễn Đức Quang</t>
  </si>
  <si>
    <t>Hà Văn Dũng</t>
  </si>
  <si>
    <t>Đào Trung Đức</t>
  </si>
  <si>
    <t>Nguyễn Tuấn Anh 1978</t>
  </si>
  <si>
    <t>Hoàng Cát Giao</t>
  </si>
  <si>
    <t>Nguyễn Duy Hà</t>
  </si>
  <si>
    <t>Nguyễn Quang Tuấn</t>
  </si>
  <si>
    <t>Lê Tuấn Linh</t>
  </si>
  <si>
    <t>Phùng Kim Tiến</t>
  </si>
  <si>
    <t>Nguyễn Thanh Bình</t>
  </si>
  <si>
    <t>Tưởng Tuấn Nam</t>
  </si>
  <si>
    <t>Nguyễn Đức Phong</t>
  </si>
  <si>
    <t>Đỗ Văn Phương</t>
  </si>
  <si>
    <t>Trương Minh Quân</t>
  </si>
  <si>
    <t>Ngô Xuân Nam</t>
  </si>
  <si>
    <t>XN từ đầu thág đào tạo đến hết  ngày 14/05/2026.Bắt đầu chạy xe từ ngày 15/5.</t>
  </si>
  <si>
    <t>YÊN BÁI</t>
  </si>
  <si>
    <t>Vũ Hoàng Long</t>
  </si>
  <si>
    <t>Phạm Công Khánh</t>
  </si>
  <si>
    <t>Nguyễn Đức Tuấn</t>
  </si>
  <si>
    <t>Nguyễn Trung Hiếu</t>
  </si>
  <si>
    <t>Lê Quang Thuỷ</t>
  </si>
  <si>
    <t>Trần Quốc Toàn</t>
  </si>
  <si>
    <t>Nguyễn Văn Võ</t>
  </si>
  <si>
    <t>Nguyễn Văn Thành</t>
  </si>
  <si>
    <t>Tạ Văn Nam</t>
  </si>
  <si>
    <t>nghỉ nhiều ngày chỉ đi làm những ngày cuối tuần</t>
  </si>
  <si>
    <t>Trần Văn Sơn</t>
  </si>
  <si>
    <t>Dương Anh Đức</t>
  </si>
  <si>
    <t>Nguyễn Minh Tuấn</t>
  </si>
  <si>
    <t>Nguyễn Hùng Cường</t>
  </si>
  <si>
    <t>Nguyễn Duy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</si>
</sst>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(* #,##0.0_);_(* \(#,##0.0\);_(* &quot;-&quot;??_);_(@_)"/>
    <numFmt numFmtId="166" formatCode="0.0"/>
  </numFmts>
  <fonts count="14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8"/>
      <color theme="1"/>
      <name val="Times New Roman"/>
      <charset val="134"/>
    </font>
    <font>
      <b/>
      <sz val="10"/>
      <color rgb="FFFF0000"/>
      <name val="Times New Roman"/>
      <charset val="134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/>
    </xf>
    <xf numFmtId="0" fontId="8" fillId="5" borderId="5" xfId="0" applyFont="1" applyFill="1" applyBorder="1"/>
    <xf numFmtId="0" fontId="7" fillId="0" borderId="5" xfId="0" applyFont="1" applyBorder="1"/>
    <xf numFmtId="165" fontId="9" fillId="0" borderId="5" xfId="1" applyNumberFormat="1" applyFont="1" applyBorder="1" applyAlignment="1"/>
    <xf numFmtId="2" fontId="10" fillId="6" borderId="5" xfId="1" applyNumberFormat="1" applyFont="1" applyFill="1" applyBorder="1" applyAlignment="1"/>
    <xf numFmtId="165" fontId="7" fillId="2" borderId="5" xfId="1" applyNumberFormat="1" applyFont="1" applyFill="1" applyBorder="1" applyAlignment="1">
      <alignment wrapText="1"/>
    </xf>
    <xf numFmtId="0" fontId="7" fillId="0" borderId="0" xfId="0" applyFont="1"/>
    <xf numFmtId="0" fontId="7" fillId="0" borderId="3" xfId="0" applyFont="1" applyBorder="1" applyAlignment="1">
      <alignment horizontal="center"/>
    </xf>
    <xf numFmtId="2" fontId="7" fillId="0" borderId="3" xfId="0" applyNumberFormat="1" applyFont="1" applyBorder="1"/>
    <xf numFmtId="0" fontId="7" fillId="0" borderId="3" xfId="0" applyFont="1" applyBorder="1"/>
    <xf numFmtId="166" fontId="8" fillId="0" borderId="5" xfId="1" applyNumberFormat="1" applyFont="1" applyBorder="1" applyAlignment="1"/>
    <xf numFmtId="9" fontId="7" fillId="0" borderId="0" xfId="2" applyFont="1"/>
    <xf numFmtId="0" fontId="7" fillId="2" borderId="5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2" borderId="3" xfId="0" applyFont="1" applyFill="1" applyBorder="1" applyAlignment="1">
      <alignment wrapText="1"/>
    </xf>
    <xf numFmtId="0" fontId="7" fillId="2" borderId="5" xfId="0" applyFont="1" applyFill="1" applyBorder="1"/>
    <xf numFmtId="165" fontId="13" fillId="2" borderId="5" xfId="1" applyNumberFormat="1" applyFont="1" applyFill="1" applyBorder="1" applyAlignment="1"/>
    <xf numFmtId="165" fontId="9" fillId="6" borderId="5" xfId="1" applyNumberFormat="1" applyFont="1" applyFill="1" applyBorder="1" applyAlignment="1"/>
    <xf numFmtId="0" fontId="7" fillId="2" borderId="0" xfId="0" applyFont="1" applyFill="1"/>
    <xf numFmtId="0" fontId="0" fillId="2" borderId="0" xfId="0" applyFill="1"/>
    <xf numFmtId="0" fontId="12" fillId="2" borderId="3" xfId="0" applyFont="1" applyFill="1" applyBorder="1" applyAlignment="1">
      <alignment horizontal="left" wrapText="1"/>
    </xf>
    <xf numFmtId="0" fontId="12" fillId="2" borderId="0" xfId="0" applyFont="1" applyFill="1"/>
    <xf numFmtId="166" fontId="10" fillId="6" borderId="5" xfId="1" applyNumberFormat="1" applyFont="1" applyFill="1" applyBorder="1" applyAlignment="1"/>
    <xf numFmtId="0" fontId="8" fillId="7" borderId="5" xfId="0" applyFont="1" applyFill="1" applyBorder="1"/>
    <xf numFmtId="165" fontId="11" fillId="2" borderId="5" xfId="1" quotePrefix="1" applyNumberFormat="1" applyFont="1" applyFill="1" applyBorder="1" applyAlignment="1">
      <alignment wrapText="1"/>
    </xf>
    <xf numFmtId="165" fontId="11" fillId="2" borderId="5" xfId="1" applyNumberFormat="1" applyFont="1" applyFill="1" applyBorder="1" applyAlignment="1">
      <alignment wrapText="1"/>
    </xf>
    <xf numFmtId="165" fontId="9" fillId="2" borderId="5" xfId="1" applyNumberFormat="1" applyFont="1" applyFill="1" applyBorder="1" applyAlignment="1"/>
    <xf numFmtId="0" fontId="4" fillId="0" borderId="0" xfId="0" applyFont="1"/>
    <xf numFmtId="0" fontId="6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2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h&#225;ng%206.2026\&#272;&#193;NH%20GI&#193;%20CLDV%20LX-T06.2026.xlsx" TargetMode="External"/><Relationship Id="rId1" Type="http://schemas.openxmlformats.org/officeDocument/2006/relationships/externalLinkPath" Target="file:///D:\Th&#225;ng%206.2026\&#272;&#193;NH%20GI&#193;%20CLDV%20LX-T06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ew%20folder%20R\&#272;&#225;nh%20gi&#225;%20CLDV%20LX%20N&#272;-NB%20th&#225;ng%205.2026%20H&#7857;ng.xlsx" TargetMode="External"/><Relationship Id="rId1" Type="http://schemas.openxmlformats.org/officeDocument/2006/relationships/externalLinkPath" Target="file:///D:\New%20folder%20R\&#272;&#225;nh%20gi&#225;%20CLDV%20LX%20N&#272;-NB%20th&#225;ng%205.2026%20H&#7857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_ ĐG LX"/>
      <sheetName val="DATA"/>
      <sheetName val="Total"/>
      <sheetName val="Sheet1"/>
      <sheetName val="Mẫu"/>
      <sheetName val="Mẫu hỏi"/>
      <sheetName val="Mẫu Gọi"/>
    </sheetNames>
    <sheetDataSet>
      <sheetData sheetId="0">
        <row r="3">
          <cell r="G3">
            <v>1</v>
          </cell>
          <cell r="H3">
            <v>2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  <cell r="M3">
            <v>7</v>
          </cell>
          <cell r="N3">
            <v>8</v>
          </cell>
          <cell r="O3">
            <v>9</v>
          </cell>
          <cell r="P3">
            <v>10</v>
          </cell>
          <cell r="Q3">
            <v>11</v>
          </cell>
          <cell r="R3">
            <v>12</v>
          </cell>
          <cell r="S3">
            <v>13</v>
          </cell>
          <cell r="T3">
            <v>14</v>
          </cell>
          <cell r="U3">
            <v>15</v>
          </cell>
          <cell r="V3">
            <v>16</v>
          </cell>
          <cell r="W3">
            <v>17</v>
          </cell>
          <cell r="X3">
            <v>18</v>
          </cell>
          <cell r="Y3">
            <v>19</v>
          </cell>
          <cell r="Z3">
            <v>20</v>
          </cell>
          <cell r="AA3">
            <v>21</v>
          </cell>
          <cell r="AB3">
            <v>22</v>
          </cell>
          <cell r="AC3">
            <v>23</v>
          </cell>
          <cell r="AD3">
            <v>24</v>
          </cell>
          <cell r="AE3">
            <v>25</v>
          </cell>
          <cell r="AF3">
            <v>26</v>
          </cell>
          <cell r="AG3">
            <v>27</v>
          </cell>
          <cell r="AH3">
            <v>28</v>
          </cell>
          <cell r="AI3">
            <v>29</v>
          </cell>
          <cell r="AJ3">
            <v>30</v>
          </cell>
        </row>
        <row r="4">
          <cell r="C4" t="str">
            <v>NINH BÌNH</v>
          </cell>
        </row>
        <row r="5">
          <cell r="C5" t="str">
            <v>Tống Văn Nam</v>
          </cell>
        </row>
        <row r="6">
          <cell r="C6" t="str">
            <v>Lê Trọng Giáp</v>
          </cell>
        </row>
        <row r="7">
          <cell r="C7" t="str">
            <v>Lê Hữu Bích</v>
          </cell>
        </row>
        <row r="8">
          <cell r="C8" t="str">
            <v>Lê Văn Diện</v>
          </cell>
        </row>
        <row r="9">
          <cell r="C9" t="str">
            <v>Trịnh Xuân Đức</v>
          </cell>
        </row>
        <row r="10">
          <cell r="C10" t="str">
            <v>Nguyễn Việt Trung</v>
          </cell>
        </row>
        <row r="11">
          <cell r="C11" t="str">
            <v>Phan Đăng Quang</v>
          </cell>
        </row>
        <row r="12">
          <cell r="C12" t="str">
            <v>Nguyễn Ngọc Trường</v>
          </cell>
        </row>
        <row r="13">
          <cell r="C13" t="str">
            <v>Nguyễn Thành Đạt</v>
          </cell>
        </row>
        <row r="14">
          <cell r="C14" t="str">
            <v>Dương Văn Thọ</v>
          </cell>
        </row>
        <row r="15">
          <cell r="C15" t="str">
            <v>Nguyễn Ngọc Hưng</v>
          </cell>
        </row>
        <row r="16">
          <cell r="C16" t="str">
            <v>Nguyễn Đức Thanh</v>
          </cell>
        </row>
        <row r="17">
          <cell r="C17" t="str">
            <v>Vũ Việt Hùng</v>
          </cell>
        </row>
        <row r="18">
          <cell r="C18" t="str">
            <v>Cù Xuân Duy</v>
          </cell>
        </row>
        <row r="19">
          <cell r="C19" t="str">
            <v>Phạm Quốc Hội</v>
          </cell>
        </row>
        <row r="20">
          <cell r="C20" t="str">
            <v>Đặng Hồng Thuỷ</v>
          </cell>
        </row>
        <row r="21">
          <cell r="C21" t="str">
            <v>Nguyễn Thanh Sơn</v>
          </cell>
        </row>
        <row r="22">
          <cell r="C22" t="str">
            <v>Phạm Văn Đồng</v>
          </cell>
        </row>
        <row r="23">
          <cell r="C23" t="str">
            <v>Vũ Văn Tuyến</v>
          </cell>
        </row>
        <row r="24">
          <cell r="C24" t="str">
            <v>Phạm Viết Thắng</v>
          </cell>
        </row>
        <row r="25">
          <cell r="C25" t="str">
            <v>Phạm Thanh Tùng</v>
          </cell>
        </row>
        <row r="26">
          <cell r="C26" t="str">
            <v>Trần Mạnh Linh</v>
          </cell>
        </row>
        <row r="27">
          <cell r="C27" t="str">
            <v>Nguyễn Hải Nam</v>
          </cell>
        </row>
        <row r="28">
          <cell r="C28" t="str">
            <v>Vũ Văn Chín</v>
          </cell>
        </row>
        <row r="29">
          <cell r="C29" t="str">
            <v>Phạm Văn Tình</v>
          </cell>
        </row>
        <row r="30">
          <cell r="C30" t="str">
            <v>Hoàng Mạnh Tú</v>
          </cell>
        </row>
        <row r="32">
          <cell r="C32" t="str">
            <v>NAM ĐỊNH</v>
          </cell>
        </row>
        <row r="33">
          <cell r="C33" t="str">
            <v>Nguyễn Anh Hùng</v>
          </cell>
        </row>
        <row r="34">
          <cell r="C34" t="str">
            <v>Ngô Quốc Hùng</v>
          </cell>
        </row>
        <row r="35">
          <cell r="C35" t="str">
            <v>Phạm Hồng Chính</v>
          </cell>
        </row>
        <row r="36">
          <cell r="C36" t="str">
            <v>Trần Hữu Nam 1972</v>
          </cell>
        </row>
        <row r="37">
          <cell r="C37" t="str">
            <v>Phạm Quang Trung</v>
          </cell>
        </row>
        <row r="38">
          <cell r="C38" t="str">
            <v>Phạm Văn Vũ</v>
          </cell>
        </row>
        <row r="39">
          <cell r="C39" t="str">
            <v>Hoàng Trọng Nam</v>
          </cell>
        </row>
        <row r="40">
          <cell r="C40" t="str">
            <v>Hoàng Tuấn Đạt</v>
          </cell>
        </row>
        <row r="41">
          <cell r="C41" t="str">
            <v>Bùi Quý Phúc</v>
          </cell>
        </row>
        <row r="42">
          <cell r="C42" t="str">
            <v>Trần Đức Triều</v>
          </cell>
        </row>
        <row r="43">
          <cell r="C43" t="str">
            <v>Nguyễn Văn Hùng</v>
          </cell>
        </row>
        <row r="44">
          <cell r="C44" t="str">
            <v>Nguyễn Văn Chiến</v>
          </cell>
        </row>
        <row r="45">
          <cell r="C45" t="str">
            <v>Ngô Mạnh Tùng</v>
          </cell>
        </row>
        <row r="46">
          <cell r="C46" t="str">
            <v>Trần Thanh An</v>
          </cell>
        </row>
        <row r="47">
          <cell r="C47" t="str">
            <v>Trần Nam</v>
          </cell>
        </row>
        <row r="48">
          <cell r="C48" t="str">
            <v>Nguyễn Văn Khuyến</v>
          </cell>
        </row>
        <row r="49">
          <cell r="C49" t="str">
            <v>Vũ Đình Sơn</v>
          </cell>
        </row>
        <row r="50">
          <cell r="C50" t="str">
            <v>Đinh Văn Sỹ</v>
          </cell>
        </row>
        <row r="51">
          <cell r="C51" t="str">
            <v>Vũ Ngọc Hà</v>
          </cell>
        </row>
        <row r="52">
          <cell r="C52" t="str">
            <v>Trần Quốc Toản</v>
          </cell>
        </row>
        <row r="53">
          <cell r="C53" t="str">
            <v>Phạm Thế Anh</v>
          </cell>
        </row>
        <row r="54">
          <cell r="C54" t="str">
            <v>Phạm Công Đại</v>
          </cell>
        </row>
        <row r="55">
          <cell r="C55" t="str">
            <v>Nguyễn Mạnh Trung</v>
          </cell>
        </row>
        <row r="56">
          <cell r="C56" t="str">
            <v>Nguyễn Trung Trọng</v>
          </cell>
        </row>
        <row r="57">
          <cell r="C57" t="str">
            <v>Trần Hữu Nam 1978</v>
          </cell>
        </row>
        <row r="58">
          <cell r="C58" t="str">
            <v>Trần Văn Thanh</v>
          </cell>
        </row>
        <row r="59">
          <cell r="C59" t="str">
            <v>Hồ Nam Phong</v>
          </cell>
        </row>
        <row r="60">
          <cell r="C60" t="str">
            <v>Đỗ Văn Tỉnh</v>
          </cell>
        </row>
        <row r="61">
          <cell r="C61" t="str">
            <v>Vũ Mạnh Hùng</v>
          </cell>
        </row>
        <row r="62">
          <cell r="C62" t="str">
            <v>Trần Đình Thắng</v>
          </cell>
        </row>
        <row r="63">
          <cell r="C63" t="str">
            <v>Ngô Phong Thái</v>
          </cell>
        </row>
        <row r="64">
          <cell r="C64" t="str">
            <v>Trần Quyết Thắng</v>
          </cell>
        </row>
        <row r="65">
          <cell r="C65" t="str">
            <v>Trần Văn Thiện</v>
          </cell>
        </row>
        <row r="66">
          <cell r="C66" t="str">
            <v>Phạm Văn Chính</v>
          </cell>
        </row>
        <row r="67">
          <cell r="C67" t="str">
            <v>Hoàng Ngọc Cường</v>
          </cell>
        </row>
        <row r="68">
          <cell r="C68" t="str">
            <v>Phùng Văn Hải</v>
          </cell>
        </row>
        <row r="69">
          <cell r="C69" t="str">
            <v>Trần Mạnh Thắng</v>
          </cell>
        </row>
        <row r="70">
          <cell r="C70" t="str">
            <v>Triệu Tuấn Tú</v>
          </cell>
        </row>
        <row r="71">
          <cell r="C71" t="str">
            <v>Trần Quốc Phong</v>
          </cell>
        </row>
        <row r="72">
          <cell r="C72" t="str">
            <v>Đỗ Tuấn Anh</v>
          </cell>
        </row>
        <row r="73">
          <cell r="C73" t="str">
            <v>Đoàn Văn Kiều</v>
          </cell>
        </row>
        <row r="74">
          <cell r="C74" t="str">
            <v>Tống Văn Hậu</v>
          </cell>
        </row>
        <row r="75">
          <cell r="C75" t="str">
            <v>Trần Đình Vượng</v>
          </cell>
        </row>
        <row r="76">
          <cell r="C76" t="str">
            <v>Phạm Hùng Sơn</v>
          </cell>
        </row>
        <row r="77">
          <cell r="C77" t="str">
            <v>Bùi Xuân Bắc</v>
          </cell>
        </row>
        <row r="78">
          <cell r="C78" t="str">
            <v>Phạm Văn Sớm</v>
          </cell>
        </row>
        <row r="79">
          <cell r="C79" t="str">
            <v>Cồ Văn Tiển</v>
          </cell>
        </row>
        <row r="80">
          <cell r="C80" t="str">
            <v>Trần Đức Toản</v>
          </cell>
        </row>
        <row r="81">
          <cell r="C81" t="str">
            <v>Phạm Thanh Bình</v>
          </cell>
        </row>
        <row r="82">
          <cell r="C82" t="str">
            <v>Đinh Trung Dũng</v>
          </cell>
        </row>
        <row r="83">
          <cell r="C83" t="str">
            <v>Đặng Ngọc Toàn</v>
          </cell>
        </row>
        <row r="84">
          <cell r="C84" t="str">
            <v>Trần Anh Tuấn</v>
          </cell>
        </row>
        <row r="85">
          <cell r="C85" t="str">
            <v>Nguyễn Văn Thế</v>
          </cell>
        </row>
        <row r="86">
          <cell r="C86" t="str">
            <v>Nguyễn Văn Minh</v>
          </cell>
        </row>
        <row r="87">
          <cell r="C87" t="str">
            <v>Lê Minh Đức</v>
          </cell>
        </row>
        <row r="88">
          <cell r="C88" t="str">
            <v>Nguyễn Mạnh Cường</v>
          </cell>
        </row>
        <row r="89">
          <cell r="C89" t="str">
            <v>Đặng Văn Thơ</v>
          </cell>
        </row>
        <row r="90">
          <cell r="C90" t="str">
            <v>Nguyễn Thế Anh</v>
          </cell>
        </row>
        <row r="92">
          <cell r="C92" t="str">
            <v>THÁI BÌNH</v>
          </cell>
        </row>
        <row r="93">
          <cell r="C93" t="str">
            <v>Lê Văn Liệu</v>
          </cell>
        </row>
        <row r="94">
          <cell r="C94" t="str">
            <v>Phạm Văn Hà</v>
          </cell>
        </row>
        <row r="95">
          <cell r="C95" t="str">
            <v>Đinh Văn Chung</v>
          </cell>
        </row>
        <row r="96">
          <cell r="C96" t="str">
            <v>Vũ Văn Hiển</v>
          </cell>
        </row>
        <row r="97">
          <cell r="C97" t="str">
            <v>Lê Văn Đảm</v>
          </cell>
        </row>
        <row r="98">
          <cell r="C98" t="str">
            <v>Phạm Huy Toàn</v>
          </cell>
        </row>
        <row r="99">
          <cell r="C99" t="str">
            <v>Phạm Văn Ký</v>
          </cell>
        </row>
        <row r="100">
          <cell r="C100" t="str">
            <v>Nguyễn Việt Cường</v>
          </cell>
        </row>
        <row r="101">
          <cell r="C101" t="str">
            <v>Đào Đức Liêm</v>
          </cell>
        </row>
        <row r="102">
          <cell r="C102" t="str">
            <v>Nguyễn Quốc Thắng</v>
          </cell>
        </row>
        <row r="103">
          <cell r="C103" t="str">
            <v>Bùi Mạnh Hùng</v>
          </cell>
        </row>
        <row r="104">
          <cell r="C104" t="str">
            <v>Trần Xuân Bách</v>
          </cell>
        </row>
        <row r="105">
          <cell r="C105" t="str">
            <v>Trần Ngọc Dũng</v>
          </cell>
        </row>
        <row r="106">
          <cell r="C106" t="str">
            <v>Lê Quang Minh</v>
          </cell>
        </row>
        <row r="107">
          <cell r="C107" t="str">
            <v>Đào Duy Nhất</v>
          </cell>
        </row>
        <row r="108">
          <cell r="C108" t="str">
            <v>Phạm Văn Thiêm</v>
          </cell>
        </row>
        <row r="109">
          <cell r="C109" t="str">
            <v>Nguyễn Thiên Mạnh</v>
          </cell>
        </row>
        <row r="110">
          <cell r="C110" t="str">
            <v>Nguyễn Quang Thanh</v>
          </cell>
        </row>
        <row r="111">
          <cell r="C111" t="str">
            <v>Phan Thái Sơn</v>
          </cell>
        </row>
        <row r="112">
          <cell r="C112" t="str">
            <v>Lê Hùng Cường</v>
          </cell>
        </row>
        <row r="113">
          <cell r="C113" t="str">
            <v>Lại Thế Thư</v>
          </cell>
        </row>
        <row r="114">
          <cell r="C114" t="str">
            <v>Lò Văn Dương</v>
          </cell>
        </row>
        <row r="115">
          <cell r="C115" t="str">
            <v>Lê Thanh Xuân</v>
          </cell>
        </row>
        <row r="117">
          <cell r="C117" t="str">
            <v>VIỆT TRÌ</v>
          </cell>
        </row>
        <row r="118">
          <cell r="C118" t="str">
            <v>Nguyễn Đức Thuận</v>
          </cell>
        </row>
        <row r="119">
          <cell r="C119" t="str">
            <v>Nguyễn Tuấn Trường</v>
          </cell>
        </row>
        <row r="120">
          <cell r="C120" t="str">
            <v>Nguyễn Tiến Hưng</v>
          </cell>
        </row>
        <row r="121">
          <cell r="C121" t="str">
            <v>Lê Văn Thắng</v>
          </cell>
        </row>
        <row r="122">
          <cell r="C122" t="str">
            <v>Trần Trung Kiên</v>
          </cell>
        </row>
        <row r="123">
          <cell r="C123" t="str">
            <v>Đỗ Văn Hiếu</v>
          </cell>
        </row>
        <row r="124">
          <cell r="C124" t="str">
            <v>Phan Anh Giang</v>
          </cell>
        </row>
        <row r="125">
          <cell r="C125" t="str">
            <v>Vũ Đức Duẩn</v>
          </cell>
        </row>
        <row r="126">
          <cell r="C126" t="str">
            <v>Nguyễn Đức Tâm</v>
          </cell>
        </row>
        <row r="127">
          <cell r="C127" t="str">
            <v>Phùng Hữu Biên</v>
          </cell>
        </row>
        <row r="128">
          <cell r="C128" t="str">
            <v>Đinh Công Cường</v>
          </cell>
        </row>
        <row r="129">
          <cell r="C129" t="str">
            <v>Nguyễn Trung Kiên 1986</v>
          </cell>
        </row>
        <row r="130">
          <cell r="C130" t="str">
            <v>Nguyễn Trung Kiên 1995</v>
          </cell>
        </row>
        <row r="131">
          <cell r="C131" t="str">
            <v>Nguyễn Ngọc Lâm</v>
          </cell>
        </row>
        <row r="132">
          <cell r="C132" t="str">
            <v>Nguyễn Minh Quang</v>
          </cell>
        </row>
        <row r="134">
          <cell r="C134" t="str">
            <v>T.X PHÚ THỌ</v>
          </cell>
        </row>
        <row r="135">
          <cell r="C135" t="str">
            <v>Nguyễn Xuân Thắng</v>
          </cell>
        </row>
        <row r="136">
          <cell r="C136" t="str">
            <v>Hoàng Việt Cường</v>
          </cell>
        </row>
        <row r="137">
          <cell r="C137" t="str">
            <v>Vũ Duy Long</v>
          </cell>
        </row>
        <row r="138">
          <cell r="C138" t="str">
            <v>Vũ Đức Toàn</v>
          </cell>
        </row>
        <row r="139">
          <cell r="C139" t="str">
            <v>Nguyễn Chí Quốc</v>
          </cell>
        </row>
        <row r="140">
          <cell r="C140" t="str">
            <v>Nguyễn Đức Quang</v>
          </cell>
        </row>
        <row r="141">
          <cell r="C141" t="str">
            <v>Hà Văn Dũng</v>
          </cell>
        </row>
        <row r="142">
          <cell r="C142" t="str">
            <v>Đào Trung Đức</v>
          </cell>
        </row>
        <row r="143">
          <cell r="C143" t="str">
            <v>Nguyễn Tuấn Anh 1978</v>
          </cell>
        </row>
        <row r="144">
          <cell r="C144" t="str">
            <v>Hoàng Cát Giao</v>
          </cell>
        </row>
        <row r="145">
          <cell r="C145" t="str">
            <v>Nguyễn Duy Hà</v>
          </cell>
        </row>
        <row r="146">
          <cell r="C146" t="str">
            <v>Nguyễn Quang Tuấn</v>
          </cell>
        </row>
        <row r="147">
          <cell r="C147" t="str">
            <v>Lê Tuấn Linh</v>
          </cell>
        </row>
        <row r="148">
          <cell r="C148" t="str">
            <v>Phùng Kim Tiến</v>
          </cell>
        </row>
        <row r="149">
          <cell r="C149" t="str">
            <v>Nguyễn Thanh Bình</v>
          </cell>
        </row>
        <row r="150">
          <cell r="C150" t="str">
            <v>Tưởng Tuấn Nam</v>
          </cell>
        </row>
        <row r="151">
          <cell r="C151" t="str">
            <v>Nguyễn Đức Phong</v>
          </cell>
        </row>
        <row r="152">
          <cell r="C152" t="str">
            <v>Đỗ Văn Phương</v>
          </cell>
        </row>
        <row r="153">
          <cell r="C153" t="str">
            <v>Trương Minh Quân</v>
          </cell>
        </row>
        <row r="154">
          <cell r="C154" t="str">
            <v>Ngô Xuân Nam</v>
          </cell>
        </row>
        <row r="156">
          <cell r="C156" t="str">
            <v>YÊN BÁI</v>
          </cell>
        </row>
        <row r="157">
          <cell r="C157" t="str">
            <v>Vũ Hoàng Long</v>
          </cell>
        </row>
        <row r="158">
          <cell r="C158" t="str">
            <v>Phạm Công Khánh</v>
          </cell>
        </row>
        <row r="159">
          <cell r="C159" t="str">
            <v>Nguyễn Đức Tuấn</v>
          </cell>
        </row>
        <row r="160">
          <cell r="C160" t="str">
            <v>Nguyễn Trung Hiếu</v>
          </cell>
        </row>
        <row r="161">
          <cell r="C161" t="str">
            <v>Lê Quang Thuỷ</v>
          </cell>
        </row>
        <row r="162">
          <cell r="C162" t="str">
            <v>Trần Quốc Toàn</v>
          </cell>
        </row>
        <row r="163">
          <cell r="C163" t="str">
            <v>Nguyễn Văn Võ</v>
          </cell>
        </row>
        <row r="164">
          <cell r="C164" t="str">
            <v>Nguyễn Văn Thành</v>
          </cell>
        </row>
        <row r="165">
          <cell r="C165" t="str">
            <v>Tạ Văn Nam</v>
          </cell>
        </row>
        <row r="166">
          <cell r="C166" t="str">
            <v>Trần Văn Sơn</v>
          </cell>
        </row>
        <row r="167">
          <cell r="C167" t="str">
            <v>Dương Anh Đức</v>
          </cell>
        </row>
        <row r="168">
          <cell r="C168" t="str">
            <v>Nguyễn Minh Tuấn</v>
          </cell>
        </row>
        <row r="169">
          <cell r="C169" t="str">
            <v>Nguyễn Hùng Cường</v>
          </cell>
        </row>
        <row r="170">
          <cell r="C170" t="str">
            <v>Nguyễn Duy Phương</v>
          </cell>
        </row>
      </sheetData>
      <sheetData sheetId="1">
        <row r="1">
          <cell r="D1" t="str">
            <v>Lái xe</v>
          </cell>
          <cell r="AF1" t="str">
            <v>Mã nhân viên lái xe</v>
          </cell>
          <cell r="AH1" t="str">
            <v>TỔNG ĐIỂM ĐÁNH GIÁ</v>
          </cell>
          <cell r="AW1" t="str">
            <v>Số lượt phiếu đánh giá</v>
          </cell>
          <cell r="AX1" t="str">
            <v>Người phụ trách đánh giá</v>
          </cell>
        </row>
        <row r="2">
          <cell r="D2" t="str">
            <v>Lê Văn Thắng</v>
          </cell>
          <cell r="AF2" t="str">
            <v>XE00242</v>
          </cell>
          <cell r="AH2">
            <v>9.82</v>
          </cell>
          <cell r="AW2" t="str">
            <v>Lê Văn Thắng1</v>
          </cell>
          <cell r="AX2" t="str">
            <v>Nga</v>
          </cell>
        </row>
        <row r="3">
          <cell r="D3" t="str">
            <v>Nguyễn Đức Thuận</v>
          </cell>
          <cell r="AF3" t="str">
            <v>XE00160</v>
          </cell>
          <cell r="AH3">
            <v>9.82</v>
          </cell>
          <cell r="AW3" t="str">
            <v>Nguyễn Đức Thuận1</v>
          </cell>
          <cell r="AX3" t="str">
            <v>Nga</v>
          </cell>
        </row>
        <row r="4">
          <cell r="D4" t="str">
            <v>Trần Trung Kiên</v>
          </cell>
          <cell r="AF4" t="str">
            <v>XE00274</v>
          </cell>
          <cell r="AH4">
            <v>9.82</v>
          </cell>
          <cell r="AW4" t="str">
            <v>Trần Trung Kiên1</v>
          </cell>
          <cell r="AX4" t="str">
            <v>Nga</v>
          </cell>
        </row>
        <row r="5">
          <cell r="D5" t="str">
            <v>Phan Anh Giang</v>
          </cell>
          <cell r="AF5" t="str">
            <v>XE00365</v>
          </cell>
          <cell r="AH5">
            <v>8.44</v>
          </cell>
          <cell r="AW5" t="str">
            <v>Phan Anh Giang1</v>
          </cell>
          <cell r="AX5" t="str">
            <v>Nga</v>
          </cell>
        </row>
        <row r="6">
          <cell r="D6" t="str">
            <v>Phan Anh Giang</v>
          </cell>
          <cell r="AF6" t="str">
            <v>XE00365</v>
          </cell>
          <cell r="AH6">
            <v>9.6199999999999992</v>
          </cell>
          <cell r="AW6" t="str">
            <v>Phan Anh Giang2</v>
          </cell>
          <cell r="AX6" t="str">
            <v>Nga</v>
          </cell>
        </row>
        <row r="7">
          <cell r="D7" t="str">
            <v>Vũ Đức Duẩn</v>
          </cell>
          <cell r="AF7" t="str">
            <v>XE00441</v>
          </cell>
          <cell r="AH7">
            <v>9.82</v>
          </cell>
          <cell r="AW7" t="str">
            <v>Vũ Đức Duẩn1</v>
          </cell>
          <cell r="AX7" t="str">
            <v>Nga</v>
          </cell>
        </row>
        <row r="8">
          <cell r="D8" t="str">
            <v>Đỗ Văn Hiếu</v>
          </cell>
          <cell r="AF8" t="str">
            <v>XE00285</v>
          </cell>
          <cell r="AH8">
            <v>9.6199999999999992</v>
          </cell>
          <cell r="AW8" t="str">
            <v>Đỗ Văn Hiếu1</v>
          </cell>
          <cell r="AX8" t="str">
            <v>Nga</v>
          </cell>
        </row>
        <row r="9">
          <cell r="D9" t="str">
            <v>Phùng Hữu Biên</v>
          </cell>
          <cell r="AF9" t="str">
            <v>XE00714</v>
          </cell>
          <cell r="AH9">
            <v>9.42</v>
          </cell>
          <cell r="AW9" t="str">
            <v>Phùng Hữu Biên1</v>
          </cell>
          <cell r="AX9" t="str">
            <v>Nga</v>
          </cell>
        </row>
        <row r="10">
          <cell r="D10" t="str">
            <v>Nguyễn Đức Tâm</v>
          </cell>
          <cell r="AF10" t="str">
            <v>XE00674</v>
          </cell>
          <cell r="AH10">
            <v>9.02</v>
          </cell>
          <cell r="AW10" t="str">
            <v>Nguyễn Đức Tâm1</v>
          </cell>
          <cell r="AX10" t="str">
            <v>Nga</v>
          </cell>
        </row>
        <row r="11">
          <cell r="D11" t="str">
            <v>Nguyễn Đức Tâm</v>
          </cell>
          <cell r="AF11" t="str">
            <v>XE00674</v>
          </cell>
          <cell r="AH11">
            <v>8.84</v>
          </cell>
          <cell r="AW11" t="str">
            <v>Nguyễn Đức Tâm2</v>
          </cell>
          <cell r="AX11" t="str">
            <v>Nga</v>
          </cell>
        </row>
        <row r="12">
          <cell r="D12" t="str">
            <v>Nguyễn Đức Tâm</v>
          </cell>
          <cell r="AF12" t="str">
            <v>XE00674</v>
          </cell>
          <cell r="AH12">
            <v>9.82</v>
          </cell>
          <cell r="AW12" t="str">
            <v>Nguyễn Đức Tâm3</v>
          </cell>
          <cell r="AX12" t="str">
            <v>Nga</v>
          </cell>
        </row>
        <row r="13">
          <cell r="D13" t="str">
            <v>Đinh Công Cường</v>
          </cell>
          <cell r="AF13" t="str">
            <v>XE00791</v>
          </cell>
          <cell r="AH13">
            <v>8.2200000000000006</v>
          </cell>
          <cell r="AW13" t="str">
            <v>Đinh Công Cường1</v>
          </cell>
          <cell r="AX13" t="str">
            <v>Nga</v>
          </cell>
        </row>
        <row r="14">
          <cell r="D14" t="str">
            <v>Nguyễn Ngọc Lâm</v>
          </cell>
          <cell r="AF14" t="str">
            <v>XE01168</v>
          </cell>
          <cell r="AH14">
            <v>9.42</v>
          </cell>
          <cell r="AW14" t="str">
            <v>Nguyễn Ngọc Lâm1</v>
          </cell>
          <cell r="AX14" t="str">
            <v>Nga</v>
          </cell>
        </row>
        <row r="15">
          <cell r="D15" t="str">
            <v>Nguyễn Trung Kiên 1986</v>
          </cell>
          <cell r="AF15" t="str">
            <v>XE00971</v>
          </cell>
          <cell r="AH15">
            <v>9.64</v>
          </cell>
          <cell r="AW15" t="str">
            <v>Nguyễn Trung Kiên 19861</v>
          </cell>
          <cell r="AX15" t="str">
            <v>Nga</v>
          </cell>
        </row>
        <row r="16">
          <cell r="D16" t="str">
            <v>Nguyễn Trung Kiên 1995</v>
          </cell>
          <cell r="AF16" t="str">
            <v>XE01036</v>
          </cell>
          <cell r="AH16">
            <v>9.82</v>
          </cell>
          <cell r="AW16" t="str">
            <v>Nguyễn Trung Kiên 19951</v>
          </cell>
          <cell r="AX16" t="str">
            <v>Nga</v>
          </cell>
        </row>
        <row r="17">
          <cell r="D17" t="str">
            <v>Nguyễn Trung Kiên 1995</v>
          </cell>
          <cell r="AF17" t="str">
            <v>XE01036</v>
          </cell>
          <cell r="AH17">
            <v>9.82</v>
          </cell>
          <cell r="AW17" t="str">
            <v>Nguyễn Trung Kiên 19952</v>
          </cell>
          <cell r="AX17" t="str">
            <v>Nga</v>
          </cell>
        </row>
        <row r="18">
          <cell r="D18" t="str">
            <v>Nguyễn Minh Quang</v>
          </cell>
          <cell r="AF18" t="str">
            <v>XE01188</v>
          </cell>
          <cell r="AH18">
            <v>9.82</v>
          </cell>
          <cell r="AW18" t="str">
            <v>Nguyễn Minh Quang1</v>
          </cell>
          <cell r="AX18" t="str">
            <v>Nga</v>
          </cell>
        </row>
        <row r="19">
          <cell r="D19" t="str">
            <v>Tạ Văn Nam</v>
          </cell>
          <cell r="AF19" t="str">
            <v>XE01437</v>
          </cell>
          <cell r="AH19">
            <v>8.44</v>
          </cell>
          <cell r="AW19" t="str">
            <v>Tạ Văn Nam1</v>
          </cell>
          <cell r="AX19" t="str">
            <v>Nga</v>
          </cell>
        </row>
        <row r="20">
          <cell r="D20" t="str">
            <v>Tạ Văn Nam</v>
          </cell>
          <cell r="AF20" t="str">
            <v>XE01437</v>
          </cell>
          <cell r="AH20">
            <v>9.82</v>
          </cell>
          <cell r="AW20" t="str">
            <v>Tạ Văn Nam2</v>
          </cell>
          <cell r="AX20" t="str">
            <v>Nga</v>
          </cell>
        </row>
        <row r="21">
          <cell r="D21" t="str">
            <v>Tạ Văn Nam</v>
          </cell>
          <cell r="AF21" t="str">
            <v>XE01437</v>
          </cell>
          <cell r="AH21">
            <v>9.82</v>
          </cell>
          <cell r="AW21" t="str">
            <v>Tạ Văn Nam3</v>
          </cell>
          <cell r="AX21" t="str">
            <v>Nga</v>
          </cell>
        </row>
        <row r="22">
          <cell r="D22" t="str">
            <v>Vũ Đức Toàn</v>
          </cell>
          <cell r="AF22" t="str">
            <v>XE00295</v>
          </cell>
          <cell r="AH22">
            <v>9.82</v>
          </cell>
          <cell r="AW22" t="str">
            <v>Vũ Đức Toàn1</v>
          </cell>
          <cell r="AX22" t="str">
            <v>Nga</v>
          </cell>
        </row>
        <row r="23">
          <cell r="D23" t="str">
            <v>Nguyễn Đức Quang</v>
          </cell>
          <cell r="AF23" t="str">
            <v>XE00320</v>
          </cell>
          <cell r="AH23">
            <v>9.42</v>
          </cell>
          <cell r="AW23" t="str">
            <v>Nguyễn Đức Quang1</v>
          </cell>
          <cell r="AX23" t="str">
            <v>Nga</v>
          </cell>
        </row>
        <row r="24">
          <cell r="D24" t="str">
            <v>Hà Văn Dũng</v>
          </cell>
          <cell r="AF24" t="str">
            <v>XE00326</v>
          </cell>
          <cell r="AH24">
            <v>9.02</v>
          </cell>
          <cell r="AW24" t="str">
            <v>Hà Văn Dũng1</v>
          </cell>
          <cell r="AX24" t="str">
            <v>Nga</v>
          </cell>
        </row>
        <row r="25">
          <cell r="D25" t="str">
            <v>Đào Trung Đức</v>
          </cell>
          <cell r="AF25" t="str">
            <v>XE00366</v>
          </cell>
          <cell r="AH25">
            <v>9.82</v>
          </cell>
          <cell r="AW25" t="str">
            <v>Đào Trung Đức1</v>
          </cell>
          <cell r="AX25" t="str">
            <v>Nga</v>
          </cell>
        </row>
        <row r="26">
          <cell r="D26" t="str">
            <v>Đào Trung Đức</v>
          </cell>
          <cell r="AF26" t="str">
            <v>XE00366</v>
          </cell>
          <cell r="AH26">
            <v>9.42</v>
          </cell>
          <cell r="AW26" t="str">
            <v>Đào Trung Đức2</v>
          </cell>
          <cell r="AX26" t="str">
            <v>Nga</v>
          </cell>
        </row>
        <row r="27">
          <cell r="D27" t="str">
            <v>Đào Trung Đức</v>
          </cell>
          <cell r="AF27" t="str">
            <v>XE00366</v>
          </cell>
          <cell r="AH27">
            <v>9.02</v>
          </cell>
          <cell r="AW27" t="str">
            <v>Đào Trung Đức3</v>
          </cell>
          <cell r="AX27" t="str">
            <v>Nga</v>
          </cell>
        </row>
        <row r="28">
          <cell r="D28" t="str">
            <v>Nguyễn Chí Quốc</v>
          </cell>
          <cell r="AF28" t="str">
            <v>XE00309</v>
          </cell>
          <cell r="AH28">
            <v>9.82</v>
          </cell>
          <cell r="AW28" t="str">
            <v>Nguyễn Chí Quốc1</v>
          </cell>
          <cell r="AX28" t="str">
            <v>Nga</v>
          </cell>
        </row>
        <row r="29">
          <cell r="D29" t="str">
            <v>Nguyễn Chí Quốc</v>
          </cell>
          <cell r="AF29" t="str">
            <v>XE00309</v>
          </cell>
          <cell r="AH29">
            <v>9.82</v>
          </cell>
          <cell r="AW29" t="str">
            <v>Nguyễn Chí Quốc2</v>
          </cell>
          <cell r="AX29" t="str">
            <v>Nga</v>
          </cell>
        </row>
        <row r="30">
          <cell r="D30" t="str">
            <v>Nguyễn Tuấn Anh 1978</v>
          </cell>
          <cell r="AF30" t="str">
            <v>XE00524</v>
          </cell>
          <cell r="AH30">
            <v>9.82</v>
          </cell>
          <cell r="AW30" t="str">
            <v>Nguyễn Tuấn Anh 19781</v>
          </cell>
          <cell r="AX30" t="str">
            <v>Nga</v>
          </cell>
        </row>
        <row r="31">
          <cell r="D31" t="str">
            <v>Nguyễn Tuấn Anh 1978</v>
          </cell>
          <cell r="AF31" t="str">
            <v>XE00524</v>
          </cell>
          <cell r="AH31">
            <v>9.82</v>
          </cell>
          <cell r="AW31" t="str">
            <v>Nguyễn Tuấn Anh 19782</v>
          </cell>
          <cell r="AX31" t="str">
            <v>Nga</v>
          </cell>
        </row>
        <row r="32">
          <cell r="D32" t="str">
            <v>Hoàng Việt Cường</v>
          </cell>
          <cell r="AF32" t="str">
            <v>XE00248</v>
          </cell>
          <cell r="AH32">
            <v>9.02</v>
          </cell>
          <cell r="AW32" t="str">
            <v>Hoàng Việt Cường1</v>
          </cell>
          <cell r="AX32" t="str">
            <v>Nga</v>
          </cell>
        </row>
        <row r="33">
          <cell r="D33" t="str">
            <v>Hoàng Cát Giao</v>
          </cell>
          <cell r="AF33" t="str">
            <v>XE00734</v>
          </cell>
          <cell r="AH33">
            <v>9.82</v>
          </cell>
          <cell r="AW33" t="str">
            <v>Hoàng Cát Giao1</v>
          </cell>
          <cell r="AX33" t="str">
            <v>Nga</v>
          </cell>
        </row>
        <row r="34">
          <cell r="D34" t="str">
            <v>Nguyễn Duy Hà</v>
          </cell>
          <cell r="AF34" t="str">
            <v>XE00799</v>
          </cell>
          <cell r="AH34">
            <v>9.42</v>
          </cell>
          <cell r="AW34" t="str">
            <v>Nguyễn Duy Hà1</v>
          </cell>
          <cell r="AX34" t="str">
            <v>Nga</v>
          </cell>
        </row>
        <row r="35">
          <cell r="D35" t="str">
            <v>Nguyễn Thanh Bình</v>
          </cell>
          <cell r="AF35" t="str">
            <v>XE00825</v>
          </cell>
          <cell r="AH35">
            <v>9.42</v>
          </cell>
          <cell r="AW35" t="str">
            <v>Nguyễn Thanh Bình1</v>
          </cell>
          <cell r="AX35" t="str">
            <v>Nga</v>
          </cell>
        </row>
        <row r="36">
          <cell r="D36" t="str">
            <v>Vũ Duy Long</v>
          </cell>
          <cell r="AF36" t="str">
            <v>XE00721</v>
          </cell>
          <cell r="AH36">
            <v>9.82</v>
          </cell>
          <cell r="AW36" t="str">
            <v>Vũ Duy Long1</v>
          </cell>
          <cell r="AX36" t="str">
            <v>Nga</v>
          </cell>
        </row>
        <row r="37">
          <cell r="D37" t="str">
            <v>Phùng Kim Tiến</v>
          </cell>
          <cell r="AF37" t="str">
            <v>XE01242</v>
          </cell>
          <cell r="AH37">
            <v>8.6199999999999992</v>
          </cell>
          <cell r="AW37" t="str">
            <v>Phùng Kim Tiến1</v>
          </cell>
          <cell r="AX37" t="str">
            <v>Nga</v>
          </cell>
        </row>
        <row r="38">
          <cell r="D38" t="str">
            <v>Nguyễn Quang Tuấn</v>
          </cell>
          <cell r="AF38" t="str">
            <v>XE00813</v>
          </cell>
          <cell r="AH38">
            <v>8.620000000000001</v>
          </cell>
          <cell r="AW38" t="str">
            <v>Nguyễn Quang Tuấn1</v>
          </cell>
          <cell r="AX38" t="str">
            <v>Nga</v>
          </cell>
        </row>
        <row r="39">
          <cell r="D39" t="str">
            <v>Tưởng Tuấn Nam</v>
          </cell>
          <cell r="AF39" t="str">
            <v>XE00964</v>
          </cell>
          <cell r="AH39">
            <v>9.82</v>
          </cell>
          <cell r="AW39" t="str">
            <v>Tưởng Tuấn Nam1</v>
          </cell>
          <cell r="AX39" t="str">
            <v>Nga</v>
          </cell>
        </row>
        <row r="40">
          <cell r="D40" t="str">
            <v>Trương Minh Quân</v>
          </cell>
          <cell r="AF40" t="str">
            <v>XE01077</v>
          </cell>
          <cell r="AH40">
            <v>9.82</v>
          </cell>
          <cell r="AW40" t="str">
            <v>Trương Minh Quân1</v>
          </cell>
          <cell r="AX40" t="str">
            <v>Nga</v>
          </cell>
        </row>
        <row r="41">
          <cell r="D41" t="str">
            <v>Trương Minh Quân</v>
          </cell>
          <cell r="AF41" t="str">
            <v>XE01077</v>
          </cell>
          <cell r="AH41">
            <v>9.42</v>
          </cell>
          <cell r="AW41" t="str">
            <v>Trương Minh Quân2</v>
          </cell>
          <cell r="AX41" t="str">
            <v>Nga</v>
          </cell>
        </row>
        <row r="42">
          <cell r="D42" t="str">
            <v>Đỗ Văn Phương</v>
          </cell>
          <cell r="AF42" t="str">
            <v>XE01605</v>
          </cell>
          <cell r="AH42">
            <v>9.82</v>
          </cell>
          <cell r="AW42" t="str">
            <v>Đỗ Văn Phương1</v>
          </cell>
          <cell r="AX42" t="str">
            <v>Nga</v>
          </cell>
        </row>
        <row r="43">
          <cell r="D43" t="str">
            <v>Đỗ Văn Phương</v>
          </cell>
          <cell r="AF43" t="str">
            <v>XE01605</v>
          </cell>
          <cell r="AH43">
            <v>9.42</v>
          </cell>
          <cell r="AW43" t="str">
            <v>Đỗ Văn Phương2</v>
          </cell>
          <cell r="AX43" t="str">
            <v>Nga</v>
          </cell>
        </row>
        <row r="44">
          <cell r="D44" t="str">
            <v>Nguyễn Đức Phong</v>
          </cell>
          <cell r="AF44" t="str">
            <v>XE00737</v>
          </cell>
          <cell r="AH44">
            <v>9.42</v>
          </cell>
          <cell r="AW44" t="str">
            <v>Nguyễn Đức Phong1</v>
          </cell>
          <cell r="AX44" t="str">
            <v>Nga</v>
          </cell>
        </row>
        <row r="45">
          <cell r="D45" t="str">
            <v>Lê Văn Đảm</v>
          </cell>
          <cell r="AF45" t="str">
            <v>XE00187</v>
          </cell>
          <cell r="AH45">
            <v>9.82</v>
          </cell>
          <cell r="AW45" t="str">
            <v>Lê Văn Đảm1</v>
          </cell>
          <cell r="AX45" t="str">
            <v>Nga</v>
          </cell>
        </row>
        <row r="46">
          <cell r="D46" t="str">
            <v>Trần Văn Thiện</v>
          </cell>
          <cell r="AF46" t="str">
            <v>XE00658</v>
          </cell>
          <cell r="AH46">
            <v>9.82</v>
          </cell>
          <cell r="AW46" t="str">
            <v>Trần Văn Thiện1</v>
          </cell>
          <cell r="AX46" t="str">
            <v>Nga</v>
          </cell>
        </row>
        <row r="47">
          <cell r="D47" t="str">
            <v>Phạm Văn Hà</v>
          </cell>
          <cell r="AF47" t="str">
            <v>XE00063</v>
          </cell>
          <cell r="AH47">
            <v>9.82</v>
          </cell>
          <cell r="AW47" t="str">
            <v>Phạm Văn Hà1</v>
          </cell>
          <cell r="AX47" t="str">
            <v>Nga</v>
          </cell>
        </row>
        <row r="48">
          <cell r="D48" t="str">
            <v>Lê Văn Liệu</v>
          </cell>
          <cell r="AF48" t="str">
            <v>XE00054</v>
          </cell>
          <cell r="AH48">
            <v>9.82</v>
          </cell>
          <cell r="AW48" t="str">
            <v>Lê Văn Liệu1</v>
          </cell>
          <cell r="AX48" t="str">
            <v>Nga</v>
          </cell>
        </row>
        <row r="49">
          <cell r="D49" t="str">
            <v>Phạm Huy Toàn</v>
          </cell>
          <cell r="AF49" t="str">
            <v>XE00234</v>
          </cell>
          <cell r="AH49">
            <v>9.82</v>
          </cell>
          <cell r="AW49" t="str">
            <v>Phạm Huy Toàn1</v>
          </cell>
          <cell r="AX49" t="str">
            <v>Nga</v>
          </cell>
        </row>
        <row r="50">
          <cell r="D50" t="str">
            <v>Vũ Văn Hiển</v>
          </cell>
          <cell r="AF50" t="str">
            <v>XE00148</v>
          </cell>
          <cell r="AH50">
            <v>9.82</v>
          </cell>
          <cell r="AW50" t="str">
            <v>Vũ Văn Hiển1</v>
          </cell>
          <cell r="AX50" t="str">
            <v>Nga</v>
          </cell>
        </row>
        <row r="51">
          <cell r="D51" t="str">
            <v>Phạm Văn Ký</v>
          </cell>
          <cell r="AF51" t="str">
            <v>XE00257</v>
          </cell>
          <cell r="AH51">
            <v>9.02</v>
          </cell>
          <cell r="AW51" t="str">
            <v>Phạm Văn Ký1</v>
          </cell>
          <cell r="AX51" t="str">
            <v>Nga</v>
          </cell>
        </row>
        <row r="52">
          <cell r="D52" t="str">
            <v>Lê Văn Thắng</v>
          </cell>
          <cell r="AF52" t="str">
            <v>XE00242</v>
          </cell>
          <cell r="AH52">
            <v>9.82</v>
          </cell>
          <cell r="AW52" t="str">
            <v>Lê Văn Thắng2</v>
          </cell>
          <cell r="AX52" t="str">
            <v>Nga</v>
          </cell>
        </row>
        <row r="53">
          <cell r="D53" t="str">
            <v>Nguyễn Đức Thuận</v>
          </cell>
          <cell r="AF53" t="str">
            <v>XE00160</v>
          </cell>
          <cell r="AH53">
            <v>8.6199999999999992</v>
          </cell>
          <cell r="AW53" t="str">
            <v>Nguyễn Đức Thuận2</v>
          </cell>
          <cell r="AX53" t="str">
            <v>Nga</v>
          </cell>
        </row>
        <row r="54">
          <cell r="D54" t="str">
            <v>Trần Trung Kiên</v>
          </cell>
          <cell r="AF54" t="str">
            <v>XE00274</v>
          </cell>
          <cell r="AH54">
            <v>9.82</v>
          </cell>
          <cell r="AW54" t="str">
            <v>Trần Trung Kiên2</v>
          </cell>
          <cell r="AX54" t="str">
            <v>Nga</v>
          </cell>
        </row>
        <row r="55">
          <cell r="D55" t="str">
            <v>Vũ Đức Duẩn</v>
          </cell>
          <cell r="AF55" t="str">
            <v>XE00441</v>
          </cell>
          <cell r="AH55">
            <v>9.82</v>
          </cell>
          <cell r="AW55" t="str">
            <v>Vũ Đức Duẩn2</v>
          </cell>
          <cell r="AX55" t="str">
            <v>Nga</v>
          </cell>
        </row>
        <row r="56">
          <cell r="D56" t="str">
            <v>Vũ Đức Duẩn</v>
          </cell>
          <cell r="AF56" t="str">
            <v>XE00441</v>
          </cell>
          <cell r="AH56">
            <v>8.84</v>
          </cell>
          <cell r="AW56" t="str">
            <v>Vũ Đức Duẩn3</v>
          </cell>
          <cell r="AX56" t="str">
            <v>Nga</v>
          </cell>
        </row>
        <row r="57">
          <cell r="D57" t="str">
            <v>Vũ Đức Duẩn</v>
          </cell>
          <cell r="AF57" t="str">
            <v>XE00441</v>
          </cell>
          <cell r="AH57">
            <v>9.2199999999999989</v>
          </cell>
          <cell r="AW57" t="str">
            <v>Vũ Đức Duẩn4</v>
          </cell>
          <cell r="AX57" t="str">
            <v>Nga</v>
          </cell>
        </row>
        <row r="58">
          <cell r="D58" t="str">
            <v>Đỗ Văn Hiếu</v>
          </cell>
          <cell r="AF58" t="str">
            <v>XE00285</v>
          </cell>
          <cell r="AH58">
            <v>9.42</v>
          </cell>
          <cell r="AW58" t="str">
            <v>Đỗ Văn Hiếu2</v>
          </cell>
          <cell r="AX58" t="str">
            <v>Nga</v>
          </cell>
        </row>
        <row r="59">
          <cell r="D59" t="str">
            <v>Phùng Hữu Biên</v>
          </cell>
          <cell r="AF59" t="str">
            <v>XE00714</v>
          </cell>
          <cell r="AH59">
            <v>9.42</v>
          </cell>
          <cell r="AW59" t="str">
            <v>Phùng Hữu Biên2</v>
          </cell>
          <cell r="AX59" t="str">
            <v>Nga</v>
          </cell>
        </row>
        <row r="60">
          <cell r="D60" t="str">
            <v>Đinh Công Cường</v>
          </cell>
          <cell r="AF60" t="str">
            <v>XE00791</v>
          </cell>
          <cell r="AH60">
            <v>9.6</v>
          </cell>
          <cell r="AW60" t="str">
            <v>Đinh Công Cường2</v>
          </cell>
          <cell r="AX60" t="str">
            <v>Nga</v>
          </cell>
        </row>
        <row r="61">
          <cell r="D61" t="str">
            <v>Đinh Công Cường</v>
          </cell>
          <cell r="AF61" t="str">
            <v>XE00791</v>
          </cell>
          <cell r="AH61">
            <v>9.42</v>
          </cell>
          <cell r="AW61" t="str">
            <v>Đinh Công Cường3</v>
          </cell>
          <cell r="AX61" t="str">
            <v>Nga</v>
          </cell>
        </row>
        <row r="62">
          <cell r="D62" t="str">
            <v>Đinh Công Cường</v>
          </cell>
          <cell r="AF62" t="str">
            <v>XE00791</v>
          </cell>
          <cell r="AH62">
            <v>9.82</v>
          </cell>
          <cell r="AW62" t="str">
            <v>Đinh Công Cường4</v>
          </cell>
          <cell r="AX62" t="str">
            <v>Nga</v>
          </cell>
        </row>
        <row r="63">
          <cell r="D63" t="str">
            <v>Nguyễn Ngọc Lâm</v>
          </cell>
          <cell r="AF63" t="str">
            <v>XE01168</v>
          </cell>
          <cell r="AH63">
            <v>9.82</v>
          </cell>
          <cell r="AW63" t="str">
            <v>Nguyễn Ngọc Lâm2</v>
          </cell>
          <cell r="AX63" t="str">
            <v>Nga</v>
          </cell>
        </row>
        <row r="64">
          <cell r="D64" t="str">
            <v>Nguyễn Trung Kiên 1986</v>
          </cell>
          <cell r="AF64" t="str">
            <v>XE00971</v>
          </cell>
          <cell r="AH64">
            <v>9.82</v>
          </cell>
          <cell r="AW64" t="str">
            <v>Nguyễn Trung Kiên 19862</v>
          </cell>
          <cell r="AX64" t="str">
            <v>Nga</v>
          </cell>
        </row>
        <row r="65">
          <cell r="D65" t="str">
            <v>Nguyễn Minh Quang</v>
          </cell>
          <cell r="AF65" t="str">
            <v>XE01188</v>
          </cell>
          <cell r="AH65">
            <v>9.82</v>
          </cell>
          <cell r="AW65" t="str">
            <v>Nguyễn Minh Quang2</v>
          </cell>
          <cell r="AX65" t="str">
            <v>Nga</v>
          </cell>
        </row>
        <row r="66">
          <cell r="D66" t="str">
            <v>Vũ Đức Toàn</v>
          </cell>
          <cell r="AF66" t="str">
            <v>XE00295</v>
          </cell>
          <cell r="AH66">
            <v>10</v>
          </cell>
          <cell r="AW66" t="str">
            <v>Vũ Đức Toàn2</v>
          </cell>
          <cell r="AX66" t="str">
            <v>Nga</v>
          </cell>
        </row>
        <row r="67">
          <cell r="D67" t="str">
            <v>Nguyễn Đức Quang</v>
          </cell>
          <cell r="AF67" t="str">
            <v>XE00320</v>
          </cell>
          <cell r="AH67">
            <v>9.42</v>
          </cell>
          <cell r="AW67" t="str">
            <v>Nguyễn Đức Quang2</v>
          </cell>
          <cell r="AX67" t="str">
            <v>Nga</v>
          </cell>
        </row>
        <row r="68">
          <cell r="D68" t="str">
            <v>Hà Văn Dũng</v>
          </cell>
          <cell r="AF68" t="str">
            <v>XE00326</v>
          </cell>
          <cell r="AH68">
            <v>10</v>
          </cell>
          <cell r="AW68" t="str">
            <v>Hà Văn Dũng2</v>
          </cell>
          <cell r="AX68" t="str">
            <v>Nga</v>
          </cell>
        </row>
        <row r="69">
          <cell r="D69" t="str">
            <v>Nguyễn Chí Quốc</v>
          </cell>
          <cell r="AF69" t="str">
            <v>XE00309</v>
          </cell>
          <cell r="AH69">
            <v>9.42</v>
          </cell>
          <cell r="AW69" t="str">
            <v>Nguyễn Chí Quốc3</v>
          </cell>
          <cell r="AX69" t="str">
            <v>Nga</v>
          </cell>
        </row>
        <row r="70">
          <cell r="D70" t="str">
            <v>Nguyễn Chí Quốc</v>
          </cell>
          <cell r="AF70" t="str">
            <v>XE00309</v>
          </cell>
          <cell r="AH70">
            <v>9.82</v>
          </cell>
          <cell r="AW70" t="str">
            <v>Nguyễn Chí Quốc4</v>
          </cell>
          <cell r="AX70" t="str">
            <v>Nga</v>
          </cell>
        </row>
        <row r="71">
          <cell r="D71" t="str">
            <v>Hoàng Việt Cường</v>
          </cell>
          <cell r="AF71" t="str">
            <v>XE00248</v>
          </cell>
          <cell r="AH71">
            <v>9.82</v>
          </cell>
          <cell r="AW71" t="str">
            <v>Hoàng Việt Cường2</v>
          </cell>
          <cell r="AX71" t="str">
            <v>Nga</v>
          </cell>
        </row>
        <row r="72">
          <cell r="D72" t="str">
            <v>Hoàng Cát Giao</v>
          </cell>
          <cell r="AF72" t="str">
            <v>XE00734</v>
          </cell>
          <cell r="AH72">
            <v>10</v>
          </cell>
          <cell r="AW72" t="str">
            <v>Hoàng Cát Giao2</v>
          </cell>
          <cell r="AX72" t="str">
            <v>Nga</v>
          </cell>
        </row>
        <row r="73">
          <cell r="D73" t="str">
            <v>Hoàng Cát Giao</v>
          </cell>
          <cell r="AF73" t="str">
            <v>XE00734</v>
          </cell>
          <cell r="AH73">
            <v>9.42</v>
          </cell>
          <cell r="AW73" t="str">
            <v>Hoàng Cát Giao3</v>
          </cell>
          <cell r="AX73" t="str">
            <v>Nga</v>
          </cell>
        </row>
        <row r="74">
          <cell r="D74" t="str">
            <v>Nguyễn Duy Hà</v>
          </cell>
          <cell r="AF74" t="str">
            <v>XE00799</v>
          </cell>
          <cell r="AH74">
            <v>9.42</v>
          </cell>
          <cell r="AW74" t="str">
            <v>Nguyễn Duy Hà2</v>
          </cell>
          <cell r="AX74" t="str">
            <v>Nga</v>
          </cell>
        </row>
        <row r="75">
          <cell r="D75" t="str">
            <v>Nguyễn Duy Hà</v>
          </cell>
          <cell r="AF75" t="str">
            <v>XE00799</v>
          </cell>
          <cell r="AH75">
            <v>8.44</v>
          </cell>
          <cell r="AW75" t="str">
            <v>Nguyễn Duy Hà3</v>
          </cell>
          <cell r="AX75" t="str">
            <v>Nga</v>
          </cell>
        </row>
        <row r="76">
          <cell r="D76" t="str">
            <v>Nguyễn Thanh Bình</v>
          </cell>
          <cell r="AF76" t="str">
            <v>XE00825</v>
          </cell>
          <cell r="AH76">
            <v>9.42</v>
          </cell>
          <cell r="AW76" t="str">
            <v>Nguyễn Thanh Bình2</v>
          </cell>
          <cell r="AX76" t="str">
            <v>Nga</v>
          </cell>
        </row>
        <row r="77">
          <cell r="D77" t="str">
            <v>Nguyễn Thanh Bình</v>
          </cell>
          <cell r="AF77" t="str">
            <v>XE00825</v>
          </cell>
          <cell r="AH77">
            <v>9.02</v>
          </cell>
          <cell r="AW77" t="str">
            <v>Nguyễn Thanh Bình3</v>
          </cell>
          <cell r="AX77" t="str">
            <v>Nga</v>
          </cell>
        </row>
        <row r="78">
          <cell r="D78" t="str">
            <v>Vũ Duy Long</v>
          </cell>
          <cell r="AF78" t="str">
            <v>XE00721</v>
          </cell>
          <cell r="AH78">
            <v>9.82</v>
          </cell>
          <cell r="AW78" t="str">
            <v>Vũ Duy Long2</v>
          </cell>
          <cell r="AX78" t="str">
            <v>Nga</v>
          </cell>
        </row>
        <row r="79">
          <cell r="D79" t="str">
            <v>Vũ Duy Long</v>
          </cell>
          <cell r="AF79" t="str">
            <v>XE00721</v>
          </cell>
          <cell r="AH79">
            <v>9.64</v>
          </cell>
          <cell r="AW79" t="str">
            <v>Vũ Duy Long3</v>
          </cell>
          <cell r="AX79" t="str">
            <v>Nga</v>
          </cell>
        </row>
        <row r="80">
          <cell r="D80" t="str">
            <v>Phùng Kim Tiến</v>
          </cell>
          <cell r="AF80" t="str">
            <v>XE01242</v>
          </cell>
          <cell r="AH80">
            <v>9.42</v>
          </cell>
          <cell r="AW80" t="str">
            <v>Phùng Kim Tiến2</v>
          </cell>
          <cell r="AX80" t="str">
            <v>Nga</v>
          </cell>
        </row>
        <row r="81">
          <cell r="D81" t="str">
            <v>Phùng Kim Tiến</v>
          </cell>
          <cell r="AF81" t="str">
            <v>XE01242</v>
          </cell>
          <cell r="AH81">
            <v>9.82</v>
          </cell>
          <cell r="AW81" t="str">
            <v>Phùng Kim Tiến3</v>
          </cell>
          <cell r="AX81" t="str">
            <v>Nga</v>
          </cell>
        </row>
        <row r="82">
          <cell r="D82" t="str">
            <v>Nguyễn Quang Tuấn</v>
          </cell>
          <cell r="AF82" t="str">
            <v>XE00813</v>
          </cell>
          <cell r="AH82">
            <v>9.42</v>
          </cell>
          <cell r="AW82" t="str">
            <v>Nguyễn Quang Tuấn2</v>
          </cell>
          <cell r="AX82" t="str">
            <v>Nga</v>
          </cell>
        </row>
        <row r="83">
          <cell r="D83" t="str">
            <v>Nguyễn Quang Tuấn</v>
          </cell>
          <cell r="AF83" t="str">
            <v>XE00813</v>
          </cell>
          <cell r="AH83">
            <v>9.82</v>
          </cell>
          <cell r="AW83" t="str">
            <v>Nguyễn Quang Tuấn3</v>
          </cell>
          <cell r="AX83" t="str">
            <v>Nga</v>
          </cell>
        </row>
        <row r="84">
          <cell r="D84" t="str">
            <v>Tưởng Tuấn Nam</v>
          </cell>
          <cell r="AF84" t="str">
            <v>XE00964</v>
          </cell>
          <cell r="AH84">
            <v>9.42</v>
          </cell>
          <cell r="AW84" t="str">
            <v>Tưởng Tuấn Nam2</v>
          </cell>
          <cell r="AX84" t="str">
            <v>Nga</v>
          </cell>
        </row>
        <row r="85">
          <cell r="D85" t="str">
            <v>Tưởng Tuấn Nam</v>
          </cell>
          <cell r="AF85" t="str">
            <v>XE00964</v>
          </cell>
          <cell r="AH85">
            <v>9.82</v>
          </cell>
          <cell r="AW85" t="str">
            <v>Tưởng Tuấn Nam3</v>
          </cell>
          <cell r="AX85" t="str">
            <v>Nga</v>
          </cell>
        </row>
        <row r="86">
          <cell r="D86" t="str">
            <v>Nguyễn Đức Phong</v>
          </cell>
          <cell r="AF86" t="str">
            <v>XE00737</v>
          </cell>
          <cell r="AH86">
            <v>9.82</v>
          </cell>
          <cell r="AW86" t="str">
            <v>Nguyễn Đức Phong2</v>
          </cell>
          <cell r="AX86" t="str">
            <v>Nga</v>
          </cell>
        </row>
        <row r="87">
          <cell r="D87" t="str">
            <v>Nguyễn Đức Phong</v>
          </cell>
          <cell r="AF87" t="str">
            <v>XE00737</v>
          </cell>
          <cell r="AH87">
            <v>10</v>
          </cell>
          <cell r="AW87" t="str">
            <v>Nguyễn Đức Phong3</v>
          </cell>
          <cell r="AX87" t="str">
            <v>Nga</v>
          </cell>
        </row>
        <row r="88">
          <cell r="D88" t="str">
            <v>Ngô Xuân Nam</v>
          </cell>
          <cell r="AF88" t="str">
            <v>XE01669</v>
          </cell>
          <cell r="AH88">
            <v>9.82</v>
          </cell>
          <cell r="AW88" t="str">
            <v>Ngô Xuân Nam1</v>
          </cell>
          <cell r="AX88" t="str">
            <v>Nga</v>
          </cell>
        </row>
        <row r="89">
          <cell r="D89" t="str">
            <v>Ngô Xuân Nam</v>
          </cell>
          <cell r="AF89" t="str">
            <v>XE01669</v>
          </cell>
          <cell r="AH89">
            <v>9.42</v>
          </cell>
          <cell r="AW89" t="str">
            <v>Ngô Xuân Nam2</v>
          </cell>
          <cell r="AX89" t="str">
            <v>Nga</v>
          </cell>
        </row>
        <row r="90">
          <cell r="D90" t="str">
            <v>Trần Văn Thiện</v>
          </cell>
          <cell r="AF90" t="str">
            <v>XE00658</v>
          </cell>
          <cell r="AH90">
            <v>9.82</v>
          </cell>
          <cell r="AW90" t="str">
            <v>Trần Văn Thiện2</v>
          </cell>
          <cell r="AX90" t="str">
            <v>Nga</v>
          </cell>
        </row>
        <row r="91">
          <cell r="D91" t="str">
            <v>Phạm Văn Hà</v>
          </cell>
          <cell r="AF91" t="str">
            <v>XE00063</v>
          </cell>
          <cell r="AH91">
            <v>9.42</v>
          </cell>
          <cell r="AW91" t="str">
            <v>Phạm Văn Hà2</v>
          </cell>
          <cell r="AX91" t="str">
            <v>Nga</v>
          </cell>
        </row>
        <row r="92">
          <cell r="D92" t="str">
            <v>Lê Văn Liệu</v>
          </cell>
          <cell r="AF92" t="str">
            <v>XE00054</v>
          </cell>
          <cell r="AH92">
            <v>7.0200000000000005</v>
          </cell>
          <cell r="AW92" t="str">
            <v>Lê Văn Liệu2</v>
          </cell>
          <cell r="AX92" t="str">
            <v>Nga</v>
          </cell>
        </row>
        <row r="93">
          <cell r="D93" t="str">
            <v>Phạm Huy Toàn</v>
          </cell>
          <cell r="AF93" t="str">
            <v>XE00234</v>
          </cell>
          <cell r="AH93">
            <v>9.02</v>
          </cell>
          <cell r="AW93" t="str">
            <v>Phạm Huy Toàn2</v>
          </cell>
          <cell r="AX93" t="str">
            <v>Nga</v>
          </cell>
        </row>
        <row r="94">
          <cell r="D94" t="str">
            <v>Vũ Văn Hiển</v>
          </cell>
          <cell r="AF94" t="str">
            <v>XE00148</v>
          </cell>
          <cell r="AH94">
            <v>9.42</v>
          </cell>
          <cell r="AW94" t="str">
            <v>Vũ Văn Hiển2</v>
          </cell>
          <cell r="AX94" t="str">
            <v>Nga</v>
          </cell>
        </row>
        <row r="95">
          <cell r="D95" t="str">
            <v>Phạm Văn Ký</v>
          </cell>
          <cell r="AF95" t="str">
            <v>XE00257</v>
          </cell>
          <cell r="AH95">
            <v>7.6400000000000006</v>
          </cell>
          <cell r="AW95" t="str">
            <v>Phạm Văn Ký2</v>
          </cell>
          <cell r="AX95" t="str">
            <v>Nga</v>
          </cell>
        </row>
        <row r="96">
          <cell r="D96" t="str">
            <v>Phạm Văn Ký</v>
          </cell>
          <cell r="AF96" t="str">
            <v>XE00257</v>
          </cell>
          <cell r="AH96">
            <v>8.0400000000000009</v>
          </cell>
          <cell r="AW96" t="str">
            <v>Phạm Văn Ký3</v>
          </cell>
          <cell r="AX96" t="str">
            <v>Nga</v>
          </cell>
        </row>
        <row r="97">
          <cell r="D97" t="str">
            <v>Lê Văn Thắng</v>
          </cell>
          <cell r="AF97" t="str">
            <v>XE00242</v>
          </cell>
          <cell r="AH97">
            <v>9.42</v>
          </cell>
          <cell r="AW97" t="str">
            <v>Lê Văn Thắng3</v>
          </cell>
          <cell r="AX97" t="str">
            <v>Nga</v>
          </cell>
        </row>
        <row r="98">
          <cell r="D98" t="str">
            <v>Nguyễn Đức Thuận</v>
          </cell>
          <cell r="AF98" t="str">
            <v>XE00160</v>
          </cell>
          <cell r="AH98">
            <v>9.42</v>
          </cell>
          <cell r="AW98" t="str">
            <v>Nguyễn Đức Thuận3</v>
          </cell>
          <cell r="AX98" t="str">
            <v>Nga</v>
          </cell>
        </row>
        <row r="99">
          <cell r="D99" t="str">
            <v>Trần Trung Kiên</v>
          </cell>
          <cell r="AF99" t="str">
            <v>XE00274</v>
          </cell>
          <cell r="AH99">
            <v>9.82</v>
          </cell>
          <cell r="AW99" t="str">
            <v>Trần Trung Kiên3</v>
          </cell>
          <cell r="AX99" t="str">
            <v>Nga</v>
          </cell>
        </row>
        <row r="100">
          <cell r="D100" t="str">
            <v>Trần Trung Kiên</v>
          </cell>
          <cell r="AF100" t="str">
            <v>XE00274</v>
          </cell>
          <cell r="AH100">
            <v>9.82</v>
          </cell>
          <cell r="AW100" t="str">
            <v>Trần Trung Kiên4</v>
          </cell>
          <cell r="AX100" t="str">
            <v>Nga</v>
          </cell>
        </row>
        <row r="101">
          <cell r="D101" t="str">
            <v>Trần Trung Kiên</v>
          </cell>
          <cell r="AF101" t="str">
            <v>XE00274</v>
          </cell>
          <cell r="AH101">
            <v>9.82</v>
          </cell>
          <cell r="AW101" t="str">
            <v>Trần Trung Kiên5</v>
          </cell>
          <cell r="AX101" t="str">
            <v>Nga</v>
          </cell>
        </row>
        <row r="102">
          <cell r="D102" t="str">
            <v>Đỗ Văn Hiếu</v>
          </cell>
          <cell r="AF102" t="str">
            <v>XE00285</v>
          </cell>
          <cell r="AH102">
            <v>9.24</v>
          </cell>
          <cell r="AW102" t="str">
            <v>Đỗ Văn Hiếu3</v>
          </cell>
          <cell r="AX102" t="str">
            <v>Nga</v>
          </cell>
        </row>
        <row r="103">
          <cell r="D103" t="str">
            <v>Đỗ Văn Hiếu</v>
          </cell>
          <cell r="AF103" t="str">
            <v>XE00285</v>
          </cell>
          <cell r="AH103">
            <v>9.42</v>
          </cell>
          <cell r="AW103" t="str">
            <v>Đỗ Văn Hiếu4</v>
          </cell>
          <cell r="AX103" t="str">
            <v>Nga</v>
          </cell>
        </row>
        <row r="104">
          <cell r="D104" t="str">
            <v>Đỗ Văn Hiếu</v>
          </cell>
          <cell r="AF104" t="str">
            <v>XE00285</v>
          </cell>
          <cell r="AH104">
            <v>9.82</v>
          </cell>
          <cell r="AW104" t="str">
            <v>Đỗ Văn Hiếu5</v>
          </cell>
          <cell r="AX104" t="str">
            <v>Nga</v>
          </cell>
        </row>
        <row r="105">
          <cell r="D105" t="str">
            <v>Phùng Hữu Biên</v>
          </cell>
          <cell r="AF105" t="str">
            <v>XE00714</v>
          </cell>
          <cell r="AH105">
            <v>9.02</v>
          </cell>
          <cell r="AW105" t="str">
            <v>Phùng Hữu Biên3</v>
          </cell>
          <cell r="AX105" t="str">
            <v>Nga</v>
          </cell>
        </row>
        <row r="106">
          <cell r="D106" t="str">
            <v>Phùng Hữu Biên</v>
          </cell>
          <cell r="AF106" t="str">
            <v>XE00714</v>
          </cell>
          <cell r="AH106">
            <v>9.42</v>
          </cell>
          <cell r="AW106" t="str">
            <v>Phùng Hữu Biên4</v>
          </cell>
          <cell r="AX106" t="str">
            <v>Nga</v>
          </cell>
        </row>
        <row r="107">
          <cell r="D107" t="str">
            <v>Nguyễn Đức Tâm</v>
          </cell>
          <cell r="AF107" t="str">
            <v>XE00674</v>
          </cell>
          <cell r="AH107">
            <v>8.620000000000001</v>
          </cell>
          <cell r="AW107" t="str">
            <v>Nguyễn Đức Tâm4</v>
          </cell>
          <cell r="AX107" t="str">
            <v>Nga</v>
          </cell>
        </row>
        <row r="108">
          <cell r="D108" t="str">
            <v>Nguyễn Đức Tâm</v>
          </cell>
          <cell r="AF108" t="str">
            <v>XE00674</v>
          </cell>
          <cell r="AH108">
            <v>9.82</v>
          </cell>
          <cell r="AW108" t="str">
            <v>Nguyễn Đức Tâm5</v>
          </cell>
          <cell r="AX108" t="str">
            <v>Nga</v>
          </cell>
        </row>
        <row r="109">
          <cell r="D109" t="str">
            <v>Nguyễn Ngọc Lâm</v>
          </cell>
          <cell r="AF109" t="str">
            <v>XE01168</v>
          </cell>
          <cell r="AH109">
            <v>9.82</v>
          </cell>
          <cell r="AW109" t="str">
            <v>Nguyễn Ngọc Lâm3</v>
          </cell>
          <cell r="AX109" t="str">
            <v>Nga</v>
          </cell>
        </row>
        <row r="110">
          <cell r="D110" t="str">
            <v>Nguyễn Ngọc Lâm</v>
          </cell>
          <cell r="AF110" t="str">
            <v>XE01168</v>
          </cell>
          <cell r="AH110">
            <v>9.82</v>
          </cell>
          <cell r="AW110" t="str">
            <v>Nguyễn Ngọc Lâm4</v>
          </cell>
          <cell r="AX110" t="str">
            <v>Nga</v>
          </cell>
        </row>
        <row r="111">
          <cell r="D111" t="str">
            <v>Nguyễn Ngọc Lâm</v>
          </cell>
          <cell r="AF111" t="str">
            <v>XE01168</v>
          </cell>
          <cell r="AH111">
            <v>9.82</v>
          </cell>
          <cell r="AW111" t="str">
            <v>Nguyễn Ngọc Lâm5</v>
          </cell>
          <cell r="AX111" t="str">
            <v>Nga</v>
          </cell>
        </row>
        <row r="112">
          <cell r="D112" t="str">
            <v>Nguyễn Trung Kiên 1986</v>
          </cell>
          <cell r="AF112" t="str">
            <v>XE00971</v>
          </cell>
          <cell r="AH112">
            <v>9.42</v>
          </cell>
          <cell r="AW112" t="str">
            <v>Nguyễn Trung Kiên 19863</v>
          </cell>
          <cell r="AX112" t="str">
            <v>Nga</v>
          </cell>
        </row>
        <row r="113">
          <cell r="D113" t="str">
            <v>Nguyễn Trung Kiên 1995</v>
          </cell>
          <cell r="AF113" t="str">
            <v>XE01036</v>
          </cell>
          <cell r="AH113">
            <v>9.42</v>
          </cell>
          <cell r="AW113" t="str">
            <v>Nguyễn Trung Kiên 19953</v>
          </cell>
          <cell r="AX113" t="str">
            <v>Nga</v>
          </cell>
        </row>
        <row r="114">
          <cell r="D114" t="str">
            <v>Nguyễn Minh Quang</v>
          </cell>
          <cell r="AF114" t="str">
            <v>XE01188</v>
          </cell>
          <cell r="AH114">
            <v>9.42</v>
          </cell>
          <cell r="AW114" t="str">
            <v>Nguyễn Minh Quang3</v>
          </cell>
          <cell r="AX114" t="str">
            <v>Nga</v>
          </cell>
        </row>
        <row r="115">
          <cell r="D115" t="str">
            <v>Nguyễn Đức Quang</v>
          </cell>
          <cell r="AF115" t="str">
            <v>XE00320</v>
          </cell>
          <cell r="AH115">
            <v>9.42</v>
          </cell>
          <cell r="AW115" t="str">
            <v>Nguyễn Đức Quang3</v>
          </cell>
          <cell r="AX115" t="str">
            <v>Nga</v>
          </cell>
        </row>
        <row r="116">
          <cell r="D116" t="str">
            <v>Hà Văn Dũng</v>
          </cell>
          <cell r="AF116" t="str">
            <v>XE00326</v>
          </cell>
          <cell r="AH116">
            <v>9.42</v>
          </cell>
          <cell r="AW116" t="str">
            <v>Hà Văn Dũng3</v>
          </cell>
          <cell r="AX116" t="str">
            <v>Nga</v>
          </cell>
        </row>
        <row r="117">
          <cell r="D117" t="str">
            <v>Nguyễn Tuấn Anh 1978</v>
          </cell>
          <cell r="AF117" t="str">
            <v>XE00524</v>
          </cell>
          <cell r="AH117">
            <v>9.82</v>
          </cell>
          <cell r="AW117" t="str">
            <v>Nguyễn Tuấn Anh 19783</v>
          </cell>
          <cell r="AX117" t="str">
            <v>Nga</v>
          </cell>
        </row>
        <row r="118">
          <cell r="D118" t="str">
            <v>Hoàng Việt Cường</v>
          </cell>
          <cell r="AF118" t="str">
            <v>XE00248</v>
          </cell>
          <cell r="AH118">
            <v>9.42</v>
          </cell>
          <cell r="AW118" t="str">
            <v>Hoàng Việt Cường3</v>
          </cell>
          <cell r="AX118" t="str">
            <v>Nga</v>
          </cell>
        </row>
        <row r="119">
          <cell r="D119" t="str">
            <v>Hoàng Cát Giao</v>
          </cell>
          <cell r="AF119" t="str">
            <v>XE00734</v>
          </cell>
          <cell r="AH119">
            <v>8.44</v>
          </cell>
          <cell r="AW119" t="str">
            <v>Hoàng Cát Giao4</v>
          </cell>
          <cell r="AX119" t="str">
            <v>Nga</v>
          </cell>
        </row>
        <row r="120">
          <cell r="D120" t="str">
            <v>Nguyễn Duy Hà</v>
          </cell>
          <cell r="AF120" t="str">
            <v>XE00799</v>
          </cell>
          <cell r="AH120">
            <v>9.42</v>
          </cell>
          <cell r="AW120" t="str">
            <v>Nguyễn Duy Hà4</v>
          </cell>
          <cell r="AX120" t="str">
            <v>Nga</v>
          </cell>
        </row>
        <row r="121">
          <cell r="D121" t="str">
            <v>Nguyễn Thanh Bình</v>
          </cell>
          <cell r="AF121" t="str">
            <v>XE00825</v>
          </cell>
          <cell r="AH121">
            <v>9.02</v>
          </cell>
          <cell r="AW121" t="str">
            <v>Nguyễn Thanh Bình4</v>
          </cell>
          <cell r="AX121" t="str">
            <v>Nga</v>
          </cell>
        </row>
        <row r="122">
          <cell r="D122" t="str">
            <v>Vũ Duy Long</v>
          </cell>
          <cell r="AF122" t="str">
            <v>XE00721</v>
          </cell>
          <cell r="AH122">
            <v>9.02</v>
          </cell>
          <cell r="AW122" t="str">
            <v>Vũ Duy Long4</v>
          </cell>
          <cell r="AX122" t="str">
            <v>Nga</v>
          </cell>
        </row>
        <row r="123">
          <cell r="D123" t="str">
            <v>Phùng Kim Tiến</v>
          </cell>
          <cell r="AF123" t="str">
            <v>XE01242</v>
          </cell>
          <cell r="AH123">
            <v>9.42</v>
          </cell>
          <cell r="AW123" t="str">
            <v>Phùng Kim Tiến4</v>
          </cell>
          <cell r="AX123" t="str">
            <v>Nga</v>
          </cell>
        </row>
        <row r="124">
          <cell r="D124" t="str">
            <v>Phùng Kim Tiến</v>
          </cell>
          <cell r="AF124" t="str">
            <v>XE01242</v>
          </cell>
          <cell r="AH124">
            <v>9.42</v>
          </cell>
          <cell r="AW124" t="str">
            <v>Phùng Kim Tiến5</v>
          </cell>
          <cell r="AX124" t="str">
            <v>Nga</v>
          </cell>
        </row>
        <row r="125">
          <cell r="D125" t="str">
            <v>Phùng Kim Tiến</v>
          </cell>
          <cell r="AF125" t="str">
            <v>XE01242</v>
          </cell>
          <cell r="AH125">
            <v>9.82</v>
          </cell>
          <cell r="AW125" t="str">
            <v>Phùng Kim Tiến6</v>
          </cell>
          <cell r="AX125" t="str">
            <v>Nga</v>
          </cell>
        </row>
        <row r="126">
          <cell r="D126" t="str">
            <v>Nguyễn Quang Tuấn</v>
          </cell>
          <cell r="AF126" t="str">
            <v>XE00813</v>
          </cell>
          <cell r="AH126">
            <v>9.42</v>
          </cell>
          <cell r="AW126" t="str">
            <v>Nguyễn Quang Tuấn4</v>
          </cell>
          <cell r="AX126" t="str">
            <v>Nga</v>
          </cell>
        </row>
        <row r="127">
          <cell r="D127" t="str">
            <v>Tưởng Tuấn Nam</v>
          </cell>
          <cell r="AF127" t="str">
            <v>XE00964</v>
          </cell>
          <cell r="AH127">
            <v>10</v>
          </cell>
          <cell r="AW127" t="str">
            <v>Tưởng Tuấn Nam4</v>
          </cell>
          <cell r="AX127" t="str">
            <v>Nga</v>
          </cell>
        </row>
        <row r="128">
          <cell r="D128" t="str">
            <v>Tưởng Tuấn Nam</v>
          </cell>
          <cell r="AF128" t="str">
            <v>XE00964</v>
          </cell>
          <cell r="AH128">
            <v>8.84</v>
          </cell>
          <cell r="AW128" t="str">
            <v>Tưởng Tuấn Nam5</v>
          </cell>
          <cell r="AX128" t="str">
            <v>Nga</v>
          </cell>
        </row>
        <row r="129">
          <cell r="D129" t="str">
            <v>Tưởng Tuấn Nam</v>
          </cell>
          <cell r="AF129" t="str">
            <v>XE00964</v>
          </cell>
          <cell r="AH129">
            <v>9.42</v>
          </cell>
          <cell r="AW129" t="str">
            <v>Tưởng Tuấn Nam6</v>
          </cell>
          <cell r="AX129" t="str">
            <v>Nga</v>
          </cell>
        </row>
        <row r="130">
          <cell r="D130" t="str">
            <v>Nguyễn Đức Phong</v>
          </cell>
          <cell r="AF130" t="str">
            <v>XE00737</v>
          </cell>
          <cell r="AH130">
            <v>9.42</v>
          </cell>
          <cell r="AW130" t="str">
            <v>Nguyễn Đức Phong4</v>
          </cell>
          <cell r="AX130" t="str">
            <v>Nga</v>
          </cell>
        </row>
        <row r="131">
          <cell r="D131" t="str">
            <v>Nguyễn Đức Phong</v>
          </cell>
          <cell r="AF131" t="str">
            <v>XE00737</v>
          </cell>
          <cell r="AH131">
            <v>9.02</v>
          </cell>
          <cell r="AW131" t="str">
            <v>Nguyễn Đức Phong5</v>
          </cell>
          <cell r="AX131" t="str">
            <v>Nga</v>
          </cell>
        </row>
        <row r="132">
          <cell r="D132" t="str">
            <v>Ngô Xuân Nam</v>
          </cell>
          <cell r="AF132" t="str">
            <v>XE01669</v>
          </cell>
          <cell r="AH132">
            <v>10</v>
          </cell>
          <cell r="AW132" t="str">
            <v>Ngô Xuân Nam3</v>
          </cell>
          <cell r="AX132" t="str">
            <v>Nga</v>
          </cell>
        </row>
        <row r="133">
          <cell r="D133" t="str">
            <v>Ngô Xuân Nam</v>
          </cell>
          <cell r="AF133" t="str">
            <v>XE01669</v>
          </cell>
          <cell r="AH133">
            <v>9.6199999999999992</v>
          </cell>
          <cell r="AW133" t="str">
            <v>Ngô Xuân Nam4</v>
          </cell>
          <cell r="AX133" t="str">
            <v>Nga</v>
          </cell>
        </row>
        <row r="134">
          <cell r="D134" t="str">
            <v>Trần Văn Thiện</v>
          </cell>
          <cell r="AF134" t="str">
            <v>XE00658</v>
          </cell>
          <cell r="AH134">
            <v>9.42</v>
          </cell>
          <cell r="AW134" t="str">
            <v>Trần Văn Thiện3</v>
          </cell>
          <cell r="AX134" t="str">
            <v>Nga</v>
          </cell>
        </row>
        <row r="135">
          <cell r="D135" t="str">
            <v>Phạm Văn Hà</v>
          </cell>
          <cell r="AF135" t="str">
            <v>XE00063</v>
          </cell>
          <cell r="AH135">
            <v>7.82</v>
          </cell>
          <cell r="AW135" t="str">
            <v>Phạm Văn Hà3</v>
          </cell>
          <cell r="AX135" t="str">
            <v>Nga</v>
          </cell>
        </row>
        <row r="136">
          <cell r="D136" t="str">
            <v>Lê Văn Liệu</v>
          </cell>
          <cell r="AF136" t="str">
            <v>XE00054</v>
          </cell>
          <cell r="AH136">
            <v>9.82</v>
          </cell>
          <cell r="AW136" t="str">
            <v>Lê Văn Liệu3</v>
          </cell>
          <cell r="AX136" t="str">
            <v>Nga</v>
          </cell>
        </row>
        <row r="137">
          <cell r="D137" t="str">
            <v>Phạm Huy Toàn</v>
          </cell>
          <cell r="AF137" t="str">
            <v>XE00234</v>
          </cell>
          <cell r="AH137">
            <v>9.02</v>
          </cell>
          <cell r="AW137" t="str">
            <v>Phạm Huy Toàn3</v>
          </cell>
          <cell r="AX137" t="str">
            <v>Nga</v>
          </cell>
        </row>
        <row r="138">
          <cell r="D138" t="str">
            <v>Vũ Văn Hiển</v>
          </cell>
          <cell r="AF138" t="str">
            <v>XE00148</v>
          </cell>
          <cell r="AH138">
            <v>9.42</v>
          </cell>
          <cell r="AW138" t="str">
            <v>Vũ Văn Hiển3</v>
          </cell>
          <cell r="AX138" t="str">
            <v>Nga</v>
          </cell>
        </row>
        <row r="139">
          <cell r="D139" t="str">
            <v>Lê Văn Đảm</v>
          </cell>
          <cell r="AF139" t="str">
            <v>XE00187</v>
          </cell>
          <cell r="AH139">
            <v>9.64</v>
          </cell>
          <cell r="AW139" t="str">
            <v>Lê Văn Đảm2</v>
          </cell>
          <cell r="AX139" t="str">
            <v>Nga</v>
          </cell>
        </row>
        <row r="140">
          <cell r="D140" t="str">
            <v>Lê Văn Đảm</v>
          </cell>
          <cell r="AF140" t="str">
            <v>XE00187</v>
          </cell>
          <cell r="AH140">
            <v>9.02</v>
          </cell>
          <cell r="AW140" t="str">
            <v>Lê Văn Đảm3</v>
          </cell>
          <cell r="AX140" t="str">
            <v>Nga</v>
          </cell>
        </row>
        <row r="141">
          <cell r="D141" t="str">
            <v>Phạm Văn Ký</v>
          </cell>
          <cell r="AF141" t="str">
            <v>XE00257</v>
          </cell>
          <cell r="AH141">
            <v>9.42</v>
          </cell>
          <cell r="AW141" t="str">
            <v>Phạm Văn Ký4</v>
          </cell>
          <cell r="AX141" t="str">
            <v>Nga</v>
          </cell>
        </row>
        <row r="142">
          <cell r="D142" t="str">
            <v>Lê Văn Thắng</v>
          </cell>
          <cell r="AF142" t="str">
            <v>XE00242</v>
          </cell>
          <cell r="AH142">
            <v>7.6400000000000006</v>
          </cell>
          <cell r="AW142" t="str">
            <v>Lê Văn Thắng4</v>
          </cell>
          <cell r="AX142" t="str">
            <v>Nga</v>
          </cell>
        </row>
        <row r="143">
          <cell r="D143" t="str">
            <v>Lê Văn Thắng</v>
          </cell>
          <cell r="AF143" t="str">
            <v>XE00242</v>
          </cell>
          <cell r="AH143">
            <v>9.82</v>
          </cell>
          <cell r="AW143" t="str">
            <v>Lê Văn Thắng5</v>
          </cell>
          <cell r="AX143" t="str">
            <v>Nga</v>
          </cell>
        </row>
        <row r="144">
          <cell r="D144" t="str">
            <v>Nguyễn Đức Thuận</v>
          </cell>
          <cell r="AF144" t="str">
            <v>XE00160</v>
          </cell>
          <cell r="AH144">
            <v>9.82</v>
          </cell>
          <cell r="AW144" t="str">
            <v>Nguyễn Đức Thuận4</v>
          </cell>
          <cell r="AX144" t="str">
            <v>Nga</v>
          </cell>
        </row>
        <row r="145">
          <cell r="D145" t="str">
            <v>Nguyễn Đức Thuận</v>
          </cell>
          <cell r="AF145" t="str">
            <v>XE00160</v>
          </cell>
          <cell r="AH145">
            <v>8.84</v>
          </cell>
          <cell r="AW145" t="str">
            <v>Nguyễn Đức Thuận5</v>
          </cell>
          <cell r="AX145" t="str">
            <v>Nga</v>
          </cell>
        </row>
        <row r="146">
          <cell r="D146" t="str">
            <v>Trần Trung Kiên</v>
          </cell>
          <cell r="AF146" t="str">
            <v>XE00274</v>
          </cell>
          <cell r="AH146">
            <v>9.42</v>
          </cell>
          <cell r="AW146" t="str">
            <v>Trần Trung Kiên6</v>
          </cell>
          <cell r="AX146" t="str">
            <v>Nga</v>
          </cell>
        </row>
        <row r="147">
          <cell r="D147" t="str">
            <v>Trần Trung Kiên</v>
          </cell>
          <cell r="AF147" t="str">
            <v>XE00274</v>
          </cell>
          <cell r="AH147">
            <v>9.42</v>
          </cell>
          <cell r="AW147" t="str">
            <v>Trần Trung Kiên7</v>
          </cell>
          <cell r="AX147" t="str">
            <v>Nga</v>
          </cell>
        </row>
        <row r="148">
          <cell r="D148" t="str">
            <v>Vũ Đức Duẩn</v>
          </cell>
          <cell r="AF148" t="str">
            <v>XE00441</v>
          </cell>
          <cell r="AH148">
            <v>8.44</v>
          </cell>
          <cell r="AW148" t="str">
            <v>Vũ Đức Duẩn5</v>
          </cell>
          <cell r="AX148" t="str">
            <v>Nga</v>
          </cell>
        </row>
        <row r="149">
          <cell r="D149" t="str">
            <v>Vũ Đức Duẩn</v>
          </cell>
          <cell r="AF149" t="str">
            <v>XE00441</v>
          </cell>
          <cell r="AH149">
            <v>9.82</v>
          </cell>
          <cell r="AW149" t="str">
            <v>Vũ Đức Duẩn6</v>
          </cell>
          <cell r="AX149" t="str">
            <v>Nga</v>
          </cell>
        </row>
        <row r="150">
          <cell r="D150" t="str">
            <v>Đỗ Văn Hiếu</v>
          </cell>
          <cell r="AF150" t="str">
            <v>XE00285</v>
          </cell>
          <cell r="AH150">
            <v>8.2200000000000006</v>
          </cell>
          <cell r="AW150" t="str">
            <v>Đỗ Văn Hiếu6</v>
          </cell>
          <cell r="AX150" t="str">
            <v>Nga</v>
          </cell>
        </row>
        <row r="151">
          <cell r="D151" t="str">
            <v>Đỗ Văn Hiếu</v>
          </cell>
          <cell r="AF151" t="str">
            <v>XE00285</v>
          </cell>
          <cell r="AH151">
            <v>9.42</v>
          </cell>
          <cell r="AW151" t="str">
            <v>Đỗ Văn Hiếu7</v>
          </cell>
          <cell r="AX151" t="str">
            <v>Nga</v>
          </cell>
        </row>
        <row r="152">
          <cell r="D152" t="str">
            <v>Phùng Hữu Biên</v>
          </cell>
          <cell r="AF152" t="str">
            <v>XE00714</v>
          </cell>
          <cell r="AH152">
            <v>8.620000000000001</v>
          </cell>
          <cell r="AW152" t="str">
            <v>Phùng Hữu Biên5</v>
          </cell>
          <cell r="AX152" t="str">
            <v>Nga</v>
          </cell>
        </row>
        <row r="153">
          <cell r="D153" t="str">
            <v>Phùng Hữu Biên</v>
          </cell>
          <cell r="AF153" t="str">
            <v>XE00714</v>
          </cell>
          <cell r="AH153">
            <v>9.42</v>
          </cell>
          <cell r="AW153" t="str">
            <v>Phùng Hữu Biên6</v>
          </cell>
          <cell r="AX153" t="str">
            <v>Nga</v>
          </cell>
        </row>
        <row r="154">
          <cell r="D154" t="str">
            <v>Nguyễn Đức Tâm</v>
          </cell>
          <cell r="AF154" t="str">
            <v>XE00674</v>
          </cell>
          <cell r="AH154">
            <v>9.2199999999999989</v>
          </cell>
          <cell r="AW154" t="str">
            <v>Nguyễn Đức Tâm6</v>
          </cell>
          <cell r="AX154" t="str">
            <v>Nga</v>
          </cell>
        </row>
        <row r="155">
          <cell r="D155" t="str">
            <v>Nguyễn Đức Tâm</v>
          </cell>
          <cell r="AF155" t="str">
            <v>XE00674</v>
          </cell>
          <cell r="AH155">
            <v>9.02</v>
          </cell>
          <cell r="AW155" t="str">
            <v>Nguyễn Đức Tâm7</v>
          </cell>
          <cell r="AX155" t="str">
            <v>Nga</v>
          </cell>
        </row>
        <row r="156">
          <cell r="D156" t="str">
            <v>Đinh Công Cường</v>
          </cell>
          <cell r="AF156" t="str">
            <v>XE00791</v>
          </cell>
          <cell r="AH156">
            <v>9.42</v>
          </cell>
          <cell r="AW156" t="str">
            <v>Đinh Công Cường5</v>
          </cell>
          <cell r="AX156" t="str">
            <v>Nga</v>
          </cell>
        </row>
        <row r="157">
          <cell r="D157" t="str">
            <v>Nguyễn Ngọc Lâm</v>
          </cell>
          <cell r="AF157" t="str">
            <v>XE01168</v>
          </cell>
          <cell r="AH157">
            <v>9.82</v>
          </cell>
          <cell r="AW157" t="str">
            <v>Nguyễn Ngọc Lâm6</v>
          </cell>
          <cell r="AX157" t="str">
            <v>Nga</v>
          </cell>
        </row>
        <row r="158">
          <cell r="D158" t="str">
            <v>Nguyễn Trung Kiên 1986</v>
          </cell>
          <cell r="AF158" t="str">
            <v>XE00971</v>
          </cell>
          <cell r="AH158">
            <v>9.42</v>
          </cell>
          <cell r="AW158" t="str">
            <v>Nguyễn Trung Kiên 19864</v>
          </cell>
          <cell r="AX158" t="str">
            <v>Nga</v>
          </cell>
        </row>
        <row r="159">
          <cell r="D159" t="str">
            <v>Nguyễn Trung Kiên 1995</v>
          </cell>
          <cell r="AF159" t="str">
            <v>XE01036</v>
          </cell>
          <cell r="AH159">
            <v>9.82</v>
          </cell>
          <cell r="AW159" t="str">
            <v>Nguyễn Trung Kiên 19954</v>
          </cell>
          <cell r="AX159" t="str">
            <v>Nga</v>
          </cell>
        </row>
        <row r="160">
          <cell r="D160" t="str">
            <v>Nguyễn Minh Quang</v>
          </cell>
          <cell r="AF160" t="str">
            <v>XE01188</v>
          </cell>
          <cell r="AH160">
            <v>9.42</v>
          </cell>
          <cell r="AW160" t="str">
            <v>Nguyễn Minh Quang4</v>
          </cell>
          <cell r="AX160" t="str">
            <v>Nga</v>
          </cell>
        </row>
        <row r="161">
          <cell r="D161" t="str">
            <v>Tạ Văn Nam</v>
          </cell>
          <cell r="AF161" t="str">
            <v>XE01437</v>
          </cell>
          <cell r="AH161">
            <v>9.42</v>
          </cell>
          <cell r="AW161" t="str">
            <v>Tạ Văn Nam4</v>
          </cell>
          <cell r="AX161" t="str">
            <v>Nga</v>
          </cell>
        </row>
        <row r="162">
          <cell r="D162" t="str">
            <v>Vũ Đức Toàn</v>
          </cell>
          <cell r="AF162" t="str">
            <v>XE00295</v>
          </cell>
          <cell r="AH162">
            <v>9.42</v>
          </cell>
          <cell r="AW162" t="str">
            <v>Vũ Đức Toàn3</v>
          </cell>
          <cell r="AX162" t="str">
            <v>Nga</v>
          </cell>
        </row>
        <row r="163">
          <cell r="D163" t="str">
            <v>Vũ Đức Toàn</v>
          </cell>
          <cell r="AF163" t="str">
            <v>XE00295</v>
          </cell>
          <cell r="AH163">
            <v>9.02</v>
          </cell>
          <cell r="AW163" t="str">
            <v>Vũ Đức Toàn4</v>
          </cell>
          <cell r="AX163" t="str">
            <v>Nga</v>
          </cell>
        </row>
        <row r="164">
          <cell r="D164" t="str">
            <v>Nguyễn Đức Quang</v>
          </cell>
          <cell r="AF164" t="str">
            <v>XE00320</v>
          </cell>
          <cell r="AH164">
            <v>9.42</v>
          </cell>
          <cell r="AW164" t="str">
            <v>Nguyễn Đức Quang4</v>
          </cell>
          <cell r="AX164" t="str">
            <v>Nga</v>
          </cell>
        </row>
        <row r="165">
          <cell r="D165" t="str">
            <v>Hà Văn Dũng</v>
          </cell>
          <cell r="AF165" t="str">
            <v>XE00326</v>
          </cell>
          <cell r="AH165">
            <v>9.82</v>
          </cell>
          <cell r="AW165" t="str">
            <v>Hà Văn Dũng4</v>
          </cell>
          <cell r="AX165" t="str">
            <v>Nga</v>
          </cell>
        </row>
        <row r="166">
          <cell r="D166" t="str">
            <v>Đào Trung Đức</v>
          </cell>
          <cell r="AF166" t="str">
            <v>XE00366</v>
          </cell>
          <cell r="AH166">
            <v>9.42</v>
          </cell>
          <cell r="AW166" t="str">
            <v>Đào Trung Đức4</v>
          </cell>
          <cell r="AX166" t="str">
            <v>Nga</v>
          </cell>
        </row>
        <row r="167">
          <cell r="D167" t="str">
            <v>Nguyễn Chí Quốc</v>
          </cell>
          <cell r="AF167" t="str">
            <v>XE00309</v>
          </cell>
          <cell r="AH167">
            <v>9.82</v>
          </cell>
          <cell r="AW167" t="str">
            <v>Nguyễn Chí Quốc5</v>
          </cell>
          <cell r="AX167" t="str">
            <v>Nga</v>
          </cell>
        </row>
        <row r="168">
          <cell r="D168" t="str">
            <v>Nguyễn Tuấn Anh 1978</v>
          </cell>
          <cell r="AF168" t="str">
            <v>XE00524</v>
          </cell>
          <cell r="AH168">
            <v>9.42</v>
          </cell>
          <cell r="AW168" t="str">
            <v>Nguyễn Tuấn Anh 19784</v>
          </cell>
          <cell r="AX168" t="str">
            <v>Nga</v>
          </cell>
        </row>
        <row r="169">
          <cell r="D169" t="str">
            <v>Hoàng Việt Cường</v>
          </cell>
          <cell r="AF169" t="str">
            <v>XE00248</v>
          </cell>
          <cell r="AH169">
            <v>9.42</v>
          </cell>
          <cell r="AW169" t="str">
            <v>Hoàng Việt Cường4</v>
          </cell>
          <cell r="AX169" t="str">
            <v>Nga</v>
          </cell>
        </row>
        <row r="170">
          <cell r="D170" t="str">
            <v>Hoàng Việt Cường</v>
          </cell>
          <cell r="AF170" t="str">
            <v>XE00248</v>
          </cell>
          <cell r="AH170">
            <v>8.44</v>
          </cell>
          <cell r="AW170" t="str">
            <v>Hoàng Việt Cường5</v>
          </cell>
          <cell r="AX170" t="str">
            <v>Nga</v>
          </cell>
        </row>
        <row r="171">
          <cell r="D171" t="str">
            <v>Hoàng Việt Cường</v>
          </cell>
          <cell r="AF171" t="str">
            <v>XE00248</v>
          </cell>
          <cell r="AH171">
            <v>9.82</v>
          </cell>
          <cell r="AW171" t="str">
            <v>Hoàng Việt Cường6</v>
          </cell>
          <cell r="AX171" t="str">
            <v>Nga</v>
          </cell>
        </row>
        <row r="172">
          <cell r="D172" t="str">
            <v>Hoàng Cát Giao</v>
          </cell>
          <cell r="AF172" t="str">
            <v>XE00734</v>
          </cell>
          <cell r="AH172">
            <v>9.42</v>
          </cell>
          <cell r="AW172" t="str">
            <v>Hoàng Cát Giao5</v>
          </cell>
          <cell r="AX172" t="str">
            <v>Nga</v>
          </cell>
        </row>
        <row r="173">
          <cell r="D173" t="str">
            <v>Nguyễn Duy Hà</v>
          </cell>
          <cell r="AF173" t="str">
            <v>XE00799</v>
          </cell>
          <cell r="AH173">
            <v>9.0399999999999991</v>
          </cell>
          <cell r="AW173" t="str">
            <v>Nguyễn Duy Hà5</v>
          </cell>
          <cell r="AX173" t="str">
            <v>Nga</v>
          </cell>
        </row>
        <row r="174">
          <cell r="D174" t="str">
            <v>Nguyễn Thanh Bình</v>
          </cell>
          <cell r="AF174" t="str">
            <v>XE00825</v>
          </cell>
          <cell r="AH174">
            <v>9.82</v>
          </cell>
          <cell r="AW174" t="str">
            <v>Nguyễn Thanh Bình5</v>
          </cell>
          <cell r="AX174" t="str">
            <v>Nga</v>
          </cell>
        </row>
        <row r="175">
          <cell r="D175" t="str">
            <v>Vũ Duy Long</v>
          </cell>
          <cell r="AF175" t="str">
            <v>XE00721</v>
          </cell>
          <cell r="AH175">
            <v>8.84</v>
          </cell>
          <cell r="AW175" t="str">
            <v>Vũ Duy Long5</v>
          </cell>
          <cell r="AX175" t="str">
            <v>Nga</v>
          </cell>
        </row>
        <row r="176">
          <cell r="D176" t="str">
            <v>Phùng Kim Tiến</v>
          </cell>
          <cell r="AF176" t="str">
            <v>XE01242</v>
          </cell>
          <cell r="AH176">
            <v>9.42</v>
          </cell>
          <cell r="AW176" t="str">
            <v>Phùng Kim Tiến7</v>
          </cell>
          <cell r="AX176" t="str">
            <v>Nga</v>
          </cell>
        </row>
        <row r="177">
          <cell r="D177" t="str">
            <v>Nguyễn Quang Tuấn</v>
          </cell>
          <cell r="AF177" t="str">
            <v>XE00813</v>
          </cell>
          <cell r="AH177">
            <v>9.82</v>
          </cell>
          <cell r="AW177" t="str">
            <v>Nguyễn Quang Tuấn5</v>
          </cell>
          <cell r="AX177" t="str">
            <v>Nga</v>
          </cell>
        </row>
        <row r="178">
          <cell r="D178" t="str">
            <v>Tưởng Tuấn Nam</v>
          </cell>
          <cell r="AF178" t="str">
            <v>XE00964</v>
          </cell>
          <cell r="AH178">
            <v>9.42</v>
          </cell>
          <cell r="AW178" t="str">
            <v>Tưởng Tuấn Nam7</v>
          </cell>
          <cell r="AX178" t="str">
            <v>Nga</v>
          </cell>
        </row>
        <row r="179">
          <cell r="D179" t="str">
            <v>Trương Minh Quân</v>
          </cell>
          <cell r="AF179" t="str">
            <v>XE01077</v>
          </cell>
          <cell r="AH179">
            <v>9.82</v>
          </cell>
          <cell r="AW179" t="str">
            <v>Trương Minh Quân3</v>
          </cell>
          <cell r="AX179" t="str">
            <v>Nga</v>
          </cell>
        </row>
        <row r="180">
          <cell r="D180" t="str">
            <v>Trương Minh Quân</v>
          </cell>
          <cell r="AF180" t="str">
            <v>XE01077</v>
          </cell>
          <cell r="AH180">
            <v>9.82</v>
          </cell>
          <cell r="AW180" t="str">
            <v>Trương Minh Quân4</v>
          </cell>
          <cell r="AX180" t="str">
            <v>Nga</v>
          </cell>
        </row>
        <row r="181">
          <cell r="D181" t="str">
            <v>Đỗ Văn Phương</v>
          </cell>
          <cell r="AF181" t="str">
            <v>XE01605</v>
          </cell>
          <cell r="AH181">
            <v>9.02</v>
          </cell>
          <cell r="AW181" t="str">
            <v>Đỗ Văn Phương3</v>
          </cell>
          <cell r="AX181" t="str">
            <v>Nga</v>
          </cell>
        </row>
        <row r="182">
          <cell r="D182" t="str">
            <v>Đỗ Văn Phương</v>
          </cell>
          <cell r="AF182" t="str">
            <v>XE01605</v>
          </cell>
          <cell r="AH182">
            <v>8.84</v>
          </cell>
          <cell r="AW182" t="str">
            <v>Đỗ Văn Phương4</v>
          </cell>
          <cell r="AX182" t="str">
            <v>Nga</v>
          </cell>
        </row>
        <row r="183">
          <cell r="D183" t="str">
            <v>Nguyễn Đức Phong</v>
          </cell>
          <cell r="AF183" t="str">
            <v>XE00737</v>
          </cell>
          <cell r="AH183">
            <v>9.42</v>
          </cell>
          <cell r="AW183" t="str">
            <v>Nguyễn Đức Phong6</v>
          </cell>
          <cell r="AX183" t="str">
            <v>Nga</v>
          </cell>
        </row>
        <row r="184">
          <cell r="D184" t="str">
            <v>Trần Văn Thiện</v>
          </cell>
          <cell r="AF184" t="str">
            <v>XE00658</v>
          </cell>
          <cell r="AH184">
            <v>9.82</v>
          </cell>
          <cell r="AW184" t="str">
            <v>Trần Văn Thiện4</v>
          </cell>
          <cell r="AX184" t="str">
            <v>Nga</v>
          </cell>
        </row>
        <row r="185">
          <cell r="D185" t="str">
            <v>Phạm Văn Hà</v>
          </cell>
          <cell r="AF185" t="str">
            <v>XE00063</v>
          </cell>
          <cell r="AH185">
            <v>10</v>
          </cell>
          <cell r="AW185" t="str">
            <v>Phạm Văn Hà4</v>
          </cell>
          <cell r="AX185" t="str">
            <v>Nga</v>
          </cell>
        </row>
        <row r="186">
          <cell r="D186" t="str">
            <v>Lê Văn Liệu</v>
          </cell>
          <cell r="AF186" t="str">
            <v>XE00054</v>
          </cell>
          <cell r="AH186">
            <v>9.6199999999999992</v>
          </cell>
          <cell r="AW186" t="str">
            <v>Lê Văn Liệu4</v>
          </cell>
          <cell r="AX186" t="str">
            <v>Nga</v>
          </cell>
        </row>
        <row r="187">
          <cell r="D187" t="str">
            <v>Phạm Huy Toàn</v>
          </cell>
          <cell r="AF187" t="str">
            <v>XE00234</v>
          </cell>
          <cell r="AH187">
            <v>9.82</v>
          </cell>
          <cell r="AW187" t="str">
            <v>Phạm Huy Toàn4</v>
          </cell>
          <cell r="AX187" t="str">
            <v>Nga</v>
          </cell>
        </row>
        <row r="188">
          <cell r="D188" t="str">
            <v>Vũ Văn Hiển</v>
          </cell>
          <cell r="AF188" t="str">
            <v>XE00148</v>
          </cell>
          <cell r="AH188">
            <v>9.82</v>
          </cell>
          <cell r="AW188" t="str">
            <v>Vũ Văn Hiển4</v>
          </cell>
          <cell r="AX188" t="str">
            <v>Nga</v>
          </cell>
        </row>
        <row r="189">
          <cell r="D189" t="str">
            <v>Lê Văn Đảm</v>
          </cell>
          <cell r="AF189" t="str">
            <v>XE00187</v>
          </cell>
          <cell r="AH189">
            <v>9.42</v>
          </cell>
          <cell r="AW189" t="str">
            <v>Lê Văn Đảm4</v>
          </cell>
          <cell r="AX189" t="str">
            <v>Nga</v>
          </cell>
        </row>
        <row r="190">
          <cell r="D190" t="str">
            <v>Phạm Văn Ký</v>
          </cell>
          <cell r="AF190" t="str">
            <v>XE00257</v>
          </cell>
          <cell r="AH190">
            <v>8.44</v>
          </cell>
          <cell r="AW190" t="str">
            <v>Phạm Văn Ký5</v>
          </cell>
          <cell r="AX190" t="str">
            <v>Nga</v>
          </cell>
        </row>
        <row r="191">
          <cell r="D191" t="str">
            <v>Phạm Văn Ký</v>
          </cell>
          <cell r="AF191" t="str">
            <v>XE00257</v>
          </cell>
          <cell r="AH191">
            <v>9.82</v>
          </cell>
          <cell r="AW191" t="str">
            <v>Phạm Văn Ký6</v>
          </cell>
          <cell r="AX191" t="str">
            <v>Nga</v>
          </cell>
        </row>
        <row r="192">
          <cell r="D192" t="str">
            <v>Lê Văn Thắng</v>
          </cell>
          <cell r="AF192" t="str">
            <v>XE00242</v>
          </cell>
          <cell r="AH192">
            <v>8.84</v>
          </cell>
          <cell r="AW192" t="str">
            <v>Lê Văn Thắng6</v>
          </cell>
          <cell r="AX192" t="str">
            <v>Nga</v>
          </cell>
        </row>
        <row r="193">
          <cell r="D193" t="str">
            <v>Nguyễn Đức Thuận</v>
          </cell>
          <cell r="AF193" t="str">
            <v>XE00160</v>
          </cell>
          <cell r="AH193">
            <v>9.42</v>
          </cell>
          <cell r="AW193" t="str">
            <v>Nguyễn Đức Thuận6</v>
          </cell>
          <cell r="AX193" t="str">
            <v>Nga</v>
          </cell>
        </row>
        <row r="194">
          <cell r="D194" t="str">
            <v>Trần Trung Kiên</v>
          </cell>
          <cell r="AF194" t="str">
            <v>XE00274</v>
          </cell>
          <cell r="AH194">
            <v>9.42</v>
          </cell>
          <cell r="AW194" t="str">
            <v>Trần Trung Kiên8</v>
          </cell>
          <cell r="AX194" t="str">
            <v>Nga</v>
          </cell>
        </row>
        <row r="195">
          <cell r="D195" t="str">
            <v>Vũ Đức Duẩn</v>
          </cell>
          <cell r="AF195" t="str">
            <v>XE00441</v>
          </cell>
          <cell r="AH195">
            <v>9.42</v>
          </cell>
          <cell r="AW195" t="str">
            <v>Vũ Đức Duẩn7</v>
          </cell>
          <cell r="AX195" t="str">
            <v>Nga</v>
          </cell>
        </row>
        <row r="196">
          <cell r="D196" t="str">
            <v>Đỗ Văn Hiếu</v>
          </cell>
          <cell r="AF196" t="str">
            <v>XE00285</v>
          </cell>
          <cell r="AH196">
            <v>9.42</v>
          </cell>
          <cell r="AW196" t="str">
            <v>Đỗ Văn Hiếu8</v>
          </cell>
          <cell r="AX196" t="str">
            <v>Nga</v>
          </cell>
        </row>
        <row r="197">
          <cell r="D197" t="str">
            <v>Phùng Hữu Biên</v>
          </cell>
          <cell r="AF197" t="str">
            <v>XE00714</v>
          </cell>
          <cell r="AH197">
            <v>9.82</v>
          </cell>
          <cell r="AW197" t="str">
            <v>Phùng Hữu Biên7</v>
          </cell>
          <cell r="AX197" t="str">
            <v>Nga</v>
          </cell>
        </row>
        <row r="198">
          <cell r="D198" t="str">
            <v>Nguyễn Đức Tâm</v>
          </cell>
          <cell r="AF198" t="str">
            <v>XE00674</v>
          </cell>
          <cell r="AH198">
            <v>9.42</v>
          </cell>
          <cell r="AW198" t="str">
            <v>Nguyễn Đức Tâm8</v>
          </cell>
          <cell r="AX198" t="str">
            <v>Nga</v>
          </cell>
        </row>
        <row r="199">
          <cell r="D199" t="str">
            <v>Đinh Công Cường</v>
          </cell>
          <cell r="AF199" t="str">
            <v>XE00791</v>
          </cell>
          <cell r="AH199">
            <v>9.82</v>
          </cell>
          <cell r="AW199" t="str">
            <v>Đinh Công Cường6</v>
          </cell>
          <cell r="AX199" t="str">
            <v>Nga</v>
          </cell>
        </row>
        <row r="200">
          <cell r="D200" t="str">
            <v>Nguyễn Ngọc Lâm</v>
          </cell>
          <cell r="AF200" t="str">
            <v>XE01168</v>
          </cell>
          <cell r="AH200">
            <v>9.42</v>
          </cell>
          <cell r="AW200" t="str">
            <v>Nguyễn Ngọc Lâm7</v>
          </cell>
          <cell r="AX200" t="str">
            <v>Nga</v>
          </cell>
        </row>
        <row r="201">
          <cell r="D201" t="str">
            <v>Nguyễn Trung Kiên 1986</v>
          </cell>
          <cell r="AF201" t="str">
            <v>XE00971</v>
          </cell>
          <cell r="AH201">
            <v>9.42</v>
          </cell>
          <cell r="AW201" t="str">
            <v>Nguyễn Trung Kiên 19865</v>
          </cell>
          <cell r="AX201" t="str">
            <v>Nga</v>
          </cell>
        </row>
        <row r="202">
          <cell r="D202" t="str">
            <v>Nguyễn Trung Kiên 1995</v>
          </cell>
          <cell r="AF202" t="str">
            <v>XE01036</v>
          </cell>
          <cell r="AH202">
            <v>9.82</v>
          </cell>
          <cell r="AW202" t="str">
            <v>Nguyễn Trung Kiên 19955</v>
          </cell>
          <cell r="AX202" t="str">
            <v>Nga</v>
          </cell>
        </row>
        <row r="203">
          <cell r="D203" t="str">
            <v>Nguyễn Minh Quang</v>
          </cell>
          <cell r="AF203" t="str">
            <v>XE01188</v>
          </cell>
          <cell r="AH203">
            <v>8.84</v>
          </cell>
          <cell r="AW203" t="str">
            <v>Nguyễn Minh Quang5</v>
          </cell>
          <cell r="AX203" t="str">
            <v>Nga</v>
          </cell>
        </row>
        <row r="204">
          <cell r="D204" t="str">
            <v>Tạ Văn Nam</v>
          </cell>
          <cell r="AF204" t="str">
            <v>XE01437</v>
          </cell>
          <cell r="AH204">
            <v>9.82</v>
          </cell>
          <cell r="AW204" t="str">
            <v>Tạ Văn Nam5</v>
          </cell>
          <cell r="AX204" t="str">
            <v>Nga</v>
          </cell>
        </row>
        <row r="205">
          <cell r="D205" t="str">
            <v>Vũ Đức Toàn</v>
          </cell>
          <cell r="AF205" t="str">
            <v>XE00295</v>
          </cell>
          <cell r="AH205">
            <v>9.42</v>
          </cell>
          <cell r="AW205" t="str">
            <v>Vũ Đức Toàn5</v>
          </cell>
          <cell r="AX205" t="str">
            <v>Nga</v>
          </cell>
        </row>
        <row r="206">
          <cell r="D206" t="str">
            <v>Nguyễn Đức Quang</v>
          </cell>
          <cell r="AF206" t="str">
            <v>XE00320</v>
          </cell>
          <cell r="AH206">
            <v>8.84</v>
          </cell>
          <cell r="AW206" t="str">
            <v>Nguyễn Đức Quang5</v>
          </cell>
          <cell r="AX206" t="str">
            <v>Nga</v>
          </cell>
        </row>
        <row r="207">
          <cell r="D207" t="str">
            <v>Hà Văn Dũng</v>
          </cell>
          <cell r="AF207" t="str">
            <v>XE00326</v>
          </cell>
          <cell r="AH207">
            <v>9.42</v>
          </cell>
          <cell r="AW207" t="str">
            <v>Hà Văn Dũng5</v>
          </cell>
          <cell r="AX207" t="str">
            <v>Nga</v>
          </cell>
        </row>
        <row r="208">
          <cell r="D208" t="str">
            <v>Đào Trung Đức</v>
          </cell>
          <cell r="AF208" t="str">
            <v>XE00366</v>
          </cell>
          <cell r="AH208">
            <v>9.42</v>
          </cell>
          <cell r="AW208" t="str">
            <v>Đào Trung Đức5</v>
          </cell>
          <cell r="AX208" t="str">
            <v>Nga</v>
          </cell>
        </row>
        <row r="209">
          <cell r="D209" t="str">
            <v>Nguyễn Chí Quốc</v>
          </cell>
          <cell r="AF209" t="str">
            <v>XE00309</v>
          </cell>
          <cell r="AH209">
            <v>9.42</v>
          </cell>
          <cell r="AW209" t="str">
            <v>Nguyễn Chí Quốc6</v>
          </cell>
          <cell r="AX209" t="str">
            <v>Nga</v>
          </cell>
        </row>
        <row r="210">
          <cell r="D210" t="str">
            <v>Nguyễn Tuấn Anh 1978</v>
          </cell>
          <cell r="AF210" t="str">
            <v>XE00524</v>
          </cell>
          <cell r="AH210">
            <v>9.82</v>
          </cell>
          <cell r="AW210" t="str">
            <v>Nguyễn Tuấn Anh 19785</v>
          </cell>
          <cell r="AX210" t="str">
            <v>Nga</v>
          </cell>
        </row>
        <row r="211">
          <cell r="D211" t="str">
            <v>Hoàng Việt Cường</v>
          </cell>
          <cell r="AF211" t="str">
            <v>XE00248</v>
          </cell>
          <cell r="AH211">
            <v>9.42</v>
          </cell>
          <cell r="AW211" t="str">
            <v>Hoàng Việt Cường7</v>
          </cell>
          <cell r="AX211" t="str">
            <v>Nga</v>
          </cell>
        </row>
        <row r="212">
          <cell r="D212" t="str">
            <v>Hoàng Cát Giao</v>
          </cell>
          <cell r="AF212" t="str">
            <v>XE00734</v>
          </cell>
          <cell r="AH212">
            <v>9.6199999999999992</v>
          </cell>
          <cell r="AW212" t="str">
            <v>Hoàng Cát Giao6</v>
          </cell>
          <cell r="AX212" t="str">
            <v>Nga</v>
          </cell>
        </row>
        <row r="213">
          <cell r="D213" t="str">
            <v>Nguyễn Duy Hà</v>
          </cell>
          <cell r="AF213" t="str">
            <v>XE00799</v>
          </cell>
          <cell r="AH213">
            <v>9.42</v>
          </cell>
          <cell r="AW213" t="str">
            <v>Nguyễn Duy Hà6</v>
          </cell>
          <cell r="AX213" t="str">
            <v>Nga</v>
          </cell>
        </row>
        <row r="214">
          <cell r="D214" t="str">
            <v>Nguyễn Thanh Bình</v>
          </cell>
          <cell r="AF214" t="str">
            <v>XE00825</v>
          </cell>
          <cell r="AH214">
            <v>9.42</v>
          </cell>
          <cell r="AW214" t="str">
            <v>Nguyễn Thanh Bình6</v>
          </cell>
          <cell r="AX214" t="str">
            <v>Nga</v>
          </cell>
        </row>
        <row r="215">
          <cell r="D215" t="str">
            <v>Vũ Duy Long</v>
          </cell>
          <cell r="AF215" t="str">
            <v>XE00721</v>
          </cell>
          <cell r="AH215">
            <v>9.42</v>
          </cell>
          <cell r="AW215" t="str">
            <v>Vũ Duy Long6</v>
          </cell>
          <cell r="AX215" t="str">
            <v>Nga</v>
          </cell>
        </row>
        <row r="216">
          <cell r="D216" t="str">
            <v>Phùng Kim Tiến</v>
          </cell>
          <cell r="AF216" t="str">
            <v>XE01242</v>
          </cell>
          <cell r="AH216">
            <v>9.42</v>
          </cell>
          <cell r="AW216" t="str">
            <v>Phùng Kim Tiến8</v>
          </cell>
          <cell r="AX216" t="str">
            <v>Nga</v>
          </cell>
        </row>
        <row r="217">
          <cell r="D217" t="str">
            <v>Nguyễn Quang Tuấn</v>
          </cell>
          <cell r="AF217" t="str">
            <v>XE00813</v>
          </cell>
          <cell r="AH217">
            <v>9.6199999999999992</v>
          </cell>
          <cell r="AW217" t="str">
            <v>Nguyễn Quang Tuấn6</v>
          </cell>
          <cell r="AX217" t="str">
            <v>Nga</v>
          </cell>
        </row>
        <row r="218">
          <cell r="D218" t="str">
            <v>Tưởng Tuấn Nam</v>
          </cell>
          <cell r="AF218" t="str">
            <v>XE00964</v>
          </cell>
          <cell r="AH218">
            <v>9.42</v>
          </cell>
          <cell r="AW218" t="str">
            <v>Tưởng Tuấn Nam8</v>
          </cell>
          <cell r="AX218" t="str">
            <v>Nga</v>
          </cell>
        </row>
        <row r="219">
          <cell r="D219" t="str">
            <v>Trương Minh Quân</v>
          </cell>
          <cell r="AF219" t="str">
            <v>XE01077</v>
          </cell>
          <cell r="AH219">
            <v>9.42</v>
          </cell>
          <cell r="AW219" t="str">
            <v>Trương Minh Quân5</v>
          </cell>
          <cell r="AX219" t="str">
            <v>Nga</v>
          </cell>
        </row>
        <row r="220">
          <cell r="D220" t="str">
            <v>Đỗ Văn Phương</v>
          </cell>
          <cell r="AF220" t="str">
            <v>XE01605</v>
          </cell>
          <cell r="AH220">
            <v>9.42</v>
          </cell>
          <cell r="AW220" t="str">
            <v>Đỗ Văn Phương5</v>
          </cell>
          <cell r="AX220" t="str">
            <v>Nga</v>
          </cell>
        </row>
        <row r="221">
          <cell r="D221" t="str">
            <v>Nguyễn Đức Phong</v>
          </cell>
          <cell r="AF221" t="str">
            <v>XE00737</v>
          </cell>
          <cell r="AH221">
            <v>9.42</v>
          </cell>
          <cell r="AW221" t="str">
            <v>Nguyễn Đức Phong7</v>
          </cell>
          <cell r="AX221" t="str">
            <v>Nga</v>
          </cell>
        </row>
        <row r="222">
          <cell r="D222" t="str">
            <v>Ngô Xuân Nam</v>
          </cell>
          <cell r="AF222" t="str">
            <v>XE01669</v>
          </cell>
          <cell r="AH222">
            <v>9.02</v>
          </cell>
          <cell r="AW222" t="str">
            <v>Ngô Xuân Nam5</v>
          </cell>
          <cell r="AX222" t="str">
            <v>Nga</v>
          </cell>
        </row>
        <row r="223">
          <cell r="D223" t="str">
            <v>Trần Văn Thiện</v>
          </cell>
          <cell r="AF223" t="str">
            <v>XE00658</v>
          </cell>
          <cell r="AH223">
            <v>9.42</v>
          </cell>
          <cell r="AW223" t="str">
            <v>Trần Văn Thiện5</v>
          </cell>
          <cell r="AX223" t="str">
            <v>Nga</v>
          </cell>
        </row>
        <row r="224">
          <cell r="D224" t="str">
            <v>Phạm Văn Hà</v>
          </cell>
          <cell r="AF224" t="str">
            <v>XE00063</v>
          </cell>
          <cell r="AH224">
            <v>9.82</v>
          </cell>
          <cell r="AW224" t="str">
            <v>Phạm Văn Hà5</v>
          </cell>
          <cell r="AX224" t="str">
            <v>Nga</v>
          </cell>
        </row>
        <row r="225">
          <cell r="D225" t="str">
            <v>Lê Văn Liệu</v>
          </cell>
          <cell r="AF225" t="str">
            <v>XE00054</v>
          </cell>
          <cell r="AH225">
            <v>8.84</v>
          </cell>
          <cell r="AW225" t="str">
            <v>Lê Văn Liệu5</v>
          </cell>
          <cell r="AX225" t="str">
            <v>Nga</v>
          </cell>
        </row>
        <row r="226">
          <cell r="D226" t="str">
            <v>Phạm Huy Toàn</v>
          </cell>
          <cell r="AF226" t="str">
            <v>XE00234</v>
          </cell>
          <cell r="AH226">
            <v>9.42</v>
          </cell>
          <cell r="AW226" t="str">
            <v>Phạm Huy Toàn5</v>
          </cell>
          <cell r="AX226" t="str">
            <v>Nga</v>
          </cell>
        </row>
        <row r="227">
          <cell r="D227" t="str">
            <v>Vũ Văn Hiển</v>
          </cell>
          <cell r="AF227" t="str">
            <v>XE00148</v>
          </cell>
          <cell r="AH227">
            <v>9.02</v>
          </cell>
          <cell r="AW227" t="str">
            <v>Vũ Văn Hiển5</v>
          </cell>
          <cell r="AX227" t="str">
            <v>Nga</v>
          </cell>
        </row>
        <row r="228">
          <cell r="D228" t="str">
            <v>Lê Văn Đảm</v>
          </cell>
          <cell r="AF228" t="str">
            <v>XE00187</v>
          </cell>
          <cell r="AH228">
            <v>9.42</v>
          </cell>
          <cell r="AW228" t="str">
            <v>Lê Văn Đảm5</v>
          </cell>
          <cell r="AX228" t="str">
            <v>Nga</v>
          </cell>
        </row>
        <row r="229">
          <cell r="D229" t="str">
            <v>Lê Văn Đảm</v>
          </cell>
          <cell r="AF229" t="str">
            <v>XE00187</v>
          </cell>
          <cell r="AH229">
            <v>9.82</v>
          </cell>
          <cell r="AW229" t="str">
            <v>Lê Văn Đảm6</v>
          </cell>
          <cell r="AX229" t="str">
            <v>Nga</v>
          </cell>
        </row>
        <row r="230">
          <cell r="D230" t="str">
            <v>Phạm Văn Ký</v>
          </cell>
          <cell r="AF230" t="str">
            <v>XE00257</v>
          </cell>
          <cell r="AH230">
            <v>9.02</v>
          </cell>
          <cell r="AW230" t="str">
            <v>Phạm Văn Ký7</v>
          </cell>
          <cell r="AX230" t="str">
            <v>Nga</v>
          </cell>
        </row>
        <row r="231">
          <cell r="D231" t="str">
            <v>Nguyễn Trung Kiên 1986</v>
          </cell>
          <cell r="AF231" t="str">
            <v>XE00971</v>
          </cell>
          <cell r="AH231">
            <v>9.82</v>
          </cell>
          <cell r="AW231" t="str">
            <v>Nguyễn Trung Kiên 19866</v>
          </cell>
          <cell r="AX231" t="str">
            <v>Nga</v>
          </cell>
        </row>
        <row r="232">
          <cell r="D232" t="str">
            <v>Nguyễn Trung Kiên 1995</v>
          </cell>
          <cell r="AF232" t="str">
            <v>XE01036</v>
          </cell>
          <cell r="AH232">
            <v>9.82</v>
          </cell>
          <cell r="AW232" t="str">
            <v>Nguyễn Trung Kiên 19956</v>
          </cell>
          <cell r="AX232" t="str">
            <v>Nga</v>
          </cell>
        </row>
        <row r="233">
          <cell r="D233" t="str">
            <v>Nguyễn Minh Quang</v>
          </cell>
          <cell r="AF233" t="str">
            <v>XE01188</v>
          </cell>
          <cell r="AH233">
            <v>9.7799999999999994</v>
          </cell>
          <cell r="AW233" t="str">
            <v>Nguyễn Minh Quang6</v>
          </cell>
          <cell r="AX233" t="str">
            <v>Nga</v>
          </cell>
        </row>
        <row r="234">
          <cell r="D234" t="str">
            <v>Tạ Văn Nam</v>
          </cell>
          <cell r="AF234" t="str">
            <v>XE01437</v>
          </cell>
          <cell r="AH234">
            <v>9.82</v>
          </cell>
          <cell r="AW234" t="str">
            <v>Tạ Văn Nam6</v>
          </cell>
          <cell r="AX234" t="str">
            <v>Nga</v>
          </cell>
        </row>
        <row r="235">
          <cell r="D235" t="str">
            <v>Vũ Đức Toàn</v>
          </cell>
          <cell r="AF235" t="str">
            <v>XE00295</v>
          </cell>
          <cell r="AH235">
            <v>9.02</v>
          </cell>
          <cell r="AW235" t="str">
            <v>Vũ Đức Toàn6</v>
          </cell>
          <cell r="AX235" t="str">
            <v>Nga</v>
          </cell>
        </row>
        <row r="236">
          <cell r="D236" t="str">
            <v>Nguyễn Đức Quang</v>
          </cell>
          <cell r="AF236" t="str">
            <v>XE00320</v>
          </cell>
          <cell r="AH236">
            <v>9.82</v>
          </cell>
          <cell r="AW236" t="str">
            <v>Nguyễn Đức Quang6</v>
          </cell>
          <cell r="AX236" t="str">
            <v>Nga</v>
          </cell>
        </row>
        <row r="237">
          <cell r="D237" t="str">
            <v>Hà Văn Dũng</v>
          </cell>
          <cell r="AF237" t="str">
            <v>XE00326</v>
          </cell>
          <cell r="AH237">
            <v>8.44</v>
          </cell>
          <cell r="AW237" t="str">
            <v>Hà Văn Dũng6</v>
          </cell>
          <cell r="AX237" t="str">
            <v>Nga</v>
          </cell>
        </row>
        <row r="238">
          <cell r="D238" t="str">
            <v>Đào Trung Đức</v>
          </cell>
          <cell r="AF238" t="str">
            <v>XE00366</v>
          </cell>
          <cell r="AH238">
            <v>9.6</v>
          </cell>
          <cell r="AW238" t="str">
            <v>Đào Trung Đức6</v>
          </cell>
          <cell r="AX238" t="str">
            <v>Nga</v>
          </cell>
        </row>
        <row r="239">
          <cell r="D239" t="str">
            <v>Lê Văn Thắng</v>
          </cell>
          <cell r="AF239" t="str">
            <v>XE00242</v>
          </cell>
          <cell r="AH239">
            <v>9.82</v>
          </cell>
          <cell r="AW239" t="str">
            <v>Lê Văn Thắng7</v>
          </cell>
          <cell r="AX239" t="str">
            <v>Nga</v>
          </cell>
        </row>
        <row r="240">
          <cell r="D240" t="str">
            <v>Lê Văn Thắng</v>
          </cell>
          <cell r="AF240" t="str">
            <v>XE00242</v>
          </cell>
          <cell r="AH240">
            <v>8.2200000000000006</v>
          </cell>
          <cell r="AW240" t="str">
            <v>Lê Văn Thắng8</v>
          </cell>
          <cell r="AX240" t="str">
            <v>Nga</v>
          </cell>
        </row>
        <row r="241">
          <cell r="D241" t="str">
            <v>Lê Văn Thắng</v>
          </cell>
          <cell r="AF241" t="str">
            <v>XE00242</v>
          </cell>
          <cell r="AH241">
            <v>7.6400000000000006</v>
          </cell>
          <cell r="AW241" t="str">
            <v>Lê Văn Thắng9</v>
          </cell>
          <cell r="AX241" t="str">
            <v>Nga</v>
          </cell>
        </row>
        <row r="242">
          <cell r="D242" t="str">
            <v>Nguyễn Đức Thuận</v>
          </cell>
          <cell r="AF242" t="str">
            <v>XE00160</v>
          </cell>
          <cell r="AH242">
            <v>8.84</v>
          </cell>
          <cell r="AW242" t="str">
            <v>Nguyễn Đức Thuận7</v>
          </cell>
          <cell r="AX242" t="str">
            <v>Nga</v>
          </cell>
        </row>
        <row r="243">
          <cell r="D243" t="str">
            <v>Nguyễn Đức Thuận</v>
          </cell>
          <cell r="AF243" t="str">
            <v>XE00160</v>
          </cell>
          <cell r="AH243">
            <v>9.42</v>
          </cell>
          <cell r="AW243" t="str">
            <v>Nguyễn Đức Thuận8</v>
          </cell>
          <cell r="AX243" t="str">
            <v>Nga</v>
          </cell>
        </row>
        <row r="244">
          <cell r="D244" t="str">
            <v>Nguyễn Đức Thuận</v>
          </cell>
          <cell r="AF244" t="str">
            <v>XE00160</v>
          </cell>
          <cell r="AH244">
            <v>9.82</v>
          </cell>
          <cell r="AW244" t="str">
            <v>Nguyễn Đức Thuận9</v>
          </cell>
          <cell r="AX244" t="str">
            <v>Nga</v>
          </cell>
        </row>
        <row r="245">
          <cell r="D245" t="str">
            <v>Trần Trung Kiên</v>
          </cell>
          <cell r="AF245" t="str">
            <v>XE00274</v>
          </cell>
          <cell r="AH245">
            <v>9.42</v>
          </cell>
          <cell r="AW245" t="str">
            <v>Trần Trung Kiên9</v>
          </cell>
          <cell r="AX245" t="str">
            <v>Nga</v>
          </cell>
        </row>
        <row r="246">
          <cell r="D246" t="str">
            <v>Trần Trung Kiên</v>
          </cell>
          <cell r="AF246" t="str">
            <v>XE00274</v>
          </cell>
          <cell r="AH246">
            <v>9.42</v>
          </cell>
          <cell r="AW246" t="str">
            <v>Trần Trung Kiên10</v>
          </cell>
          <cell r="AX246" t="str">
            <v>Nga</v>
          </cell>
        </row>
        <row r="247">
          <cell r="D247" t="str">
            <v>Trần Trung Kiên</v>
          </cell>
          <cell r="AF247" t="str">
            <v>XE00274</v>
          </cell>
          <cell r="AH247">
            <v>9.42</v>
          </cell>
          <cell r="AW247" t="str">
            <v>Trần Trung Kiên11</v>
          </cell>
          <cell r="AX247" t="str">
            <v>Nga</v>
          </cell>
        </row>
        <row r="248">
          <cell r="D248" t="str">
            <v>Phan Anh Giang</v>
          </cell>
          <cell r="AF248" t="str">
            <v>XE00365</v>
          </cell>
          <cell r="AH248">
            <v>9.42</v>
          </cell>
          <cell r="AW248" t="str">
            <v>Phan Anh Giang3</v>
          </cell>
          <cell r="AX248" t="str">
            <v>Nga</v>
          </cell>
        </row>
        <row r="249">
          <cell r="D249" t="str">
            <v>Phan Anh Giang</v>
          </cell>
          <cell r="AF249" t="str">
            <v>XE00365</v>
          </cell>
          <cell r="AH249">
            <v>9.82</v>
          </cell>
          <cell r="AW249" t="str">
            <v>Phan Anh Giang4</v>
          </cell>
          <cell r="AX249" t="str">
            <v>Nga</v>
          </cell>
        </row>
        <row r="250">
          <cell r="D250" t="str">
            <v>Phan Anh Giang</v>
          </cell>
          <cell r="AF250" t="str">
            <v>XE00365</v>
          </cell>
          <cell r="AH250">
            <v>9.82</v>
          </cell>
          <cell r="AW250" t="str">
            <v>Phan Anh Giang5</v>
          </cell>
          <cell r="AX250" t="str">
            <v>Nga</v>
          </cell>
        </row>
        <row r="251">
          <cell r="D251" t="str">
            <v>Vũ Đức Duẩn</v>
          </cell>
          <cell r="AF251" t="str">
            <v>XE00441</v>
          </cell>
          <cell r="AH251">
            <v>9.82</v>
          </cell>
          <cell r="AW251" t="str">
            <v>Vũ Đức Duẩn8</v>
          </cell>
          <cell r="AX251" t="str">
            <v>Nga</v>
          </cell>
        </row>
        <row r="252">
          <cell r="D252" t="str">
            <v>Vũ Đức Duẩn</v>
          </cell>
          <cell r="AF252" t="str">
            <v>XE00441</v>
          </cell>
          <cell r="AH252">
            <v>9.82</v>
          </cell>
          <cell r="AW252" t="str">
            <v>Vũ Đức Duẩn9</v>
          </cell>
          <cell r="AX252" t="str">
            <v>Nga</v>
          </cell>
        </row>
        <row r="253">
          <cell r="D253" t="str">
            <v>Vũ Đức Duẩn</v>
          </cell>
          <cell r="AF253" t="str">
            <v>XE00441</v>
          </cell>
          <cell r="AH253">
            <v>9.42</v>
          </cell>
          <cell r="AW253" t="str">
            <v>Vũ Đức Duẩn10</v>
          </cell>
          <cell r="AX253" t="str">
            <v>Nga</v>
          </cell>
        </row>
        <row r="254">
          <cell r="D254" t="str">
            <v>Nguyễn Trung Kiên 1986</v>
          </cell>
          <cell r="AF254" t="str">
            <v>XE00971</v>
          </cell>
          <cell r="AH254">
            <v>9.42</v>
          </cell>
          <cell r="AW254" t="str">
            <v>Nguyễn Trung Kiên 19867</v>
          </cell>
          <cell r="AX254" t="str">
            <v>Nga</v>
          </cell>
        </row>
        <row r="255">
          <cell r="D255" t="str">
            <v>Nguyễn Trung Kiên 1986</v>
          </cell>
          <cell r="AF255" t="str">
            <v>XE00971</v>
          </cell>
          <cell r="AH255">
            <v>9.82</v>
          </cell>
          <cell r="AW255" t="str">
            <v>Nguyễn Trung Kiên 19868</v>
          </cell>
          <cell r="AX255" t="str">
            <v>Nga</v>
          </cell>
        </row>
        <row r="256">
          <cell r="D256" t="str">
            <v>Nguyễn Trung Kiên 1986</v>
          </cell>
          <cell r="AF256" t="str">
            <v>XE00971</v>
          </cell>
          <cell r="AH256">
            <v>9.42</v>
          </cell>
          <cell r="AW256" t="str">
            <v>Nguyễn Trung Kiên 19869</v>
          </cell>
          <cell r="AX256" t="str">
            <v>Nga</v>
          </cell>
        </row>
        <row r="257">
          <cell r="D257" t="str">
            <v>Nguyễn Minh Quang</v>
          </cell>
          <cell r="AF257" t="str">
            <v>XE01188</v>
          </cell>
          <cell r="AH257">
            <v>8.6199999999999992</v>
          </cell>
          <cell r="AW257" t="str">
            <v>Nguyễn Minh Quang7</v>
          </cell>
          <cell r="AX257" t="str">
            <v>Nga</v>
          </cell>
        </row>
        <row r="258">
          <cell r="D258" t="str">
            <v>Nguyễn Minh Quang</v>
          </cell>
          <cell r="AF258" t="str">
            <v>XE01188</v>
          </cell>
          <cell r="AH258">
            <v>9.42</v>
          </cell>
          <cell r="AW258" t="str">
            <v>Nguyễn Minh Quang8</v>
          </cell>
          <cell r="AX258" t="str">
            <v>Nga</v>
          </cell>
        </row>
        <row r="259">
          <cell r="D259" t="str">
            <v>Nguyễn Minh Quang</v>
          </cell>
          <cell r="AF259" t="str">
            <v>XE01188</v>
          </cell>
          <cell r="AH259">
            <v>8.2200000000000006</v>
          </cell>
          <cell r="AW259" t="str">
            <v>Nguyễn Minh Quang9</v>
          </cell>
          <cell r="AX259" t="str">
            <v>Nga</v>
          </cell>
        </row>
        <row r="260">
          <cell r="D260" t="str">
            <v>Hoàng Cát Giao</v>
          </cell>
          <cell r="AF260" t="str">
            <v>XE00734</v>
          </cell>
          <cell r="AH260">
            <v>9.42</v>
          </cell>
          <cell r="AW260" t="str">
            <v>Hoàng Cát Giao7</v>
          </cell>
          <cell r="AX260" t="str">
            <v>Nga</v>
          </cell>
        </row>
        <row r="261">
          <cell r="D261" t="str">
            <v>Hoàng Cát Giao</v>
          </cell>
          <cell r="AF261" t="str">
            <v>XE00734</v>
          </cell>
          <cell r="AH261">
            <v>9.42</v>
          </cell>
          <cell r="AW261" t="str">
            <v>Hoàng Cát Giao8</v>
          </cell>
          <cell r="AX261" t="str">
            <v>Nga</v>
          </cell>
        </row>
        <row r="262">
          <cell r="D262" t="str">
            <v>Hoàng Cát Giao</v>
          </cell>
          <cell r="AF262" t="str">
            <v>XE00734</v>
          </cell>
          <cell r="AH262">
            <v>8.6199999999999992</v>
          </cell>
          <cell r="AW262" t="str">
            <v>Hoàng Cát Giao9</v>
          </cell>
          <cell r="AX262" t="str">
            <v>Nga</v>
          </cell>
        </row>
        <row r="263">
          <cell r="D263" t="str">
            <v>Nguyễn Quang Tuấn</v>
          </cell>
          <cell r="AF263" t="str">
            <v>XE00813</v>
          </cell>
          <cell r="AH263">
            <v>9.82</v>
          </cell>
          <cell r="AW263" t="str">
            <v>Nguyễn Quang Tuấn7</v>
          </cell>
          <cell r="AX263" t="str">
            <v>Nga</v>
          </cell>
        </row>
        <row r="264">
          <cell r="D264" t="str">
            <v>Nguyễn Quang Tuấn</v>
          </cell>
          <cell r="AF264" t="str">
            <v>XE00813</v>
          </cell>
          <cell r="AH264">
            <v>9.82</v>
          </cell>
          <cell r="AW264" t="str">
            <v>Nguyễn Quang Tuấn8</v>
          </cell>
          <cell r="AX264" t="str">
            <v>Nga</v>
          </cell>
        </row>
        <row r="265">
          <cell r="D265" t="str">
            <v>Nguyễn Quang Tuấn</v>
          </cell>
          <cell r="AF265" t="str">
            <v>XE00813</v>
          </cell>
          <cell r="AH265">
            <v>9.82</v>
          </cell>
          <cell r="AW265" t="str">
            <v>Nguyễn Quang Tuấn9</v>
          </cell>
          <cell r="AX265" t="str">
            <v>Nga</v>
          </cell>
        </row>
        <row r="266">
          <cell r="D266" t="str">
            <v>Nguyễn Đức Phong</v>
          </cell>
          <cell r="AF266" t="str">
            <v>XE00737</v>
          </cell>
          <cell r="AH266">
            <v>9.42</v>
          </cell>
          <cell r="AW266" t="str">
            <v>Nguyễn Đức Phong8</v>
          </cell>
          <cell r="AX266" t="str">
            <v>Nga</v>
          </cell>
        </row>
        <row r="267">
          <cell r="D267" t="str">
            <v>Nguyễn Đức Phong</v>
          </cell>
          <cell r="AF267" t="str">
            <v>XE00737</v>
          </cell>
          <cell r="AH267">
            <v>9.82</v>
          </cell>
          <cell r="AW267" t="str">
            <v>Nguyễn Đức Phong9</v>
          </cell>
          <cell r="AX267" t="str">
            <v>Nga</v>
          </cell>
        </row>
        <row r="268">
          <cell r="D268" t="str">
            <v>Nguyễn Đức Phong</v>
          </cell>
          <cell r="AF268" t="str">
            <v>XE00737</v>
          </cell>
          <cell r="AH268">
            <v>9.42</v>
          </cell>
          <cell r="AW268" t="str">
            <v>Nguyễn Đức Phong10</v>
          </cell>
          <cell r="AX268" t="str">
            <v>Nga</v>
          </cell>
        </row>
        <row r="269">
          <cell r="D269" t="str">
            <v>Trần Văn Thiện</v>
          </cell>
          <cell r="AF269" t="str">
            <v>XE00658</v>
          </cell>
          <cell r="AH269">
            <v>9.82</v>
          </cell>
          <cell r="AW269" t="str">
            <v>Trần Văn Thiện6</v>
          </cell>
          <cell r="AX269" t="str">
            <v>Nga</v>
          </cell>
        </row>
        <row r="270">
          <cell r="D270" t="str">
            <v>Trần Văn Thiện</v>
          </cell>
          <cell r="AF270" t="str">
            <v>XE00658</v>
          </cell>
          <cell r="AH270">
            <v>8.84</v>
          </cell>
          <cell r="AW270" t="str">
            <v>Trần Văn Thiện7</v>
          </cell>
          <cell r="AX270" t="str">
            <v>Nga</v>
          </cell>
        </row>
        <row r="271">
          <cell r="D271" t="str">
            <v>Phạm Văn Hà</v>
          </cell>
          <cell r="AF271" t="str">
            <v>XE00063</v>
          </cell>
          <cell r="AH271">
            <v>9.42</v>
          </cell>
          <cell r="AW271" t="str">
            <v>Phạm Văn Hà6</v>
          </cell>
          <cell r="AX271" t="str">
            <v>Nga</v>
          </cell>
        </row>
        <row r="272">
          <cell r="D272" t="str">
            <v>Phạm Văn Hà</v>
          </cell>
          <cell r="AF272" t="str">
            <v>XE00063</v>
          </cell>
          <cell r="AH272">
            <v>9.82</v>
          </cell>
          <cell r="AW272" t="str">
            <v>Phạm Văn Hà7</v>
          </cell>
          <cell r="AX272" t="str">
            <v>Nga</v>
          </cell>
        </row>
        <row r="273">
          <cell r="D273" t="str">
            <v>Phạm Văn Ký</v>
          </cell>
          <cell r="AF273" t="str">
            <v>XE00257</v>
          </cell>
          <cell r="AH273">
            <v>9.42</v>
          </cell>
          <cell r="AW273" t="str">
            <v>Phạm Văn Ký8</v>
          </cell>
          <cell r="AX273" t="str">
            <v>Nga</v>
          </cell>
        </row>
        <row r="274">
          <cell r="D274" t="str">
            <v>Phạm Văn Ký</v>
          </cell>
          <cell r="AF274" t="str">
            <v>XE00257</v>
          </cell>
          <cell r="AH274">
            <v>9.82</v>
          </cell>
          <cell r="AW274" t="str">
            <v>Phạm Văn Ký9</v>
          </cell>
          <cell r="AX274" t="str">
            <v>Nga</v>
          </cell>
        </row>
        <row r="275">
          <cell r="D275" t="str">
            <v>Đỗ Văn Hiếu</v>
          </cell>
          <cell r="AF275" t="str">
            <v>XE00285</v>
          </cell>
          <cell r="AH275">
            <v>9.02</v>
          </cell>
          <cell r="AW275" t="str">
            <v>Đỗ Văn Hiếu9</v>
          </cell>
          <cell r="AX275" t="str">
            <v>Nga</v>
          </cell>
        </row>
        <row r="276">
          <cell r="D276" t="str">
            <v>Phùng Hữu Biên</v>
          </cell>
          <cell r="AF276" t="str">
            <v>XE00714</v>
          </cell>
          <cell r="AH276">
            <v>9.82</v>
          </cell>
          <cell r="AW276" t="str">
            <v>Phùng Hữu Biên8</v>
          </cell>
          <cell r="AX276" t="str">
            <v>Nga</v>
          </cell>
        </row>
        <row r="277">
          <cell r="D277" t="str">
            <v>Nguyễn Đức Tâm</v>
          </cell>
          <cell r="AF277" t="str">
            <v>XE00674</v>
          </cell>
          <cell r="AH277">
            <v>9.02</v>
          </cell>
          <cell r="AW277" t="str">
            <v>Nguyễn Đức Tâm9</v>
          </cell>
          <cell r="AX277" t="str">
            <v>Nga</v>
          </cell>
        </row>
        <row r="278">
          <cell r="D278" t="str">
            <v>Đinh Công Cường</v>
          </cell>
          <cell r="AF278" t="str">
            <v>XE00791</v>
          </cell>
          <cell r="AH278">
            <v>9.42</v>
          </cell>
          <cell r="AW278" t="str">
            <v>Đinh Công Cường7</v>
          </cell>
          <cell r="AX278" t="str">
            <v>Nga</v>
          </cell>
        </row>
        <row r="279">
          <cell r="D279" t="str">
            <v>Nguyễn Ngọc Lâm</v>
          </cell>
          <cell r="AF279" t="str">
            <v>XE01168</v>
          </cell>
          <cell r="AH279">
            <v>9.82</v>
          </cell>
          <cell r="AW279" t="str">
            <v>Nguyễn Ngọc Lâm8</v>
          </cell>
          <cell r="AX279" t="str">
            <v>Nga</v>
          </cell>
        </row>
        <row r="280">
          <cell r="D280" t="str">
            <v>Nguyễn Trung Kiên 1995</v>
          </cell>
          <cell r="AF280" t="str">
            <v>XE01036</v>
          </cell>
          <cell r="AH280">
            <v>9.42</v>
          </cell>
          <cell r="AW280" t="str">
            <v>Nguyễn Trung Kiên 19957</v>
          </cell>
          <cell r="AX280" t="str">
            <v>Nga</v>
          </cell>
        </row>
        <row r="281">
          <cell r="D281" t="str">
            <v>Tạ Văn Nam</v>
          </cell>
          <cell r="AF281" t="str">
            <v>XE01437</v>
          </cell>
          <cell r="AH281">
            <v>8.84</v>
          </cell>
          <cell r="AW281" t="str">
            <v>Tạ Văn Nam7</v>
          </cell>
          <cell r="AX281" t="str">
            <v>Nga</v>
          </cell>
        </row>
        <row r="282">
          <cell r="D282" t="str">
            <v>Vũ Đức Toàn</v>
          </cell>
          <cell r="AF282" t="str">
            <v>XE00295</v>
          </cell>
          <cell r="AH282">
            <v>9.42</v>
          </cell>
          <cell r="AW282" t="str">
            <v>Vũ Đức Toàn7</v>
          </cell>
          <cell r="AX282" t="str">
            <v>Nga</v>
          </cell>
        </row>
        <row r="283">
          <cell r="D283" t="str">
            <v>Nguyễn Đức Quang</v>
          </cell>
          <cell r="AF283" t="str">
            <v>XE00320</v>
          </cell>
          <cell r="AH283">
            <v>9.02</v>
          </cell>
          <cell r="AW283" t="str">
            <v>Nguyễn Đức Quang7</v>
          </cell>
          <cell r="AX283" t="str">
            <v>Nga</v>
          </cell>
        </row>
        <row r="284">
          <cell r="D284" t="str">
            <v>Hà Văn Dũng</v>
          </cell>
          <cell r="AF284" t="str">
            <v>XE00326</v>
          </cell>
          <cell r="AH284">
            <v>9.02</v>
          </cell>
          <cell r="AW284" t="str">
            <v>Hà Văn Dũng7</v>
          </cell>
          <cell r="AX284" t="str">
            <v>Nga</v>
          </cell>
        </row>
        <row r="285">
          <cell r="D285" t="str">
            <v>Đào Trung Đức</v>
          </cell>
          <cell r="AF285" t="str">
            <v>XE00366</v>
          </cell>
          <cell r="AH285">
            <v>9.82</v>
          </cell>
          <cell r="AW285" t="str">
            <v>Đào Trung Đức7</v>
          </cell>
          <cell r="AX285" t="str">
            <v>Nga</v>
          </cell>
        </row>
        <row r="286">
          <cell r="D286" t="str">
            <v>Nguyễn Chí Quốc</v>
          </cell>
          <cell r="AF286" t="str">
            <v>XE00309</v>
          </cell>
          <cell r="AH286">
            <v>9.82</v>
          </cell>
          <cell r="AW286" t="str">
            <v>Nguyễn Chí Quốc7</v>
          </cell>
          <cell r="AX286" t="str">
            <v>Nga</v>
          </cell>
        </row>
        <row r="287">
          <cell r="D287" t="str">
            <v>Nguyễn Tuấn Anh 1978</v>
          </cell>
          <cell r="AF287" t="str">
            <v>XE00524</v>
          </cell>
          <cell r="AH287">
            <v>9.82</v>
          </cell>
          <cell r="AW287" t="str">
            <v>Nguyễn Tuấn Anh 19786</v>
          </cell>
          <cell r="AX287" t="str">
            <v>Nga</v>
          </cell>
        </row>
        <row r="288">
          <cell r="D288" t="str">
            <v>Nguyễn Tuấn Anh 1978</v>
          </cell>
          <cell r="AF288" t="str">
            <v>XE00524</v>
          </cell>
          <cell r="AH288">
            <v>9.82</v>
          </cell>
          <cell r="AW288" t="str">
            <v>Nguyễn Tuấn Anh 19787</v>
          </cell>
          <cell r="AX288" t="str">
            <v>Nga</v>
          </cell>
        </row>
        <row r="289">
          <cell r="D289" t="str">
            <v>Hoàng Việt Cường</v>
          </cell>
          <cell r="AF289" t="str">
            <v>XE00248</v>
          </cell>
          <cell r="AH289">
            <v>9.42</v>
          </cell>
          <cell r="AW289" t="str">
            <v>Hoàng Việt Cường8</v>
          </cell>
          <cell r="AX289" t="str">
            <v>Nga</v>
          </cell>
        </row>
        <row r="290">
          <cell r="D290" t="str">
            <v>Nguyễn Duy Hà</v>
          </cell>
          <cell r="AF290" t="str">
            <v>XE00799</v>
          </cell>
          <cell r="AH290">
            <v>8.84</v>
          </cell>
          <cell r="AW290" t="str">
            <v>Nguyễn Duy Hà7</v>
          </cell>
          <cell r="AX290" t="str">
            <v>Nga</v>
          </cell>
        </row>
        <row r="291">
          <cell r="D291" t="str">
            <v>Nguyễn Thanh Bình</v>
          </cell>
          <cell r="AF291" t="str">
            <v>XE00825</v>
          </cell>
          <cell r="AH291">
            <v>9.42</v>
          </cell>
          <cell r="AW291" t="str">
            <v>Nguyễn Thanh Bình7</v>
          </cell>
          <cell r="AX291" t="str">
            <v>Nga</v>
          </cell>
        </row>
        <row r="292">
          <cell r="D292" t="str">
            <v>Phan Anh Giang</v>
          </cell>
          <cell r="AF292" t="str">
            <v>XE00365</v>
          </cell>
          <cell r="AH292">
            <v>9.82</v>
          </cell>
          <cell r="AW292" t="str">
            <v>Phan Anh Giang6</v>
          </cell>
          <cell r="AX292" t="str">
            <v>Nga</v>
          </cell>
        </row>
        <row r="293">
          <cell r="D293" t="str">
            <v>Phan Anh Giang</v>
          </cell>
          <cell r="AF293" t="str">
            <v>XE00365</v>
          </cell>
          <cell r="AH293">
            <v>9.42</v>
          </cell>
          <cell r="AW293" t="str">
            <v>Phan Anh Giang7</v>
          </cell>
          <cell r="AX293" t="str">
            <v>Nga</v>
          </cell>
        </row>
        <row r="294">
          <cell r="D294" t="str">
            <v>Đỗ Văn Hiếu</v>
          </cell>
          <cell r="AF294" t="str">
            <v>XE00285</v>
          </cell>
          <cell r="AH294">
            <v>7.24</v>
          </cell>
          <cell r="AW294" t="str">
            <v>Đỗ Văn Hiếu10</v>
          </cell>
          <cell r="AX294" t="str">
            <v>Nga</v>
          </cell>
        </row>
        <row r="295">
          <cell r="D295" t="str">
            <v>Đỗ Văn Hiếu</v>
          </cell>
          <cell r="AF295" t="str">
            <v>XE00285</v>
          </cell>
          <cell r="AH295">
            <v>8.84</v>
          </cell>
          <cell r="AW295" t="str">
            <v>Đỗ Văn Hiếu11</v>
          </cell>
          <cell r="AX295" t="str">
            <v>Nga</v>
          </cell>
        </row>
        <row r="296">
          <cell r="D296" t="str">
            <v>Phùng Hữu Biên</v>
          </cell>
          <cell r="AF296" t="str">
            <v>XE00714</v>
          </cell>
          <cell r="AH296">
            <v>9.82</v>
          </cell>
          <cell r="AW296" t="str">
            <v>Phùng Hữu Biên9</v>
          </cell>
          <cell r="AX296" t="str">
            <v>Nga</v>
          </cell>
        </row>
        <row r="297">
          <cell r="D297" t="str">
            <v>Phùng Hữu Biên</v>
          </cell>
          <cell r="AF297" t="str">
            <v>XE00714</v>
          </cell>
          <cell r="AH297">
            <v>8.620000000000001</v>
          </cell>
          <cell r="AW297" t="str">
            <v>Phùng Hữu Biên10</v>
          </cell>
          <cell r="AX297" t="str">
            <v>Nga</v>
          </cell>
        </row>
        <row r="298">
          <cell r="D298" t="str">
            <v>Nguyễn Đức Tâm</v>
          </cell>
          <cell r="AF298" t="str">
            <v>XE00674</v>
          </cell>
          <cell r="AH298">
            <v>9.82</v>
          </cell>
          <cell r="AW298" t="str">
            <v>Nguyễn Đức Tâm10</v>
          </cell>
          <cell r="AX298" t="str">
            <v>Nga</v>
          </cell>
        </row>
        <row r="299">
          <cell r="D299" t="str">
            <v>Nguyễn Đức Tâm</v>
          </cell>
          <cell r="AF299" t="str">
            <v>XE00674</v>
          </cell>
          <cell r="AH299">
            <v>9.82</v>
          </cell>
          <cell r="AW299" t="str">
            <v>Nguyễn Đức Tâm11</v>
          </cell>
          <cell r="AX299" t="str">
            <v>Nga</v>
          </cell>
        </row>
        <row r="300">
          <cell r="D300" t="str">
            <v>Đinh Công Cường</v>
          </cell>
          <cell r="AF300" t="str">
            <v>XE00791</v>
          </cell>
          <cell r="AH300">
            <v>9.02</v>
          </cell>
          <cell r="AW300" t="str">
            <v>Đinh Công Cường8</v>
          </cell>
          <cell r="AX300" t="str">
            <v>Nga</v>
          </cell>
        </row>
        <row r="301">
          <cell r="D301" t="str">
            <v>Đinh Công Cường</v>
          </cell>
          <cell r="AF301" t="str">
            <v>XE00791</v>
          </cell>
          <cell r="AH301">
            <v>9.2199999999999989</v>
          </cell>
          <cell r="AW301" t="str">
            <v>Đinh Công Cường9</v>
          </cell>
          <cell r="AX301" t="str">
            <v>Nga</v>
          </cell>
        </row>
        <row r="302">
          <cell r="D302" t="str">
            <v>Nguyễn Ngọc Lâm</v>
          </cell>
          <cell r="AF302" t="str">
            <v>XE01168</v>
          </cell>
          <cell r="AH302">
            <v>9.42</v>
          </cell>
          <cell r="AW302" t="str">
            <v>Nguyễn Ngọc Lâm9</v>
          </cell>
          <cell r="AX302" t="str">
            <v>Nga</v>
          </cell>
        </row>
        <row r="303">
          <cell r="D303" t="str">
            <v>Nguyễn Ngọc Lâm</v>
          </cell>
          <cell r="AF303" t="str">
            <v>XE01168</v>
          </cell>
          <cell r="AH303">
            <v>9.42</v>
          </cell>
          <cell r="AW303" t="str">
            <v>Nguyễn Ngọc Lâm10</v>
          </cell>
          <cell r="AX303" t="str">
            <v>Nga</v>
          </cell>
        </row>
        <row r="304">
          <cell r="D304" t="str">
            <v>Nguyễn Trung Kiên 1995</v>
          </cell>
          <cell r="AF304" t="str">
            <v>XE01036</v>
          </cell>
          <cell r="AH304">
            <v>8.6199999999999992</v>
          </cell>
          <cell r="AW304" t="str">
            <v>Nguyễn Trung Kiên 19958</v>
          </cell>
          <cell r="AX304" t="str">
            <v>Nga</v>
          </cell>
        </row>
        <row r="305">
          <cell r="D305" t="str">
            <v>Nguyễn Trung Kiên 1995</v>
          </cell>
          <cell r="AF305" t="str">
            <v>XE01036</v>
          </cell>
          <cell r="AH305">
            <v>9.82</v>
          </cell>
          <cell r="AW305" t="str">
            <v>Nguyễn Trung Kiên 19959</v>
          </cell>
          <cell r="AX305" t="str">
            <v>Nga</v>
          </cell>
        </row>
        <row r="306">
          <cell r="D306" t="str">
            <v>Tạ Văn Nam</v>
          </cell>
          <cell r="AF306" t="str">
            <v>XE01437</v>
          </cell>
          <cell r="AH306">
            <v>8.84</v>
          </cell>
          <cell r="AW306" t="str">
            <v>Tạ Văn Nam8</v>
          </cell>
          <cell r="AX306" t="str">
            <v>Nga</v>
          </cell>
        </row>
        <row r="307">
          <cell r="D307" t="str">
            <v>Tạ Văn Nam</v>
          </cell>
          <cell r="AF307" t="str">
            <v>XE01437</v>
          </cell>
          <cell r="AH307">
            <v>9.42</v>
          </cell>
          <cell r="AW307" t="str">
            <v>Tạ Văn Nam9</v>
          </cell>
          <cell r="AX307" t="str">
            <v>Nga</v>
          </cell>
        </row>
        <row r="308">
          <cell r="D308" t="str">
            <v>Vũ Đức Toàn</v>
          </cell>
          <cell r="AF308" t="str">
            <v>XE00295</v>
          </cell>
          <cell r="AH308">
            <v>9.42</v>
          </cell>
          <cell r="AW308" t="str">
            <v>Vũ Đức Toàn8</v>
          </cell>
          <cell r="AX308" t="str">
            <v>Nga</v>
          </cell>
        </row>
        <row r="309">
          <cell r="D309" t="str">
            <v>Vũ Đức Toàn</v>
          </cell>
          <cell r="AF309" t="str">
            <v>XE00295</v>
          </cell>
          <cell r="AH309">
            <v>9.42</v>
          </cell>
          <cell r="AW309" t="str">
            <v>Vũ Đức Toàn9</v>
          </cell>
          <cell r="AX309" t="str">
            <v>Nga</v>
          </cell>
        </row>
        <row r="310">
          <cell r="D310" t="str">
            <v>Nguyễn Đức Quang</v>
          </cell>
          <cell r="AF310" t="str">
            <v>XE00320</v>
          </cell>
          <cell r="AH310">
            <v>9.42</v>
          </cell>
          <cell r="AW310" t="str">
            <v>Nguyễn Đức Quang8</v>
          </cell>
          <cell r="AX310" t="str">
            <v>Nga</v>
          </cell>
        </row>
        <row r="311">
          <cell r="D311" t="str">
            <v>Nguyễn Đức Quang</v>
          </cell>
          <cell r="AF311" t="str">
            <v>XE00320</v>
          </cell>
          <cell r="AH311">
            <v>9.42</v>
          </cell>
          <cell r="AW311" t="str">
            <v>Nguyễn Đức Quang9</v>
          </cell>
          <cell r="AX311" t="str">
            <v>Nga</v>
          </cell>
        </row>
        <row r="312">
          <cell r="D312" t="str">
            <v>Hà Văn Dũng</v>
          </cell>
          <cell r="AF312" t="str">
            <v>XE00326</v>
          </cell>
          <cell r="AH312">
            <v>9.6199999999999992</v>
          </cell>
          <cell r="AW312" t="str">
            <v>Hà Văn Dũng8</v>
          </cell>
          <cell r="AX312" t="str">
            <v>Nga</v>
          </cell>
        </row>
        <row r="313">
          <cell r="D313" t="str">
            <v>Hà Văn Dũng</v>
          </cell>
          <cell r="AF313" t="str">
            <v>XE00326</v>
          </cell>
          <cell r="AH313">
            <v>9.24</v>
          </cell>
          <cell r="AW313" t="str">
            <v>Hà Văn Dũng9</v>
          </cell>
          <cell r="AX313" t="str">
            <v>Nga</v>
          </cell>
        </row>
        <row r="314">
          <cell r="D314" t="str">
            <v>Đào Trung Đức</v>
          </cell>
          <cell r="AF314" t="str">
            <v>XE00366</v>
          </cell>
          <cell r="AH314">
            <v>9.6199999999999992</v>
          </cell>
          <cell r="AW314" t="str">
            <v>Đào Trung Đức8</v>
          </cell>
          <cell r="AX314" t="str">
            <v>Nga</v>
          </cell>
        </row>
        <row r="315">
          <cell r="D315" t="str">
            <v>Đào Trung Đức</v>
          </cell>
          <cell r="AF315" t="str">
            <v>XE00366</v>
          </cell>
          <cell r="AH315">
            <v>9.02</v>
          </cell>
          <cell r="AW315" t="str">
            <v>Đào Trung Đức9</v>
          </cell>
          <cell r="AX315" t="str">
            <v>Nga</v>
          </cell>
        </row>
        <row r="316">
          <cell r="D316" t="str">
            <v>Nguyễn Chí Quốc</v>
          </cell>
          <cell r="AF316" t="str">
            <v>XE00309</v>
          </cell>
          <cell r="AH316">
            <v>9.42</v>
          </cell>
          <cell r="AW316" t="str">
            <v>Nguyễn Chí Quốc8</v>
          </cell>
          <cell r="AX316" t="str">
            <v>Nga</v>
          </cell>
        </row>
        <row r="317">
          <cell r="D317" t="str">
            <v>Nguyễn Chí Quốc</v>
          </cell>
          <cell r="AF317" t="str">
            <v>XE00309</v>
          </cell>
          <cell r="AH317">
            <v>8.84</v>
          </cell>
          <cell r="AW317" t="str">
            <v>Nguyễn Chí Quốc9</v>
          </cell>
          <cell r="AX317" t="str">
            <v>Nga</v>
          </cell>
        </row>
        <row r="318">
          <cell r="D318" t="str">
            <v>Nguyễn Tuấn Anh 1978</v>
          </cell>
          <cell r="AF318" t="str">
            <v>XE00524</v>
          </cell>
          <cell r="AH318">
            <v>9.82</v>
          </cell>
          <cell r="AW318" t="str">
            <v>Nguyễn Tuấn Anh 19788</v>
          </cell>
          <cell r="AX318" t="str">
            <v>Nga</v>
          </cell>
        </row>
        <row r="319">
          <cell r="D319" t="str">
            <v>Nguyễn Tuấn Anh 1978</v>
          </cell>
          <cell r="AF319" t="str">
            <v>XE00524</v>
          </cell>
          <cell r="AH319">
            <v>9.42</v>
          </cell>
          <cell r="AW319" t="str">
            <v>Nguyễn Tuấn Anh 19789</v>
          </cell>
          <cell r="AX319" t="str">
            <v>Nga</v>
          </cell>
        </row>
        <row r="320">
          <cell r="D320" t="str">
            <v>Hoàng Việt Cường</v>
          </cell>
          <cell r="AF320" t="str">
            <v>XE00248</v>
          </cell>
          <cell r="AH320">
            <v>9.42</v>
          </cell>
          <cell r="AW320" t="str">
            <v>Hoàng Việt Cường9</v>
          </cell>
          <cell r="AX320" t="str">
            <v>Nga</v>
          </cell>
        </row>
        <row r="321">
          <cell r="D321" t="str">
            <v>Hoàng Việt Cường</v>
          </cell>
          <cell r="AF321" t="str">
            <v>XE00248</v>
          </cell>
          <cell r="AH321">
            <v>9.82</v>
          </cell>
          <cell r="AW321" t="str">
            <v>Hoàng Việt Cường10</v>
          </cell>
          <cell r="AX321" t="str">
            <v>Nga</v>
          </cell>
        </row>
        <row r="322">
          <cell r="D322" t="str">
            <v>Nguyễn Duy Hà</v>
          </cell>
          <cell r="AF322" t="str">
            <v>XE00799</v>
          </cell>
          <cell r="AH322">
            <v>9.82</v>
          </cell>
          <cell r="AW322" t="str">
            <v>Nguyễn Duy Hà8</v>
          </cell>
          <cell r="AX322" t="str">
            <v>Nga</v>
          </cell>
        </row>
        <row r="323">
          <cell r="D323" t="str">
            <v>Nguyễn Duy Hà</v>
          </cell>
          <cell r="AF323" t="str">
            <v>XE00799</v>
          </cell>
          <cell r="AH323">
            <v>9.24</v>
          </cell>
          <cell r="AW323" t="str">
            <v>Nguyễn Duy Hà9</v>
          </cell>
          <cell r="AX323" t="str">
            <v>Nga</v>
          </cell>
        </row>
        <row r="324">
          <cell r="D324" t="str">
            <v>Nguyễn Thanh Bình</v>
          </cell>
          <cell r="AF324" t="str">
            <v>XE00825</v>
          </cell>
          <cell r="AH324">
            <v>9.82</v>
          </cell>
          <cell r="AW324" t="str">
            <v>Nguyễn Thanh Bình8</v>
          </cell>
          <cell r="AX324" t="str">
            <v>Nga</v>
          </cell>
        </row>
        <row r="325">
          <cell r="D325" t="str">
            <v>Nguyễn Thanh Bình</v>
          </cell>
          <cell r="AF325" t="str">
            <v>XE00825</v>
          </cell>
          <cell r="AH325">
            <v>9.82</v>
          </cell>
          <cell r="AW325" t="str">
            <v>Nguyễn Thanh Bình9</v>
          </cell>
          <cell r="AX325" t="str">
            <v>Nga</v>
          </cell>
        </row>
        <row r="326">
          <cell r="D326" t="str">
            <v>Phùng Kim Tiến</v>
          </cell>
          <cell r="AF326" t="str">
            <v>XE01242</v>
          </cell>
          <cell r="AH326">
            <v>9.42</v>
          </cell>
          <cell r="AW326" t="str">
            <v>Phùng Kim Tiến9</v>
          </cell>
          <cell r="AX326" t="str">
            <v>Nga</v>
          </cell>
        </row>
        <row r="327">
          <cell r="D327" t="str">
            <v>Tưởng Tuấn Nam</v>
          </cell>
          <cell r="AF327" t="str">
            <v>XE00964</v>
          </cell>
          <cell r="AH327">
            <v>8.6199999999999992</v>
          </cell>
          <cell r="AW327" t="str">
            <v>Tưởng Tuấn Nam9</v>
          </cell>
          <cell r="AX327" t="str">
            <v>Nga</v>
          </cell>
        </row>
        <row r="328">
          <cell r="D328" t="str">
            <v>Vũ Văn Hiển</v>
          </cell>
          <cell r="AF328" t="str">
            <v>XE00148</v>
          </cell>
          <cell r="AH328">
            <v>9.82</v>
          </cell>
          <cell r="AW328" t="str">
            <v>Vũ Văn Hiển6</v>
          </cell>
          <cell r="AX328" t="str">
            <v>Nga</v>
          </cell>
        </row>
        <row r="329">
          <cell r="D329" t="str">
            <v>Vũ Văn Hiển</v>
          </cell>
          <cell r="AF329" t="str">
            <v>XE00148</v>
          </cell>
          <cell r="AH329">
            <v>9.82</v>
          </cell>
          <cell r="AW329" t="str">
            <v>Vũ Văn Hiển7</v>
          </cell>
          <cell r="AX329" t="str">
            <v>Nga</v>
          </cell>
        </row>
        <row r="330">
          <cell r="D330" t="str">
            <v>Phạm Huy Toàn</v>
          </cell>
          <cell r="AF330" t="str">
            <v>XE00234</v>
          </cell>
          <cell r="AH330">
            <v>9.82</v>
          </cell>
          <cell r="AW330" t="str">
            <v>Phạm Huy Toàn6</v>
          </cell>
          <cell r="AX330" t="str">
            <v>Nga</v>
          </cell>
        </row>
        <row r="331">
          <cell r="D331" t="str">
            <v>Phạm Huy Toàn</v>
          </cell>
          <cell r="AF331" t="str">
            <v>XE00234</v>
          </cell>
          <cell r="AH331">
            <v>9.82</v>
          </cell>
          <cell r="AW331" t="str">
            <v>Phạm Huy Toàn7</v>
          </cell>
          <cell r="AX331" t="str">
            <v>Nga</v>
          </cell>
        </row>
        <row r="332">
          <cell r="D332" t="str">
            <v>Lê Văn Liệu</v>
          </cell>
          <cell r="AF332" t="str">
            <v>XE00054</v>
          </cell>
          <cell r="AH332">
            <v>9.82</v>
          </cell>
          <cell r="AW332" t="str">
            <v>Lê Văn Liệu6</v>
          </cell>
          <cell r="AX332" t="str">
            <v>Nga</v>
          </cell>
        </row>
        <row r="333">
          <cell r="D333" t="str">
            <v>Lê Văn Liệu</v>
          </cell>
          <cell r="AF333" t="str">
            <v>XE00054</v>
          </cell>
          <cell r="AH333">
            <v>9.82</v>
          </cell>
          <cell r="AW333" t="str">
            <v>Lê Văn Liệu7</v>
          </cell>
          <cell r="AX333" t="str">
            <v>Nga</v>
          </cell>
        </row>
        <row r="334">
          <cell r="D334" t="str">
            <v>Ngô Xuân Nam</v>
          </cell>
          <cell r="AF334" t="str">
            <v>XE01669</v>
          </cell>
          <cell r="AH334">
            <v>8.84</v>
          </cell>
          <cell r="AW334" t="str">
            <v>Ngô Xuân Nam6</v>
          </cell>
          <cell r="AX334" t="str">
            <v>Nga</v>
          </cell>
        </row>
        <row r="335">
          <cell r="D335" t="str">
            <v>Ngô Xuân Nam</v>
          </cell>
          <cell r="AF335" t="str">
            <v>XE01669</v>
          </cell>
          <cell r="AH335">
            <v>9.42</v>
          </cell>
          <cell r="AW335" t="str">
            <v>Ngô Xuân Nam7</v>
          </cell>
          <cell r="AX335" t="str">
            <v>Nga</v>
          </cell>
        </row>
        <row r="336">
          <cell r="D336" t="str">
            <v>Đỗ Văn Phương</v>
          </cell>
          <cell r="AF336" t="str">
            <v>XE01605</v>
          </cell>
          <cell r="AH336">
            <v>9.82</v>
          </cell>
          <cell r="AW336" t="str">
            <v>Đỗ Văn Phương6</v>
          </cell>
          <cell r="AX336" t="str">
            <v>Nga</v>
          </cell>
        </row>
        <row r="337">
          <cell r="D337" t="str">
            <v>Đỗ Văn Phương</v>
          </cell>
          <cell r="AF337" t="str">
            <v>XE01605</v>
          </cell>
          <cell r="AH337">
            <v>9.02</v>
          </cell>
          <cell r="AW337" t="str">
            <v>Đỗ Văn Phương7</v>
          </cell>
          <cell r="AX337" t="str">
            <v>Nga</v>
          </cell>
        </row>
        <row r="338">
          <cell r="D338" t="str">
            <v>Trương Minh Quân</v>
          </cell>
          <cell r="AF338" t="str">
            <v>XE01077</v>
          </cell>
          <cell r="AH338">
            <v>9.82</v>
          </cell>
          <cell r="AW338" t="str">
            <v>Trương Minh Quân6</v>
          </cell>
          <cell r="AX338" t="str">
            <v>Nga</v>
          </cell>
        </row>
        <row r="339">
          <cell r="D339" t="str">
            <v>Trương Minh Quân</v>
          </cell>
          <cell r="AF339" t="str">
            <v>XE01077</v>
          </cell>
          <cell r="AH339">
            <v>9.82</v>
          </cell>
          <cell r="AW339" t="str">
            <v>Trương Minh Quân7</v>
          </cell>
          <cell r="AX339" t="str">
            <v>Nga</v>
          </cell>
        </row>
        <row r="340">
          <cell r="D340" t="str">
            <v>Tưởng Tuấn Nam</v>
          </cell>
          <cell r="AF340" t="str">
            <v>XE00964</v>
          </cell>
          <cell r="AH340">
            <v>9.42</v>
          </cell>
          <cell r="AW340" t="str">
            <v>Tưởng Tuấn Nam10</v>
          </cell>
          <cell r="AX340" t="str">
            <v>Nga</v>
          </cell>
        </row>
        <row r="341">
          <cell r="D341" t="str">
            <v>Tưởng Tuấn Nam</v>
          </cell>
          <cell r="AF341" t="str">
            <v>XE00964</v>
          </cell>
          <cell r="AH341">
            <v>9.82</v>
          </cell>
          <cell r="AW341" t="str">
            <v>Tưởng Tuấn Nam11</v>
          </cell>
          <cell r="AX341" t="str">
            <v>Nga</v>
          </cell>
        </row>
        <row r="342">
          <cell r="D342" t="str">
            <v>Phùng Kim Tiến</v>
          </cell>
          <cell r="AF342" t="str">
            <v>XE01242</v>
          </cell>
          <cell r="AH342">
            <v>9.2199999999999989</v>
          </cell>
          <cell r="AW342" t="str">
            <v>Phùng Kim Tiến10</v>
          </cell>
          <cell r="AX342" t="str">
            <v>Nga</v>
          </cell>
        </row>
        <row r="343">
          <cell r="D343" t="str">
            <v>Phùng Kim Tiến</v>
          </cell>
          <cell r="AF343" t="str">
            <v>XE01242</v>
          </cell>
          <cell r="AH343">
            <v>8.4</v>
          </cell>
          <cell r="AW343" t="str">
            <v>Phùng Kim Tiến11</v>
          </cell>
          <cell r="AX343" t="str">
            <v>Nga</v>
          </cell>
        </row>
        <row r="344">
          <cell r="D344" t="str">
            <v>Vũ Duy Long</v>
          </cell>
          <cell r="AF344" t="str">
            <v>XE00721</v>
          </cell>
          <cell r="AH344">
            <v>9.42</v>
          </cell>
          <cell r="AW344" t="str">
            <v>Vũ Duy Long7</v>
          </cell>
          <cell r="AX344" t="str">
            <v>Nga</v>
          </cell>
        </row>
        <row r="345">
          <cell r="D345" t="str">
            <v>Vũ Duy Long</v>
          </cell>
          <cell r="AF345" t="str">
            <v>XE00721</v>
          </cell>
          <cell r="AH345">
            <v>9.82</v>
          </cell>
          <cell r="AW345" t="str">
            <v>Vũ Duy Long8</v>
          </cell>
          <cell r="AX345" t="str">
            <v>Nga</v>
          </cell>
        </row>
        <row r="346">
          <cell r="D346" t="str">
            <v>Nguyễn Thanh Bình</v>
          </cell>
          <cell r="AF346" t="str">
            <v>XE00825</v>
          </cell>
          <cell r="AH346">
            <v>9.42</v>
          </cell>
          <cell r="AW346" t="str">
            <v>Nguyễn Thanh Bình10</v>
          </cell>
          <cell r="AX346" t="str">
            <v>Nga</v>
          </cell>
        </row>
        <row r="347">
          <cell r="D347" t="str">
            <v>Nguyễn Thanh Bình</v>
          </cell>
          <cell r="AF347" t="str">
            <v>XE00825</v>
          </cell>
          <cell r="AH347">
            <v>9.82</v>
          </cell>
          <cell r="AW347" t="str">
            <v>Nguyễn Thanh Bình11</v>
          </cell>
          <cell r="AX347" t="str">
            <v>Nga</v>
          </cell>
        </row>
        <row r="348">
          <cell r="D348" t="str">
            <v>Nguyễn Duy Hà</v>
          </cell>
          <cell r="AF348" t="str">
            <v>XE00799</v>
          </cell>
          <cell r="AH348">
            <v>9.42</v>
          </cell>
          <cell r="AW348" t="str">
            <v>Nguyễn Duy Hà10</v>
          </cell>
          <cell r="AX348" t="str">
            <v>Nga</v>
          </cell>
        </row>
        <row r="349">
          <cell r="D349" t="str">
            <v>Nguyễn Duy Hà</v>
          </cell>
          <cell r="AF349" t="str">
            <v>XE00799</v>
          </cell>
          <cell r="AH349">
            <v>9.02</v>
          </cell>
          <cell r="AW349" t="str">
            <v>Nguyễn Duy Hà11</v>
          </cell>
          <cell r="AX349" t="str">
            <v>Nga</v>
          </cell>
        </row>
        <row r="350">
          <cell r="D350" t="str">
            <v>Nguyễn Tuấn Anh 1978</v>
          </cell>
          <cell r="AF350" t="str">
            <v>XE00524</v>
          </cell>
          <cell r="AH350">
            <v>8.84</v>
          </cell>
          <cell r="AW350" t="str">
            <v>Nguyễn Tuấn Anh 197810</v>
          </cell>
          <cell r="AX350" t="str">
            <v>Nga</v>
          </cell>
        </row>
        <row r="351">
          <cell r="D351" t="str">
            <v>Nguyễn Tuấn Anh 1978</v>
          </cell>
          <cell r="AF351" t="str">
            <v>XE00524</v>
          </cell>
          <cell r="AH351">
            <v>9.42</v>
          </cell>
          <cell r="AW351" t="str">
            <v>Nguyễn Tuấn Anh 197811</v>
          </cell>
          <cell r="AX351" t="str">
            <v>Nga</v>
          </cell>
        </row>
        <row r="352">
          <cell r="D352" t="str">
            <v>Nguyễn Chí Quốc</v>
          </cell>
          <cell r="AF352" t="str">
            <v>XE00309</v>
          </cell>
          <cell r="AH352">
            <v>8.6199999999999992</v>
          </cell>
          <cell r="AW352" t="str">
            <v>Nguyễn Chí Quốc10</v>
          </cell>
          <cell r="AX352" t="str">
            <v>Nga</v>
          </cell>
        </row>
        <row r="353">
          <cell r="D353" t="str">
            <v>Nguyễn Chí Quốc</v>
          </cell>
          <cell r="AF353" t="str">
            <v>XE00309</v>
          </cell>
          <cell r="AH353">
            <v>9.42</v>
          </cell>
          <cell r="AW353" t="str">
            <v>Nguyễn Chí Quốc11</v>
          </cell>
          <cell r="AX353" t="str">
            <v>Nga</v>
          </cell>
        </row>
        <row r="354">
          <cell r="D354" t="str">
            <v>Đào Trung Đức</v>
          </cell>
          <cell r="AF354" t="str">
            <v>XE00366</v>
          </cell>
          <cell r="AH354">
            <v>9.42</v>
          </cell>
          <cell r="AW354" t="str">
            <v>Đào Trung Đức10</v>
          </cell>
          <cell r="AX354" t="str">
            <v>Nga</v>
          </cell>
        </row>
        <row r="355">
          <cell r="D355" t="str">
            <v>Đào Trung Đức</v>
          </cell>
          <cell r="AF355" t="str">
            <v>XE00366</v>
          </cell>
          <cell r="AH355">
            <v>9.42</v>
          </cell>
          <cell r="AW355" t="str">
            <v>Đào Trung Đức11</v>
          </cell>
          <cell r="AX355" t="str">
            <v>Nga</v>
          </cell>
        </row>
        <row r="356">
          <cell r="D356" t="str">
            <v>Nguyễn Đức Quang</v>
          </cell>
          <cell r="AF356" t="str">
            <v>XE00320</v>
          </cell>
          <cell r="AH356">
            <v>9.02</v>
          </cell>
          <cell r="AW356" t="str">
            <v>Nguyễn Đức Quang10</v>
          </cell>
          <cell r="AX356" t="str">
            <v>Nga</v>
          </cell>
        </row>
        <row r="357">
          <cell r="D357" t="str">
            <v>Nguyễn Đức Quang</v>
          </cell>
          <cell r="AF357" t="str">
            <v>XE00320</v>
          </cell>
          <cell r="AH357">
            <v>9.82</v>
          </cell>
          <cell r="AW357" t="str">
            <v>Nguyễn Đức Quang11</v>
          </cell>
          <cell r="AX357" t="str">
            <v>Nga</v>
          </cell>
        </row>
        <row r="358">
          <cell r="D358" t="str">
            <v>Vũ Đức Toàn</v>
          </cell>
          <cell r="AF358" t="str">
            <v>XE00295</v>
          </cell>
          <cell r="AH358">
            <v>9.42</v>
          </cell>
          <cell r="AW358" t="str">
            <v>Vũ Đức Toàn10</v>
          </cell>
          <cell r="AX358" t="str">
            <v>Nga</v>
          </cell>
        </row>
        <row r="359">
          <cell r="D359" t="str">
            <v>Vũ Đức Toàn</v>
          </cell>
          <cell r="AF359" t="str">
            <v>XE00295</v>
          </cell>
          <cell r="AH359">
            <v>8.84</v>
          </cell>
          <cell r="AW359" t="str">
            <v>Vũ Đức Toàn11</v>
          </cell>
          <cell r="AX359" t="str">
            <v>Nga</v>
          </cell>
        </row>
        <row r="360">
          <cell r="D360" t="str">
            <v>Tạ Văn Nam</v>
          </cell>
          <cell r="AF360" t="str">
            <v>XE01437</v>
          </cell>
          <cell r="AH360">
            <v>9.82</v>
          </cell>
          <cell r="AW360" t="str">
            <v>Tạ Văn Nam10</v>
          </cell>
          <cell r="AX360" t="str">
            <v>Nga</v>
          </cell>
        </row>
        <row r="361">
          <cell r="D361" t="str">
            <v>Tạ Văn Nam</v>
          </cell>
          <cell r="AF361" t="str">
            <v>XE01437</v>
          </cell>
          <cell r="AH361">
            <v>9.42</v>
          </cell>
          <cell r="AW361" t="str">
            <v>Tạ Văn Nam11</v>
          </cell>
          <cell r="AX361" t="str">
            <v>Nga</v>
          </cell>
        </row>
        <row r="362">
          <cell r="D362" t="str">
            <v>Nguyễn Minh Quang</v>
          </cell>
          <cell r="AF362" t="str">
            <v>XE01188</v>
          </cell>
          <cell r="AH362">
            <v>9.82</v>
          </cell>
          <cell r="AW362" t="str">
            <v>Nguyễn Minh Quang10</v>
          </cell>
          <cell r="AX362" t="str">
            <v>Nga</v>
          </cell>
        </row>
        <row r="363">
          <cell r="D363" t="str">
            <v>Nguyễn Minh Quang</v>
          </cell>
          <cell r="AF363" t="str">
            <v>XE01188</v>
          </cell>
          <cell r="AH363">
            <v>9.82</v>
          </cell>
          <cell r="AW363" t="str">
            <v>Nguyễn Minh Quang11</v>
          </cell>
          <cell r="AX363" t="str">
            <v>Nga</v>
          </cell>
        </row>
        <row r="364">
          <cell r="D364" t="str">
            <v>Nguyễn Trung Kiên 1995</v>
          </cell>
          <cell r="AF364" t="str">
            <v>XE01036</v>
          </cell>
          <cell r="AH364">
            <v>8.84</v>
          </cell>
          <cell r="AW364" t="str">
            <v>Nguyễn Trung Kiên 199510</v>
          </cell>
          <cell r="AX364" t="str">
            <v>Nga</v>
          </cell>
        </row>
        <row r="365">
          <cell r="D365" t="str">
            <v>Nguyễn Trung Kiên 1995</v>
          </cell>
          <cell r="AF365" t="str">
            <v>XE01036</v>
          </cell>
          <cell r="AH365">
            <v>8.2200000000000006</v>
          </cell>
          <cell r="AW365" t="str">
            <v>Nguyễn Trung Kiên 199511</v>
          </cell>
          <cell r="AX365" t="str">
            <v>Nga</v>
          </cell>
        </row>
        <row r="366">
          <cell r="D366" t="str">
            <v>Nguyễn Ngọc Lâm</v>
          </cell>
          <cell r="AF366" t="str">
            <v>XE01168</v>
          </cell>
          <cell r="AH366">
            <v>9.42</v>
          </cell>
          <cell r="AW366" t="str">
            <v>Nguyễn Ngọc Lâm11</v>
          </cell>
          <cell r="AX366" t="str">
            <v>Nga</v>
          </cell>
        </row>
        <row r="367">
          <cell r="D367" t="str">
            <v>Nguyễn Ngọc Lâm</v>
          </cell>
          <cell r="AF367" t="str">
            <v>XE01168</v>
          </cell>
          <cell r="AH367">
            <v>9.42</v>
          </cell>
          <cell r="AW367" t="str">
            <v>Nguyễn Ngọc Lâm12</v>
          </cell>
          <cell r="AX367" t="str">
            <v>Nga</v>
          </cell>
        </row>
        <row r="368">
          <cell r="D368" t="str">
            <v>Đinh Công Cường</v>
          </cell>
          <cell r="AF368" t="str">
            <v>XE00791</v>
          </cell>
          <cell r="AH368">
            <v>9.82</v>
          </cell>
          <cell r="AW368" t="str">
            <v>Đinh Công Cường10</v>
          </cell>
          <cell r="AX368" t="str">
            <v>Nga</v>
          </cell>
        </row>
        <row r="369">
          <cell r="D369" t="str">
            <v>Đinh Công Cường</v>
          </cell>
          <cell r="AF369" t="str">
            <v>XE00791</v>
          </cell>
          <cell r="AH369">
            <v>8.84</v>
          </cell>
          <cell r="AW369" t="str">
            <v>Đinh Công Cường11</v>
          </cell>
          <cell r="AX369" t="str">
            <v>Nga</v>
          </cell>
        </row>
        <row r="370">
          <cell r="D370" t="str">
            <v>Nguyễn Đức Tâm</v>
          </cell>
          <cell r="AF370" t="str">
            <v>XE00674</v>
          </cell>
          <cell r="AH370">
            <v>9.42</v>
          </cell>
          <cell r="AW370" t="str">
            <v>Nguyễn Đức Tâm12</v>
          </cell>
          <cell r="AX370" t="str">
            <v>Nga</v>
          </cell>
        </row>
        <row r="371">
          <cell r="D371" t="str">
            <v>Nguyễn Đức Tâm</v>
          </cell>
          <cell r="AF371" t="str">
            <v>XE00674</v>
          </cell>
          <cell r="AH371">
            <v>9.02</v>
          </cell>
          <cell r="AW371" t="str">
            <v>Nguyễn Đức Tâm13</v>
          </cell>
          <cell r="AX371" t="str">
            <v>Nga</v>
          </cell>
        </row>
        <row r="372">
          <cell r="D372" t="str">
            <v>Phùng Hữu Biên</v>
          </cell>
          <cell r="AF372" t="str">
            <v>XE00714</v>
          </cell>
          <cell r="AH372">
            <v>9.82</v>
          </cell>
          <cell r="AW372" t="str">
            <v>Phùng Hữu Biên11</v>
          </cell>
          <cell r="AX372" t="str">
            <v>Nga</v>
          </cell>
        </row>
        <row r="373">
          <cell r="D373" t="str">
            <v>Phùng Hữu Biên</v>
          </cell>
          <cell r="AF373" t="str">
            <v>XE00714</v>
          </cell>
          <cell r="AH373">
            <v>9.42</v>
          </cell>
          <cell r="AW373" t="str">
            <v>Phùng Hữu Biên12</v>
          </cell>
          <cell r="AX373" t="str">
            <v>Nga</v>
          </cell>
        </row>
        <row r="374">
          <cell r="D374" t="str">
            <v>Phan Anh Giang</v>
          </cell>
          <cell r="AF374" t="str">
            <v>XE00365</v>
          </cell>
          <cell r="AH374">
            <v>9.82</v>
          </cell>
          <cell r="AW374" t="str">
            <v>Phan Anh Giang8</v>
          </cell>
          <cell r="AX374" t="str">
            <v>Nga</v>
          </cell>
        </row>
        <row r="375">
          <cell r="D375" t="str">
            <v>Phan Anh Giang</v>
          </cell>
          <cell r="AF375" t="str">
            <v>XE00365</v>
          </cell>
          <cell r="AH375">
            <v>9.42</v>
          </cell>
          <cell r="AW375" t="str">
            <v>Phan Anh Giang9</v>
          </cell>
          <cell r="AX375" t="str">
            <v>Nga</v>
          </cell>
        </row>
        <row r="376">
          <cell r="D376" t="str">
            <v>Lê Văn Thắng</v>
          </cell>
          <cell r="AF376" t="str">
            <v>XE00242</v>
          </cell>
          <cell r="AH376">
            <v>9.42</v>
          </cell>
          <cell r="AW376" t="str">
            <v>Lê Văn Thắng10</v>
          </cell>
          <cell r="AX376" t="str">
            <v>Nga</v>
          </cell>
        </row>
        <row r="377">
          <cell r="D377" t="str">
            <v>Nguyễn Đức Thuận</v>
          </cell>
          <cell r="AF377" t="str">
            <v>XE00160</v>
          </cell>
          <cell r="AH377">
            <v>9.82</v>
          </cell>
          <cell r="AW377" t="str">
            <v>Nguyễn Đức Thuận10</v>
          </cell>
          <cell r="AX377" t="str">
            <v>Nga</v>
          </cell>
        </row>
        <row r="378">
          <cell r="D378" t="str">
            <v>Trần Trung Kiên</v>
          </cell>
          <cell r="AF378" t="str">
            <v>XE00274</v>
          </cell>
          <cell r="AH378">
            <v>9.82</v>
          </cell>
          <cell r="AW378" t="str">
            <v>Trần Trung Kiên12</v>
          </cell>
          <cell r="AX378" t="str">
            <v>Nga</v>
          </cell>
        </row>
        <row r="379">
          <cell r="D379" t="str">
            <v>Phan Anh Giang</v>
          </cell>
          <cell r="AF379" t="str">
            <v>XE00365</v>
          </cell>
          <cell r="AH379">
            <v>9.02</v>
          </cell>
          <cell r="AW379" t="str">
            <v>Phan Anh Giang10</v>
          </cell>
          <cell r="AX379" t="str">
            <v>Nga</v>
          </cell>
        </row>
        <row r="380">
          <cell r="D380" t="str">
            <v>Phùng Hữu Biên</v>
          </cell>
          <cell r="AF380" t="str">
            <v>XE00714</v>
          </cell>
          <cell r="AH380">
            <v>8.44</v>
          </cell>
          <cell r="AW380" t="str">
            <v>Phùng Hữu Biên13</v>
          </cell>
          <cell r="AX380" t="str">
            <v>Nga</v>
          </cell>
        </row>
        <row r="381">
          <cell r="D381" t="str">
            <v>Nguyễn Đức Tâm</v>
          </cell>
          <cell r="AF381" t="str">
            <v>XE00674</v>
          </cell>
          <cell r="AH381">
            <v>9.82</v>
          </cell>
          <cell r="AW381" t="str">
            <v>Nguyễn Đức Tâm14</v>
          </cell>
          <cell r="AX381" t="str">
            <v>Nga</v>
          </cell>
        </row>
        <row r="382">
          <cell r="D382" t="str">
            <v>Đinh Công Cường</v>
          </cell>
          <cell r="AF382" t="str">
            <v>XE00791</v>
          </cell>
          <cell r="AH382">
            <v>9.82</v>
          </cell>
          <cell r="AW382" t="str">
            <v>Đinh Công Cường12</v>
          </cell>
          <cell r="AX382" t="str">
            <v>Nga</v>
          </cell>
        </row>
        <row r="383">
          <cell r="D383" t="str">
            <v>Nguyễn Ngọc Lâm</v>
          </cell>
          <cell r="AF383" t="str">
            <v>XE01168</v>
          </cell>
          <cell r="AH383">
            <v>9.82</v>
          </cell>
          <cell r="AW383" t="str">
            <v>Nguyễn Ngọc Lâm13</v>
          </cell>
          <cell r="AX383" t="str">
            <v>Nga</v>
          </cell>
        </row>
        <row r="384">
          <cell r="D384" t="str">
            <v>Nguyễn Trung Kiên 1986</v>
          </cell>
          <cell r="AF384" t="str">
            <v>XE00971</v>
          </cell>
          <cell r="AH384">
            <v>9.42</v>
          </cell>
          <cell r="AW384" t="str">
            <v>Nguyễn Trung Kiên 198610</v>
          </cell>
          <cell r="AX384" t="str">
            <v>Nga</v>
          </cell>
        </row>
        <row r="385">
          <cell r="D385" t="str">
            <v>Nguyễn Trung Kiên 1995</v>
          </cell>
          <cell r="AF385" t="str">
            <v>XE01036</v>
          </cell>
          <cell r="AH385">
            <v>9.82</v>
          </cell>
          <cell r="AW385" t="str">
            <v>Nguyễn Trung Kiên 199512</v>
          </cell>
          <cell r="AX385" t="str">
            <v>Nga</v>
          </cell>
        </row>
        <row r="386">
          <cell r="D386" t="str">
            <v>Nguyễn Minh Quang</v>
          </cell>
          <cell r="AF386" t="str">
            <v>XE01188</v>
          </cell>
          <cell r="AH386">
            <v>9.42</v>
          </cell>
          <cell r="AW386" t="str">
            <v>Nguyễn Minh Quang12</v>
          </cell>
          <cell r="AX386" t="str">
            <v>Nga</v>
          </cell>
        </row>
        <row r="387">
          <cell r="D387" t="str">
            <v>Tạ Văn Nam</v>
          </cell>
          <cell r="AF387" t="str">
            <v>XE01437</v>
          </cell>
          <cell r="AH387">
            <v>9.82</v>
          </cell>
          <cell r="AW387" t="str">
            <v>Tạ Văn Nam12</v>
          </cell>
          <cell r="AX387" t="str">
            <v>Nga</v>
          </cell>
        </row>
        <row r="388">
          <cell r="D388" t="str">
            <v>Vũ Đức Toàn</v>
          </cell>
          <cell r="AF388" t="str">
            <v>XE00295</v>
          </cell>
          <cell r="AH388">
            <v>9.82</v>
          </cell>
          <cell r="AW388" t="str">
            <v>Vũ Đức Toàn12</v>
          </cell>
          <cell r="AX388" t="str">
            <v>Nga</v>
          </cell>
        </row>
        <row r="389">
          <cell r="D389" t="str">
            <v>Nguyễn Đức Quang</v>
          </cell>
          <cell r="AF389" t="str">
            <v>XE00320</v>
          </cell>
          <cell r="AH389">
            <v>9.82</v>
          </cell>
          <cell r="AW389" t="str">
            <v>Nguyễn Đức Quang12</v>
          </cell>
          <cell r="AX389" t="str">
            <v>Nga</v>
          </cell>
        </row>
        <row r="390">
          <cell r="D390" t="str">
            <v>Đào Trung Đức</v>
          </cell>
          <cell r="AF390" t="str">
            <v>XE00366</v>
          </cell>
          <cell r="AH390">
            <v>9.42</v>
          </cell>
          <cell r="AW390" t="str">
            <v>Đào Trung Đức12</v>
          </cell>
          <cell r="AX390" t="str">
            <v>Nga</v>
          </cell>
        </row>
        <row r="391">
          <cell r="D391" t="str">
            <v>Nguyễn Chí Quốc</v>
          </cell>
          <cell r="AF391" t="str">
            <v>XE00309</v>
          </cell>
          <cell r="AH391">
            <v>8.84</v>
          </cell>
          <cell r="AW391" t="str">
            <v>Nguyễn Chí Quốc12</v>
          </cell>
          <cell r="AX391" t="str">
            <v>Nga</v>
          </cell>
        </row>
        <row r="392">
          <cell r="D392" t="str">
            <v>Nguyễn Tuấn Anh 1978</v>
          </cell>
          <cell r="AF392" t="str">
            <v>XE00524</v>
          </cell>
          <cell r="AH392">
            <v>9.82</v>
          </cell>
          <cell r="AW392" t="str">
            <v>Nguyễn Tuấn Anh 197812</v>
          </cell>
          <cell r="AX392" t="str">
            <v>Nga</v>
          </cell>
        </row>
        <row r="393">
          <cell r="D393" t="str">
            <v>Hoàng Việt Cường</v>
          </cell>
          <cell r="AF393" t="str">
            <v>XE00248</v>
          </cell>
          <cell r="AH393">
            <v>9.42</v>
          </cell>
          <cell r="AW393" t="str">
            <v>Hoàng Việt Cường11</v>
          </cell>
          <cell r="AX393" t="str">
            <v>Nga</v>
          </cell>
        </row>
        <row r="394">
          <cell r="D394" t="str">
            <v>Hoàng Việt Cường</v>
          </cell>
          <cell r="AF394" t="str">
            <v>XE00248</v>
          </cell>
          <cell r="AH394">
            <v>9.82</v>
          </cell>
          <cell r="AW394" t="str">
            <v>Hoàng Việt Cường12</v>
          </cell>
          <cell r="AX394" t="str">
            <v>Nga</v>
          </cell>
        </row>
        <row r="395">
          <cell r="D395" t="str">
            <v>Nguyễn Duy Hà</v>
          </cell>
          <cell r="AF395" t="str">
            <v>XE00799</v>
          </cell>
          <cell r="AH395">
            <v>9.6199999999999992</v>
          </cell>
          <cell r="AW395" t="str">
            <v>Nguyễn Duy Hà12</v>
          </cell>
          <cell r="AX395" t="str">
            <v>Nga</v>
          </cell>
        </row>
        <row r="396">
          <cell r="D396" t="str">
            <v>Nguyễn Thanh Bình</v>
          </cell>
          <cell r="AF396" t="str">
            <v>XE00825</v>
          </cell>
          <cell r="AH396">
            <v>9.82</v>
          </cell>
          <cell r="AW396" t="str">
            <v>Nguyễn Thanh Bình12</v>
          </cell>
          <cell r="AX396" t="str">
            <v>Nga</v>
          </cell>
        </row>
        <row r="397">
          <cell r="D397" t="str">
            <v>Hoàng Cát Giao</v>
          </cell>
          <cell r="AF397" t="str">
            <v>XE00734</v>
          </cell>
          <cell r="AH397">
            <v>9.42</v>
          </cell>
          <cell r="AW397" t="str">
            <v>Hoàng Cát Giao10</v>
          </cell>
          <cell r="AX397" t="str">
            <v>Nga</v>
          </cell>
        </row>
        <row r="398">
          <cell r="D398" t="str">
            <v>Hoàng Cát Giao</v>
          </cell>
          <cell r="AF398" t="str">
            <v>XE00734</v>
          </cell>
          <cell r="AH398">
            <v>9.42</v>
          </cell>
          <cell r="AW398" t="str">
            <v>Hoàng Cát Giao11</v>
          </cell>
          <cell r="AX398" t="str">
            <v>Nga</v>
          </cell>
        </row>
        <row r="399">
          <cell r="D399" t="str">
            <v>Hoàng Cát Giao</v>
          </cell>
          <cell r="AF399" t="str">
            <v>XE00734</v>
          </cell>
          <cell r="AH399">
            <v>9.82</v>
          </cell>
          <cell r="AW399" t="str">
            <v>Hoàng Cát Giao12</v>
          </cell>
          <cell r="AX399" t="str">
            <v>Nga</v>
          </cell>
        </row>
        <row r="400">
          <cell r="D400" t="str">
            <v>Vũ Duy Long</v>
          </cell>
          <cell r="AF400" t="str">
            <v>XE00721</v>
          </cell>
          <cell r="AH400">
            <v>9.42</v>
          </cell>
          <cell r="AW400" t="str">
            <v>Vũ Duy Long9</v>
          </cell>
          <cell r="AX400" t="str">
            <v>Nga</v>
          </cell>
        </row>
        <row r="401">
          <cell r="D401" t="str">
            <v>Vũ Duy Long</v>
          </cell>
          <cell r="AF401" t="str">
            <v>XE00721</v>
          </cell>
          <cell r="AH401">
            <v>9.24</v>
          </cell>
          <cell r="AW401" t="str">
            <v>Vũ Duy Long10</v>
          </cell>
          <cell r="AX401" t="str">
            <v>Nga</v>
          </cell>
        </row>
        <row r="402">
          <cell r="D402" t="str">
            <v>Vũ Duy Long</v>
          </cell>
          <cell r="AF402" t="str">
            <v>XE00721</v>
          </cell>
          <cell r="AH402">
            <v>9.42</v>
          </cell>
          <cell r="AW402" t="str">
            <v>Vũ Duy Long11</v>
          </cell>
          <cell r="AX402" t="str">
            <v>Nga</v>
          </cell>
        </row>
        <row r="403">
          <cell r="D403" t="str">
            <v>Tưởng Tuấn Nam</v>
          </cell>
          <cell r="AF403" t="str">
            <v>XE00964</v>
          </cell>
          <cell r="AH403">
            <v>9.82</v>
          </cell>
          <cell r="AW403" t="str">
            <v>Tưởng Tuấn Nam12</v>
          </cell>
          <cell r="AX403" t="str">
            <v>Nga</v>
          </cell>
        </row>
        <row r="404">
          <cell r="D404" t="str">
            <v>Trương Minh Quân</v>
          </cell>
          <cell r="AF404" t="str">
            <v>XE01077</v>
          </cell>
          <cell r="AH404">
            <v>9.6199999999999992</v>
          </cell>
          <cell r="AW404" t="str">
            <v>Trương Minh Quân8</v>
          </cell>
          <cell r="AX404" t="str">
            <v>Nga</v>
          </cell>
        </row>
        <row r="405">
          <cell r="D405" t="str">
            <v>Trương Minh Quân</v>
          </cell>
          <cell r="AF405" t="str">
            <v>XE01077</v>
          </cell>
          <cell r="AH405">
            <v>9.02</v>
          </cell>
          <cell r="AW405" t="str">
            <v>Trương Minh Quân9</v>
          </cell>
          <cell r="AX405" t="str">
            <v>Nga</v>
          </cell>
        </row>
        <row r="406">
          <cell r="D406" t="str">
            <v>Trương Minh Quân</v>
          </cell>
          <cell r="AF406" t="str">
            <v>XE01077</v>
          </cell>
          <cell r="AH406">
            <v>9.82</v>
          </cell>
          <cell r="AW406" t="str">
            <v>Trương Minh Quân10</v>
          </cell>
          <cell r="AX406" t="str">
            <v>Nga</v>
          </cell>
        </row>
        <row r="407">
          <cell r="D407" t="str">
            <v>Đỗ Văn Phương</v>
          </cell>
          <cell r="AF407" t="str">
            <v>XE01605</v>
          </cell>
          <cell r="AH407">
            <v>10</v>
          </cell>
          <cell r="AW407" t="str">
            <v>Đỗ Văn Phương8</v>
          </cell>
          <cell r="AX407" t="str">
            <v>Nga</v>
          </cell>
        </row>
        <row r="408">
          <cell r="D408" t="str">
            <v>Đỗ Văn Phương</v>
          </cell>
          <cell r="AF408" t="str">
            <v>XE01605</v>
          </cell>
          <cell r="AH408">
            <v>9.02</v>
          </cell>
          <cell r="AW408" t="str">
            <v>Đỗ Văn Phương9</v>
          </cell>
          <cell r="AX408" t="str">
            <v>Nga</v>
          </cell>
        </row>
        <row r="409">
          <cell r="D409" t="str">
            <v>Đỗ Văn Phương</v>
          </cell>
          <cell r="AF409" t="str">
            <v>XE01605</v>
          </cell>
          <cell r="AH409">
            <v>9.82</v>
          </cell>
          <cell r="AW409" t="str">
            <v>Đỗ Văn Phương10</v>
          </cell>
          <cell r="AX409" t="str">
            <v>Nga</v>
          </cell>
        </row>
        <row r="410">
          <cell r="D410" t="str">
            <v>Ngô Xuân Nam</v>
          </cell>
          <cell r="AF410" t="str">
            <v>XE01669</v>
          </cell>
          <cell r="AH410">
            <v>9.42</v>
          </cell>
          <cell r="AW410" t="str">
            <v>Ngô Xuân Nam8</v>
          </cell>
          <cell r="AX410" t="str">
            <v>Nga</v>
          </cell>
        </row>
        <row r="411">
          <cell r="D411" t="str">
            <v>Ngô Xuân Nam</v>
          </cell>
          <cell r="AF411" t="str">
            <v>XE01669</v>
          </cell>
          <cell r="AH411">
            <v>9.42</v>
          </cell>
          <cell r="AW411" t="str">
            <v>Ngô Xuân Nam9</v>
          </cell>
          <cell r="AX411" t="str">
            <v>Nga</v>
          </cell>
        </row>
        <row r="412">
          <cell r="D412" t="str">
            <v>Ngô Xuân Nam</v>
          </cell>
          <cell r="AF412" t="str">
            <v>XE01669</v>
          </cell>
          <cell r="AH412">
            <v>8.620000000000001</v>
          </cell>
          <cell r="AW412" t="str">
            <v>Ngô Xuân Nam10</v>
          </cell>
          <cell r="AX412" t="str">
            <v>Nga</v>
          </cell>
        </row>
        <row r="413">
          <cell r="D413" t="str">
            <v>Phạm Văn Hà</v>
          </cell>
          <cell r="AF413" t="str">
            <v>XE00063</v>
          </cell>
          <cell r="AH413">
            <v>9.02</v>
          </cell>
          <cell r="AW413" t="str">
            <v>Phạm Văn Hà8</v>
          </cell>
          <cell r="AX413" t="str">
            <v>Nga</v>
          </cell>
        </row>
        <row r="414">
          <cell r="D414" t="str">
            <v>Phạm Văn Hà</v>
          </cell>
          <cell r="AF414" t="str">
            <v>XE00063</v>
          </cell>
          <cell r="AH414">
            <v>9.82</v>
          </cell>
          <cell r="AW414" t="str">
            <v>Phạm Văn Hà9</v>
          </cell>
          <cell r="AX414" t="str">
            <v>Nga</v>
          </cell>
        </row>
        <row r="415">
          <cell r="D415" t="str">
            <v>Lê Văn Liệu</v>
          </cell>
          <cell r="AF415" t="str">
            <v>XE00054</v>
          </cell>
          <cell r="AH415">
            <v>9.82</v>
          </cell>
          <cell r="AW415" t="str">
            <v>Lê Văn Liệu8</v>
          </cell>
          <cell r="AX415" t="str">
            <v>Nga</v>
          </cell>
        </row>
        <row r="416">
          <cell r="D416" t="str">
            <v>Lê Văn Liệu</v>
          </cell>
          <cell r="AF416" t="str">
            <v>XE00054</v>
          </cell>
          <cell r="AH416">
            <v>9.82</v>
          </cell>
          <cell r="AW416" t="str">
            <v>Lê Văn Liệu9</v>
          </cell>
          <cell r="AX416" t="str">
            <v>Nga</v>
          </cell>
        </row>
        <row r="417">
          <cell r="D417" t="str">
            <v>Phạm Huy Toàn</v>
          </cell>
          <cell r="AF417" t="str">
            <v>XE00234</v>
          </cell>
          <cell r="AH417">
            <v>9.42</v>
          </cell>
          <cell r="AW417" t="str">
            <v>Phạm Huy Toàn8</v>
          </cell>
          <cell r="AX417" t="str">
            <v>Nga</v>
          </cell>
        </row>
        <row r="418">
          <cell r="D418" t="str">
            <v>Phạm Huy Toàn</v>
          </cell>
          <cell r="AF418" t="str">
            <v>XE00234</v>
          </cell>
          <cell r="AH418">
            <v>9.82</v>
          </cell>
          <cell r="AW418" t="str">
            <v>Phạm Huy Toàn9</v>
          </cell>
          <cell r="AX418" t="str">
            <v>Nga</v>
          </cell>
        </row>
        <row r="419">
          <cell r="D419" t="str">
            <v>Vũ Văn Hiển</v>
          </cell>
          <cell r="AF419" t="str">
            <v>XE00148</v>
          </cell>
          <cell r="AH419">
            <v>9.82</v>
          </cell>
          <cell r="AW419" t="str">
            <v>Vũ Văn Hiển8</v>
          </cell>
          <cell r="AX419" t="str">
            <v>Nga</v>
          </cell>
        </row>
        <row r="420">
          <cell r="D420" t="str">
            <v>Vũ Văn Hiển</v>
          </cell>
          <cell r="AF420" t="str">
            <v>XE00148</v>
          </cell>
          <cell r="AH420">
            <v>8.84</v>
          </cell>
          <cell r="AW420" t="str">
            <v>Vũ Văn Hiển9</v>
          </cell>
          <cell r="AX420" t="str">
            <v>Nga</v>
          </cell>
        </row>
        <row r="421">
          <cell r="D421" t="str">
            <v>Lê Văn Đảm</v>
          </cell>
          <cell r="AF421" t="str">
            <v>XE00187</v>
          </cell>
          <cell r="AH421">
            <v>9.6199999999999992</v>
          </cell>
          <cell r="AW421" t="str">
            <v>Lê Văn Đảm7</v>
          </cell>
          <cell r="AX421" t="str">
            <v>Nga</v>
          </cell>
        </row>
        <row r="422">
          <cell r="D422" t="str">
            <v>Lê Văn Đảm</v>
          </cell>
          <cell r="AF422" t="str">
            <v>XE00187</v>
          </cell>
          <cell r="AH422">
            <v>9.82</v>
          </cell>
          <cell r="AW422" t="str">
            <v>Lê Văn Đảm8</v>
          </cell>
          <cell r="AX422" t="str">
            <v>Nga</v>
          </cell>
        </row>
        <row r="423">
          <cell r="D423" t="str">
            <v>Lê Văn Đảm</v>
          </cell>
          <cell r="AF423" t="str">
            <v>XE00187</v>
          </cell>
          <cell r="AH423">
            <v>9.82</v>
          </cell>
          <cell r="AW423" t="str">
            <v>Lê Văn Đảm9</v>
          </cell>
          <cell r="AX423" t="str">
            <v>Nga</v>
          </cell>
        </row>
        <row r="424">
          <cell r="D424" t="str">
            <v>Phạm Văn Ký</v>
          </cell>
          <cell r="AF424" t="str">
            <v>XE00257</v>
          </cell>
          <cell r="AH424">
            <v>9.02</v>
          </cell>
          <cell r="AW424" t="str">
            <v>Phạm Văn Ký10</v>
          </cell>
          <cell r="AX424" t="str">
            <v>Nga</v>
          </cell>
        </row>
        <row r="425">
          <cell r="D425" t="str">
            <v>Phạm Văn Ký</v>
          </cell>
          <cell r="AF425" t="str">
            <v>XE00257</v>
          </cell>
          <cell r="AH425">
            <v>9.02</v>
          </cell>
          <cell r="AW425" t="str">
            <v>Phạm Văn Ký11</v>
          </cell>
          <cell r="AX425" t="str">
            <v>Nga</v>
          </cell>
        </row>
        <row r="426">
          <cell r="D426" t="str">
            <v>Lê Văn Thắng</v>
          </cell>
          <cell r="AF426" t="str">
            <v>XE00242</v>
          </cell>
          <cell r="AH426">
            <v>9.42</v>
          </cell>
          <cell r="AW426" t="str">
            <v>Lê Văn Thắng11</v>
          </cell>
          <cell r="AX426" t="str">
            <v>Nga</v>
          </cell>
        </row>
        <row r="427">
          <cell r="D427" t="str">
            <v>Nguyễn Đức Thuận</v>
          </cell>
          <cell r="AF427" t="str">
            <v>XE00160</v>
          </cell>
          <cell r="AH427">
            <v>9.82</v>
          </cell>
          <cell r="AW427" t="str">
            <v>Nguyễn Đức Thuận11</v>
          </cell>
          <cell r="AX427" t="str">
            <v>Nga</v>
          </cell>
        </row>
        <row r="428">
          <cell r="D428" t="str">
            <v>Trần Trung Kiên</v>
          </cell>
          <cell r="AF428" t="str">
            <v>XE00274</v>
          </cell>
          <cell r="AH428">
            <v>9.82</v>
          </cell>
          <cell r="AW428" t="str">
            <v>Trần Trung Kiên13</v>
          </cell>
          <cell r="AX428" t="str">
            <v>Nga</v>
          </cell>
        </row>
        <row r="429">
          <cell r="D429" t="str">
            <v>Phan Anh Giang</v>
          </cell>
          <cell r="AF429" t="str">
            <v>XE00365</v>
          </cell>
          <cell r="AH429">
            <v>9.24</v>
          </cell>
          <cell r="AW429" t="str">
            <v>Phan Anh Giang11</v>
          </cell>
          <cell r="AX429" t="str">
            <v>Nga</v>
          </cell>
        </row>
        <row r="430">
          <cell r="D430" t="str">
            <v>Vũ Đức Duẩn</v>
          </cell>
          <cell r="AF430" t="str">
            <v>XE00441</v>
          </cell>
          <cell r="AH430">
            <v>9.42</v>
          </cell>
          <cell r="AW430" t="str">
            <v>Vũ Đức Duẩn11</v>
          </cell>
          <cell r="AX430" t="str">
            <v>Nga</v>
          </cell>
        </row>
        <row r="431">
          <cell r="D431" t="str">
            <v>Đỗ Văn Hiếu</v>
          </cell>
          <cell r="AF431" t="str">
            <v>XE00285</v>
          </cell>
          <cell r="AH431">
            <v>9.82</v>
          </cell>
          <cell r="AW431" t="str">
            <v>Đỗ Văn Hiếu12</v>
          </cell>
          <cell r="AX431" t="str">
            <v>Nga</v>
          </cell>
        </row>
        <row r="432">
          <cell r="D432" t="str">
            <v>Phùng Hữu Biên</v>
          </cell>
          <cell r="AF432" t="str">
            <v>XE00714</v>
          </cell>
          <cell r="AH432">
            <v>9.82</v>
          </cell>
          <cell r="AW432" t="str">
            <v>Phùng Hữu Biên14</v>
          </cell>
          <cell r="AX432" t="str">
            <v>Nga</v>
          </cell>
        </row>
        <row r="433">
          <cell r="D433" t="str">
            <v>Nguyễn Đức Tâm</v>
          </cell>
          <cell r="AF433" t="str">
            <v>XE00674</v>
          </cell>
          <cell r="AH433">
            <v>9.82</v>
          </cell>
          <cell r="AW433" t="str">
            <v>Nguyễn Đức Tâm15</v>
          </cell>
          <cell r="AX433" t="str">
            <v>Nga</v>
          </cell>
        </row>
        <row r="434">
          <cell r="D434" t="str">
            <v>Đinh Công Cường</v>
          </cell>
          <cell r="AF434" t="str">
            <v>XE00791</v>
          </cell>
          <cell r="AH434">
            <v>9.2199999999999989</v>
          </cell>
          <cell r="AW434" t="str">
            <v>Đinh Công Cường13</v>
          </cell>
          <cell r="AX434" t="str">
            <v>Nga</v>
          </cell>
        </row>
        <row r="435">
          <cell r="D435" t="str">
            <v>Nguyễn Ngọc Lâm</v>
          </cell>
          <cell r="AF435" t="str">
            <v>XE01168</v>
          </cell>
          <cell r="AH435">
            <v>9.6199999999999992</v>
          </cell>
          <cell r="AW435" t="str">
            <v>Nguyễn Ngọc Lâm14</v>
          </cell>
          <cell r="AX435" t="str">
            <v>Nga</v>
          </cell>
        </row>
        <row r="436">
          <cell r="D436" t="str">
            <v>Nguyễn Trung Kiên 1986</v>
          </cell>
          <cell r="AF436" t="str">
            <v>XE00971</v>
          </cell>
          <cell r="AH436">
            <v>8.84</v>
          </cell>
          <cell r="AW436" t="str">
            <v>Nguyễn Trung Kiên 198611</v>
          </cell>
          <cell r="AX436" t="str">
            <v>Nga</v>
          </cell>
        </row>
        <row r="437">
          <cell r="D437" t="str">
            <v>Nguyễn Trung Kiên 1986</v>
          </cell>
          <cell r="AF437" t="str">
            <v>XE00971</v>
          </cell>
          <cell r="AH437">
            <v>9.42</v>
          </cell>
          <cell r="AW437" t="str">
            <v>Nguyễn Trung Kiên 198612</v>
          </cell>
          <cell r="AX437" t="str">
            <v>Nga</v>
          </cell>
        </row>
        <row r="438">
          <cell r="D438" t="str">
            <v>Nguyễn Trung Kiên 1995</v>
          </cell>
          <cell r="AF438" t="str">
            <v>XE01036</v>
          </cell>
          <cell r="AH438">
            <v>9.02</v>
          </cell>
          <cell r="AW438" t="str">
            <v>Nguyễn Trung Kiên 199513</v>
          </cell>
          <cell r="AX438" t="str">
            <v>Nga</v>
          </cell>
        </row>
        <row r="439">
          <cell r="D439" t="str">
            <v>Nguyễn Minh Quang</v>
          </cell>
          <cell r="AF439" t="str">
            <v>XE01188</v>
          </cell>
          <cell r="AH439">
            <v>7.24</v>
          </cell>
          <cell r="AW439" t="str">
            <v>Nguyễn Minh Quang13</v>
          </cell>
          <cell r="AX439" t="str">
            <v>Nga</v>
          </cell>
        </row>
        <row r="440">
          <cell r="D440" t="str">
            <v>Tạ Văn Nam</v>
          </cell>
          <cell r="AF440" t="str">
            <v>XE01437</v>
          </cell>
          <cell r="AH440">
            <v>8.2200000000000006</v>
          </cell>
          <cell r="AW440" t="str">
            <v>Tạ Văn Nam13</v>
          </cell>
          <cell r="AX440" t="str">
            <v>Nga</v>
          </cell>
        </row>
        <row r="441">
          <cell r="D441" t="str">
            <v>Vũ Đức Toàn</v>
          </cell>
          <cell r="AF441" t="str">
            <v>XE00295</v>
          </cell>
          <cell r="AH441">
            <v>9.82</v>
          </cell>
          <cell r="AW441" t="str">
            <v>Vũ Đức Toàn13</v>
          </cell>
          <cell r="AX441" t="str">
            <v>Nga</v>
          </cell>
        </row>
        <row r="442">
          <cell r="D442" t="str">
            <v>Nguyễn Đức Quang</v>
          </cell>
          <cell r="AF442" t="str">
            <v>XE00320</v>
          </cell>
          <cell r="AH442">
            <v>8.84</v>
          </cell>
          <cell r="AW442" t="str">
            <v>Nguyễn Đức Quang13</v>
          </cell>
          <cell r="AX442" t="str">
            <v>Nga</v>
          </cell>
        </row>
        <row r="443">
          <cell r="D443" t="str">
            <v>Hà Văn Dũng</v>
          </cell>
          <cell r="AF443" t="str">
            <v>XE00326</v>
          </cell>
          <cell r="AH443">
            <v>9.82</v>
          </cell>
          <cell r="AW443" t="str">
            <v>Hà Văn Dũng10</v>
          </cell>
          <cell r="AX443" t="str">
            <v>Nga</v>
          </cell>
        </row>
        <row r="444">
          <cell r="D444" t="str">
            <v>Hà Văn Dũng</v>
          </cell>
          <cell r="AF444" t="str">
            <v>XE00326</v>
          </cell>
          <cell r="AH444">
            <v>9.82</v>
          </cell>
          <cell r="AW444" t="str">
            <v>Hà Văn Dũng11</v>
          </cell>
          <cell r="AX444" t="str">
            <v>Nga</v>
          </cell>
        </row>
        <row r="445">
          <cell r="D445" t="str">
            <v>Đào Trung Đức</v>
          </cell>
          <cell r="AF445" t="str">
            <v>XE00366</v>
          </cell>
          <cell r="AH445">
            <v>9.82</v>
          </cell>
          <cell r="AW445" t="str">
            <v>Đào Trung Đức13</v>
          </cell>
          <cell r="AX445" t="str">
            <v>Nga</v>
          </cell>
        </row>
        <row r="446">
          <cell r="D446" t="str">
            <v>Nguyễn Chí Quốc</v>
          </cell>
          <cell r="AF446" t="str">
            <v>XE00309</v>
          </cell>
          <cell r="AH446">
            <v>9.24</v>
          </cell>
          <cell r="AW446" t="str">
            <v>Nguyễn Chí Quốc13</v>
          </cell>
          <cell r="AX446" t="str">
            <v>Nga</v>
          </cell>
        </row>
        <row r="447">
          <cell r="D447" t="str">
            <v>Nguyễn Tuấn Anh 1978</v>
          </cell>
          <cell r="AF447" t="str">
            <v>XE00524</v>
          </cell>
          <cell r="AH447">
            <v>9.42</v>
          </cell>
          <cell r="AW447" t="str">
            <v>Nguyễn Tuấn Anh 197813</v>
          </cell>
          <cell r="AX447" t="str">
            <v>Nga</v>
          </cell>
        </row>
        <row r="448">
          <cell r="D448" t="str">
            <v>Hoàng Việt Cường</v>
          </cell>
          <cell r="AF448" t="str">
            <v>XE00248</v>
          </cell>
          <cell r="AH448">
            <v>9.82</v>
          </cell>
          <cell r="AW448" t="str">
            <v>Hoàng Việt Cường13</v>
          </cell>
          <cell r="AX448" t="str">
            <v>Nga</v>
          </cell>
        </row>
        <row r="449">
          <cell r="D449" t="str">
            <v>Hoàng Cát Giao</v>
          </cell>
          <cell r="AF449" t="str">
            <v>XE00734</v>
          </cell>
          <cell r="AH449">
            <v>9.82</v>
          </cell>
          <cell r="AW449" t="str">
            <v>Hoàng Cát Giao13</v>
          </cell>
          <cell r="AX449" t="str">
            <v>Nga</v>
          </cell>
        </row>
        <row r="450">
          <cell r="D450" t="str">
            <v>Nguyễn Duy Hà</v>
          </cell>
          <cell r="AF450" t="str">
            <v>XE00799</v>
          </cell>
          <cell r="AH450">
            <v>9.82</v>
          </cell>
          <cell r="AW450" t="str">
            <v>Nguyễn Duy Hà13</v>
          </cell>
          <cell r="AX450" t="str">
            <v>Nga</v>
          </cell>
        </row>
        <row r="451">
          <cell r="D451" t="str">
            <v>Nguyễn Thanh Bình</v>
          </cell>
          <cell r="AF451" t="str">
            <v>XE00825</v>
          </cell>
          <cell r="AH451">
            <v>9.82</v>
          </cell>
          <cell r="AW451" t="str">
            <v>Nguyễn Thanh Bình13</v>
          </cell>
          <cell r="AX451" t="str">
            <v>Nga</v>
          </cell>
        </row>
        <row r="452">
          <cell r="D452" t="str">
            <v>Vũ Duy Long</v>
          </cell>
          <cell r="AF452" t="str">
            <v>XE00721</v>
          </cell>
          <cell r="AH452">
            <v>9.82</v>
          </cell>
          <cell r="AW452" t="str">
            <v>Vũ Duy Long12</v>
          </cell>
          <cell r="AX452" t="str">
            <v>Nga</v>
          </cell>
        </row>
        <row r="453">
          <cell r="D453" t="str">
            <v>Phùng Kim Tiến</v>
          </cell>
          <cell r="AF453" t="str">
            <v>XE01242</v>
          </cell>
          <cell r="AH453">
            <v>8.84</v>
          </cell>
          <cell r="AW453" t="str">
            <v>Phùng Kim Tiến12</v>
          </cell>
          <cell r="AX453" t="str">
            <v>Nga</v>
          </cell>
        </row>
        <row r="454">
          <cell r="D454" t="str">
            <v>Nguyễn Quang Tuấn</v>
          </cell>
          <cell r="AF454" t="str">
            <v>XE00813</v>
          </cell>
          <cell r="AH454">
            <v>9.42</v>
          </cell>
          <cell r="AW454" t="str">
            <v>Nguyễn Quang Tuấn10</v>
          </cell>
          <cell r="AX454" t="str">
            <v>Nga</v>
          </cell>
        </row>
        <row r="455">
          <cell r="D455" t="str">
            <v>Nguyễn Quang Tuấn</v>
          </cell>
          <cell r="AF455" t="str">
            <v>XE00813</v>
          </cell>
          <cell r="AH455">
            <v>9.6199999999999992</v>
          </cell>
          <cell r="AW455" t="str">
            <v>Nguyễn Quang Tuấn11</v>
          </cell>
          <cell r="AX455" t="str">
            <v>Nga</v>
          </cell>
        </row>
        <row r="456">
          <cell r="D456" t="str">
            <v>Tưởng Tuấn Nam</v>
          </cell>
          <cell r="AF456" t="str">
            <v>XE00964</v>
          </cell>
          <cell r="AH456">
            <v>9.42</v>
          </cell>
          <cell r="AW456" t="str">
            <v>Tưởng Tuấn Nam13</v>
          </cell>
          <cell r="AX456" t="str">
            <v>Nga</v>
          </cell>
        </row>
        <row r="457">
          <cell r="D457" t="str">
            <v>Trương Minh Quân</v>
          </cell>
          <cell r="AF457" t="str">
            <v>XE01077</v>
          </cell>
          <cell r="AH457">
            <v>9.82</v>
          </cell>
          <cell r="AW457" t="str">
            <v>Trương Minh Quân11</v>
          </cell>
          <cell r="AX457" t="str">
            <v>Nga</v>
          </cell>
        </row>
        <row r="458">
          <cell r="D458" t="str">
            <v>Đỗ Văn Phương</v>
          </cell>
          <cell r="AF458" t="str">
            <v>XE01605</v>
          </cell>
          <cell r="AH458">
            <v>9.42</v>
          </cell>
          <cell r="AW458" t="str">
            <v>Đỗ Văn Phương11</v>
          </cell>
          <cell r="AX458" t="str">
            <v>Nga</v>
          </cell>
        </row>
        <row r="459">
          <cell r="D459" t="str">
            <v>Ngô Xuân Nam</v>
          </cell>
          <cell r="AF459" t="str">
            <v>XE01669</v>
          </cell>
          <cell r="AH459">
            <v>9.42</v>
          </cell>
          <cell r="AW459" t="str">
            <v>Ngô Xuân Nam11</v>
          </cell>
          <cell r="AX459" t="str">
            <v>Nga</v>
          </cell>
        </row>
        <row r="460">
          <cell r="D460" t="str">
            <v>Trần Văn Thiện</v>
          </cell>
          <cell r="AF460" t="str">
            <v>XE00658</v>
          </cell>
          <cell r="AH460">
            <v>9.42</v>
          </cell>
          <cell r="AW460" t="str">
            <v>Trần Văn Thiện8</v>
          </cell>
          <cell r="AX460" t="str">
            <v>Nga</v>
          </cell>
        </row>
        <row r="461">
          <cell r="D461" t="str">
            <v>Trần Văn Thiện</v>
          </cell>
          <cell r="AF461" t="str">
            <v>XE00658</v>
          </cell>
          <cell r="AH461">
            <v>9.42</v>
          </cell>
          <cell r="AW461" t="str">
            <v>Trần Văn Thiện9</v>
          </cell>
          <cell r="AX461" t="str">
            <v>Nga</v>
          </cell>
        </row>
        <row r="462">
          <cell r="D462" t="str">
            <v>Trần Văn Thiện</v>
          </cell>
          <cell r="AF462" t="str">
            <v>XE00658</v>
          </cell>
          <cell r="AH462">
            <v>9.82</v>
          </cell>
          <cell r="AW462" t="str">
            <v>Trần Văn Thiện10</v>
          </cell>
          <cell r="AX462" t="str">
            <v>Nga</v>
          </cell>
        </row>
        <row r="463">
          <cell r="D463" t="str">
            <v>Phạm Văn Hà</v>
          </cell>
          <cell r="AF463" t="str">
            <v>XE00063</v>
          </cell>
          <cell r="AH463">
            <v>9.82</v>
          </cell>
          <cell r="AW463" t="str">
            <v>Phạm Văn Hà10</v>
          </cell>
          <cell r="AX463" t="str">
            <v>Nga</v>
          </cell>
        </row>
        <row r="464">
          <cell r="D464" t="str">
            <v>Phạm Văn Hà</v>
          </cell>
          <cell r="AF464" t="str">
            <v>XE00063</v>
          </cell>
          <cell r="AH464">
            <v>9.42</v>
          </cell>
          <cell r="AW464" t="str">
            <v>Phạm Văn Hà11</v>
          </cell>
          <cell r="AX464" t="str">
            <v>Nga</v>
          </cell>
        </row>
        <row r="465">
          <cell r="D465" t="str">
            <v>Lê Văn Liệu</v>
          </cell>
          <cell r="AF465" t="str">
            <v>XE00054</v>
          </cell>
          <cell r="AH465">
            <v>9.42</v>
          </cell>
          <cell r="AW465" t="str">
            <v>Lê Văn Liệu10</v>
          </cell>
          <cell r="AX465" t="str">
            <v>Nga</v>
          </cell>
        </row>
        <row r="466">
          <cell r="D466" t="str">
            <v>Lê Văn Thắng</v>
          </cell>
          <cell r="AF466" t="str">
            <v>XE00242</v>
          </cell>
          <cell r="AH466">
            <v>9.82</v>
          </cell>
          <cell r="AW466" t="str">
            <v>Lê Văn Thắng12</v>
          </cell>
          <cell r="AX466" t="str">
            <v>Nga</v>
          </cell>
        </row>
        <row r="467">
          <cell r="D467" t="str">
            <v>Nguyễn Đức Thuận</v>
          </cell>
          <cell r="AF467" t="str">
            <v>XE00160</v>
          </cell>
          <cell r="AH467">
            <v>9.42</v>
          </cell>
          <cell r="AW467" t="str">
            <v>Nguyễn Đức Thuận12</v>
          </cell>
          <cell r="AX467" t="str">
            <v>Nga</v>
          </cell>
        </row>
        <row r="468">
          <cell r="D468" t="str">
            <v>Trần Trung Kiên</v>
          </cell>
          <cell r="AF468" t="str">
            <v>XE00274</v>
          </cell>
          <cell r="AH468">
            <v>9.24</v>
          </cell>
          <cell r="AW468" t="str">
            <v>Trần Trung Kiên14</v>
          </cell>
          <cell r="AX468" t="str">
            <v>Nga</v>
          </cell>
        </row>
        <row r="469">
          <cell r="D469" t="str">
            <v>Phan Anh Giang</v>
          </cell>
          <cell r="AF469" t="str">
            <v>XE00365</v>
          </cell>
          <cell r="AH469">
            <v>9.82</v>
          </cell>
          <cell r="AW469" t="str">
            <v>Phan Anh Giang12</v>
          </cell>
          <cell r="AX469" t="str">
            <v>Nga</v>
          </cell>
        </row>
        <row r="470">
          <cell r="D470" t="str">
            <v>Vũ Đức Duẩn</v>
          </cell>
          <cell r="AF470" t="str">
            <v>XE00441</v>
          </cell>
          <cell r="AH470">
            <v>9.42</v>
          </cell>
          <cell r="AW470" t="str">
            <v>Vũ Đức Duẩn12</v>
          </cell>
          <cell r="AX470" t="str">
            <v>Nga</v>
          </cell>
        </row>
        <row r="471">
          <cell r="D471" t="str">
            <v>Đỗ Văn Hiếu</v>
          </cell>
          <cell r="AF471" t="str">
            <v>XE00285</v>
          </cell>
          <cell r="AH471">
            <v>9.82</v>
          </cell>
          <cell r="AW471" t="str">
            <v>Đỗ Văn Hiếu13</v>
          </cell>
          <cell r="AX471" t="str">
            <v>Nga</v>
          </cell>
        </row>
        <row r="472">
          <cell r="D472" t="str">
            <v>Phùng Hữu Biên</v>
          </cell>
          <cell r="AF472" t="str">
            <v>XE00714</v>
          </cell>
          <cell r="AH472">
            <v>8.2200000000000006</v>
          </cell>
          <cell r="AW472" t="str">
            <v>Phùng Hữu Biên15</v>
          </cell>
          <cell r="AX472" t="str">
            <v>Nga</v>
          </cell>
        </row>
        <row r="473">
          <cell r="D473" t="str">
            <v>Nguyễn Đức Tâm</v>
          </cell>
          <cell r="AF473" t="str">
            <v>XE00674</v>
          </cell>
          <cell r="AH473">
            <v>9.42</v>
          </cell>
          <cell r="AW473" t="str">
            <v>Nguyễn Đức Tâm16</v>
          </cell>
          <cell r="AX473" t="str">
            <v>Nga</v>
          </cell>
        </row>
        <row r="474">
          <cell r="D474" t="str">
            <v>Đinh Công Cường</v>
          </cell>
          <cell r="AF474" t="str">
            <v>XE00791</v>
          </cell>
          <cell r="AH474">
            <v>9.42</v>
          </cell>
          <cell r="AW474" t="str">
            <v>Đinh Công Cường14</v>
          </cell>
          <cell r="AX474" t="str">
            <v>Nga</v>
          </cell>
        </row>
        <row r="475">
          <cell r="D475" t="str">
            <v>Nguyễn Ngọc Lâm</v>
          </cell>
          <cell r="AF475" t="str">
            <v>XE01168</v>
          </cell>
          <cell r="AH475">
            <v>9.82</v>
          </cell>
          <cell r="AW475" t="str">
            <v>Nguyễn Ngọc Lâm15</v>
          </cell>
          <cell r="AX475" t="str">
            <v>Nga</v>
          </cell>
        </row>
        <row r="476">
          <cell r="D476" t="str">
            <v>Nguyễn Trung Kiên 1986</v>
          </cell>
          <cell r="AF476" t="str">
            <v>XE00971</v>
          </cell>
          <cell r="AH476">
            <v>8.84</v>
          </cell>
          <cell r="AW476" t="str">
            <v>Nguyễn Trung Kiên 198613</v>
          </cell>
          <cell r="AX476" t="str">
            <v>Nga</v>
          </cell>
        </row>
        <row r="477">
          <cell r="D477" t="str">
            <v>Nguyễn Trung Kiên 1995</v>
          </cell>
          <cell r="AF477" t="str">
            <v>XE01036</v>
          </cell>
          <cell r="AH477">
            <v>9.82</v>
          </cell>
          <cell r="AW477" t="str">
            <v>Nguyễn Trung Kiên 199514</v>
          </cell>
          <cell r="AX477" t="str">
            <v>Nga</v>
          </cell>
        </row>
        <row r="478">
          <cell r="D478" t="str">
            <v>Nguyễn Minh Quang</v>
          </cell>
          <cell r="AF478" t="str">
            <v>XE01188</v>
          </cell>
          <cell r="AH478">
            <v>9.82</v>
          </cell>
          <cell r="AW478" t="str">
            <v>Nguyễn Minh Quang14</v>
          </cell>
          <cell r="AX478" t="str">
            <v>Nga</v>
          </cell>
        </row>
        <row r="479">
          <cell r="D479" t="str">
            <v>Tạ Văn Nam</v>
          </cell>
          <cell r="AF479" t="str">
            <v>XE01437</v>
          </cell>
          <cell r="AH479">
            <v>9.82</v>
          </cell>
          <cell r="AW479" t="str">
            <v>Tạ Văn Nam14</v>
          </cell>
          <cell r="AX479" t="str">
            <v>Nga</v>
          </cell>
        </row>
        <row r="480">
          <cell r="D480" t="str">
            <v>Vũ Đức Toàn</v>
          </cell>
          <cell r="AF480" t="str">
            <v>XE00295</v>
          </cell>
          <cell r="AH480">
            <v>9.82</v>
          </cell>
          <cell r="AW480" t="str">
            <v>Vũ Đức Toàn14</v>
          </cell>
          <cell r="AX480" t="str">
            <v>Nga</v>
          </cell>
        </row>
        <row r="481">
          <cell r="D481" t="str">
            <v>Nguyễn Đức Quang</v>
          </cell>
          <cell r="AF481" t="str">
            <v>XE00320</v>
          </cell>
          <cell r="AH481">
            <v>8.84</v>
          </cell>
          <cell r="AW481" t="str">
            <v>Nguyễn Đức Quang14</v>
          </cell>
          <cell r="AX481" t="str">
            <v>Nga</v>
          </cell>
        </row>
        <row r="482">
          <cell r="D482" t="str">
            <v>Nguyễn Đức Quang</v>
          </cell>
          <cell r="AF482" t="str">
            <v>XE00320</v>
          </cell>
          <cell r="AH482">
            <v>9.82</v>
          </cell>
          <cell r="AW482" t="str">
            <v>Nguyễn Đức Quang15</v>
          </cell>
          <cell r="AX482" t="str">
            <v>Nga</v>
          </cell>
        </row>
        <row r="483">
          <cell r="D483" t="str">
            <v>Nguyễn Đức Quang</v>
          </cell>
          <cell r="AF483" t="str">
            <v>XE00320</v>
          </cell>
          <cell r="AH483">
            <v>9.82</v>
          </cell>
          <cell r="AW483" t="str">
            <v>Nguyễn Đức Quang16</v>
          </cell>
          <cell r="AX483" t="str">
            <v>Nga</v>
          </cell>
        </row>
        <row r="484">
          <cell r="D484" t="str">
            <v>Nguyễn Đức Quang</v>
          </cell>
          <cell r="AF484" t="str">
            <v>XE00320</v>
          </cell>
          <cell r="AH484">
            <v>9.82</v>
          </cell>
          <cell r="AW484" t="str">
            <v>Nguyễn Đức Quang17</v>
          </cell>
          <cell r="AX484" t="str">
            <v>Nga</v>
          </cell>
        </row>
        <row r="485">
          <cell r="D485" t="str">
            <v>Hà Văn Dũng</v>
          </cell>
          <cell r="AF485" t="str">
            <v>XE00326</v>
          </cell>
          <cell r="AH485">
            <v>9.82</v>
          </cell>
          <cell r="AW485" t="str">
            <v>Hà Văn Dũng12</v>
          </cell>
          <cell r="AX485" t="str">
            <v>Nga</v>
          </cell>
        </row>
        <row r="486">
          <cell r="D486" t="str">
            <v>Đào Trung Đức</v>
          </cell>
          <cell r="AF486" t="str">
            <v>XE00366</v>
          </cell>
          <cell r="AH486">
            <v>9.42</v>
          </cell>
          <cell r="AW486" t="str">
            <v>Đào Trung Đức14</v>
          </cell>
          <cell r="AX486" t="str">
            <v>Nga</v>
          </cell>
        </row>
        <row r="487">
          <cell r="D487" t="str">
            <v>Nguyễn Chí Quốc</v>
          </cell>
          <cell r="AF487" t="str">
            <v>XE00309</v>
          </cell>
          <cell r="AH487">
            <v>9.42</v>
          </cell>
          <cell r="AW487" t="str">
            <v>Nguyễn Chí Quốc14</v>
          </cell>
          <cell r="AX487" t="str">
            <v>Nga</v>
          </cell>
        </row>
        <row r="488">
          <cell r="D488" t="str">
            <v>Nguyễn Tuấn Anh 1978</v>
          </cell>
          <cell r="AF488" t="str">
            <v>XE00524</v>
          </cell>
          <cell r="AH488">
            <v>9.82</v>
          </cell>
          <cell r="AW488" t="str">
            <v>Nguyễn Tuấn Anh 197814</v>
          </cell>
          <cell r="AX488" t="str">
            <v>Nga</v>
          </cell>
        </row>
        <row r="489">
          <cell r="D489" t="str">
            <v>Hoàng Việt Cường</v>
          </cell>
          <cell r="AF489" t="str">
            <v>XE00248</v>
          </cell>
          <cell r="AH489">
            <v>9.42</v>
          </cell>
          <cell r="AW489" t="str">
            <v>Hoàng Việt Cường14</v>
          </cell>
          <cell r="AX489" t="str">
            <v>Nga</v>
          </cell>
        </row>
        <row r="490">
          <cell r="D490" t="str">
            <v>Hoàng Cát Giao</v>
          </cell>
          <cell r="AF490" t="str">
            <v>XE00734</v>
          </cell>
          <cell r="AH490">
            <v>7.82</v>
          </cell>
          <cell r="AW490" t="str">
            <v>Hoàng Cát Giao14</v>
          </cell>
          <cell r="AX490" t="str">
            <v>Nga</v>
          </cell>
        </row>
        <row r="491">
          <cell r="D491" t="str">
            <v>Nguyễn Duy Hà</v>
          </cell>
          <cell r="AF491" t="str">
            <v>XE00799</v>
          </cell>
          <cell r="AH491">
            <v>8.84</v>
          </cell>
          <cell r="AW491" t="str">
            <v>Nguyễn Duy Hà14</v>
          </cell>
          <cell r="AX491" t="str">
            <v>Nga</v>
          </cell>
        </row>
        <row r="492">
          <cell r="D492" t="str">
            <v>Nguyễn Thanh Bình</v>
          </cell>
          <cell r="AF492" t="str">
            <v>XE00825</v>
          </cell>
          <cell r="AH492">
            <v>9.6199999999999992</v>
          </cell>
          <cell r="AW492" t="str">
            <v>Nguyễn Thanh Bình14</v>
          </cell>
          <cell r="AX492" t="str">
            <v>Nga</v>
          </cell>
        </row>
        <row r="493">
          <cell r="D493" t="str">
            <v>Vũ Duy Long</v>
          </cell>
          <cell r="AF493" t="str">
            <v>XE00721</v>
          </cell>
          <cell r="AH493">
            <v>9.02</v>
          </cell>
          <cell r="AW493" t="str">
            <v>Vũ Duy Long13</v>
          </cell>
          <cell r="AX493" t="str">
            <v>Nga</v>
          </cell>
        </row>
        <row r="494">
          <cell r="D494" t="str">
            <v>Phùng Kim Tiến</v>
          </cell>
          <cell r="AF494" t="str">
            <v>XE01242</v>
          </cell>
          <cell r="AH494">
            <v>9.42</v>
          </cell>
          <cell r="AW494" t="str">
            <v>Phùng Kim Tiến13</v>
          </cell>
          <cell r="AX494" t="str">
            <v>Nga</v>
          </cell>
        </row>
        <row r="495">
          <cell r="D495" t="str">
            <v>Tưởng Tuấn Nam</v>
          </cell>
          <cell r="AF495" t="str">
            <v>XE00964</v>
          </cell>
          <cell r="AH495">
            <v>9.82</v>
          </cell>
          <cell r="AW495" t="str">
            <v>Tưởng Tuấn Nam14</v>
          </cell>
          <cell r="AX495" t="str">
            <v>Nga</v>
          </cell>
        </row>
        <row r="496">
          <cell r="D496" t="str">
            <v>Trương Minh Quân</v>
          </cell>
          <cell r="AF496" t="str">
            <v>XE01077</v>
          </cell>
          <cell r="AH496">
            <v>9.42</v>
          </cell>
          <cell r="AW496" t="str">
            <v>Trương Minh Quân12</v>
          </cell>
          <cell r="AX496" t="str">
            <v>Nga</v>
          </cell>
        </row>
        <row r="497">
          <cell r="D497" t="str">
            <v>Đỗ Văn Phương</v>
          </cell>
          <cell r="AF497" t="str">
            <v>XE01605</v>
          </cell>
          <cell r="AH497">
            <v>9.42</v>
          </cell>
          <cell r="AW497" t="str">
            <v>Đỗ Văn Phương12</v>
          </cell>
          <cell r="AX497" t="str">
            <v>Nga</v>
          </cell>
        </row>
        <row r="498">
          <cell r="D498" t="str">
            <v>Ngô Xuân Nam</v>
          </cell>
          <cell r="AF498" t="str">
            <v>XE01669</v>
          </cell>
          <cell r="AH498">
            <v>9.2199999999999989</v>
          </cell>
          <cell r="AW498" t="str">
            <v>Ngô Xuân Nam12</v>
          </cell>
          <cell r="AX498" t="str">
            <v>Nga</v>
          </cell>
        </row>
        <row r="499">
          <cell r="D499" t="str">
            <v>Trần Văn Thiện</v>
          </cell>
          <cell r="AF499" t="str">
            <v>XE00658</v>
          </cell>
          <cell r="AH499">
            <v>9.64</v>
          </cell>
          <cell r="AW499" t="str">
            <v>Trần Văn Thiện11</v>
          </cell>
          <cell r="AX499" t="str">
            <v>Nga</v>
          </cell>
        </row>
        <row r="500">
          <cell r="D500" t="str">
            <v>Trần Văn Thiện</v>
          </cell>
          <cell r="AF500" t="str">
            <v>XE00658</v>
          </cell>
          <cell r="AH500">
            <v>9.42</v>
          </cell>
          <cell r="AW500" t="str">
            <v>Trần Văn Thiện12</v>
          </cell>
          <cell r="AX500" t="str">
            <v>Nga</v>
          </cell>
        </row>
        <row r="501">
          <cell r="D501" t="str">
            <v>Trần Văn Thiện</v>
          </cell>
          <cell r="AF501" t="str">
            <v>XE00658</v>
          </cell>
          <cell r="AH501">
            <v>8.6199999999999992</v>
          </cell>
          <cell r="AW501" t="str">
            <v>Trần Văn Thiện13</v>
          </cell>
          <cell r="AX501" t="str">
            <v>Nga</v>
          </cell>
        </row>
        <row r="502">
          <cell r="D502" t="str">
            <v>Phạm Văn Hà</v>
          </cell>
          <cell r="AF502" t="str">
            <v>XE00063</v>
          </cell>
          <cell r="AH502">
            <v>9.82</v>
          </cell>
          <cell r="AW502" t="str">
            <v>Phạm Văn Hà12</v>
          </cell>
          <cell r="AX502" t="str">
            <v>Nga</v>
          </cell>
        </row>
        <row r="503">
          <cell r="D503" t="str">
            <v>Phạm Văn Hà</v>
          </cell>
          <cell r="AF503" t="str">
            <v>XE00063</v>
          </cell>
          <cell r="AH503">
            <v>9.82</v>
          </cell>
          <cell r="AW503" t="str">
            <v>Phạm Văn Hà13</v>
          </cell>
          <cell r="AX503" t="str">
            <v>Nga</v>
          </cell>
        </row>
        <row r="504">
          <cell r="D504" t="str">
            <v>Phạm Văn Hà</v>
          </cell>
          <cell r="AF504" t="str">
            <v>XE00063</v>
          </cell>
          <cell r="AH504">
            <v>9.42</v>
          </cell>
          <cell r="AW504" t="str">
            <v>Phạm Văn Hà14</v>
          </cell>
          <cell r="AX504" t="str">
            <v>Nga</v>
          </cell>
        </row>
        <row r="505">
          <cell r="D505" t="str">
            <v>Phạm Huy Toàn</v>
          </cell>
          <cell r="AF505" t="str">
            <v>XE00234</v>
          </cell>
          <cell r="AH505">
            <v>9.42</v>
          </cell>
          <cell r="AW505" t="str">
            <v>Phạm Huy Toàn10</v>
          </cell>
          <cell r="AX505" t="str">
            <v>Nga</v>
          </cell>
        </row>
        <row r="506">
          <cell r="D506" t="str">
            <v>Phạm Huy Toàn</v>
          </cell>
          <cell r="AF506" t="str">
            <v>XE00234</v>
          </cell>
          <cell r="AH506">
            <v>9.82</v>
          </cell>
          <cell r="AW506" t="str">
            <v>Phạm Huy Toàn11</v>
          </cell>
          <cell r="AX506" t="str">
            <v>Nga</v>
          </cell>
        </row>
        <row r="507">
          <cell r="D507" t="str">
            <v>Vũ Văn Hiển</v>
          </cell>
          <cell r="AF507" t="str">
            <v>XE00148</v>
          </cell>
          <cell r="AH507">
            <v>9.6199999999999992</v>
          </cell>
          <cell r="AW507" t="str">
            <v>Vũ Văn Hiển10</v>
          </cell>
          <cell r="AX507" t="str">
            <v>Nga</v>
          </cell>
        </row>
        <row r="508">
          <cell r="D508" t="str">
            <v>Vũ Văn Hiển</v>
          </cell>
          <cell r="AF508" t="str">
            <v>XE00148</v>
          </cell>
          <cell r="AH508">
            <v>9.42</v>
          </cell>
          <cell r="AW508" t="str">
            <v>Vũ Văn Hiển11</v>
          </cell>
          <cell r="AX508" t="str">
            <v>Nga</v>
          </cell>
        </row>
        <row r="509">
          <cell r="D509" t="str">
            <v>Lê Văn Đảm</v>
          </cell>
          <cell r="AF509" t="str">
            <v>XE00187</v>
          </cell>
          <cell r="AH509">
            <v>9.42</v>
          </cell>
          <cell r="AW509" t="str">
            <v>Lê Văn Đảm10</v>
          </cell>
          <cell r="AX509" t="str">
            <v>Nga</v>
          </cell>
        </row>
        <row r="510">
          <cell r="D510" t="str">
            <v>Lê Văn Đảm</v>
          </cell>
          <cell r="AF510" t="str">
            <v>XE00187</v>
          </cell>
          <cell r="AH510">
            <v>9.42</v>
          </cell>
          <cell r="AW510" t="str">
            <v>Lê Văn Đảm11</v>
          </cell>
          <cell r="AX510" t="str">
            <v>Nga</v>
          </cell>
        </row>
        <row r="511">
          <cell r="D511" t="str">
            <v>Lê Văn Đảm</v>
          </cell>
          <cell r="AF511" t="str">
            <v>XE00187</v>
          </cell>
          <cell r="AH511">
            <v>9.42</v>
          </cell>
          <cell r="AW511" t="str">
            <v>Lê Văn Đảm12</v>
          </cell>
          <cell r="AX511" t="str">
            <v>Nga</v>
          </cell>
        </row>
        <row r="512">
          <cell r="D512" t="str">
            <v>Phạm Văn Ký</v>
          </cell>
          <cell r="AF512" t="str">
            <v>XE00257</v>
          </cell>
          <cell r="AH512">
            <v>9.82</v>
          </cell>
          <cell r="AW512" t="str">
            <v>Phạm Văn Ký12</v>
          </cell>
          <cell r="AX512" t="str">
            <v>Nga</v>
          </cell>
        </row>
        <row r="513">
          <cell r="D513" t="str">
            <v>Phạm Văn Ký</v>
          </cell>
          <cell r="AF513" t="str">
            <v>XE00257</v>
          </cell>
          <cell r="AH513">
            <v>9.82</v>
          </cell>
          <cell r="AW513" t="str">
            <v>Phạm Văn Ký13</v>
          </cell>
          <cell r="AX513" t="str">
            <v>Nga</v>
          </cell>
        </row>
        <row r="514">
          <cell r="D514" t="str">
            <v>Lê Văn Thắng</v>
          </cell>
          <cell r="AF514" t="str">
            <v>XE00242</v>
          </cell>
          <cell r="AH514">
            <v>8.44</v>
          </cell>
          <cell r="AW514" t="str">
            <v>Lê Văn Thắng13</v>
          </cell>
          <cell r="AX514" t="str">
            <v>Nga</v>
          </cell>
        </row>
        <row r="515">
          <cell r="D515" t="str">
            <v>Nguyễn Đức Thuận</v>
          </cell>
          <cell r="AF515" t="str">
            <v>XE00160</v>
          </cell>
          <cell r="AH515">
            <v>9.42</v>
          </cell>
          <cell r="AW515" t="str">
            <v>Nguyễn Đức Thuận13</v>
          </cell>
          <cell r="AX515" t="str">
            <v>Nga</v>
          </cell>
        </row>
        <row r="516">
          <cell r="D516" t="str">
            <v>Lê Văn Thắng</v>
          </cell>
          <cell r="AF516" t="str">
            <v>XE00242</v>
          </cell>
          <cell r="AH516">
            <v>9.42</v>
          </cell>
          <cell r="AW516" t="str">
            <v>Lê Văn Thắng14</v>
          </cell>
          <cell r="AX516" t="str">
            <v>Nga</v>
          </cell>
        </row>
        <row r="517">
          <cell r="D517" t="str">
            <v>Nguyễn Đức Thuận</v>
          </cell>
          <cell r="AF517" t="str">
            <v>XE00160</v>
          </cell>
          <cell r="AH517">
            <v>9.42</v>
          </cell>
          <cell r="AW517" t="str">
            <v>Nguyễn Đức Thuận14</v>
          </cell>
          <cell r="AX517" t="str">
            <v>Nga</v>
          </cell>
        </row>
        <row r="518">
          <cell r="D518" t="str">
            <v>Trần Trung Kiên</v>
          </cell>
          <cell r="AF518" t="str">
            <v>XE00274</v>
          </cell>
          <cell r="AH518">
            <v>9.24</v>
          </cell>
          <cell r="AW518" t="str">
            <v>Trần Trung Kiên15</v>
          </cell>
          <cell r="AX518" t="str">
            <v>Nga</v>
          </cell>
        </row>
        <row r="519">
          <cell r="D519" t="str">
            <v>Phan Anh Giang</v>
          </cell>
          <cell r="AF519" t="str">
            <v>XE00365</v>
          </cell>
          <cell r="AH519">
            <v>9.42</v>
          </cell>
          <cell r="AW519" t="str">
            <v>Phan Anh Giang13</v>
          </cell>
          <cell r="AX519" t="str">
            <v>Nga</v>
          </cell>
        </row>
        <row r="520">
          <cell r="D520" t="str">
            <v>Vũ Đức Duẩn</v>
          </cell>
          <cell r="AF520" t="str">
            <v>XE00441</v>
          </cell>
          <cell r="AH520">
            <v>9.82</v>
          </cell>
          <cell r="AW520" t="str">
            <v>Vũ Đức Duẩn13</v>
          </cell>
          <cell r="AX520" t="str">
            <v>Nga</v>
          </cell>
        </row>
        <row r="521">
          <cell r="D521" t="str">
            <v>Đỗ Văn Hiếu</v>
          </cell>
          <cell r="AF521" t="str">
            <v>XE00285</v>
          </cell>
          <cell r="AH521">
            <v>9.82</v>
          </cell>
          <cell r="AW521" t="str">
            <v>Đỗ Văn Hiếu14</v>
          </cell>
          <cell r="AX521" t="str">
            <v>Nga</v>
          </cell>
        </row>
        <row r="522">
          <cell r="D522" t="str">
            <v>Đỗ Văn Hiếu</v>
          </cell>
          <cell r="AF522" t="str">
            <v>XE00285</v>
          </cell>
          <cell r="AH522">
            <v>9.82</v>
          </cell>
          <cell r="AW522" t="str">
            <v>Đỗ Văn Hiếu15</v>
          </cell>
          <cell r="AX522" t="str">
            <v>Nga</v>
          </cell>
        </row>
        <row r="523">
          <cell r="D523" t="str">
            <v>Đỗ Văn Hiếu</v>
          </cell>
          <cell r="AF523" t="str">
            <v>XE00285</v>
          </cell>
          <cell r="AH523">
            <v>9.42</v>
          </cell>
          <cell r="AW523" t="str">
            <v>Đỗ Văn Hiếu16</v>
          </cell>
          <cell r="AX523" t="str">
            <v>Nga</v>
          </cell>
        </row>
        <row r="524">
          <cell r="D524" t="str">
            <v>Phùng Hữu Biên</v>
          </cell>
          <cell r="AF524" t="str">
            <v>XE00714</v>
          </cell>
          <cell r="AH524">
            <v>9.42</v>
          </cell>
          <cell r="AW524" t="str">
            <v>Phùng Hữu Biên16</v>
          </cell>
          <cell r="AX524" t="str">
            <v>Nga</v>
          </cell>
        </row>
        <row r="525">
          <cell r="D525" t="str">
            <v>Nguyễn Đức Tâm</v>
          </cell>
          <cell r="AF525" t="str">
            <v>XE00674</v>
          </cell>
          <cell r="AH525">
            <v>9.82</v>
          </cell>
          <cell r="AW525" t="str">
            <v>Nguyễn Đức Tâm17</v>
          </cell>
          <cell r="AX525" t="str">
            <v>Nga</v>
          </cell>
        </row>
        <row r="526">
          <cell r="D526" t="str">
            <v>Đinh Công Cường</v>
          </cell>
          <cell r="AF526" t="str">
            <v>XE00791</v>
          </cell>
          <cell r="AH526">
            <v>9.02</v>
          </cell>
          <cell r="AW526" t="str">
            <v>Đinh Công Cường15</v>
          </cell>
          <cell r="AX526" t="str">
            <v>Nga</v>
          </cell>
        </row>
        <row r="527">
          <cell r="D527" t="str">
            <v>Nguyễn Ngọc Lâm</v>
          </cell>
          <cell r="AF527" t="str">
            <v>XE01168</v>
          </cell>
          <cell r="AH527">
            <v>9.82</v>
          </cell>
          <cell r="AW527" t="str">
            <v>Nguyễn Ngọc Lâm16</v>
          </cell>
          <cell r="AX527" t="str">
            <v>Nga</v>
          </cell>
        </row>
        <row r="528">
          <cell r="D528" t="str">
            <v>Nguyễn Trung Kiên 1986</v>
          </cell>
          <cell r="AF528" t="str">
            <v>XE00971</v>
          </cell>
          <cell r="AH528">
            <v>9.82</v>
          </cell>
          <cell r="AW528" t="str">
            <v>Nguyễn Trung Kiên 198614</v>
          </cell>
          <cell r="AX528" t="str">
            <v>Nga</v>
          </cell>
        </row>
        <row r="529">
          <cell r="D529" t="str">
            <v>Nguyễn Trung Kiên 1995</v>
          </cell>
          <cell r="AF529" t="str">
            <v>XE01036</v>
          </cell>
          <cell r="AH529">
            <v>9.82</v>
          </cell>
          <cell r="AW529" t="str">
            <v>Nguyễn Trung Kiên 199515</v>
          </cell>
          <cell r="AX529" t="str">
            <v>Nga</v>
          </cell>
        </row>
        <row r="530">
          <cell r="D530" t="str">
            <v>Nguyễn Minh Quang</v>
          </cell>
          <cell r="AF530" t="str">
            <v>XE01188</v>
          </cell>
          <cell r="AH530">
            <v>9.42</v>
          </cell>
          <cell r="AW530" t="str">
            <v>Nguyễn Minh Quang15</v>
          </cell>
          <cell r="AX530" t="str">
            <v>Nga</v>
          </cell>
        </row>
        <row r="531">
          <cell r="D531" t="str">
            <v>Nguyễn Minh Quang</v>
          </cell>
          <cell r="AF531" t="str">
            <v>XE01188</v>
          </cell>
          <cell r="AH531">
            <v>9.02</v>
          </cell>
          <cell r="AW531" t="str">
            <v>Nguyễn Minh Quang16</v>
          </cell>
          <cell r="AX531" t="str">
            <v>Nga</v>
          </cell>
        </row>
        <row r="532">
          <cell r="D532" t="str">
            <v>Nguyễn Minh Quang</v>
          </cell>
          <cell r="AF532" t="str">
            <v>XE01188</v>
          </cell>
          <cell r="AH532">
            <v>9.02</v>
          </cell>
          <cell r="AW532" t="str">
            <v>Nguyễn Minh Quang17</v>
          </cell>
          <cell r="AX532" t="str">
            <v>Nga</v>
          </cell>
        </row>
        <row r="533">
          <cell r="D533" t="str">
            <v>Tạ Văn Nam</v>
          </cell>
          <cell r="AF533" t="str">
            <v>XE01437</v>
          </cell>
          <cell r="AH533">
            <v>9.42</v>
          </cell>
          <cell r="AW533" t="str">
            <v>Tạ Văn Nam15</v>
          </cell>
          <cell r="AX533" t="str">
            <v>Nga</v>
          </cell>
        </row>
        <row r="534">
          <cell r="D534" t="str">
            <v>Vũ Đức Toàn</v>
          </cell>
          <cell r="AF534" t="str">
            <v>XE00295</v>
          </cell>
          <cell r="AH534">
            <v>9.42</v>
          </cell>
          <cell r="AW534" t="str">
            <v>Vũ Đức Toàn15</v>
          </cell>
          <cell r="AX534" t="str">
            <v>Nga</v>
          </cell>
        </row>
        <row r="535">
          <cell r="D535" t="str">
            <v>Hà Văn Dũng</v>
          </cell>
          <cell r="AF535" t="str">
            <v>XE00326</v>
          </cell>
          <cell r="AH535">
            <v>9.42</v>
          </cell>
          <cell r="AW535" t="str">
            <v>Hà Văn Dũng13</v>
          </cell>
          <cell r="AX535" t="str">
            <v>Nga</v>
          </cell>
        </row>
        <row r="536">
          <cell r="D536" t="str">
            <v>Hà Văn Dũng</v>
          </cell>
          <cell r="AF536" t="str">
            <v>XE00326</v>
          </cell>
          <cell r="AH536">
            <v>9.42</v>
          </cell>
          <cell r="AW536" t="str">
            <v>Hà Văn Dũng14</v>
          </cell>
          <cell r="AX536" t="str">
            <v>Nga</v>
          </cell>
        </row>
        <row r="537">
          <cell r="D537" t="str">
            <v>Đào Trung Đức</v>
          </cell>
          <cell r="AF537" t="str">
            <v>XE00366</v>
          </cell>
          <cell r="AH537">
            <v>8.84</v>
          </cell>
          <cell r="AW537" t="str">
            <v>Đào Trung Đức15</v>
          </cell>
          <cell r="AX537" t="str">
            <v>Nga</v>
          </cell>
        </row>
        <row r="538">
          <cell r="D538" t="str">
            <v>Nguyễn Chí Quốc</v>
          </cell>
          <cell r="AF538" t="str">
            <v>XE00309</v>
          </cell>
          <cell r="AH538">
            <v>9.82</v>
          </cell>
          <cell r="AW538" t="str">
            <v>Nguyễn Chí Quốc15</v>
          </cell>
          <cell r="AX538" t="str">
            <v>Nga</v>
          </cell>
        </row>
        <row r="539">
          <cell r="D539" t="str">
            <v>Nguyễn Tuấn Anh 1978</v>
          </cell>
          <cell r="AF539" t="str">
            <v>XE00524</v>
          </cell>
          <cell r="AH539">
            <v>8.84</v>
          </cell>
          <cell r="AW539" t="str">
            <v>Nguyễn Tuấn Anh 197815</v>
          </cell>
          <cell r="AX539" t="str">
            <v>Nga</v>
          </cell>
        </row>
        <row r="540">
          <cell r="D540" t="str">
            <v>Hoàng Việt Cường</v>
          </cell>
          <cell r="AF540" t="str">
            <v>XE00248</v>
          </cell>
          <cell r="AH540">
            <v>9.82</v>
          </cell>
          <cell r="AW540" t="str">
            <v>Hoàng Việt Cường15</v>
          </cell>
          <cell r="AX540" t="str">
            <v>Nga</v>
          </cell>
        </row>
        <row r="541">
          <cell r="D541" t="str">
            <v>Hoàng Cát Giao</v>
          </cell>
          <cell r="AF541" t="str">
            <v>XE00734</v>
          </cell>
          <cell r="AH541">
            <v>9.82</v>
          </cell>
          <cell r="AW541" t="str">
            <v>Hoàng Cát Giao15</v>
          </cell>
          <cell r="AX541" t="str">
            <v>Nga</v>
          </cell>
        </row>
        <row r="542">
          <cell r="D542" t="str">
            <v>Nguyễn Duy Hà</v>
          </cell>
          <cell r="AF542" t="str">
            <v>XE00799</v>
          </cell>
          <cell r="AH542">
            <v>9.82</v>
          </cell>
          <cell r="AW542" t="str">
            <v>Nguyễn Duy Hà15</v>
          </cell>
          <cell r="AX542" t="str">
            <v>Nga</v>
          </cell>
        </row>
        <row r="543">
          <cell r="D543" t="str">
            <v>Nguyễn Duy Hà</v>
          </cell>
          <cell r="AF543" t="str">
            <v>XE00799</v>
          </cell>
          <cell r="AH543">
            <v>8.0399999999999991</v>
          </cell>
          <cell r="AW543" t="str">
            <v>Nguyễn Duy Hà16</v>
          </cell>
          <cell r="AX543" t="str">
            <v>Nga</v>
          </cell>
        </row>
        <row r="544">
          <cell r="D544" t="str">
            <v>Nguyễn Duy Hà</v>
          </cell>
          <cell r="AF544" t="str">
            <v>XE00799</v>
          </cell>
          <cell r="AH544">
            <v>9.82</v>
          </cell>
          <cell r="AW544" t="str">
            <v>Nguyễn Duy Hà17</v>
          </cell>
          <cell r="AX544" t="str">
            <v>Nga</v>
          </cell>
        </row>
        <row r="545">
          <cell r="D545" t="str">
            <v>Nguyễn Thanh Bình</v>
          </cell>
          <cell r="AF545" t="str">
            <v>XE00825</v>
          </cell>
          <cell r="AH545">
            <v>8.64</v>
          </cell>
          <cell r="AW545" t="str">
            <v>Nguyễn Thanh Bình15</v>
          </cell>
          <cell r="AX545" t="str">
            <v>Nga</v>
          </cell>
        </row>
        <row r="546">
          <cell r="D546" t="str">
            <v>Vũ Duy Long</v>
          </cell>
          <cell r="AF546" t="str">
            <v>XE00721</v>
          </cell>
          <cell r="AH546">
            <v>9.82</v>
          </cell>
          <cell r="AW546" t="str">
            <v>Vũ Duy Long14</v>
          </cell>
          <cell r="AX546" t="str">
            <v>Nga</v>
          </cell>
        </row>
        <row r="547">
          <cell r="D547" t="str">
            <v>Phùng Kim Tiến</v>
          </cell>
          <cell r="AF547" t="str">
            <v>XE01242</v>
          </cell>
          <cell r="AH547">
            <v>9.42</v>
          </cell>
          <cell r="AW547" t="str">
            <v>Phùng Kim Tiến14</v>
          </cell>
          <cell r="AX547" t="str">
            <v>Nga</v>
          </cell>
        </row>
        <row r="548">
          <cell r="D548" t="str">
            <v>Nguyễn Quang Tuấn</v>
          </cell>
          <cell r="AF548" t="str">
            <v>XE00813</v>
          </cell>
          <cell r="AH548">
            <v>9.82</v>
          </cell>
          <cell r="AW548" t="str">
            <v>Nguyễn Quang Tuấn12</v>
          </cell>
          <cell r="AX548" t="str">
            <v>Nga</v>
          </cell>
        </row>
        <row r="549">
          <cell r="D549" t="str">
            <v>Nguyễn Quang Tuấn</v>
          </cell>
          <cell r="AF549" t="str">
            <v>XE00813</v>
          </cell>
          <cell r="AH549">
            <v>8.84</v>
          </cell>
          <cell r="AW549" t="str">
            <v>Nguyễn Quang Tuấn13</v>
          </cell>
          <cell r="AX549" t="str">
            <v>Nga</v>
          </cell>
        </row>
        <row r="550">
          <cell r="D550" t="str">
            <v>Tưởng Tuấn Nam</v>
          </cell>
          <cell r="AF550" t="str">
            <v>XE00964</v>
          </cell>
          <cell r="AH550">
            <v>9.82</v>
          </cell>
          <cell r="AW550" t="str">
            <v>Tưởng Tuấn Nam15</v>
          </cell>
          <cell r="AX550" t="str">
            <v>Nga</v>
          </cell>
        </row>
        <row r="551">
          <cell r="D551" t="str">
            <v>Trương Minh Quân</v>
          </cell>
          <cell r="AF551" t="str">
            <v>XE01077</v>
          </cell>
          <cell r="AH551">
            <v>9.24</v>
          </cell>
          <cell r="AW551" t="str">
            <v>Trương Minh Quân13</v>
          </cell>
          <cell r="AX551" t="str">
            <v>Nga</v>
          </cell>
        </row>
        <row r="552">
          <cell r="D552" t="str">
            <v>Đỗ Văn Phương</v>
          </cell>
          <cell r="AF552" t="str">
            <v>XE01605</v>
          </cell>
          <cell r="AH552">
            <v>9.42</v>
          </cell>
          <cell r="AW552" t="str">
            <v>Đỗ Văn Phương13</v>
          </cell>
          <cell r="AX552" t="str">
            <v>Nga</v>
          </cell>
        </row>
        <row r="553">
          <cell r="D553" t="str">
            <v>Ngô Xuân Nam</v>
          </cell>
          <cell r="AF553" t="str">
            <v>XE01669</v>
          </cell>
          <cell r="AH553">
            <v>9.02</v>
          </cell>
          <cell r="AW553" t="str">
            <v>Ngô Xuân Nam13</v>
          </cell>
          <cell r="AX553" t="str">
            <v>Nga</v>
          </cell>
        </row>
        <row r="554">
          <cell r="D554" t="str">
            <v>Lê Văn Liệu</v>
          </cell>
          <cell r="AF554" t="str">
            <v>XE00054</v>
          </cell>
          <cell r="AH554">
            <v>9.82</v>
          </cell>
          <cell r="AW554" t="str">
            <v>Lê Văn Liệu11</v>
          </cell>
          <cell r="AX554" t="str">
            <v>Nga</v>
          </cell>
        </row>
        <row r="555">
          <cell r="D555" t="str">
            <v>Lê Văn Liệu</v>
          </cell>
          <cell r="AF555" t="str">
            <v>XE00054</v>
          </cell>
          <cell r="AH555">
            <v>8.84</v>
          </cell>
          <cell r="AW555" t="str">
            <v>Lê Văn Liệu12</v>
          </cell>
          <cell r="AX555" t="str">
            <v>Nga</v>
          </cell>
        </row>
        <row r="556">
          <cell r="D556" t="str">
            <v>Lê Văn Liệu</v>
          </cell>
          <cell r="AF556" t="str">
            <v>XE00054</v>
          </cell>
          <cell r="AH556">
            <v>9.82</v>
          </cell>
          <cell r="AW556" t="str">
            <v>Lê Văn Liệu13</v>
          </cell>
          <cell r="AX556" t="str">
            <v>Nga</v>
          </cell>
        </row>
        <row r="557">
          <cell r="D557" t="str">
            <v>Phạm Huy Toàn</v>
          </cell>
          <cell r="AF557" t="str">
            <v>XE00234</v>
          </cell>
          <cell r="AH557">
            <v>9.42</v>
          </cell>
          <cell r="AW557" t="str">
            <v>Phạm Huy Toàn12</v>
          </cell>
          <cell r="AX557" t="str">
            <v>Nga</v>
          </cell>
        </row>
        <row r="558">
          <cell r="D558" t="str">
            <v>Phạm Huy Toàn</v>
          </cell>
          <cell r="AF558" t="str">
            <v>XE00234</v>
          </cell>
          <cell r="AH558">
            <v>9.42</v>
          </cell>
          <cell r="AW558" t="str">
            <v>Phạm Huy Toàn13</v>
          </cell>
          <cell r="AX558" t="str">
            <v>Nga</v>
          </cell>
        </row>
        <row r="559">
          <cell r="D559" t="str">
            <v>Vũ Văn Hiển</v>
          </cell>
          <cell r="AF559" t="str">
            <v>XE00148</v>
          </cell>
          <cell r="AH559">
            <v>9.82</v>
          </cell>
          <cell r="AW559" t="str">
            <v>Vũ Văn Hiển12</v>
          </cell>
          <cell r="AX559" t="str">
            <v>Nga</v>
          </cell>
        </row>
        <row r="560">
          <cell r="D560" t="str">
            <v>Vũ Văn Hiển</v>
          </cell>
          <cell r="AF560" t="str">
            <v>XE00148</v>
          </cell>
          <cell r="AH560">
            <v>9.42</v>
          </cell>
          <cell r="AW560" t="str">
            <v>Vũ Văn Hiển13</v>
          </cell>
          <cell r="AX560" t="str">
            <v>Nga</v>
          </cell>
        </row>
        <row r="561">
          <cell r="D561" t="str">
            <v>Phạm Văn Ký</v>
          </cell>
          <cell r="AF561" t="str">
            <v>XE00257</v>
          </cell>
          <cell r="AH561">
            <v>9.82</v>
          </cell>
          <cell r="AW561" t="str">
            <v>Phạm Văn Ký14</v>
          </cell>
          <cell r="AX561" t="str">
            <v>Nga</v>
          </cell>
        </row>
        <row r="562">
          <cell r="D562" t="str">
            <v>Lê Văn Thắng</v>
          </cell>
          <cell r="AF562" t="str">
            <v>XE00242</v>
          </cell>
          <cell r="AH562">
            <v>9.02</v>
          </cell>
          <cell r="AW562" t="str">
            <v>Lê Văn Thắng15</v>
          </cell>
          <cell r="AX562" t="str">
            <v>Nga</v>
          </cell>
        </row>
        <row r="563">
          <cell r="D563" t="str">
            <v>Lê Văn Thắng</v>
          </cell>
          <cell r="AF563" t="str">
            <v>XE00242</v>
          </cell>
          <cell r="AH563">
            <v>9.82</v>
          </cell>
          <cell r="AW563" t="str">
            <v>Lê Văn Thắng16</v>
          </cell>
          <cell r="AX563" t="str">
            <v>Nga</v>
          </cell>
        </row>
        <row r="564">
          <cell r="D564" t="str">
            <v>Lê Văn Thắng</v>
          </cell>
          <cell r="AF564" t="str">
            <v>XE00242</v>
          </cell>
          <cell r="AH564">
            <v>9.82</v>
          </cell>
          <cell r="AW564" t="str">
            <v>Lê Văn Thắng17</v>
          </cell>
          <cell r="AX564" t="str">
            <v>Nga</v>
          </cell>
        </row>
        <row r="565">
          <cell r="D565" t="str">
            <v>Nguyễn Đức Thuận</v>
          </cell>
          <cell r="AF565" t="str">
            <v>XE00160</v>
          </cell>
          <cell r="AH565">
            <v>8.84</v>
          </cell>
          <cell r="AW565" t="str">
            <v>Nguyễn Đức Thuận15</v>
          </cell>
          <cell r="AX565" t="str">
            <v>Nga</v>
          </cell>
        </row>
        <row r="566">
          <cell r="D566" t="str">
            <v>Nguyễn Đức Thuận</v>
          </cell>
          <cell r="AF566" t="str">
            <v>XE00160</v>
          </cell>
          <cell r="AH566">
            <v>9.42</v>
          </cell>
          <cell r="AW566" t="str">
            <v>Nguyễn Đức Thuận16</v>
          </cell>
          <cell r="AX566" t="str">
            <v>Nga</v>
          </cell>
        </row>
        <row r="567">
          <cell r="D567" t="str">
            <v>Trần Trung Kiên</v>
          </cell>
          <cell r="AF567" t="str">
            <v>XE00274</v>
          </cell>
          <cell r="AH567">
            <v>9.42</v>
          </cell>
          <cell r="AW567" t="str">
            <v>Trần Trung Kiên16</v>
          </cell>
          <cell r="AX567" t="str">
            <v>Nga</v>
          </cell>
        </row>
        <row r="568">
          <cell r="D568" t="str">
            <v>Trần Trung Kiên</v>
          </cell>
          <cell r="AF568" t="str">
            <v>XE00274</v>
          </cell>
          <cell r="AH568">
            <v>9.82</v>
          </cell>
          <cell r="AW568" t="str">
            <v>Trần Trung Kiên17</v>
          </cell>
          <cell r="AX568" t="str">
            <v>Nga</v>
          </cell>
        </row>
        <row r="569">
          <cell r="D569" t="str">
            <v>Phan Anh Giang</v>
          </cell>
          <cell r="AF569" t="str">
            <v>XE00365</v>
          </cell>
          <cell r="AH569">
            <v>9.82</v>
          </cell>
          <cell r="AW569" t="str">
            <v>Phan Anh Giang14</v>
          </cell>
          <cell r="AX569" t="str">
            <v>Nga</v>
          </cell>
        </row>
        <row r="570">
          <cell r="D570" t="str">
            <v>Vũ Đức Duẩn</v>
          </cell>
          <cell r="AF570" t="str">
            <v>XE00441</v>
          </cell>
          <cell r="AH570">
            <v>9.02</v>
          </cell>
          <cell r="AW570" t="str">
            <v>Vũ Đức Duẩn14</v>
          </cell>
          <cell r="AX570" t="str">
            <v>Nga</v>
          </cell>
        </row>
        <row r="571">
          <cell r="D571" t="str">
            <v>Vũ Đức Duẩn</v>
          </cell>
          <cell r="AF571" t="str">
            <v>XE00441</v>
          </cell>
          <cell r="AH571">
            <v>9.42</v>
          </cell>
          <cell r="AW571" t="str">
            <v>Vũ Đức Duẩn15</v>
          </cell>
          <cell r="AX571" t="str">
            <v>Nga</v>
          </cell>
        </row>
        <row r="572">
          <cell r="D572" t="str">
            <v>Nguyễn Đức Tâm</v>
          </cell>
          <cell r="AF572" t="str">
            <v>XE00674</v>
          </cell>
          <cell r="AH572">
            <v>9.82</v>
          </cell>
          <cell r="AW572" t="str">
            <v>Nguyễn Đức Tâm18</v>
          </cell>
          <cell r="AX572" t="str">
            <v>Nga</v>
          </cell>
        </row>
        <row r="573">
          <cell r="D573" t="str">
            <v>Đinh Công Cường</v>
          </cell>
          <cell r="AF573" t="str">
            <v>XE00791</v>
          </cell>
          <cell r="AH573">
            <v>9.82</v>
          </cell>
          <cell r="AW573" t="str">
            <v>Đinh Công Cường16</v>
          </cell>
          <cell r="AX573" t="str">
            <v>Nga</v>
          </cell>
        </row>
        <row r="574">
          <cell r="D574" t="str">
            <v>Nguyễn Ngọc Lâm</v>
          </cell>
          <cell r="AF574" t="str">
            <v>XE01168</v>
          </cell>
          <cell r="AH574">
            <v>9.42</v>
          </cell>
          <cell r="AW574" t="str">
            <v>Nguyễn Ngọc Lâm17</v>
          </cell>
          <cell r="AX574" t="str">
            <v>Nga</v>
          </cell>
        </row>
        <row r="575">
          <cell r="D575" t="str">
            <v>Nguyễn Ngọc Lâm</v>
          </cell>
          <cell r="AF575" t="str">
            <v>XE01168</v>
          </cell>
          <cell r="AH575">
            <v>9.42</v>
          </cell>
          <cell r="AW575" t="str">
            <v>Nguyễn Ngọc Lâm18</v>
          </cell>
          <cell r="AX575" t="str">
            <v>Nga</v>
          </cell>
        </row>
        <row r="576">
          <cell r="D576" t="str">
            <v>Nguyễn Trung Kiên 1986</v>
          </cell>
          <cell r="AF576" t="str">
            <v>XE00971</v>
          </cell>
          <cell r="AH576">
            <v>9.42</v>
          </cell>
          <cell r="AW576" t="str">
            <v>Nguyễn Trung Kiên 198615</v>
          </cell>
          <cell r="AX576" t="str">
            <v>Nga</v>
          </cell>
        </row>
        <row r="577">
          <cell r="D577" t="str">
            <v>Nguyễn Trung Kiên 1995</v>
          </cell>
          <cell r="AF577" t="str">
            <v>XE01036</v>
          </cell>
          <cell r="AH577">
            <v>9.42</v>
          </cell>
          <cell r="AW577" t="str">
            <v>Nguyễn Trung Kiên 199516</v>
          </cell>
          <cell r="AX577" t="str">
            <v>Nga</v>
          </cell>
        </row>
        <row r="578">
          <cell r="D578" t="str">
            <v>Tạ Văn Nam</v>
          </cell>
          <cell r="AF578" t="str">
            <v>XE01437</v>
          </cell>
          <cell r="AH578">
            <v>8.84</v>
          </cell>
          <cell r="AW578" t="str">
            <v>Tạ Văn Nam16</v>
          </cell>
          <cell r="AX578" t="str">
            <v>Nga</v>
          </cell>
        </row>
        <row r="579">
          <cell r="D579" t="str">
            <v>Vũ Đức Toàn</v>
          </cell>
          <cell r="AF579" t="str">
            <v>XE00295</v>
          </cell>
          <cell r="AH579">
            <v>9.02</v>
          </cell>
          <cell r="AW579" t="str">
            <v>Vũ Đức Toàn16</v>
          </cell>
          <cell r="AX579" t="str">
            <v>Nga</v>
          </cell>
        </row>
        <row r="580">
          <cell r="D580" t="str">
            <v>Hà Văn Dũng</v>
          </cell>
          <cell r="AF580" t="str">
            <v>XE00326</v>
          </cell>
          <cell r="AH580">
            <v>9.82</v>
          </cell>
          <cell r="AW580" t="str">
            <v>Hà Văn Dũng15</v>
          </cell>
          <cell r="AX580" t="str">
            <v>Nga</v>
          </cell>
        </row>
        <row r="581">
          <cell r="D581" t="str">
            <v>Đào Trung Đức</v>
          </cell>
          <cell r="AF581" t="str">
            <v>XE00366</v>
          </cell>
          <cell r="AH581">
            <v>9.82</v>
          </cell>
          <cell r="AW581" t="str">
            <v>Đào Trung Đức16</v>
          </cell>
          <cell r="AX581" t="str">
            <v>Nga</v>
          </cell>
        </row>
        <row r="582">
          <cell r="D582" t="str">
            <v>Nguyễn Chí Quốc</v>
          </cell>
          <cell r="AF582" t="str">
            <v>XE00309</v>
          </cell>
          <cell r="AH582">
            <v>9.82</v>
          </cell>
          <cell r="AW582" t="str">
            <v>Nguyễn Chí Quốc16</v>
          </cell>
          <cell r="AX582" t="str">
            <v>Nga</v>
          </cell>
        </row>
        <row r="583">
          <cell r="D583" t="str">
            <v>Nguyễn Tuấn Anh 1978</v>
          </cell>
          <cell r="AF583" t="str">
            <v>XE00524</v>
          </cell>
          <cell r="AH583">
            <v>9.82</v>
          </cell>
          <cell r="AW583" t="str">
            <v>Nguyễn Tuấn Anh 197816</v>
          </cell>
          <cell r="AX583" t="str">
            <v>Nga</v>
          </cell>
        </row>
        <row r="584">
          <cell r="D584" t="str">
            <v>Hoàng Việt Cường</v>
          </cell>
          <cell r="AF584" t="str">
            <v>XE00248</v>
          </cell>
          <cell r="AH584">
            <v>9.42</v>
          </cell>
          <cell r="AW584" t="str">
            <v>Hoàng Việt Cường16</v>
          </cell>
          <cell r="AX584" t="str">
            <v>Nga</v>
          </cell>
        </row>
        <row r="585">
          <cell r="D585" t="str">
            <v>Hoàng Cát Giao</v>
          </cell>
          <cell r="AF585" t="str">
            <v>XE00734</v>
          </cell>
          <cell r="AH585">
            <v>9.42</v>
          </cell>
          <cell r="AW585" t="str">
            <v>Hoàng Cát Giao16</v>
          </cell>
          <cell r="AX585" t="str">
            <v>Nga</v>
          </cell>
        </row>
        <row r="586">
          <cell r="D586" t="str">
            <v>Nguyễn Thanh Bình</v>
          </cell>
          <cell r="AF586" t="str">
            <v>XE00825</v>
          </cell>
          <cell r="AH586">
            <v>8.84</v>
          </cell>
          <cell r="AW586" t="str">
            <v>Nguyễn Thanh Bình16</v>
          </cell>
          <cell r="AX586" t="str">
            <v>Nga</v>
          </cell>
        </row>
        <row r="587">
          <cell r="D587" t="str">
            <v>Vũ Duy Long</v>
          </cell>
          <cell r="AF587" t="str">
            <v>XE00721</v>
          </cell>
          <cell r="AH587">
            <v>9.24</v>
          </cell>
          <cell r="AW587" t="str">
            <v>Vũ Duy Long15</v>
          </cell>
          <cell r="AX587" t="str">
            <v>Nga</v>
          </cell>
        </row>
        <row r="588">
          <cell r="D588" t="str">
            <v>Phùng Kim Tiến</v>
          </cell>
          <cell r="AF588" t="str">
            <v>XE01242</v>
          </cell>
          <cell r="AH588">
            <v>8.84</v>
          </cell>
          <cell r="AW588" t="str">
            <v>Phùng Kim Tiến15</v>
          </cell>
          <cell r="AX588" t="str">
            <v>Nga</v>
          </cell>
        </row>
        <row r="589">
          <cell r="D589" t="str">
            <v>Nguyễn Quang Tuấn</v>
          </cell>
          <cell r="AF589" t="str">
            <v>XE00813</v>
          </cell>
          <cell r="AH589">
            <v>9.42</v>
          </cell>
          <cell r="AW589" t="str">
            <v>Nguyễn Quang Tuấn14</v>
          </cell>
          <cell r="AX589" t="str">
            <v>Nga</v>
          </cell>
        </row>
        <row r="590">
          <cell r="D590" t="str">
            <v>Trương Minh Quân</v>
          </cell>
          <cell r="AF590" t="str">
            <v>XE01077</v>
          </cell>
          <cell r="AH590">
            <v>9.42</v>
          </cell>
          <cell r="AW590" t="str">
            <v>Trương Minh Quân14</v>
          </cell>
          <cell r="AX590" t="str">
            <v>Nga</v>
          </cell>
        </row>
        <row r="591">
          <cell r="D591" t="str">
            <v>Đỗ Văn Phương</v>
          </cell>
          <cell r="AF591" t="str">
            <v>XE01605</v>
          </cell>
          <cell r="AH591">
            <v>9.42</v>
          </cell>
          <cell r="AW591" t="str">
            <v>Đỗ Văn Phương14</v>
          </cell>
          <cell r="AX591" t="str">
            <v>Nga</v>
          </cell>
        </row>
        <row r="592">
          <cell r="D592" t="str">
            <v>Ngô Xuân Nam</v>
          </cell>
          <cell r="AF592" t="str">
            <v>XE01669</v>
          </cell>
          <cell r="AH592">
            <v>9.42</v>
          </cell>
          <cell r="AW592" t="str">
            <v>Ngô Xuân Nam14</v>
          </cell>
          <cell r="AX592" t="str">
            <v>Nga</v>
          </cell>
        </row>
        <row r="593">
          <cell r="D593" t="str">
            <v>Phạm Văn Ký</v>
          </cell>
          <cell r="AF593" t="str">
            <v>XE00257</v>
          </cell>
          <cell r="AH593">
            <v>9.42</v>
          </cell>
          <cell r="AW593" t="str">
            <v>Phạm Văn Ký15</v>
          </cell>
          <cell r="AX593" t="str">
            <v>Nga</v>
          </cell>
        </row>
        <row r="594">
          <cell r="D594" t="str">
            <v>Lê Văn Đảm</v>
          </cell>
          <cell r="AF594" t="str">
            <v>XE00187</v>
          </cell>
          <cell r="AH594">
            <v>9.2199999999999989</v>
          </cell>
          <cell r="AW594" t="str">
            <v>Lê Văn Đảm13</v>
          </cell>
          <cell r="AX594" t="str">
            <v>Nga</v>
          </cell>
        </row>
        <row r="595">
          <cell r="D595" t="str">
            <v>Lê Văn Liệu</v>
          </cell>
          <cell r="AF595" t="str">
            <v>XE00054</v>
          </cell>
          <cell r="AH595">
            <v>9.82</v>
          </cell>
          <cell r="AW595" t="str">
            <v>Lê Văn Liệu14</v>
          </cell>
          <cell r="AX595" t="str">
            <v>Nga</v>
          </cell>
        </row>
        <row r="596">
          <cell r="D596" t="str">
            <v>Trần Văn Thiện</v>
          </cell>
          <cell r="AF596" t="str">
            <v>XE00658</v>
          </cell>
          <cell r="AH596">
            <v>9.42</v>
          </cell>
          <cell r="AW596" t="str">
            <v>Trần Văn Thiện14</v>
          </cell>
          <cell r="AX596" t="str">
            <v>Nga</v>
          </cell>
        </row>
        <row r="597">
          <cell r="D597" t="str">
            <v>Ngô Xuân Nam</v>
          </cell>
          <cell r="AF597" t="str">
            <v>XE01669</v>
          </cell>
          <cell r="AH597">
            <v>9.42</v>
          </cell>
          <cell r="AW597" t="str">
            <v>Ngô Xuân Nam15</v>
          </cell>
          <cell r="AX597" t="str">
            <v>Nga</v>
          </cell>
        </row>
        <row r="598">
          <cell r="D598" t="str">
            <v>Đỗ Văn Phương</v>
          </cell>
          <cell r="AF598" t="str">
            <v>XE01605</v>
          </cell>
          <cell r="AH598">
            <v>9.82</v>
          </cell>
          <cell r="AW598" t="str">
            <v>Đỗ Văn Phương15</v>
          </cell>
          <cell r="AX598" t="str">
            <v>Nga</v>
          </cell>
        </row>
        <row r="599">
          <cell r="D599" t="str">
            <v>Trương Minh Quân</v>
          </cell>
          <cell r="AF599" t="str">
            <v>XE01077</v>
          </cell>
          <cell r="AH599">
            <v>9.82</v>
          </cell>
          <cell r="AW599" t="str">
            <v>Trương Minh Quân15</v>
          </cell>
          <cell r="AX599" t="str">
            <v>Nga</v>
          </cell>
        </row>
        <row r="600">
          <cell r="D600" t="str">
            <v>Phùng Kim Tiến</v>
          </cell>
          <cell r="AF600" t="str">
            <v>XE01242</v>
          </cell>
          <cell r="AH600">
            <v>9.6199999999999992</v>
          </cell>
          <cell r="AW600" t="str">
            <v>Phùng Kim Tiến16</v>
          </cell>
          <cell r="AX600" t="str">
            <v>Nga</v>
          </cell>
        </row>
        <row r="601">
          <cell r="D601" t="str">
            <v>Vũ Duy Long</v>
          </cell>
          <cell r="AF601" t="str">
            <v>XE00721</v>
          </cell>
          <cell r="AH601">
            <v>9.42</v>
          </cell>
          <cell r="AW601" t="str">
            <v>Vũ Duy Long16</v>
          </cell>
          <cell r="AX601" t="str">
            <v>Nga</v>
          </cell>
        </row>
        <row r="602">
          <cell r="D602" t="str">
            <v>Nguyễn Thanh Bình</v>
          </cell>
          <cell r="AF602" t="str">
            <v>XE00825</v>
          </cell>
          <cell r="AH602">
            <v>9.02</v>
          </cell>
          <cell r="AW602" t="str">
            <v>Nguyễn Thanh Bình17</v>
          </cell>
          <cell r="AX602" t="str">
            <v>Nga</v>
          </cell>
        </row>
        <row r="603">
          <cell r="D603" t="str">
            <v>Hoàng Cát Giao</v>
          </cell>
          <cell r="AF603" t="str">
            <v>XE00734</v>
          </cell>
          <cell r="AH603">
            <v>8.84</v>
          </cell>
          <cell r="AW603" t="str">
            <v>Hoàng Cát Giao17</v>
          </cell>
          <cell r="AX603" t="str">
            <v>Nga</v>
          </cell>
        </row>
        <row r="604">
          <cell r="D604" t="str">
            <v>Hoàng Việt Cường</v>
          </cell>
          <cell r="AF604" t="str">
            <v>XE00248</v>
          </cell>
          <cell r="AH604">
            <v>9.02</v>
          </cell>
          <cell r="AW604" t="str">
            <v>Hoàng Việt Cường17</v>
          </cell>
          <cell r="AX604" t="str">
            <v>Nga</v>
          </cell>
        </row>
        <row r="605">
          <cell r="D605" t="str">
            <v>Nguyễn Tuấn Anh 1978</v>
          </cell>
          <cell r="AF605" t="str">
            <v>XE00524</v>
          </cell>
          <cell r="AH605">
            <v>9.42</v>
          </cell>
          <cell r="AW605" t="str">
            <v>Nguyễn Tuấn Anh 197817</v>
          </cell>
          <cell r="AX605" t="str">
            <v>Nga</v>
          </cell>
        </row>
        <row r="606">
          <cell r="D606" t="str">
            <v>Nguyễn Chí Quốc</v>
          </cell>
          <cell r="AF606" t="str">
            <v>XE00309</v>
          </cell>
          <cell r="AH606">
            <v>9.02</v>
          </cell>
          <cell r="AW606" t="str">
            <v>Nguyễn Chí Quốc17</v>
          </cell>
          <cell r="AX606" t="str">
            <v>Nga</v>
          </cell>
        </row>
        <row r="607">
          <cell r="D607" t="str">
            <v>Đào Trung Đức</v>
          </cell>
          <cell r="AF607" t="str">
            <v>XE00366</v>
          </cell>
          <cell r="AH607">
            <v>9.24</v>
          </cell>
          <cell r="AW607" t="str">
            <v>Đào Trung Đức17</v>
          </cell>
          <cell r="AX607" t="str">
            <v>Nga</v>
          </cell>
        </row>
        <row r="608">
          <cell r="D608" t="str">
            <v>Vũ Đức Toàn</v>
          </cell>
          <cell r="AF608" t="str">
            <v>XE00295</v>
          </cell>
          <cell r="AH608">
            <v>9.42</v>
          </cell>
          <cell r="AW608" t="str">
            <v>Vũ Đức Toàn17</v>
          </cell>
          <cell r="AX608" t="str">
            <v>Nga</v>
          </cell>
        </row>
        <row r="609">
          <cell r="D609" t="str">
            <v>Tạ Văn Nam</v>
          </cell>
          <cell r="AF609" t="str">
            <v>XE01437</v>
          </cell>
          <cell r="AH609">
            <v>9.24</v>
          </cell>
          <cell r="AW609" t="str">
            <v>Tạ Văn Nam17</v>
          </cell>
          <cell r="AX609" t="str">
            <v>Nga</v>
          </cell>
        </row>
        <row r="610">
          <cell r="D610" t="str">
            <v>Nguyễn Minh Quang</v>
          </cell>
          <cell r="AF610" t="str">
            <v>XE01188</v>
          </cell>
          <cell r="AH610">
            <v>8.84</v>
          </cell>
          <cell r="AW610" t="str">
            <v>Nguyễn Minh Quang18</v>
          </cell>
          <cell r="AX610" t="str">
            <v>Nga</v>
          </cell>
        </row>
        <row r="611">
          <cell r="D611" t="str">
            <v>Nguyễn Trung Kiên 1995</v>
          </cell>
          <cell r="AF611" t="str">
            <v>XE01036</v>
          </cell>
          <cell r="AH611">
            <v>9.82</v>
          </cell>
          <cell r="AW611" t="str">
            <v>Nguyễn Trung Kiên 199517</v>
          </cell>
          <cell r="AX611" t="str">
            <v>Nga</v>
          </cell>
        </row>
        <row r="612">
          <cell r="D612" t="str">
            <v>Nguyễn Trung Kiên 1986</v>
          </cell>
          <cell r="AF612" t="str">
            <v>XE00971</v>
          </cell>
          <cell r="AH612">
            <v>8.0399999999999991</v>
          </cell>
          <cell r="AW612" t="str">
            <v>Nguyễn Trung Kiên 198616</v>
          </cell>
          <cell r="AX612" t="str">
            <v>Nga</v>
          </cell>
        </row>
        <row r="613">
          <cell r="D613" t="str">
            <v>Lê Văn Thắng</v>
          </cell>
          <cell r="AF613" t="str">
            <v>XE00242</v>
          </cell>
          <cell r="AH613">
            <v>9.82</v>
          </cell>
          <cell r="AW613" t="str">
            <v>Lê Văn Thắng18</v>
          </cell>
          <cell r="AX613" t="str">
            <v>Nga</v>
          </cell>
        </row>
        <row r="614">
          <cell r="D614" t="str">
            <v>Nguyễn Đức Thuận</v>
          </cell>
          <cell r="AF614" t="str">
            <v>XE00160</v>
          </cell>
          <cell r="AH614">
            <v>9.42</v>
          </cell>
          <cell r="AW614" t="str">
            <v>Nguyễn Đức Thuận17</v>
          </cell>
          <cell r="AX614" t="str">
            <v>Nga</v>
          </cell>
        </row>
        <row r="615">
          <cell r="D615" t="str">
            <v>Trần Trung Kiên</v>
          </cell>
          <cell r="AF615" t="str">
            <v>XE00274</v>
          </cell>
          <cell r="AH615">
            <v>9.42</v>
          </cell>
          <cell r="AW615" t="str">
            <v>Trần Trung Kiên18</v>
          </cell>
          <cell r="AX615" t="str">
            <v>Nga</v>
          </cell>
        </row>
        <row r="616">
          <cell r="D616" t="str">
            <v>Phan Anh Giang</v>
          </cell>
          <cell r="AF616" t="str">
            <v>XE00365</v>
          </cell>
          <cell r="AH616">
            <v>9.82</v>
          </cell>
          <cell r="AW616" t="str">
            <v>Phan Anh Giang15</v>
          </cell>
          <cell r="AX616" t="str">
            <v>Nga</v>
          </cell>
        </row>
        <row r="617">
          <cell r="D617" t="str">
            <v>Vũ Đức Duẩn</v>
          </cell>
          <cell r="AF617" t="str">
            <v>XE00441</v>
          </cell>
          <cell r="AH617">
            <v>9.82</v>
          </cell>
          <cell r="AW617" t="str">
            <v>Vũ Đức Duẩn16</v>
          </cell>
          <cell r="AX617" t="str">
            <v>Nga</v>
          </cell>
        </row>
        <row r="618">
          <cell r="D618" t="str">
            <v>Đỗ Văn Hiếu</v>
          </cell>
          <cell r="AF618" t="str">
            <v>XE00285</v>
          </cell>
          <cell r="AH618">
            <v>9.42</v>
          </cell>
          <cell r="AW618" t="str">
            <v>Đỗ Văn Hiếu17</v>
          </cell>
          <cell r="AX618" t="str">
            <v>Nga</v>
          </cell>
        </row>
        <row r="619">
          <cell r="D619" t="str">
            <v>Phùng Hữu Biên</v>
          </cell>
          <cell r="AF619" t="str">
            <v>XE00714</v>
          </cell>
          <cell r="AH619">
            <v>9.02</v>
          </cell>
          <cell r="AW619" t="str">
            <v>Phùng Hữu Biên17</v>
          </cell>
          <cell r="AX619" t="str">
            <v>Nga</v>
          </cell>
        </row>
        <row r="620">
          <cell r="D620" t="str">
            <v>Nguyễn Đức Tâm</v>
          </cell>
          <cell r="AF620" t="str">
            <v>XE00674</v>
          </cell>
          <cell r="AH620">
            <v>9.82</v>
          </cell>
          <cell r="AW620" t="str">
            <v>Nguyễn Đức Tâm19</v>
          </cell>
          <cell r="AX620" t="str">
            <v>Nga</v>
          </cell>
        </row>
        <row r="621">
          <cell r="D621" t="str">
            <v>Đinh Công Cường</v>
          </cell>
          <cell r="AF621" t="str">
            <v>XE00791</v>
          </cell>
          <cell r="AH621">
            <v>9.82</v>
          </cell>
          <cell r="AW621" t="str">
            <v>Đinh Công Cường17</v>
          </cell>
          <cell r="AX621" t="str">
            <v>Nga</v>
          </cell>
        </row>
        <row r="622">
          <cell r="D622" t="str">
            <v>Nguyễn Trung Kiên 1986</v>
          </cell>
          <cell r="AF622" t="str">
            <v>XE00971</v>
          </cell>
          <cell r="AH622">
            <v>9.42</v>
          </cell>
          <cell r="AW622" t="str">
            <v>Nguyễn Trung Kiên 198617</v>
          </cell>
          <cell r="AX622" t="str">
            <v>Nga</v>
          </cell>
        </row>
        <row r="623">
          <cell r="D623" t="str">
            <v>Nguyễn Trung Kiên 1995</v>
          </cell>
          <cell r="AF623" t="str">
            <v>XE01036</v>
          </cell>
          <cell r="AH623">
            <v>9.42</v>
          </cell>
          <cell r="AW623" t="str">
            <v>Nguyễn Trung Kiên 199518</v>
          </cell>
          <cell r="AX623" t="str">
            <v>Nga</v>
          </cell>
        </row>
        <row r="624">
          <cell r="D624" t="str">
            <v>Nguyễn Minh Quang</v>
          </cell>
          <cell r="AF624" t="str">
            <v>XE01188</v>
          </cell>
          <cell r="AH624">
            <v>9.2199999999999989</v>
          </cell>
          <cell r="AW624" t="str">
            <v>Nguyễn Minh Quang19</v>
          </cell>
          <cell r="AX624" t="str">
            <v>Nga</v>
          </cell>
        </row>
        <row r="625">
          <cell r="D625" t="str">
            <v>Phạm Văn Ký</v>
          </cell>
          <cell r="AF625" t="str">
            <v>XE00257</v>
          </cell>
          <cell r="AH625">
            <v>9.82</v>
          </cell>
          <cell r="AW625" t="str">
            <v>Phạm Văn Ký16</v>
          </cell>
          <cell r="AX625" t="str">
            <v>Nga</v>
          </cell>
        </row>
        <row r="626">
          <cell r="D626" t="str">
            <v>Lê Văn Đảm</v>
          </cell>
          <cell r="AF626" t="str">
            <v>XE00187</v>
          </cell>
          <cell r="AH626">
            <v>9.82</v>
          </cell>
          <cell r="AW626" t="str">
            <v>Lê Văn Đảm14</v>
          </cell>
          <cell r="AX626" t="str">
            <v>Nga</v>
          </cell>
        </row>
        <row r="627">
          <cell r="D627" t="str">
            <v>Lê Văn Đảm</v>
          </cell>
          <cell r="AF627" t="str">
            <v>XE00187</v>
          </cell>
          <cell r="AH627">
            <v>9.82</v>
          </cell>
          <cell r="AW627" t="str">
            <v>Lê Văn Đảm15</v>
          </cell>
          <cell r="AX627" t="str">
            <v>Nga</v>
          </cell>
        </row>
        <row r="628">
          <cell r="D628" t="str">
            <v>Lê Văn Liệu</v>
          </cell>
          <cell r="AF628" t="str">
            <v>XE00054</v>
          </cell>
          <cell r="AH628">
            <v>9.6199999999999992</v>
          </cell>
          <cell r="AW628" t="str">
            <v>Lê Văn Liệu15</v>
          </cell>
          <cell r="AX628" t="str">
            <v>Nga</v>
          </cell>
        </row>
        <row r="629">
          <cell r="D629" t="str">
            <v>Trần Văn Thiện</v>
          </cell>
          <cell r="AF629" t="str">
            <v>XE00658</v>
          </cell>
          <cell r="AH629">
            <v>8.44</v>
          </cell>
          <cell r="AW629" t="str">
            <v>Trần Văn Thiện15</v>
          </cell>
          <cell r="AX629" t="str">
            <v>Nga</v>
          </cell>
        </row>
        <row r="630">
          <cell r="D630" t="str">
            <v>Ngô Xuân Nam</v>
          </cell>
          <cell r="AF630" t="str">
            <v>XE01669</v>
          </cell>
          <cell r="AH630">
            <v>9.82</v>
          </cell>
          <cell r="AW630" t="str">
            <v>Ngô Xuân Nam16</v>
          </cell>
          <cell r="AX630" t="str">
            <v>Nga</v>
          </cell>
        </row>
        <row r="631">
          <cell r="D631" t="str">
            <v>Đỗ Văn Phương</v>
          </cell>
          <cell r="AF631" t="str">
            <v>XE01605</v>
          </cell>
          <cell r="AH631">
            <v>9.02</v>
          </cell>
          <cell r="AW631" t="str">
            <v>Đỗ Văn Phương16</v>
          </cell>
          <cell r="AX631" t="str">
            <v>Nga</v>
          </cell>
        </row>
        <row r="632">
          <cell r="D632" t="str">
            <v>Trương Minh Quân</v>
          </cell>
          <cell r="AF632" t="str">
            <v>XE01077</v>
          </cell>
          <cell r="AH632">
            <v>9.82</v>
          </cell>
          <cell r="AW632" t="str">
            <v>Trương Minh Quân16</v>
          </cell>
          <cell r="AX632" t="str">
            <v>Nga</v>
          </cell>
        </row>
        <row r="633">
          <cell r="D633" t="str">
            <v>Vũ Duy Long</v>
          </cell>
          <cell r="AF633" t="str">
            <v>XE00721</v>
          </cell>
          <cell r="AH633">
            <v>9.02</v>
          </cell>
          <cell r="AW633" t="str">
            <v>Vũ Duy Long17</v>
          </cell>
          <cell r="AX633" t="str">
            <v>Nga</v>
          </cell>
        </row>
        <row r="634">
          <cell r="D634" t="str">
            <v>Nguyễn Thanh Bình</v>
          </cell>
          <cell r="AF634" t="str">
            <v>XE00825</v>
          </cell>
          <cell r="AH634">
            <v>9.02</v>
          </cell>
          <cell r="AW634" t="str">
            <v>Nguyễn Thanh Bình18</v>
          </cell>
          <cell r="AX634" t="str">
            <v>Nga</v>
          </cell>
        </row>
        <row r="635">
          <cell r="D635" t="str">
            <v>Nguyễn Duy Hà</v>
          </cell>
          <cell r="AF635" t="str">
            <v>XE00799</v>
          </cell>
          <cell r="AH635">
            <v>9.02</v>
          </cell>
          <cell r="AW635" t="str">
            <v>Nguyễn Duy Hà18</v>
          </cell>
          <cell r="AX635" t="str">
            <v>Nga</v>
          </cell>
        </row>
        <row r="636">
          <cell r="D636" t="str">
            <v>Hoàng Cát Giao</v>
          </cell>
          <cell r="AF636" t="str">
            <v>XE00734</v>
          </cell>
          <cell r="AH636">
            <v>9.42</v>
          </cell>
          <cell r="AW636" t="str">
            <v>Hoàng Cát Giao18</v>
          </cell>
          <cell r="AX636" t="str">
            <v>Nga</v>
          </cell>
        </row>
        <row r="637">
          <cell r="D637" t="str">
            <v>Hoàng Việt Cường</v>
          </cell>
          <cell r="AF637" t="str">
            <v>XE00248</v>
          </cell>
          <cell r="AH637">
            <v>9.82</v>
          </cell>
          <cell r="AW637" t="str">
            <v>Hoàng Việt Cường18</v>
          </cell>
          <cell r="AX637" t="str">
            <v>Nga</v>
          </cell>
        </row>
        <row r="638">
          <cell r="D638" t="str">
            <v>Nguyễn Tuấn Anh 1978</v>
          </cell>
          <cell r="AF638" t="str">
            <v>XE00524</v>
          </cell>
          <cell r="AH638">
            <v>9.42</v>
          </cell>
          <cell r="AW638" t="str">
            <v>Nguyễn Tuấn Anh 197818</v>
          </cell>
          <cell r="AX638" t="str">
            <v>Nga</v>
          </cell>
        </row>
        <row r="639">
          <cell r="D639" t="str">
            <v>Nguyễn Chí Quốc</v>
          </cell>
          <cell r="AF639" t="str">
            <v>XE00309</v>
          </cell>
          <cell r="AH639">
            <v>9.24</v>
          </cell>
          <cell r="AW639" t="str">
            <v>Nguyễn Chí Quốc18</v>
          </cell>
          <cell r="AX639" t="str">
            <v>Nga</v>
          </cell>
        </row>
        <row r="640">
          <cell r="D640" t="str">
            <v>Đào Trung Đức</v>
          </cell>
          <cell r="AF640" t="str">
            <v>XE00366</v>
          </cell>
          <cell r="AH640">
            <v>9.42</v>
          </cell>
          <cell r="AW640" t="str">
            <v>Đào Trung Đức18</v>
          </cell>
          <cell r="AX640" t="str">
            <v>Nga</v>
          </cell>
        </row>
        <row r="641">
          <cell r="D641" t="str">
            <v>Hà Văn Dũng</v>
          </cell>
          <cell r="AF641" t="str">
            <v>XE00326</v>
          </cell>
          <cell r="AH641">
            <v>9.42</v>
          </cell>
          <cell r="AW641" t="str">
            <v>Hà Văn Dũng16</v>
          </cell>
          <cell r="AX641" t="str">
            <v>Nga</v>
          </cell>
        </row>
        <row r="642">
          <cell r="D642" t="str">
            <v>Hà Văn Dũng</v>
          </cell>
          <cell r="AF642" t="str">
            <v>XE00326</v>
          </cell>
          <cell r="AH642">
            <v>8.44</v>
          </cell>
          <cell r="AW642" t="str">
            <v>Hà Văn Dũng17</v>
          </cell>
          <cell r="AX642" t="str">
            <v>Nga</v>
          </cell>
        </row>
        <row r="643">
          <cell r="D643" t="str">
            <v>Vũ Đức Toàn</v>
          </cell>
          <cell r="AF643" t="str">
            <v>XE00295</v>
          </cell>
          <cell r="AH643">
            <v>9.2199999999999989</v>
          </cell>
          <cell r="AW643" t="str">
            <v>Vũ Đức Toàn18</v>
          </cell>
          <cell r="AX643" t="str">
            <v>Nga</v>
          </cell>
        </row>
        <row r="644">
          <cell r="D644" t="str">
            <v>Nguyễn Đức Thuận</v>
          </cell>
          <cell r="AF644" t="str">
            <v>XE00160</v>
          </cell>
          <cell r="AH644">
            <v>9.82</v>
          </cell>
          <cell r="AW644" t="str">
            <v>Nguyễn Đức Thuận18</v>
          </cell>
          <cell r="AX644" t="str">
            <v>Nga</v>
          </cell>
        </row>
        <row r="645">
          <cell r="D645" t="str">
            <v>Phan Anh Giang</v>
          </cell>
          <cell r="AF645" t="str">
            <v>XE00365</v>
          </cell>
          <cell r="AH645">
            <v>9.42</v>
          </cell>
          <cell r="AW645" t="str">
            <v>Phan Anh Giang16</v>
          </cell>
          <cell r="AX645" t="str">
            <v>Nga</v>
          </cell>
        </row>
        <row r="646">
          <cell r="D646" t="str">
            <v>Vũ Đức Duẩn</v>
          </cell>
          <cell r="AF646" t="str">
            <v>XE00441</v>
          </cell>
          <cell r="AH646">
            <v>8.84</v>
          </cell>
          <cell r="AW646" t="str">
            <v>Vũ Đức Duẩn17</v>
          </cell>
          <cell r="AX646" t="str">
            <v>Nga</v>
          </cell>
        </row>
        <row r="647">
          <cell r="D647" t="str">
            <v>Đỗ Văn Hiếu</v>
          </cell>
          <cell r="AF647" t="str">
            <v>XE00285</v>
          </cell>
          <cell r="AH647">
            <v>9.42</v>
          </cell>
          <cell r="AW647" t="str">
            <v>Đỗ Văn Hiếu18</v>
          </cell>
          <cell r="AX647" t="str">
            <v>Nga</v>
          </cell>
        </row>
        <row r="648">
          <cell r="D648" t="str">
            <v>Phùng Hữu Biên</v>
          </cell>
          <cell r="AF648" t="str">
            <v>XE00714</v>
          </cell>
          <cell r="AH648">
            <v>9.42</v>
          </cell>
          <cell r="AW648" t="str">
            <v>Phùng Hữu Biên18</v>
          </cell>
          <cell r="AX648" t="str">
            <v>Nga</v>
          </cell>
        </row>
        <row r="649">
          <cell r="D649" t="str">
            <v>Đinh Công Cường</v>
          </cell>
          <cell r="AF649" t="str">
            <v>XE00791</v>
          </cell>
          <cell r="AH649">
            <v>9.42</v>
          </cell>
          <cell r="AW649" t="str">
            <v>Đinh Công Cường18</v>
          </cell>
          <cell r="AX649" t="str">
            <v>Nga</v>
          </cell>
        </row>
        <row r="650">
          <cell r="D650" t="str">
            <v>Nguyễn Trung Kiên 1986</v>
          </cell>
          <cell r="AF650" t="str">
            <v>XE00971</v>
          </cell>
          <cell r="AH650">
            <v>9.42</v>
          </cell>
          <cell r="AW650" t="str">
            <v>Nguyễn Trung Kiên 198618</v>
          </cell>
          <cell r="AX650" t="str">
            <v>Nga</v>
          </cell>
        </row>
        <row r="651">
          <cell r="D651" t="str">
            <v>Vũ Duy Long</v>
          </cell>
          <cell r="AF651" t="str">
            <v>XE00721</v>
          </cell>
          <cell r="AH651">
            <v>9.82</v>
          </cell>
          <cell r="AW651" t="str">
            <v>Vũ Duy Long18</v>
          </cell>
          <cell r="AX651" t="str">
            <v>Nga</v>
          </cell>
        </row>
        <row r="652">
          <cell r="D652" t="str">
            <v>Trương Minh Quân</v>
          </cell>
          <cell r="AF652" t="str">
            <v>XE01077</v>
          </cell>
          <cell r="AH652">
            <v>9.82</v>
          </cell>
          <cell r="AW652" t="str">
            <v>Trương Minh Quân17</v>
          </cell>
          <cell r="AX652" t="str">
            <v>Nga</v>
          </cell>
        </row>
        <row r="653">
          <cell r="D653" t="str">
            <v>Lê Văn Thắng</v>
          </cell>
          <cell r="AF653" t="str">
            <v>XE00242</v>
          </cell>
          <cell r="AH653">
            <v>9.82</v>
          </cell>
          <cell r="AW653" t="str">
            <v>Lê Văn Thắng19</v>
          </cell>
          <cell r="AX653" t="str">
            <v>Nga</v>
          </cell>
        </row>
        <row r="654">
          <cell r="D654" t="str">
            <v>Nguyễn Đức Thuận</v>
          </cell>
          <cell r="AF654" t="str">
            <v>XE00160</v>
          </cell>
          <cell r="AH654">
            <v>9.42</v>
          </cell>
          <cell r="AW654" t="str">
            <v>Nguyễn Đức Thuận19</v>
          </cell>
          <cell r="AX654" t="str">
            <v>Nga</v>
          </cell>
        </row>
        <row r="655">
          <cell r="D655" t="str">
            <v>Trần Trung Kiên</v>
          </cell>
          <cell r="AF655" t="str">
            <v>XE00274</v>
          </cell>
          <cell r="AH655">
            <v>9.42</v>
          </cell>
          <cell r="AW655" t="str">
            <v>Trần Trung Kiên19</v>
          </cell>
          <cell r="AX655" t="str">
            <v>Nga</v>
          </cell>
        </row>
        <row r="656">
          <cell r="D656" t="str">
            <v>Phan Anh Giang</v>
          </cell>
          <cell r="AF656" t="str">
            <v>XE00365</v>
          </cell>
          <cell r="AH656">
            <v>9.82</v>
          </cell>
          <cell r="AW656" t="str">
            <v>Phan Anh Giang17</v>
          </cell>
          <cell r="AX656" t="str">
            <v>Nga</v>
          </cell>
        </row>
        <row r="657">
          <cell r="D657" t="str">
            <v>Vũ Đức Duẩn</v>
          </cell>
          <cell r="AF657" t="str">
            <v>XE00441</v>
          </cell>
          <cell r="AH657">
            <v>8.2200000000000006</v>
          </cell>
          <cell r="AW657" t="str">
            <v>Vũ Đức Duẩn18</v>
          </cell>
          <cell r="AX657" t="str">
            <v>Nga</v>
          </cell>
        </row>
        <row r="658">
          <cell r="D658" t="str">
            <v>Đỗ Văn Hiếu</v>
          </cell>
          <cell r="AF658" t="str">
            <v>XE00285</v>
          </cell>
          <cell r="AH658">
            <v>9.02</v>
          </cell>
          <cell r="AW658" t="str">
            <v>Đỗ Văn Hiếu19</v>
          </cell>
          <cell r="AX658" t="str">
            <v>Nga</v>
          </cell>
        </row>
        <row r="659">
          <cell r="D659" t="str">
            <v>Phùng Hữu Biên</v>
          </cell>
          <cell r="AF659" t="str">
            <v>XE00714</v>
          </cell>
          <cell r="AH659">
            <v>9.82</v>
          </cell>
          <cell r="AW659" t="str">
            <v>Phùng Hữu Biên19</v>
          </cell>
          <cell r="AX659" t="str">
            <v>Nga</v>
          </cell>
        </row>
        <row r="660">
          <cell r="D660" t="str">
            <v>Nguyễn Đức Tâm</v>
          </cell>
          <cell r="AF660" t="str">
            <v>XE00674</v>
          </cell>
          <cell r="AH660">
            <v>8.2200000000000006</v>
          </cell>
          <cell r="AW660" t="str">
            <v>Nguyễn Đức Tâm20</v>
          </cell>
          <cell r="AX660" t="str">
            <v>Nga</v>
          </cell>
        </row>
        <row r="661">
          <cell r="D661" t="str">
            <v>Đinh Công Cường</v>
          </cell>
          <cell r="AF661" t="str">
            <v>XE00791</v>
          </cell>
          <cell r="AH661">
            <v>9.82</v>
          </cell>
          <cell r="AW661" t="str">
            <v>Đinh Công Cường19</v>
          </cell>
          <cell r="AX661" t="str">
            <v>Nga</v>
          </cell>
        </row>
        <row r="662">
          <cell r="D662" t="str">
            <v>Nguyễn Ngọc Lâm</v>
          </cell>
          <cell r="AF662" t="str">
            <v>XE01168</v>
          </cell>
          <cell r="AH662">
            <v>8.84</v>
          </cell>
          <cell r="AW662" t="str">
            <v>Nguyễn Ngọc Lâm19</v>
          </cell>
          <cell r="AX662" t="str">
            <v>Nga</v>
          </cell>
        </row>
        <row r="663">
          <cell r="D663" t="str">
            <v>Nguyễn Trung Kiên 1986</v>
          </cell>
          <cell r="AF663" t="str">
            <v>XE00971</v>
          </cell>
          <cell r="AH663">
            <v>9.82</v>
          </cell>
          <cell r="AW663" t="str">
            <v>Nguyễn Trung Kiên 198619</v>
          </cell>
          <cell r="AX663" t="str">
            <v>Nga</v>
          </cell>
        </row>
        <row r="664">
          <cell r="D664" t="str">
            <v>Nguyễn Trung Kiên 1995</v>
          </cell>
          <cell r="AF664" t="str">
            <v>XE01036</v>
          </cell>
          <cell r="AH664">
            <v>9.24</v>
          </cell>
          <cell r="AW664" t="str">
            <v>Nguyễn Trung Kiên 199519</v>
          </cell>
          <cell r="AX664" t="str">
            <v>Nga</v>
          </cell>
        </row>
        <row r="665">
          <cell r="D665" t="str">
            <v>Nguyễn Minh Quang</v>
          </cell>
          <cell r="AF665" t="str">
            <v>XE01188</v>
          </cell>
          <cell r="AH665">
            <v>9.82</v>
          </cell>
          <cell r="AW665" t="str">
            <v>Nguyễn Minh Quang20</v>
          </cell>
          <cell r="AX665" t="str">
            <v>Nga</v>
          </cell>
        </row>
        <row r="666">
          <cell r="D666" t="str">
            <v>Tạ Văn Nam</v>
          </cell>
          <cell r="AF666" t="str">
            <v>XE01437</v>
          </cell>
          <cell r="AH666">
            <v>9.82</v>
          </cell>
          <cell r="AW666" t="str">
            <v>Tạ Văn Nam18</v>
          </cell>
          <cell r="AX666" t="str">
            <v>Nga</v>
          </cell>
        </row>
        <row r="667">
          <cell r="D667" t="str">
            <v>Trần Văn Thiện</v>
          </cell>
          <cell r="AF667" t="str">
            <v>XE00658</v>
          </cell>
          <cell r="AH667">
            <v>9.42</v>
          </cell>
          <cell r="AW667" t="str">
            <v>Trần Văn Thiện16</v>
          </cell>
          <cell r="AX667" t="str">
            <v>Nga</v>
          </cell>
        </row>
        <row r="668">
          <cell r="D668" t="str">
            <v>Trần Văn Thiện</v>
          </cell>
          <cell r="AF668" t="str">
            <v>XE00658</v>
          </cell>
          <cell r="AH668">
            <v>9.42</v>
          </cell>
          <cell r="AW668" t="str">
            <v>Trần Văn Thiện17</v>
          </cell>
          <cell r="AX668" t="str">
            <v>Nga</v>
          </cell>
        </row>
        <row r="669">
          <cell r="D669" t="str">
            <v>Phạm Văn Hà</v>
          </cell>
          <cell r="AF669" t="str">
            <v>XE00063</v>
          </cell>
          <cell r="AH669">
            <v>9.82</v>
          </cell>
          <cell r="AW669" t="str">
            <v>Phạm Văn Hà15</v>
          </cell>
          <cell r="AX669" t="str">
            <v>Nga</v>
          </cell>
        </row>
        <row r="670">
          <cell r="D670" t="str">
            <v>Lê Văn Liệu</v>
          </cell>
          <cell r="AF670" t="str">
            <v>XE00054</v>
          </cell>
          <cell r="AH670">
            <v>9.82</v>
          </cell>
          <cell r="AW670" t="str">
            <v>Lê Văn Liệu16</v>
          </cell>
          <cell r="AX670" t="str">
            <v>Nga</v>
          </cell>
        </row>
        <row r="671">
          <cell r="D671" t="str">
            <v>Phạm Huy Toàn</v>
          </cell>
          <cell r="AF671" t="str">
            <v>XE00234</v>
          </cell>
          <cell r="AH671">
            <v>9.02</v>
          </cell>
          <cell r="AW671" t="str">
            <v>Phạm Huy Toàn14</v>
          </cell>
          <cell r="AX671" t="str">
            <v>Nga</v>
          </cell>
        </row>
        <row r="672">
          <cell r="D672" t="str">
            <v>Phạm Huy Toàn</v>
          </cell>
          <cell r="AF672" t="str">
            <v>XE00234</v>
          </cell>
          <cell r="AH672">
            <v>9.42</v>
          </cell>
          <cell r="AW672" t="str">
            <v>Phạm Huy Toàn15</v>
          </cell>
          <cell r="AX672" t="str">
            <v>Nga</v>
          </cell>
        </row>
        <row r="673">
          <cell r="D673" t="str">
            <v>Vũ Văn Hiển</v>
          </cell>
          <cell r="AF673" t="str">
            <v>XE00148</v>
          </cell>
          <cell r="AH673">
            <v>9.42</v>
          </cell>
          <cell r="AW673" t="str">
            <v>Vũ Văn Hiển14</v>
          </cell>
          <cell r="AX673" t="str">
            <v>Nga</v>
          </cell>
        </row>
        <row r="674">
          <cell r="D674" t="str">
            <v>Vũ Văn Hiển</v>
          </cell>
          <cell r="AF674" t="str">
            <v>XE00148</v>
          </cell>
          <cell r="AH674">
            <v>9.6199999999999992</v>
          </cell>
          <cell r="AW674" t="str">
            <v>Vũ Văn Hiển15</v>
          </cell>
          <cell r="AX674" t="str">
            <v>Nga</v>
          </cell>
        </row>
        <row r="675">
          <cell r="D675" t="str">
            <v>Lê Văn Đảm</v>
          </cell>
          <cell r="AF675" t="str">
            <v>XE00187</v>
          </cell>
          <cell r="AH675">
            <v>9.82</v>
          </cell>
          <cell r="AW675" t="str">
            <v>Lê Văn Đảm16</v>
          </cell>
          <cell r="AX675" t="str">
            <v>Nga</v>
          </cell>
        </row>
        <row r="676">
          <cell r="D676" t="str">
            <v>Phạm Văn Ký</v>
          </cell>
          <cell r="AF676" t="str">
            <v>XE00257</v>
          </cell>
          <cell r="AH676">
            <v>9.6199999999999992</v>
          </cell>
          <cell r="AW676" t="str">
            <v>Phạm Văn Ký17</v>
          </cell>
          <cell r="AX676" t="str">
            <v>Nga</v>
          </cell>
        </row>
        <row r="677">
          <cell r="D677" t="str">
            <v>Ngô Xuân Nam</v>
          </cell>
          <cell r="AF677" t="str">
            <v>XE01669</v>
          </cell>
          <cell r="AH677">
            <v>9.82</v>
          </cell>
          <cell r="AW677" t="str">
            <v>Ngô Xuân Nam17</v>
          </cell>
          <cell r="AX677" t="str">
            <v>Nga</v>
          </cell>
        </row>
        <row r="678">
          <cell r="D678" t="str">
            <v>Ngô Xuân Nam</v>
          </cell>
          <cell r="AF678" t="str">
            <v>XE01669</v>
          </cell>
          <cell r="AH678">
            <v>9.42</v>
          </cell>
          <cell r="AW678" t="str">
            <v>Ngô Xuân Nam18</v>
          </cell>
          <cell r="AX678" t="str">
            <v>Nga</v>
          </cell>
        </row>
        <row r="679">
          <cell r="D679" t="str">
            <v>Đỗ Văn Phương</v>
          </cell>
          <cell r="AF679" t="str">
            <v>XE01605</v>
          </cell>
          <cell r="AH679">
            <v>9.42</v>
          </cell>
          <cell r="AW679" t="str">
            <v>Đỗ Văn Phương17</v>
          </cell>
          <cell r="AX679" t="str">
            <v>Nga</v>
          </cell>
        </row>
        <row r="680">
          <cell r="D680" t="str">
            <v>Trương Minh Quân</v>
          </cell>
          <cell r="AF680" t="str">
            <v>XE01077</v>
          </cell>
          <cell r="AH680">
            <v>8.620000000000001</v>
          </cell>
          <cell r="AW680" t="str">
            <v>Trương Minh Quân18</v>
          </cell>
          <cell r="AX680" t="str">
            <v>Nga</v>
          </cell>
        </row>
        <row r="681">
          <cell r="D681" t="str">
            <v>Tưởng Tuấn Nam</v>
          </cell>
          <cell r="AF681" t="str">
            <v>XE00964</v>
          </cell>
          <cell r="AH681">
            <v>9.02</v>
          </cell>
          <cell r="AW681" t="str">
            <v>Tưởng Tuấn Nam16</v>
          </cell>
          <cell r="AX681" t="str">
            <v>Nga</v>
          </cell>
        </row>
        <row r="682">
          <cell r="D682" t="str">
            <v>Tưởng Tuấn Nam</v>
          </cell>
          <cell r="AF682" t="str">
            <v>XE00964</v>
          </cell>
          <cell r="AH682">
            <v>9.2199999999999989</v>
          </cell>
          <cell r="AW682" t="str">
            <v>Tưởng Tuấn Nam17</v>
          </cell>
          <cell r="AX682" t="str">
            <v>Nga</v>
          </cell>
        </row>
        <row r="683">
          <cell r="D683" t="str">
            <v>Phùng Kim Tiến</v>
          </cell>
          <cell r="AF683" t="str">
            <v>XE01242</v>
          </cell>
          <cell r="AH683">
            <v>9.02</v>
          </cell>
          <cell r="AW683" t="str">
            <v>Phùng Kim Tiến17</v>
          </cell>
          <cell r="AX683" t="str">
            <v>Nga</v>
          </cell>
        </row>
        <row r="684">
          <cell r="D684" t="str">
            <v>Vũ Duy Long</v>
          </cell>
          <cell r="AF684" t="str">
            <v>XE00721</v>
          </cell>
          <cell r="AH684">
            <v>9.42</v>
          </cell>
          <cell r="AW684" t="str">
            <v>Vũ Duy Long19</v>
          </cell>
          <cell r="AX684" t="str">
            <v>Nga</v>
          </cell>
        </row>
        <row r="685">
          <cell r="D685" t="str">
            <v>Nguyễn Thanh Bình</v>
          </cell>
          <cell r="AF685" t="str">
            <v>XE00825</v>
          </cell>
          <cell r="AH685">
            <v>9.42</v>
          </cell>
          <cell r="AW685" t="str">
            <v>Nguyễn Thanh Bình19</v>
          </cell>
          <cell r="AX685" t="str">
            <v>Nga</v>
          </cell>
        </row>
        <row r="686">
          <cell r="D686" t="str">
            <v>Nguyễn Duy Hà</v>
          </cell>
          <cell r="AF686" t="str">
            <v>XE00799</v>
          </cell>
          <cell r="AH686">
            <v>8.6199999999999992</v>
          </cell>
          <cell r="AW686" t="str">
            <v>Nguyễn Duy Hà19</v>
          </cell>
          <cell r="AX686" t="str">
            <v>Nga</v>
          </cell>
        </row>
        <row r="687">
          <cell r="D687" t="str">
            <v>Hoàng Cát Giao</v>
          </cell>
          <cell r="AF687" t="str">
            <v>XE00734</v>
          </cell>
          <cell r="AH687">
            <v>9.82</v>
          </cell>
          <cell r="AW687" t="str">
            <v>Hoàng Cát Giao19</v>
          </cell>
          <cell r="AX687" t="str">
            <v>Nga</v>
          </cell>
        </row>
        <row r="688">
          <cell r="D688" t="str">
            <v>Hoàng Việt Cường</v>
          </cell>
          <cell r="AF688" t="str">
            <v>XE00248</v>
          </cell>
          <cell r="AH688">
            <v>9.82</v>
          </cell>
          <cell r="AW688" t="str">
            <v>Hoàng Việt Cường19</v>
          </cell>
          <cell r="AX688" t="str">
            <v>Nga</v>
          </cell>
        </row>
        <row r="689">
          <cell r="D689" t="str">
            <v>Nguyễn Tuấn Anh 1978</v>
          </cell>
          <cell r="AF689" t="str">
            <v>XE00524</v>
          </cell>
          <cell r="AH689">
            <v>9.7799999999999994</v>
          </cell>
          <cell r="AW689" t="str">
            <v>Nguyễn Tuấn Anh 197819</v>
          </cell>
          <cell r="AX689" t="str">
            <v>Nga</v>
          </cell>
        </row>
        <row r="690">
          <cell r="D690" t="str">
            <v>Nguyễn Chí Quốc</v>
          </cell>
          <cell r="AF690" t="str">
            <v>XE00309</v>
          </cell>
          <cell r="AH690">
            <v>9.6199999999999992</v>
          </cell>
          <cell r="AW690" t="str">
            <v>Nguyễn Chí Quốc19</v>
          </cell>
          <cell r="AX690" t="str">
            <v>Nga</v>
          </cell>
        </row>
        <row r="691">
          <cell r="D691" t="str">
            <v>Lê Văn Thắng</v>
          </cell>
          <cell r="AF691" t="str">
            <v>XE00242</v>
          </cell>
          <cell r="AH691">
            <v>9.82</v>
          </cell>
          <cell r="AW691" t="str">
            <v>Lê Văn Thắng20</v>
          </cell>
          <cell r="AX691" t="str">
            <v>Nga</v>
          </cell>
        </row>
        <row r="692">
          <cell r="D692" t="str">
            <v>Nguyễn Đức Thuận</v>
          </cell>
          <cell r="AF692" t="str">
            <v>XE00160</v>
          </cell>
          <cell r="AH692">
            <v>9.82</v>
          </cell>
          <cell r="AW692" t="str">
            <v>Nguyễn Đức Thuận20</v>
          </cell>
          <cell r="AX692" t="str">
            <v>Nga</v>
          </cell>
        </row>
        <row r="693">
          <cell r="D693" t="str">
            <v>Trần Trung Kiên</v>
          </cell>
          <cell r="AF693" t="str">
            <v>XE00274</v>
          </cell>
          <cell r="AH693">
            <v>9.42</v>
          </cell>
          <cell r="AW693" t="str">
            <v>Trần Trung Kiên20</v>
          </cell>
          <cell r="AX693" t="str">
            <v>Nga</v>
          </cell>
        </row>
        <row r="694">
          <cell r="D694" t="str">
            <v>Phan Anh Giang</v>
          </cell>
          <cell r="AF694" t="str">
            <v>XE00365</v>
          </cell>
          <cell r="AH694">
            <v>9.42</v>
          </cell>
          <cell r="AW694" t="str">
            <v>Phan Anh Giang18</v>
          </cell>
          <cell r="AX694" t="str">
            <v>Nga</v>
          </cell>
        </row>
        <row r="695">
          <cell r="D695" t="str">
            <v>Vũ Đức Duẩn</v>
          </cell>
          <cell r="AF695" t="str">
            <v>XE00441</v>
          </cell>
          <cell r="AH695">
            <v>9.82</v>
          </cell>
          <cell r="AW695" t="str">
            <v>Vũ Đức Duẩn19</v>
          </cell>
          <cell r="AX695" t="str">
            <v>Nga</v>
          </cell>
        </row>
        <row r="696">
          <cell r="D696" t="str">
            <v>Đỗ Văn Hiếu</v>
          </cell>
          <cell r="AF696" t="str">
            <v>XE00285</v>
          </cell>
          <cell r="AH696">
            <v>9.02</v>
          </cell>
          <cell r="AW696" t="str">
            <v>Đỗ Văn Hiếu20</v>
          </cell>
          <cell r="AX696" t="str">
            <v>Nga</v>
          </cell>
        </row>
        <row r="697">
          <cell r="D697" t="str">
            <v>Phùng Hữu Biên</v>
          </cell>
          <cell r="AF697" t="str">
            <v>XE00714</v>
          </cell>
          <cell r="AH697">
            <v>8.02</v>
          </cell>
          <cell r="AW697" t="str">
            <v>Phùng Hữu Biên20</v>
          </cell>
          <cell r="AX697" t="str">
            <v>Nga</v>
          </cell>
        </row>
        <row r="698">
          <cell r="D698" t="str">
            <v>Nguyễn Đức Tâm</v>
          </cell>
          <cell r="AF698" t="str">
            <v>XE00674</v>
          </cell>
          <cell r="AH698">
            <v>8.2200000000000006</v>
          </cell>
          <cell r="AW698" t="str">
            <v>Nguyễn Đức Tâm21</v>
          </cell>
          <cell r="AX698" t="str">
            <v>Nga</v>
          </cell>
        </row>
        <row r="699">
          <cell r="D699" t="str">
            <v>Đinh Công Cường</v>
          </cell>
          <cell r="AF699" t="str">
            <v>XE00791</v>
          </cell>
          <cell r="AH699">
            <v>9.42</v>
          </cell>
          <cell r="AW699" t="str">
            <v>Đinh Công Cường20</v>
          </cell>
          <cell r="AX699" t="str">
            <v>Nga</v>
          </cell>
        </row>
        <row r="700">
          <cell r="D700" t="str">
            <v>Nguyễn Ngọc Lâm</v>
          </cell>
          <cell r="AF700" t="str">
            <v>XE01168</v>
          </cell>
          <cell r="AH700">
            <v>9.82</v>
          </cell>
          <cell r="AW700" t="str">
            <v>Nguyễn Ngọc Lâm20</v>
          </cell>
          <cell r="AX700" t="str">
            <v>Nga</v>
          </cell>
        </row>
        <row r="701">
          <cell r="D701" t="str">
            <v>Nguyễn Trung Kiên 1986</v>
          </cell>
          <cell r="AF701" t="str">
            <v>XE00971</v>
          </cell>
          <cell r="AH701">
            <v>9.82</v>
          </cell>
          <cell r="AW701" t="str">
            <v>Nguyễn Trung Kiên 198620</v>
          </cell>
          <cell r="AX701" t="str">
            <v>Nga</v>
          </cell>
        </row>
        <row r="702">
          <cell r="D702" t="str">
            <v>Nguyễn Trung Kiên 1995</v>
          </cell>
          <cell r="AF702" t="str">
            <v>XE01036</v>
          </cell>
          <cell r="AH702">
            <v>9.6199999999999992</v>
          </cell>
          <cell r="AW702" t="str">
            <v>Nguyễn Trung Kiên 199520</v>
          </cell>
          <cell r="AX702" t="str">
            <v>Nga</v>
          </cell>
        </row>
        <row r="703">
          <cell r="D703" t="str">
            <v>Nguyễn Minh Quang</v>
          </cell>
          <cell r="AF703" t="str">
            <v>XE01188</v>
          </cell>
          <cell r="AH703">
            <v>9.82</v>
          </cell>
          <cell r="AW703" t="str">
            <v>Nguyễn Minh Quang21</v>
          </cell>
          <cell r="AX703" t="str">
            <v>Nga</v>
          </cell>
        </row>
        <row r="704">
          <cell r="D704" t="str">
            <v>Tạ Văn Nam</v>
          </cell>
          <cell r="AF704" t="str">
            <v>XE01437</v>
          </cell>
          <cell r="AH704">
            <v>9.42</v>
          </cell>
          <cell r="AW704" t="str">
            <v>Tạ Văn Nam19</v>
          </cell>
          <cell r="AX704" t="str">
            <v>Nga</v>
          </cell>
        </row>
        <row r="705">
          <cell r="D705" t="str">
            <v>Vũ Đức Toàn</v>
          </cell>
          <cell r="AF705" t="str">
            <v>XE00295</v>
          </cell>
          <cell r="AH705">
            <v>9.6199999999999992</v>
          </cell>
          <cell r="AW705" t="str">
            <v>Vũ Đức Toàn19</v>
          </cell>
          <cell r="AX705" t="str">
            <v>Nga</v>
          </cell>
        </row>
        <row r="706">
          <cell r="D706" t="str">
            <v>Hà Văn Dũng</v>
          </cell>
          <cell r="AF706" t="str">
            <v>XE00326</v>
          </cell>
          <cell r="AH706">
            <v>9.02</v>
          </cell>
          <cell r="AW706" t="str">
            <v>Hà Văn Dũng18</v>
          </cell>
          <cell r="AX706" t="str">
            <v>Nga</v>
          </cell>
        </row>
        <row r="707">
          <cell r="D707" t="str">
            <v>Đào Trung Đức</v>
          </cell>
          <cell r="AF707" t="str">
            <v>XE00366</v>
          </cell>
          <cell r="AH707">
            <v>9.42</v>
          </cell>
          <cell r="AW707" t="str">
            <v>Đào Trung Đức19</v>
          </cell>
          <cell r="AX707" t="str">
            <v>Nga</v>
          </cell>
        </row>
        <row r="708">
          <cell r="D708" t="str">
            <v>Nguyễn Chí Quốc</v>
          </cell>
          <cell r="AF708" t="str">
            <v>XE00309</v>
          </cell>
          <cell r="AH708">
            <v>9.82</v>
          </cell>
          <cell r="AW708" t="str">
            <v>Nguyễn Chí Quốc20</v>
          </cell>
          <cell r="AX708" t="str">
            <v>Nga</v>
          </cell>
        </row>
        <row r="709">
          <cell r="D709" t="str">
            <v>Nguyễn Tuấn Anh 1978</v>
          </cell>
          <cell r="AF709" t="str">
            <v>XE00524</v>
          </cell>
          <cell r="AH709">
            <v>9.82</v>
          </cell>
          <cell r="AW709" t="str">
            <v>Nguyễn Tuấn Anh 197820</v>
          </cell>
          <cell r="AX709" t="str">
            <v>Nga</v>
          </cell>
        </row>
        <row r="710">
          <cell r="D710" t="str">
            <v>Hoàng Việt Cường</v>
          </cell>
          <cell r="AF710" t="str">
            <v>XE00248</v>
          </cell>
          <cell r="AH710">
            <v>9.42</v>
          </cell>
          <cell r="AW710" t="str">
            <v>Hoàng Việt Cường20</v>
          </cell>
          <cell r="AX710" t="str">
            <v>Nga</v>
          </cell>
        </row>
        <row r="711">
          <cell r="D711" t="str">
            <v>Hoàng Cát Giao</v>
          </cell>
          <cell r="AF711" t="str">
            <v>XE00734</v>
          </cell>
          <cell r="AH711">
            <v>9.42</v>
          </cell>
          <cell r="AW711" t="str">
            <v>Hoàng Cát Giao20</v>
          </cell>
          <cell r="AX711" t="str">
            <v>Nga</v>
          </cell>
        </row>
        <row r="712">
          <cell r="D712" t="str">
            <v>Nguyễn Duy Hà</v>
          </cell>
          <cell r="AF712" t="str">
            <v>XE00799</v>
          </cell>
          <cell r="AH712">
            <v>9.82</v>
          </cell>
          <cell r="AW712" t="str">
            <v>Nguyễn Duy Hà20</v>
          </cell>
          <cell r="AX712" t="str">
            <v>Nga</v>
          </cell>
        </row>
        <row r="713">
          <cell r="D713" t="str">
            <v>Vũ Duy Long</v>
          </cell>
          <cell r="AF713" t="str">
            <v>XE00721</v>
          </cell>
          <cell r="AH713">
            <v>8.84</v>
          </cell>
          <cell r="AW713" t="str">
            <v>Vũ Duy Long20</v>
          </cell>
          <cell r="AX713" t="str">
            <v>Nga</v>
          </cell>
        </row>
        <row r="714">
          <cell r="D714" t="str">
            <v>Phùng Kim Tiến</v>
          </cell>
          <cell r="AF714" t="str">
            <v>XE01242</v>
          </cell>
          <cell r="AH714">
            <v>9.42</v>
          </cell>
          <cell r="AW714" t="str">
            <v>Phùng Kim Tiến18</v>
          </cell>
          <cell r="AX714" t="str">
            <v>Nga</v>
          </cell>
        </row>
        <row r="715">
          <cell r="D715" t="str">
            <v>Nguyễn Quang Tuấn</v>
          </cell>
          <cell r="AF715" t="str">
            <v>XE00813</v>
          </cell>
          <cell r="AH715">
            <v>9.42</v>
          </cell>
          <cell r="AW715" t="str">
            <v>Nguyễn Quang Tuấn15</v>
          </cell>
          <cell r="AX715" t="str">
            <v>Nga</v>
          </cell>
        </row>
        <row r="716">
          <cell r="D716" t="str">
            <v>Nguyễn Quang Tuấn</v>
          </cell>
          <cell r="AF716" t="str">
            <v>XE00813</v>
          </cell>
          <cell r="AH716">
            <v>9.82</v>
          </cell>
          <cell r="AW716" t="str">
            <v>Nguyễn Quang Tuấn16</v>
          </cell>
          <cell r="AX716" t="str">
            <v>Nga</v>
          </cell>
        </row>
        <row r="717">
          <cell r="D717" t="str">
            <v>Tưởng Tuấn Nam</v>
          </cell>
          <cell r="AF717" t="str">
            <v>XE00964</v>
          </cell>
          <cell r="AH717">
            <v>8.2200000000000006</v>
          </cell>
          <cell r="AW717" t="str">
            <v>Tưởng Tuấn Nam18</v>
          </cell>
          <cell r="AX717" t="str">
            <v>Nga</v>
          </cell>
        </row>
        <row r="718">
          <cell r="D718" t="str">
            <v>Trương Minh Quân</v>
          </cell>
          <cell r="AF718" t="str">
            <v>XE01077</v>
          </cell>
          <cell r="AH718">
            <v>9.42</v>
          </cell>
          <cell r="AW718" t="str">
            <v>Trương Minh Quân19</v>
          </cell>
          <cell r="AX718" t="str">
            <v>Nga</v>
          </cell>
        </row>
        <row r="719">
          <cell r="D719" t="str">
            <v>Đỗ Văn Phương</v>
          </cell>
          <cell r="AF719" t="str">
            <v>XE01605</v>
          </cell>
          <cell r="AH719">
            <v>9.42</v>
          </cell>
          <cell r="AW719" t="str">
            <v>Đỗ Văn Phương18</v>
          </cell>
          <cell r="AX719" t="str">
            <v>Nga</v>
          </cell>
        </row>
        <row r="720">
          <cell r="D720" t="str">
            <v>Nguyễn Đức Phong</v>
          </cell>
          <cell r="AF720" t="str">
            <v>XE00737</v>
          </cell>
          <cell r="AH720">
            <v>9.42</v>
          </cell>
          <cell r="AW720" t="str">
            <v>Nguyễn Đức Phong11</v>
          </cell>
          <cell r="AX720" t="str">
            <v>Nga</v>
          </cell>
        </row>
        <row r="721">
          <cell r="D721" t="str">
            <v>Nguyễn Đức Phong</v>
          </cell>
          <cell r="AF721" t="str">
            <v>XE00737</v>
          </cell>
          <cell r="AH721">
            <v>9.82</v>
          </cell>
          <cell r="AW721" t="str">
            <v>Nguyễn Đức Phong12</v>
          </cell>
          <cell r="AX721" t="str">
            <v>Nga</v>
          </cell>
        </row>
        <row r="722">
          <cell r="D722" t="str">
            <v>Ngô Xuân Nam</v>
          </cell>
          <cell r="AF722" t="str">
            <v>XE01669</v>
          </cell>
          <cell r="AH722">
            <v>9.6199999999999992</v>
          </cell>
          <cell r="AW722" t="str">
            <v>Ngô Xuân Nam19</v>
          </cell>
          <cell r="AX722" t="str">
            <v>Nga</v>
          </cell>
        </row>
        <row r="723">
          <cell r="D723" t="str">
            <v>Trần Văn Thiện</v>
          </cell>
          <cell r="AF723" t="str">
            <v>XE00658</v>
          </cell>
          <cell r="AH723">
            <v>9.64</v>
          </cell>
          <cell r="AW723" t="str">
            <v>Trần Văn Thiện18</v>
          </cell>
          <cell r="AX723" t="str">
            <v>Nga</v>
          </cell>
        </row>
        <row r="724">
          <cell r="D724" t="str">
            <v>Phạm Văn Hà</v>
          </cell>
          <cell r="AF724" t="str">
            <v>XE00063</v>
          </cell>
          <cell r="AH724">
            <v>9.42</v>
          </cell>
          <cell r="AW724" t="str">
            <v>Phạm Văn Hà16</v>
          </cell>
          <cell r="AX724" t="str">
            <v>Nga</v>
          </cell>
        </row>
        <row r="725">
          <cell r="D725" t="str">
            <v>Lê Văn Liệu</v>
          </cell>
          <cell r="AF725" t="str">
            <v>XE00054</v>
          </cell>
          <cell r="AH725">
            <v>9.42</v>
          </cell>
          <cell r="AW725" t="str">
            <v>Lê Văn Liệu17</v>
          </cell>
          <cell r="AX725" t="str">
            <v>Nga</v>
          </cell>
        </row>
        <row r="726">
          <cell r="D726" t="str">
            <v>Phạm Huy Toàn</v>
          </cell>
          <cell r="AF726" t="str">
            <v>XE00234</v>
          </cell>
          <cell r="AH726">
            <v>9.24</v>
          </cell>
          <cell r="AW726" t="str">
            <v>Phạm Huy Toàn16</v>
          </cell>
          <cell r="AX726" t="str">
            <v>Nga</v>
          </cell>
        </row>
        <row r="727">
          <cell r="D727" t="str">
            <v>Phạm Huy Toàn</v>
          </cell>
          <cell r="AF727" t="str">
            <v>XE00234</v>
          </cell>
          <cell r="AH727">
            <v>9.82</v>
          </cell>
          <cell r="AW727" t="str">
            <v>Phạm Huy Toàn17</v>
          </cell>
          <cell r="AX727" t="str">
            <v>Nga</v>
          </cell>
        </row>
        <row r="728">
          <cell r="D728" t="str">
            <v>Vũ Văn Hiển</v>
          </cell>
          <cell r="AF728" t="str">
            <v>XE00148</v>
          </cell>
          <cell r="AH728">
            <v>9.42</v>
          </cell>
          <cell r="AW728" t="str">
            <v>Vũ Văn Hiển16</v>
          </cell>
          <cell r="AX728" t="str">
            <v>Nga</v>
          </cell>
        </row>
        <row r="729">
          <cell r="D729" t="str">
            <v>Vũ Văn Hiển</v>
          </cell>
          <cell r="AF729" t="str">
            <v>XE00148</v>
          </cell>
          <cell r="AH729">
            <v>9.82</v>
          </cell>
          <cell r="AW729" t="str">
            <v>Vũ Văn Hiển17</v>
          </cell>
          <cell r="AX729" t="str">
            <v>Nga</v>
          </cell>
        </row>
        <row r="730">
          <cell r="D730" t="str">
            <v>Lê Văn Đảm</v>
          </cell>
          <cell r="AF730" t="str">
            <v>XE00187</v>
          </cell>
          <cell r="AH730">
            <v>9.02</v>
          </cell>
          <cell r="AW730" t="str">
            <v>Lê Văn Đảm17</v>
          </cell>
          <cell r="AX730" t="str">
            <v>Nga</v>
          </cell>
        </row>
        <row r="731">
          <cell r="D731" t="str">
            <v>Lê Văn Đảm</v>
          </cell>
          <cell r="AF731" t="str">
            <v>XE00187</v>
          </cell>
          <cell r="AH731">
            <v>8.6199999999999992</v>
          </cell>
          <cell r="AW731" t="str">
            <v>Lê Văn Đảm18</v>
          </cell>
          <cell r="AX731" t="str">
            <v>Nga</v>
          </cell>
        </row>
        <row r="732">
          <cell r="D732" t="str">
            <v>Phạm Văn Ký</v>
          </cell>
          <cell r="AF732" t="str">
            <v>XE00257</v>
          </cell>
          <cell r="AH732">
            <v>8.02</v>
          </cell>
          <cell r="AW732" t="str">
            <v>Phạm Văn Ký18</v>
          </cell>
          <cell r="AX732" t="str">
            <v>Nga</v>
          </cell>
        </row>
        <row r="733">
          <cell r="D733" t="str">
            <v>Phan Anh Giang</v>
          </cell>
          <cell r="AF733" t="str">
            <v>XE00365</v>
          </cell>
          <cell r="AH733">
            <v>9.82</v>
          </cell>
          <cell r="AW733" t="str">
            <v>Phan Anh Giang19</v>
          </cell>
          <cell r="AX733" t="str">
            <v>Nga</v>
          </cell>
        </row>
        <row r="734">
          <cell r="D734" t="str">
            <v>Hà Văn Dũng</v>
          </cell>
          <cell r="AF734" t="str">
            <v>XE00326</v>
          </cell>
          <cell r="AH734">
            <v>9.82</v>
          </cell>
          <cell r="AW734" t="str">
            <v>Hà Văn Dũng19</v>
          </cell>
          <cell r="AX734" t="str">
            <v>Nga</v>
          </cell>
        </row>
        <row r="735">
          <cell r="D735" t="str">
            <v>Phùng Kim Tiến</v>
          </cell>
          <cell r="AF735" t="str">
            <v>XE01242</v>
          </cell>
          <cell r="AH735">
            <v>9.82</v>
          </cell>
          <cell r="AW735" t="str">
            <v>Phùng Kim Tiến19</v>
          </cell>
          <cell r="AX735" t="str">
            <v>Nga</v>
          </cell>
        </row>
        <row r="736">
          <cell r="D736" t="str">
            <v>Lê Văn Thắng</v>
          </cell>
          <cell r="AF736" t="str">
            <v>XE00242</v>
          </cell>
          <cell r="AH736">
            <v>9.42</v>
          </cell>
          <cell r="AW736" t="str">
            <v>Lê Văn Thắng21</v>
          </cell>
          <cell r="AX736" t="str">
            <v>Nga</v>
          </cell>
        </row>
        <row r="737">
          <cell r="D737" t="str">
            <v>Nguyễn Đức Thuận</v>
          </cell>
          <cell r="AF737" t="str">
            <v>XE00160</v>
          </cell>
          <cell r="AH737">
            <v>8.2200000000000006</v>
          </cell>
          <cell r="AW737" t="str">
            <v>Nguyễn Đức Thuận21</v>
          </cell>
          <cell r="AX737" t="str">
            <v>Nga</v>
          </cell>
        </row>
        <row r="738">
          <cell r="D738" t="str">
            <v>Trần Trung Kiên</v>
          </cell>
          <cell r="AF738" t="str">
            <v>XE00274</v>
          </cell>
          <cell r="AH738">
            <v>9.82</v>
          </cell>
          <cell r="AW738" t="str">
            <v>Trần Trung Kiên21</v>
          </cell>
          <cell r="AX738" t="str">
            <v>Nga</v>
          </cell>
        </row>
        <row r="739">
          <cell r="D739" t="str">
            <v>Phan Anh Giang</v>
          </cell>
          <cell r="AF739" t="str">
            <v>XE00365</v>
          </cell>
          <cell r="AH739">
            <v>9.42</v>
          </cell>
          <cell r="AW739" t="str">
            <v>Phan Anh Giang20</v>
          </cell>
          <cell r="AX739" t="str">
            <v>Nga</v>
          </cell>
        </row>
        <row r="740">
          <cell r="D740" t="str">
            <v>Vũ Đức Duẩn</v>
          </cell>
          <cell r="AF740" t="str">
            <v>XE00441</v>
          </cell>
          <cell r="AH740">
            <v>9.42</v>
          </cell>
          <cell r="AW740" t="str">
            <v>Vũ Đức Duẩn20</v>
          </cell>
          <cell r="AX740" t="str">
            <v>Nga</v>
          </cell>
        </row>
        <row r="741">
          <cell r="D741" t="str">
            <v>Đỗ Văn Hiếu</v>
          </cell>
          <cell r="AF741" t="str">
            <v>XE00285</v>
          </cell>
          <cell r="AH741">
            <v>9.82</v>
          </cell>
          <cell r="AW741" t="str">
            <v>Đỗ Văn Hiếu21</v>
          </cell>
          <cell r="AX741" t="str">
            <v>Nga</v>
          </cell>
        </row>
        <row r="742">
          <cell r="D742" t="str">
            <v>Phùng Hữu Biên</v>
          </cell>
          <cell r="AF742" t="str">
            <v>XE00714</v>
          </cell>
          <cell r="AH742">
            <v>9.42</v>
          </cell>
          <cell r="AW742" t="str">
            <v>Phùng Hữu Biên21</v>
          </cell>
          <cell r="AX742" t="str">
            <v>Nga</v>
          </cell>
        </row>
        <row r="743">
          <cell r="D743" t="str">
            <v>Nguyễn Đức Tâm</v>
          </cell>
          <cell r="AF743" t="str">
            <v>XE00674</v>
          </cell>
          <cell r="AH743">
            <v>9.7199999999999989</v>
          </cell>
          <cell r="AW743" t="str">
            <v>Nguyễn Đức Tâm22</v>
          </cell>
          <cell r="AX743" t="str">
            <v>Nga</v>
          </cell>
        </row>
        <row r="744">
          <cell r="D744" t="str">
            <v>Đinh Công Cường</v>
          </cell>
          <cell r="AF744" t="str">
            <v>XE00791</v>
          </cell>
          <cell r="AH744">
            <v>9.82</v>
          </cell>
          <cell r="AW744" t="str">
            <v>Đinh Công Cường21</v>
          </cell>
          <cell r="AX744" t="str">
            <v>Nga</v>
          </cell>
        </row>
        <row r="745">
          <cell r="D745" t="str">
            <v>Đinh Công Cường</v>
          </cell>
          <cell r="AF745" t="str">
            <v>XE00791</v>
          </cell>
          <cell r="AH745">
            <v>9.82</v>
          </cell>
          <cell r="AW745" t="str">
            <v>Đinh Công Cường22</v>
          </cell>
          <cell r="AX745" t="str">
            <v>Nga</v>
          </cell>
        </row>
        <row r="746">
          <cell r="D746" t="str">
            <v>Nguyễn Ngọc Lâm</v>
          </cell>
          <cell r="AF746" t="str">
            <v>XE01168</v>
          </cell>
          <cell r="AH746">
            <v>9.82</v>
          </cell>
          <cell r="AW746" t="str">
            <v>Nguyễn Ngọc Lâm21</v>
          </cell>
          <cell r="AX746" t="str">
            <v>Nga</v>
          </cell>
        </row>
        <row r="747">
          <cell r="D747" t="str">
            <v>Nguyễn Ngọc Lâm</v>
          </cell>
          <cell r="AF747" t="str">
            <v>XE01168</v>
          </cell>
          <cell r="AH747">
            <v>9.42</v>
          </cell>
          <cell r="AW747" t="str">
            <v>Nguyễn Ngọc Lâm22</v>
          </cell>
          <cell r="AX747" t="str">
            <v>Nga</v>
          </cell>
        </row>
        <row r="748">
          <cell r="D748" t="str">
            <v>Nguyễn Trung Kiên 1986</v>
          </cell>
          <cell r="AF748" t="str">
            <v>XE00971</v>
          </cell>
          <cell r="AH748">
            <v>9.42</v>
          </cell>
          <cell r="AW748" t="str">
            <v>Nguyễn Trung Kiên 198621</v>
          </cell>
          <cell r="AX748" t="str">
            <v>Nga</v>
          </cell>
        </row>
        <row r="749">
          <cell r="D749" t="str">
            <v>Nguyễn Trung Kiên 1986</v>
          </cell>
          <cell r="AF749" t="str">
            <v>XE00971</v>
          </cell>
          <cell r="AH749">
            <v>5.8199999999999994</v>
          </cell>
          <cell r="AW749" t="str">
            <v>Nguyễn Trung Kiên 198622</v>
          </cell>
          <cell r="AX749" t="str">
            <v>Nga</v>
          </cell>
        </row>
        <row r="750">
          <cell r="D750" t="str">
            <v>Nguyễn Minh Quang</v>
          </cell>
          <cell r="AF750" t="str">
            <v>XE01188</v>
          </cell>
          <cell r="AH750">
            <v>9.82</v>
          </cell>
          <cell r="AW750" t="str">
            <v>Nguyễn Minh Quang22</v>
          </cell>
          <cell r="AX750" t="str">
            <v>Nga</v>
          </cell>
        </row>
        <row r="751">
          <cell r="D751" t="str">
            <v>Phạm Văn Ký</v>
          </cell>
          <cell r="AF751" t="str">
            <v>XE00257</v>
          </cell>
          <cell r="AH751">
            <v>9.42</v>
          </cell>
          <cell r="AW751" t="str">
            <v>Phạm Văn Ký19</v>
          </cell>
          <cell r="AX751" t="str">
            <v>Nga</v>
          </cell>
        </row>
        <row r="752">
          <cell r="D752" t="str">
            <v>Lê Văn Đảm</v>
          </cell>
          <cell r="AF752" t="str">
            <v>XE00187</v>
          </cell>
          <cell r="AH752">
            <v>9.82</v>
          </cell>
          <cell r="AW752" t="str">
            <v>Lê Văn Đảm19</v>
          </cell>
          <cell r="AX752" t="str">
            <v>Nga</v>
          </cell>
        </row>
        <row r="753">
          <cell r="D753" t="str">
            <v>Vũ Văn Hiển</v>
          </cell>
          <cell r="AF753" t="str">
            <v>XE00148</v>
          </cell>
          <cell r="AH753">
            <v>9.42</v>
          </cell>
          <cell r="AW753" t="str">
            <v>Vũ Văn Hiển18</v>
          </cell>
          <cell r="AX753" t="str">
            <v>Nga</v>
          </cell>
        </row>
        <row r="754">
          <cell r="D754" t="str">
            <v>Phạm Huy Toàn</v>
          </cell>
          <cell r="AF754" t="str">
            <v>XE00234</v>
          </cell>
          <cell r="AH754">
            <v>9.42</v>
          </cell>
          <cell r="AW754" t="str">
            <v>Phạm Huy Toàn18</v>
          </cell>
          <cell r="AX754" t="str">
            <v>Nga</v>
          </cell>
        </row>
        <row r="755">
          <cell r="D755" t="str">
            <v>Lê Văn Liệu</v>
          </cell>
          <cell r="AF755" t="str">
            <v>XE00054</v>
          </cell>
          <cell r="AH755">
            <v>9.42</v>
          </cell>
          <cell r="AW755" t="str">
            <v>Lê Văn Liệu18</v>
          </cell>
          <cell r="AX755" t="str">
            <v>Nga</v>
          </cell>
        </row>
        <row r="756">
          <cell r="D756" t="str">
            <v>Trần Văn Thiện</v>
          </cell>
          <cell r="AF756" t="str">
            <v>XE00658</v>
          </cell>
          <cell r="AH756">
            <v>9.42</v>
          </cell>
          <cell r="AW756" t="str">
            <v>Trần Văn Thiện19</v>
          </cell>
          <cell r="AX756" t="str">
            <v>Nga</v>
          </cell>
        </row>
        <row r="757">
          <cell r="D757" t="str">
            <v>Ngô Xuân Nam</v>
          </cell>
          <cell r="AF757" t="str">
            <v>XE01669</v>
          </cell>
          <cell r="AH757">
            <v>9.42</v>
          </cell>
          <cell r="AW757" t="str">
            <v>Ngô Xuân Nam20</v>
          </cell>
          <cell r="AX757" t="str">
            <v>Nga</v>
          </cell>
        </row>
        <row r="758">
          <cell r="D758" t="str">
            <v>Nguyễn Đức Phong</v>
          </cell>
          <cell r="AF758" t="str">
            <v>XE00737</v>
          </cell>
          <cell r="AH758">
            <v>9.6199999999999992</v>
          </cell>
          <cell r="AW758" t="str">
            <v>Nguyễn Đức Phong13</v>
          </cell>
          <cell r="AX758" t="str">
            <v>Nga</v>
          </cell>
        </row>
        <row r="759">
          <cell r="D759" t="str">
            <v>Nguyễn Đức Phong</v>
          </cell>
          <cell r="AF759" t="str">
            <v>XE00737</v>
          </cell>
          <cell r="AH759">
            <v>9.82</v>
          </cell>
          <cell r="AW759" t="str">
            <v>Nguyễn Đức Phong14</v>
          </cell>
          <cell r="AX759" t="str">
            <v>Nga</v>
          </cell>
        </row>
        <row r="760">
          <cell r="D760" t="str">
            <v>Đỗ Văn Phương</v>
          </cell>
          <cell r="AF760" t="str">
            <v>XE01605</v>
          </cell>
          <cell r="AH760">
            <v>9.82</v>
          </cell>
          <cell r="AW760" t="str">
            <v>Đỗ Văn Phương19</v>
          </cell>
          <cell r="AX760" t="str">
            <v>Nga</v>
          </cell>
        </row>
        <row r="761">
          <cell r="D761" t="str">
            <v>Trương Minh Quân</v>
          </cell>
          <cell r="AF761" t="str">
            <v>XE01077</v>
          </cell>
          <cell r="AH761">
            <v>9.42</v>
          </cell>
          <cell r="AW761" t="str">
            <v>Trương Minh Quân20</v>
          </cell>
          <cell r="AX761" t="str">
            <v>Nga</v>
          </cell>
        </row>
        <row r="762">
          <cell r="D762" t="str">
            <v>Tưởng Tuấn Nam</v>
          </cell>
          <cell r="AF762" t="str">
            <v>XE00964</v>
          </cell>
          <cell r="AH762">
            <v>8.620000000000001</v>
          </cell>
          <cell r="AW762" t="str">
            <v>Tưởng Tuấn Nam19</v>
          </cell>
          <cell r="AX762" t="str">
            <v>Nga</v>
          </cell>
        </row>
        <row r="763">
          <cell r="D763" t="str">
            <v>Tưởng Tuấn Nam</v>
          </cell>
          <cell r="AF763" t="str">
            <v>XE00964</v>
          </cell>
          <cell r="AH763">
            <v>9.42</v>
          </cell>
          <cell r="AW763" t="str">
            <v>Tưởng Tuấn Nam20</v>
          </cell>
          <cell r="AX763" t="str">
            <v>Nga</v>
          </cell>
        </row>
        <row r="764">
          <cell r="D764" t="str">
            <v>Nguyễn Quang Tuấn</v>
          </cell>
          <cell r="AF764" t="str">
            <v>XE00813</v>
          </cell>
          <cell r="AH764">
            <v>9.42</v>
          </cell>
          <cell r="AW764" t="str">
            <v>Nguyễn Quang Tuấn17</v>
          </cell>
          <cell r="AX764" t="str">
            <v>Nga</v>
          </cell>
        </row>
        <row r="765">
          <cell r="D765" t="str">
            <v>Phùng Kim Tiến</v>
          </cell>
          <cell r="AF765" t="str">
            <v>XE01242</v>
          </cell>
          <cell r="AH765">
            <v>9.02</v>
          </cell>
          <cell r="AW765" t="str">
            <v>Phùng Kim Tiến20</v>
          </cell>
          <cell r="AX765" t="str">
            <v>Nga</v>
          </cell>
        </row>
        <row r="766">
          <cell r="D766" t="str">
            <v>Vũ Duy Long</v>
          </cell>
          <cell r="AF766" t="str">
            <v>XE00721</v>
          </cell>
          <cell r="AH766">
            <v>9.82</v>
          </cell>
          <cell r="AW766" t="str">
            <v>Vũ Duy Long21</v>
          </cell>
          <cell r="AX766" t="str">
            <v>Nga</v>
          </cell>
        </row>
        <row r="767">
          <cell r="D767" t="str">
            <v>Nguyễn Duy Hà</v>
          </cell>
          <cell r="AF767" t="str">
            <v>XE00799</v>
          </cell>
          <cell r="AH767">
            <v>9.02</v>
          </cell>
          <cell r="AW767" t="str">
            <v>Nguyễn Duy Hà21</v>
          </cell>
          <cell r="AX767" t="str">
            <v>Nga</v>
          </cell>
        </row>
        <row r="768">
          <cell r="D768" t="str">
            <v>Hoàng Cát Giao</v>
          </cell>
          <cell r="AF768" t="str">
            <v>XE00734</v>
          </cell>
          <cell r="AH768">
            <v>9.82</v>
          </cell>
          <cell r="AW768" t="str">
            <v>Hoàng Cát Giao21</v>
          </cell>
          <cell r="AX768" t="str">
            <v>Nga</v>
          </cell>
        </row>
        <row r="769">
          <cell r="D769" t="str">
            <v>Hoàng Cát Giao</v>
          </cell>
          <cell r="AF769" t="str">
            <v>XE00734</v>
          </cell>
          <cell r="AH769">
            <v>9.6199999999999992</v>
          </cell>
          <cell r="AW769" t="str">
            <v>Hoàng Cát Giao22</v>
          </cell>
          <cell r="AX769" t="str">
            <v>Nga</v>
          </cell>
        </row>
        <row r="770">
          <cell r="D770" t="str">
            <v>Hoàng Việt Cường</v>
          </cell>
          <cell r="AF770" t="str">
            <v>XE00248</v>
          </cell>
          <cell r="AH770">
            <v>9.82</v>
          </cell>
          <cell r="AW770" t="str">
            <v>Hoàng Việt Cường21</v>
          </cell>
          <cell r="AX770" t="str">
            <v>Nga</v>
          </cell>
        </row>
        <row r="771">
          <cell r="D771" t="str">
            <v>Hoàng Việt Cường</v>
          </cell>
          <cell r="AF771" t="str">
            <v>XE00248</v>
          </cell>
          <cell r="AH771">
            <v>9.42</v>
          </cell>
          <cell r="AW771" t="str">
            <v>Hoàng Việt Cường22</v>
          </cell>
          <cell r="AX771" t="str">
            <v>Nga</v>
          </cell>
        </row>
        <row r="772">
          <cell r="D772" t="str">
            <v>Nguyễn Tuấn Anh 1978</v>
          </cell>
          <cell r="AF772" t="str">
            <v>XE00524</v>
          </cell>
          <cell r="AH772">
            <v>9.42</v>
          </cell>
          <cell r="AW772" t="str">
            <v>Nguyễn Tuấn Anh 197821</v>
          </cell>
          <cell r="AX772" t="str">
            <v>Nga</v>
          </cell>
        </row>
        <row r="773">
          <cell r="D773" t="str">
            <v>Đào Trung Đức</v>
          </cell>
          <cell r="AF773" t="str">
            <v>XE00366</v>
          </cell>
          <cell r="AH773">
            <v>9.82</v>
          </cell>
          <cell r="AW773" t="str">
            <v>Đào Trung Đức20</v>
          </cell>
          <cell r="AX773" t="str">
            <v>Nga</v>
          </cell>
        </row>
        <row r="774">
          <cell r="D774" t="str">
            <v>Hà Văn Dũng</v>
          </cell>
          <cell r="AF774" t="str">
            <v>XE00326</v>
          </cell>
          <cell r="AH774">
            <v>9.82</v>
          </cell>
          <cell r="AW774" t="str">
            <v>Hà Văn Dũng20</v>
          </cell>
          <cell r="AX774" t="str">
            <v>Nga</v>
          </cell>
        </row>
        <row r="775">
          <cell r="D775" t="str">
            <v>Nguyễn Đức Quang</v>
          </cell>
          <cell r="AF775" t="str">
            <v>XE00320</v>
          </cell>
          <cell r="AH775">
            <v>7.82</v>
          </cell>
          <cell r="AW775" t="str">
            <v>Nguyễn Đức Quang18</v>
          </cell>
          <cell r="AX775" t="str">
            <v>Nga</v>
          </cell>
        </row>
        <row r="776">
          <cell r="D776" t="str">
            <v>Nguyễn Đức Quang</v>
          </cell>
          <cell r="AF776" t="str">
            <v>XE00320</v>
          </cell>
          <cell r="AH776">
            <v>9.2199999999999989</v>
          </cell>
          <cell r="AW776" t="str">
            <v>Nguyễn Đức Quang19</v>
          </cell>
          <cell r="AX776" t="str">
            <v>Nga</v>
          </cell>
        </row>
        <row r="777">
          <cell r="D777" t="str">
            <v>Nguyễn Quang Tuấn</v>
          </cell>
          <cell r="AF777" t="str">
            <v>XE00813</v>
          </cell>
          <cell r="AH777">
            <v>9.82</v>
          </cell>
          <cell r="AW777" t="str">
            <v>Nguyễn Quang Tuấn18</v>
          </cell>
          <cell r="AX777" t="str">
            <v>Nga</v>
          </cell>
        </row>
        <row r="778">
          <cell r="D778" t="str">
            <v>Lê Văn Thắng</v>
          </cell>
          <cell r="AF778" t="str">
            <v>XE00242</v>
          </cell>
          <cell r="AH778">
            <v>9.42</v>
          </cell>
          <cell r="AW778" t="str">
            <v>Lê Văn Thắng22</v>
          </cell>
          <cell r="AX778" t="str">
            <v>Nga</v>
          </cell>
        </row>
        <row r="779">
          <cell r="D779" t="str">
            <v>Lê Văn Thắng</v>
          </cell>
          <cell r="AF779" t="str">
            <v>XE00242</v>
          </cell>
          <cell r="AH779">
            <v>9.82</v>
          </cell>
          <cell r="AW779" t="str">
            <v>Lê Văn Thắng23</v>
          </cell>
          <cell r="AX779" t="str">
            <v>Nga</v>
          </cell>
        </row>
        <row r="780">
          <cell r="D780" t="str">
            <v>Nguyễn Đức Thuận</v>
          </cell>
          <cell r="AF780" t="str">
            <v>XE00160</v>
          </cell>
          <cell r="AH780">
            <v>9.02</v>
          </cell>
          <cell r="AW780" t="str">
            <v>Nguyễn Đức Thuận22</v>
          </cell>
          <cell r="AX780" t="str">
            <v>Nga</v>
          </cell>
        </row>
        <row r="781">
          <cell r="D781" t="str">
            <v>Trần Trung Kiên</v>
          </cell>
          <cell r="AF781" t="str">
            <v>XE00274</v>
          </cell>
          <cell r="AH781">
            <v>9.42</v>
          </cell>
          <cell r="AW781" t="str">
            <v>Trần Trung Kiên22</v>
          </cell>
          <cell r="AX781" t="str">
            <v>Nga</v>
          </cell>
        </row>
        <row r="782">
          <cell r="D782" t="str">
            <v>Phan Anh Giang</v>
          </cell>
          <cell r="AF782" t="str">
            <v>XE00365</v>
          </cell>
          <cell r="AH782">
            <v>9.82</v>
          </cell>
          <cell r="AW782" t="str">
            <v>Phan Anh Giang21</v>
          </cell>
          <cell r="AX782" t="str">
            <v>Nga</v>
          </cell>
        </row>
        <row r="783">
          <cell r="D783" t="str">
            <v>Vũ Đức Duẩn</v>
          </cell>
          <cell r="AF783" t="str">
            <v>XE00441</v>
          </cell>
          <cell r="AH783">
            <v>9.82</v>
          </cell>
          <cell r="AW783" t="str">
            <v>Vũ Đức Duẩn21</v>
          </cell>
          <cell r="AX783" t="str">
            <v>Nga</v>
          </cell>
        </row>
        <row r="784">
          <cell r="D784" t="str">
            <v>Đỗ Văn Hiếu</v>
          </cell>
          <cell r="AF784" t="str">
            <v>XE00285</v>
          </cell>
          <cell r="AH784">
            <v>9.42</v>
          </cell>
          <cell r="AW784" t="str">
            <v>Đỗ Văn Hiếu22</v>
          </cell>
          <cell r="AX784" t="str">
            <v>Nga</v>
          </cell>
        </row>
        <row r="785">
          <cell r="D785" t="str">
            <v>Phùng Hữu Biên</v>
          </cell>
          <cell r="AF785" t="str">
            <v>XE00714</v>
          </cell>
          <cell r="AH785">
            <v>9.42</v>
          </cell>
          <cell r="AW785" t="str">
            <v>Phùng Hữu Biên22</v>
          </cell>
          <cell r="AX785" t="str">
            <v>Nga</v>
          </cell>
        </row>
        <row r="786">
          <cell r="D786" t="str">
            <v>Nguyễn Đức Tâm</v>
          </cell>
          <cell r="AF786" t="str">
            <v>XE00674</v>
          </cell>
          <cell r="AH786">
            <v>9.82</v>
          </cell>
          <cell r="AW786" t="str">
            <v>Nguyễn Đức Tâm23</v>
          </cell>
          <cell r="AX786" t="str">
            <v>Nga</v>
          </cell>
        </row>
        <row r="787">
          <cell r="D787" t="str">
            <v>Nguyễn Minh Quang</v>
          </cell>
          <cell r="AF787" t="str">
            <v>XE01188</v>
          </cell>
          <cell r="AH787">
            <v>9.82</v>
          </cell>
          <cell r="AW787" t="str">
            <v>Nguyễn Minh Quang23</v>
          </cell>
          <cell r="AX787" t="str">
            <v>Nga</v>
          </cell>
        </row>
        <row r="788">
          <cell r="D788" t="str">
            <v>Tạ Văn Nam</v>
          </cell>
          <cell r="AF788" t="str">
            <v>XE01437</v>
          </cell>
          <cell r="AH788">
            <v>8.120000000000001</v>
          </cell>
          <cell r="AW788" t="str">
            <v>Tạ Văn Nam20</v>
          </cell>
          <cell r="AX788" t="str">
            <v>Nga</v>
          </cell>
        </row>
        <row r="789">
          <cell r="D789" t="str">
            <v>Nguyễn Đức Quang</v>
          </cell>
          <cell r="AF789" t="str">
            <v>XE00320</v>
          </cell>
          <cell r="AH789">
            <v>9.02</v>
          </cell>
          <cell r="AW789" t="str">
            <v>Nguyễn Đức Quang20</v>
          </cell>
          <cell r="AX789" t="str">
            <v>Nga</v>
          </cell>
        </row>
        <row r="790">
          <cell r="D790" t="str">
            <v>Hà Văn Dũng</v>
          </cell>
          <cell r="AF790" t="str">
            <v>XE00326</v>
          </cell>
          <cell r="AH790">
            <v>9.82</v>
          </cell>
          <cell r="AW790" t="str">
            <v>Hà Văn Dũng21</v>
          </cell>
          <cell r="AX790" t="str">
            <v>Nga</v>
          </cell>
        </row>
        <row r="791">
          <cell r="D791" t="str">
            <v>Đào Trung Đức</v>
          </cell>
          <cell r="AF791" t="str">
            <v>XE00366</v>
          </cell>
          <cell r="AH791">
            <v>9.42</v>
          </cell>
          <cell r="AW791" t="str">
            <v>Đào Trung Đức21</v>
          </cell>
          <cell r="AX791" t="str">
            <v>Nga</v>
          </cell>
        </row>
        <row r="792">
          <cell r="D792" t="str">
            <v>Nguyễn Chí Quốc</v>
          </cell>
          <cell r="AF792" t="str">
            <v>XE00309</v>
          </cell>
          <cell r="AH792">
            <v>8.84</v>
          </cell>
          <cell r="AW792" t="str">
            <v>Nguyễn Chí Quốc21</v>
          </cell>
          <cell r="AX792" t="str">
            <v>Nga</v>
          </cell>
        </row>
        <row r="793">
          <cell r="D793" t="str">
            <v>Nguyễn Tuấn Anh 1978</v>
          </cell>
          <cell r="AF793" t="str">
            <v>XE00524</v>
          </cell>
          <cell r="AH793">
            <v>9.24</v>
          </cell>
          <cell r="AW793" t="str">
            <v>Nguyễn Tuấn Anh 197822</v>
          </cell>
          <cell r="AX793" t="str">
            <v>Nga</v>
          </cell>
        </row>
        <row r="794">
          <cell r="D794" t="str">
            <v>Nguyễn Duy Hà</v>
          </cell>
          <cell r="AF794" t="str">
            <v>XE00799</v>
          </cell>
          <cell r="AH794">
            <v>9.6199999999999992</v>
          </cell>
          <cell r="AW794" t="str">
            <v>Nguyễn Duy Hà22</v>
          </cell>
          <cell r="AX794" t="str">
            <v>Nga</v>
          </cell>
        </row>
        <row r="795">
          <cell r="D795" t="str">
            <v>Nguyễn Thanh Bình</v>
          </cell>
          <cell r="AF795" t="str">
            <v>XE00825</v>
          </cell>
          <cell r="AH795">
            <v>9.42</v>
          </cell>
          <cell r="AW795" t="str">
            <v>Nguyễn Thanh Bình20</v>
          </cell>
          <cell r="AX795" t="str">
            <v>Nga</v>
          </cell>
        </row>
        <row r="796">
          <cell r="D796" t="str">
            <v>Nguyễn Thanh Bình</v>
          </cell>
          <cell r="AF796" t="str">
            <v>XE00825</v>
          </cell>
          <cell r="AH796">
            <v>9.82</v>
          </cell>
          <cell r="AW796" t="str">
            <v>Nguyễn Thanh Bình21</v>
          </cell>
          <cell r="AX796" t="str">
            <v>Nga</v>
          </cell>
        </row>
        <row r="797">
          <cell r="D797" t="str">
            <v>Vũ Duy Long</v>
          </cell>
          <cell r="AF797" t="str">
            <v>XE00721</v>
          </cell>
          <cell r="AH797">
            <v>9.42</v>
          </cell>
          <cell r="AW797" t="str">
            <v>Vũ Duy Long22</v>
          </cell>
          <cell r="AX797" t="str">
            <v>Nga</v>
          </cell>
        </row>
        <row r="798">
          <cell r="D798" t="str">
            <v>Phùng Kim Tiến</v>
          </cell>
          <cell r="AF798" t="str">
            <v>XE01242</v>
          </cell>
          <cell r="AH798">
            <v>9.42</v>
          </cell>
          <cell r="AW798" t="str">
            <v>Phùng Kim Tiến21</v>
          </cell>
          <cell r="AX798" t="str">
            <v>Nga</v>
          </cell>
        </row>
        <row r="799">
          <cell r="D799" t="str">
            <v>Nguyễn Quang Tuấn</v>
          </cell>
          <cell r="AF799" t="str">
            <v>XE00813</v>
          </cell>
          <cell r="AH799">
            <v>9.42</v>
          </cell>
          <cell r="AW799" t="str">
            <v>Nguyễn Quang Tuấn19</v>
          </cell>
          <cell r="AX799" t="str">
            <v>Nga</v>
          </cell>
        </row>
        <row r="800">
          <cell r="D800" t="str">
            <v>Nguyễn Quang Tuấn</v>
          </cell>
          <cell r="AF800" t="str">
            <v>XE00813</v>
          </cell>
          <cell r="AH800">
            <v>9.82</v>
          </cell>
          <cell r="AW800" t="str">
            <v>Nguyễn Quang Tuấn20</v>
          </cell>
          <cell r="AX800" t="str">
            <v>Nga</v>
          </cell>
        </row>
        <row r="801">
          <cell r="D801" t="str">
            <v>Tưởng Tuấn Nam</v>
          </cell>
          <cell r="AF801" t="str">
            <v>XE00964</v>
          </cell>
          <cell r="AH801">
            <v>9.82</v>
          </cell>
          <cell r="AW801" t="str">
            <v>Tưởng Tuấn Nam21</v>
          </cell>
          <cell r="AX801" t="str">
            <v>Nga</v>
          </cell>
        </row>
        <row r="802">
          <cell r="D802" t="str">
            <v>Tưởng Tuấn Nam</v>
          </cell>
          <cell r="AF802" t="str">
            <v>XE00964</v>
          </cell>
          <cell r="AH802">
            <v>9.82</v>
          </cell>
          <cell r="AW802" t="str">
            <v>Tưởng Tuấn Nam22</v>
          </cell>
          <cell r="AX802" t="str">
            <v>Nga</v>
          </cell>
        </row>
        <row r="803">
          <cell r="D803" t="str">
            <v>Trương Minh Quân</v>
          </cell>
          <cell r="AF803" t="str">
            <v>XE01077</v>
          </cell>
          <cell r="AH803">
            <v>9.82</v>
          </cell>
          <cell r="AW803" t="str">
            <v>Trương Minh Quân21</v>
          </cell>
          <cell r="AX803" t="str">
            <v>Nga</v>
          </cell>
        </row>
        <row r="804">
          <cell r="D804" t="str">
            <v>Trương Minh Quân</v>
          </cell>
          <cell r="AF804" t="str">
            <v>XE01077</v>
          </cell>
          <cell r="AH804">
            <v>9.82</v>
          </cell>
          <cell r="AW804" t="str">
            <v>Trương Minh Quân22</v>
          </cell>
          <cell r="AX804" t="str">
            <v>Nga</v>
          </cell>
        </row>
        <row r="805">
          <cell r="D805" t="str">
            <v>Đỗ Văn Phương</v>
          </cell>
          <cell r="AF805" t="str">
            <v>XE01605</v>
          </cell>
          <cell r="AH805">
            <v>9.02</v>
          </cell>
          <cell r="AW805" t="str">
            <v>Đỗ Văn Phương20</v>
          </cell>
          <cell r="AX805" t="str">
            <v>Nga</v>
          </cell>
        </row>
        <row r="806">
          <cell r="D806" t="str">
            <v>Nguyễn Đức Phong</v>
          </cell>
          <cell r="AF806" t="str">
            <v>XE00737</v>
          </cell>
          <cell r="AH806">
            <v>9.42</v>
          </cell>
          <cell r="AW806" t="str">
            <v>Nguyễn Đức Phong15</v>
          </cell>
          <cell r="AX806" t="str">
            <v>Nga</v>
          </cell>
        </row>
        <row r="807">
          <cell r="D807" t="str">
            <v>Ngô Xuân Nam</v>
          </cell>
          <cell r="AF807" t="str">
            <v>XE01669</v>
          </cell>
          <cell r="AH807">
            <v>9.02</v>
          </cell>
          <cell r="AW807" t="str">
            <v>Ngô Xuân Nam21</v>
          </cell>
          <cell r="AX807" t="str">
            <v>Nga</v>
          </cell>
        </row>
        <row r="808">
          <cell r="D808" t="str">
            <v>Trần Văn Thiện</v>
          </cell>
          <cell r="AF808" t="str">
            <v>XE00658</v>
          </cell>
          <cell r="AH808">
            <v>9.24</v>
          </cell>
          <cell r="AW808" t="str">
            <v>Trần Văn Thiện20</v>
          </cell>
          <cell r="AX808" t="str">
            <v>Nga</v>
          </cell>
        </row>
        <row r="809">
          <cell r="D809" t="str">
            <v>Lê Văn Liệu</v>
          </cell>
          <cell r="AF809" t="str">
            <v>XE00054</v>
          </cell>
          <cell r="AH809">
            <v>9.82</v>
          </cell>
          <cell r="AW809" t="str">
            <v>Lê Văn Liệu19</v>
          </cell>
          <cell r="AX809" t="str">
            <v>Nga</v>
          </cell>
        </row>
        <row r="810">
          <cell r="D810" t="str">
            <v>Lê Văn Liệu</v>
          </cell>
          <cell r="AF810" t="str">
            <v>XE00054</v>
          </cell>
          <cell r="AH810">
            <v>8.84</v>
          </cell>
          <cell r="AW810" t="str">
            <v>Lê Văn Liệu20</v>
          </cell>
          <cell r="AX810" t="str">
            <v>Nga</v>
          </cell>
        </row>
        <row r="811">
          <cell r="D811" t="str">
            <v>Phạm Huy Toàn</v>
          </cell>
          <cell r="AF811" t="str">
            <v>XE00234</v>
          </cell>
          <cell r="AH811">
            <v>9.42</v>
          </cell>
          <cell r="AW811" t="str">
            <v>Phạm Huy Toàn19</v>
          </cell>
          <cell r="AX811" t="str">
            <v>Nga</v>
          </cell>
        </row>
        <row r="812">
          <cell r="D812" t="str">
            <v>Phạm Huy Toàn</v>
          </cell>
          <cell r="AF812" t="str">
            <v>XE00234</v>
          </cell>
          <cell r="AH812">
            <v>9.42</v>
          </cell>
          <cell r="AW812" t="str">
            <v>Phạm Huy Toàn20</v>
          </cell>
          <cell r="AX812" t="str">
            <v>Nga</v>
          </cell>
        </row>
        <row r="813">
          <cell r="D813" t="str">
            <v>Vũ Văn Hiển</v>
          </cell>
          <cell r="AF813" t="str">
            <v>XE00148</v>
          </cell>
          <cell r="AH813">
            <v>9.24</v>
          </cell>
          <cell r="AW813" t="str">
            <v>Vũ Văn Hiển19</v>
          </cell>
          <cell r="AX813" t="str">
            <v>Nga</v>
          </cell>
        </row>
        <row r="814">
          <cell r="D814" t="str">
            <v>Vũ Văn Hiển</v>
          </cell>
          <cell r="AF814" t="str">
            <v>XE00148</v>
          </cell>
          <cell r="AH814">
            <v>8.84</v>
          </cell>
          <cell r="AW814" t="str">
            <v>Vũ Văn Hiển20</v>
          </cell>
          <cell r="AX814" t="str">
            <v>Nga</v>
          </cell>
        </row>
        <row r="815">
          <cell r="D815" t="str">
            <v>Lê Văn Đảm</v>
          </cell>
          <cell r="AF815" t="str">
            <v>XE00187</v>
          </cell>
          <cell r="AH815">
            <v>9.42</v>
          </cell>
          <cell r="AW815" t="str">
            <v>Lê Văn Đảm20</v>
          </cell>
          <cell r="AX815" t="str">
            <v>Nga</v>
          </cell>
        </row>
        <row r="816">
          <cell r="D816" t="str">
            <v>Nguyễn Đức Phong</v>
          </cell>
          <cell r="AF816" t="str">
            <v>XE00737</v>
          </cell>
          <cell r="AH816">
            <v>9.42</v>
          </cell>
          <cell r="AW816" t="str">
            <v>Nguyễn Đức Phong16</v>
          </cell>
          <cell r="AX816" t="str">
            <v>Nga</v>
          </cell>
        </row>
        <row r="817">
          <cell r="D817" t="str">
            <v>Nguyễn Đức Quang</v>
          </cell>
          <cell r="AF817" t="str">
            <v>XE00320</v>
          </cell>
          <cell r="AH817">
            <v>9.02</v>
          </cell>
          <cell r="AW817" t="str">
            <v>Nguyễn Đức Quang21</v>
          </cell>
          <cell r="AX817" t="str">
            <v>Nga</v>
          </cell>
        </row>
        <row r="818">
          <cell r="D818" t="str">
            <v>Tạ Văn Nam</v>
          </cell>
          <cell r="AF818" t="str">
            <v>XE01437</v>
          </cell>
          <cell r="AH818">
            <v>9.82</v>
          </cell>
          <cell r="AW818" t="str">
            <v>Tạ Văn Nam21</v>
          </cell>
          <cell r="AX818" t="str">
            <v>Nga</v>
          </cell>
        </row>
        <row r="819">
          <cell r="D819" t="str">
            <v>Nguyễn Đức Thuận</v>
          </cell>
          <cell r="AF819" t="str">
            <v>XE00160</v>
          </cell>
          <cell r="AH819">
            <v>9.82</v>
          </cell>
          <cell r="AW819" t="str">
            <v>Nguyễn Đức Thuận23</v>
          </cell>
          <cell r="AX819" t="str">
            <v>Nga</v>
          </cell>
        </row>
        <row r="820">
          <cell r="D820" t="str">
            <v>Nguyễn Đức Thuận</v>
          </cell>
          <cell r="AF820" t="str">
            <v>XE00160</v>
          </cell>
          <cell r="AH820">
            <v>9.82</v>
          </cell>
          <cell r="AW820" t="str">
            <v>Nguyễn Đức Thuận24</v>
          </cell>
          <cell r="AX820" t="str">
            <v>Nga</v>
          </cell>
        </row>
        <row r="821">
          <cell r="D821" t="str">
            <v>Trần Trung Kiên</v>
          </cell>
          <cell r="AF821" t="str">
            <v>XE00274</v>
          </cell>
          <cell r="AH821">
            <v>9.42</v>
          </cell>
          <cell r="AW821" t="str">
            <v>Trần Trung Kiên23</v>
          </cell>
          <cell r="AX821" t="str">
            <v>Nga</v>
          </cell>
        </row>
        <row r="822">
          <cell r="D822" t="str">
            <v>Trần Trung Kiên</v>
          </cell>
          <cell r="AF822" t="str">
            <v>XE00274</v>
          </cell>
          <cell r="AH822">
            <v>9.82</v>
          </cell>
          <cell r="AW822" t="str">
            <v>Trần Trung Kiên24</v>
          </cell>
          <cell r="AX822" t="str">
            <v>Nga</v>
          </cell>
        </row>
        <row r="823">
          <cell r="D823" t="str">
            <v>Phan Anh Giang</v>
          </cell>
          <cell r="AF823" t="str">
            <v>XE00365</v>
          </cell>
          <cell r="AH823">
            <v>9.82</v>
          </cell>
          <cell r="AW823" t="str">
            <v>Phan Anh Giang22</v>
          </cell>
          <cell r="AX823" t="str">
            <v>Nga</v>
          </cell>
        </row>
        <row r="824">
          <cell r="D824" t="str">
            <v>Vũ Đức Duẩn</v>
          </cell>
          <cell r="AF824" t="str">
            <v>XE00441</v>
          </cell>
          <cell r="AH824">
            <v>7.82</v>
          </cell>
          <cell r="AW824" t="str">
            <v>Vũ Đức Duẩn22</v>
          </cell>
          <cell r="AX824" t="str">
            <v>Nga</v>
          </cell>
        </row>
        <row r="825">
          <cell r="D825" t="str">
            <v>Đỗ Văn Hiếu</v>
          </cell>
          <cell r="AF825" t="str">
            <v>XE00285</v>
          </cell>
          <cell r="AH825">
            <v>7.42</v>
          </cell>
          <cell r="AW825" t="str">
            <v>Đỗ Văn Hiếu23</v>
          </cell>
          <cell r="AX825" t="str">
            <v>Nga</v>
          </cell>
        </row>
        <row r="826">
          <cell r="D826" t="str">
            <v>Phùng Hữu Biên</v>
          </cell>
          <cell r="AF826" t="str">
            <v>XE00714</v>
          </cell>
          <cell r="AH826">
            <v>9.02</v>
          </cell>
          <cell r="AW826" t="str">
            <v>Phùng Hữu Biên23</v>
          </cell>
          <cell r="AX826" t="str">
            <v>Nga</v>
          </cell>
        </row>
        <row r="827">
          <cell r="D827" t="str">
            <v>Nguyễn Đức Tâm</v>
          </cell>
          <cell r="AF827" t="str">
            <v>XE00674</v>
          </cell>
          <cell r="AH827">
            <v>8.84</v>
          </cell>
          <cell r="AW827" t="str">
            <v>Nguyễn Đức Tâm24</v>
          </cell>
          <cell r="AX827" t="str">
            <v>Nga</v>
          </cell>
        </row>
        <row r="828">
          <cell r="D828" t="str">
            <v>Nguyễn Đức Tâm</v>
          </cell>
          <cell r="AF828" t="str">
            <v>XE00674</v>
          </cell>
          <cell r="AH828">
            <v>9.82</v>
          </cell>
          <cell r="AW828" t="str">
            <v>Nguyễn Đức Tâm25</v>
          </cell>
          <cell r="AX828" t="str">
            <v>Nga</v>
          </cell>
        </row>
        <row r="829">
          <cell r="D829" t="str">
            <v>Nguyễn Ngọc Lâm</v>
          </cell>
          <cell r="AF829" t="str">
            <v>XE01168</v>
          </cell>
          <cell r="AH829">
            <v>8.2200000000000006</v>
          </cell>
          <cell r="AW829" t="str">
            <v>Nguyễn Ngọc Lâm23</v>
          </cell>
          <cell r="AX829" t="str">
            <v>Nga</v>
          </cell>
        </row>
        <row r="830">
          <cell r="D830" t="str">
            <v>Nguyễn Minh Quang</v>
          </cell>
          <cell r="AF830" t="str">
            <v>XE01188</v>
          </cell>
          <cell r="AH830">
            <v>9.82</v>
          </cell>
          <cell r="AW830" t="str">
            <v>Nguyễn Minh Quang24</v>
          </cell>
          <cell r="AX830" t="str">
            <v>Nga</v>
          </cell>
        </row>
        <row r="831">
          <cell r="D831" t="str">
            <v>Nguyễn Minh Quang</v>
          </cell>
          <cell r="AF831" t="str">
            <v>XE01188</v>
          </cell>
          <cell r="AH831">
            <v>8.84</v>
          </cell>
          <cell r="AW831" t="str">
            <v>Nguyễn Minh Quang25</v>
          </cell>
          <cell r="AX831" t="str">
            <v>Nga</v>
          </cell>
        </row>
        <row r="832">
          <cell r="D832" t="str">
            <v>Tạ Văn Nam</v>
          </cell>
          <cell r="AF832" t="str">
            <v>XE01437</v>
          </cell>
          <cell r="AH832">
            <v>9.82</v>
          </cell>
          <cell r="AW832" t="str">
            <v>Tạ Văn Nam22</v>
          </cell>
          <cell r="AX832" t="str">
            <v>Nga</v>
          </cell>
        </row>
        <row r="833">
          <cell r="D833" t="str">
            <v>Nguyễn Đức Quang</v>
          </cell>
          <cell r="AF833" t="str">
            <v>XE00320</v>
          </cell>
          <cell r="AH833">
            <v>9.6199999999999992</v>
          </cell>
          <cell r="AW833" t="str">
            <v>Nguyễn Đức Quang22</v>
          </cell>
          <cell r="AX833" t="str">
            <v>Nga</v>
          </cell>
        </row>
        <row r="834">
          <cell r="D834" t="str">
            <v>Hà Văn Dũng</v>
          </cell>
          <cell r="AF834" t="str">
            <v>XE00326</v>
          </cell>
          <cell r="AH834">
            <v>9.42</v>
          </cell>
          <cell r="AW834" t="str">
            <v>Hà Văn Dũng22</v>
          </cell>
          <cell r="AX834" t="str">
            <v>Nga</v>
          </cell>
        </row>
        <row r="835">
          <cell r="D835" t="str">
            <v>Đào Trung Đức</v>
          </cell>
          <cell r="AF835" t="str">
            <v>XE00366</v>
          </cell>
          <cell r="AH835">
            <v>9.42</v>
          </cell>
          <cell r="AW835" t="str">
            <v>Đào Trung Đức22</v>
          </cell>
          <cell r="AX835" t="str">
            <v>Nga</v>
          </cell>
        </row>
        <row r="836">
          <cell r="D836" t="str">
            <v>Nguyễn Chí Quốc</v>
          </cell>
          <cell r="AF836" t="str">
            <v>XE00309</v>
          </cell>
          <cell r="AH836">
            <v>9.82</v>
          </cell>
          <cell r="AW836" t="str">
            <v>Nguyễn Chí Quốc22</v>
          </cell>
          <cell r="AX836" t="str">
            <v>Nga</v>
          </cell>
        </row>
        <row r="837">
          <cell r="D837" t="str">
            <v>Nguyễn Tuấn Anh 1978</v>
          </cell>
          <cell r="AF837" t="str">
            <v>XE00524</v>
          </cell>
          <cell r="AH837">
            <v>9.82</v>
          </cell>
          <cell r="AW837" t="str">
            <v>Nguyễn Tuấn Anh 197823</v>
          </cell>
          <cell r="AX837" t="str">
            <v>Nga</v>
          </cell>
        </row>
        <row r="838">
          <cell r="D838" t="str">
            <v>Hoàng Việt Cường</v>
          </cell>
          <cell r="AF838" t="str">
            <v>XE00248</v>
          </cell>
          <cell r="AH838">
            <v>9.42</v>
          </cell>
          <cell r="AW838" t="str">
            <v>Hoàng Việt Cường23</v>
          </cell>
          <cell r="AX838" t="str">
            <v>Nga</v>
          </cell>
        </row>
        <row r="839">
          <cell r="D839" t="str">
            <v>Hoàng Cát Giao</v>
          </cell>
          <cell r="AF839" t="str">
            <v>XE00734</v>
          </cell>
          <cell r="AH839">
            <v>9.02</v>
          </cell>
          <cell r="AW839" t="str">
            <v>Hoàng Cát Giao23</v>
          </cell>
          <cell r="AX839" t="str">
            <v>Nga</v>
          </cell>
        </row>
        <row r="840">
          <cell r="D840" t="str">
            <v>Nguyễn Duy Hà</v>
          </cell>
          <cell r="AF840" t="str">
            <v>XE00799</v>
          </cell>
          <cell r="AH840">
            <v>9.82</v>
          </cell>
          <cell r="AW840" t="str">
            <v>Nguyễn Duy Hà23</v>
          </cell>
          <cell r="AX840" t="str">
            <v>Nga</v>
          </cell>
        </row>
        <row r="841">
          <cell r="D841" t="str">
            <v>Nguyễn Thanh Bình</v>
          </cell>
          <cell r="AF841" t="str">
            <v>XE00825</v>
          </cell>
          <cell r="AH841">
            <v>8.620000000000001</v>
          </cell>
          <cell r="AW841" t="str">
            <v>Nguyễn Thanh Bình22</v>
          </cell>
          <cell r="AX841" t="str">
            <v>Nga</v>
          </cell>
        </row>
        <row r="842">
          <cell r="D842" t="str">
            <v>Phùng Kim Tiến</v>
          </cell>
          <cell r="AF842" t="str">
            <v>XE01242</v>
          </cell>
          <cell r="AH842">
            <v>9.42</v>
          </cell>
          <cell r="AW842" t="str">
            <v>Phùng Kim Tiến22</v>
          </cell>
          <cell r="AX842" t="str">
            <v>Nga</v>
          </cell>
        </row>
        <row r="843">
          <cell r="D843" t="str">
            <v>Lê Văn Thắng</v>
          </cell>
          <cell r="AF843" t="str">
            <v>XE00242</v>
          </cell>
          <cell r="AH843">
            <v>9.42</v>
          </cell>
          <cell r="AW843" t="str">
            <v>Lê Văn Thắng24</v>
          </cell>
          <cell r="AX843" t="str">
            <v>Nga</v>
          </cell>
        </row>
        <row r="844">
          <cell r="D844" t="str">
            <v>Lê Văn Thắng</v>
          </cell>
          <cell r="AF844" t="str">
            <v>XE00242</v>
          </cell>
          <cell r="AH844">
            <v>9.82</v>
          </cell>
          <cell r="AW844" t="str">
            <v>Lê Văn Thắng25</v>
          </cell>
          <cell r="AX844" t="str">
            <v>Nga</v>
          </cell>
        </row>
        <row r="845">
          <cell r="D845" t="str">
            <v>Nguyễn Đức Thuận</v>
          </cell>
          <cell r="AF845" t="str">
            <v>XE00160</v>
          </cell>
          <cell r="AH845">
            <v>9.02</v>
          </cell>
          <cell r="AW845" t="str">
            <v>Nguyễn Đức Thuận25</v>
          </cell>
          <cell r="AX845" t="str">
            <v>Nga</v>
          </cell>
        </row>
        <row r="846">
          <cell r="D846" t="str">
            <v>Trần Trung Kiên</v>
          </cell>
          <cell r="AF846" t="str">
            <v>XE00274</v>
          </cell>
          <cell r="AH846">
            <v>9.42</v>
          </cell>
          <cell r="AW846" t="str">
            <v>Trần Trung Kiên25</v>
          </cell>
          <cell r="AX846" t="str">
            <v>Nga</v>
          </cell>
        </row>
        <row r="847">
          <cell r="D847" t="str">
            <v>Phan Anh Giang</v>
          </cell>
          <cell r="AF847" t="str">
            <v>XE00365</v>
          </cell>
          <cell r="AH847">
            <v>9.6199999999999992</v>
          </cell>
          <cell r="AW847" t="str">
            <v>Phan Anh Giang23</v>
          </cell>
          <cell r="AX847" t="str">
            <v>Nga</v>
          </cell>
        </row>
        <row r="848">
          <cell r="D848" t="str">
            <v>Phan Anh Giang</v>
          </cell>
          <cell r="AF848" t="str">
            <v>XE00365</v>
          </cell>
          <cell r="AH848">
            <v>9.42</v>
          </cell>
          <cell r="AW848" t="str">
            <v>Phan Anh Giang24</v>
          </cell>
          <cell r="AX848" t="str">
            <v>Nga</v>
          </cell>
        </row>
        <row r="849">
          <cell r="D849" t="str">
            <v>Phan Anh Giang</v>
          </cell>
          <cell r="AF849" t="str">
            <v>XE00365</v>
          </cell>
          <cell r="AH849">
            <v>9.24</v>
          </cell>
          <cell r="AW849" t="str">
            <v>Phan Anh Giang25</v>
          </cell>
          <cell r="AX849" t="str">
            <v>Nga</v>
          </cell>
        </row>
        <row r="850">
          <cell r="D850" t="str">
            <v>Vũ Đức Duẩn</v>
          </cell>
          <cell r="AF850" t="str">
            <v>XE00441</v>
          </cell>
          <cell r="AH850">
            <v>9.82</v>
          </cell>
          <cell r="AW850" t="str">
            <v>Vũ Đức Duẩn23</v>
          </cell>
          <cell r="AX850" t="str">
            <v>Nga</v>
          </cell>
        </row>
        <row r="851">
          <cell r="D851" t="str">
            <v>Vũ Đức Duẩn</v>
          </cell>
          <cell r="AF851" t="str">
            <v>XE00441</v>
          </cell>
          <cell r="AH851">
            <v>8.84</v>
          </cell>
          <cell r="AW851" t="str">
            <v>Vũ Đức Duẩn24</v>
          </cell>
          <cell r="AX851" t="str">
            <v>Nga</v>
          </cell>
        </row>
        <row r="852">
          <cell r="D852" t="str">
            <v>Vũ Đức Duẩn</v>
          </cell>
          <cell r="AF852" t="str">
            <v>XE00441</v>
          </cell>
          <cell r="AH852">
            <v>9.42</v>
          </cell>
          <cell r="AW852" t="str">
            <v>Vũ Đức Duẩn25</v>
          </cell>
          <cell r="AX852" t="str">
            <v>Nga</v>
          </cell>
        </row>
        <row r="853">
          <cell r="D853" t="str">
            <v>Đỗ Văn Hiếu</v>
          </cell>
          <cell r="AF853" t="str">
            <v>XE00285</v>
          </cell>
          <cell r="AH853">
            <v>8.2200000000000006</v>
          </cell>
          <cell r="AW853" t="str">
            <v>Đỗ Văn Hiếu24</v>
          </cell>
          <cell r="AX853" t="str">
            <v>Nga</v>
          </cell>
        </row>
        <row r="854">
          <cell r="D854" t="str">
            <v>Đỗ Văn Hiếu</v>
          </cell>
          <cell r="AF854" t="str">
            <v>XE00285</v>
          </cell>
          <cell r="AH854">
            <v>9.24</v>
          </cell>
          <cell r="AW854" t="str">
            <v>Đỗ Văn Hiếu25</v>
          </cell>
          <cell r="AX854" t="str">
            <v>Nga</v>
          </cell>
        </row>
        <row r="855">
          <cell r="D855" t="str">
            <v>Phùng Hữu Biên</v>
          </cell>
          <cell r="AF855" t="str">
            <v>XE00714</v>
          </cell>
          <cell r="AH855">
            <v>9.82</v>
          </cell>
          <cell r="AW855" t="str">
            <v>Phùng Hữu Biên24</v>
          </cell>
          <cell r="AX855" t="str">
            <v>Nga</v>
          </cell>
        </row>
        <row r="856">
          <cell r="D856" t="str">
            <v>Phùng Hữu Biên</v>
          </cell>
          <cell r="AF856" t="str">
            <v>XE00714</v>
          </cell>
          <cell r="AH856">
            <v>9.82</v>
          </cell>
          <cell r="AW856" t="str">
            <v>Phùng Hữu Biên25</v>
          </cell>
          <cell r="AX856" t="str">
            <v>Nga</v>
          </cell>
        </row>
        <row r="857">
          <cell r="D857" t="str">
            <v>Đinh Công Cường</v>
          </cell>
          <cell r="AF857" t="str">
            <v>XE00791</v>
          </cell>
          <cell r="AH857">
            <v>9.82</v>
          </cell>
          <cell r="AW857" t="str">
            <v>Đinh Công Cường23</v>
          </cell>
          <cell r="AX857" t="str">
            <v>Nga</v>
          </cell>
        </row>
        <row r="858">
          <cell r="D858" t="str">
            <v>Đinh Công Cường</v>
          </cell>
          <cell r="AF858" t="str">
            <v>XE00791</v>
          </cell>
          <cell r="AH858">
            <v>9.42</v>
          </cell>
          <cell r="AW858" t="str">
            <v>Đinh Công Cường24</v>
          </cell>
          <cell r="AX858" t="str">
            <v>Nga</v>
          </cell>
        </row>
        <row r="859">
          <cell r="D859" t="str">
            <v>Đinh Công Cường</v>
          </cell>
          <cell r="AF859" t="str">
            <v>XE00791</v>
          </cell>
          <cell r="AH859">
            <v>9.82</v>
          </cell>
          <cell r="AW859" t="str">
            <v>Đinh Công Cường25</v>
          </cell>
          <cell r="AX859" t="str">
            <v>Nga</v>
          </cell>
        </row>
        <row r="860">
          <cell r="D860" t="str">
            <v>Nguyễn Ngọc Lâm</v>
          </cell>
          <cell r="AF860" t="str">
            <v>XE01168</v>
          </cell>
          <cell r="AH860">
            <v>9.82</v>
          </cell>
          <cell r="AW860" t="str">
            <v>Nguyễn Ngọc Lâm24</v>
          </cell>
          <cell r="AX860" t="str">
            <v>Nga</v>
          </cell>
        </row>
        <row r="861">
          <cell r="D861" t="str">
            <v>Nguyễn Ngọc Lâm</v>
          </cell>
          <cell r="AF861" t="str">
            <v>XE01168</v>
          </cell>
          <cell r="AH861">
            <v>9.6199999999999992</v>
          </cell>
          <cell r="AW861" t="str">
            <v>Nguyễn Ngọc Lâm25</v>
          </cell>
          <cell r="AX861" t="str">
            <v>Nga</v>
          </cell>
        </row>
        <row r="862">
          <cell r="D862" t="str">
            <v>Nguyễn Trung Kiên 1986</v>
          </cell>
          <cell r="AF862" t="str">
            <v>XE00971</v>
          </cell>
          <cell r="AH862">
            <v>9.82</v>
          </cell>
          <cell r="AW862" t="str">
            <v>Nguyễn Trung Kiên 198623</v>
          </cell>
          <cell r="AX862" t="str">
            <v>Nga</v>
          </cell>
        </row>
        <row r="863">
          <cell r="D863" t="str">
            <v>Nguyễn Trung Kiên 1986</v>
          </cell>
          <cell r="AF863" t="str">
            <v>XE00971</v>
          </cell>
          <cell r="AH863">
            <v>8.84</v>
          </cell>
          <cell r="AW863" t="str">
            <v>Nguyễn Trung Kiên 198624</v>
          </cell>
          <cell r="AX863" t="str">
            <v>Nga</v>
          </cell>
        </row>
        <row r="864">
          <cell r="D864" t="str">
            <v>Nguyễn Trung Kiên 1986</v>
          </cell>
          <cell r="AF864" t="str">
            <v>XE00971</v>
          </cell>
          <cell r="AH864">
            <v>9.42</v>
          </cell>
          <cell r="AW864" t="str">
            <v>Nguyễn Trung Kiên 198625</v>
          </cell>
          <cell r="AX864" t="str">
            <v>Nga</v>
          </cell>
        </row>
        <row r="865">
          <cell r="D865" t="str">
            <v>Nguyễn Trung Kiên 1995</v>
          </cell>
          <cell r="AF865" t="str">
            <v>XE01036</v>
          </cell>
          <cell r="AH865">
            <v>9.42</v>
          </cell>
          <cell r="AW865" t="str">
            <v>Nguyễn Trung Kiên 199521</v>
          </cell>
          <cell r="AX865" t="str">
            <v>Nga</v>
          </cell>
        </row>
        <row r="866">
          <cell r="D866" t="str">
            <v>Nguyễn Trung Kiên 1995</v>
          </cell>
          <cell r="AF866" t="str">
            <v>XE01036</v>
          </cell>
          <cell r="AH866">
            <v>9.42</v>
          </cell>
          <cell r="AW866" t="str">
            <v>Nguyễn Trung Kiên 199522</v>
          </cell>
          <cell r="AX866" t="str">
            <v>Nga</v>
          </cell>
        </row>
        <row r="867">
          <cell r="D867" t="str">
            <v>Nguyễn Trung Kiên 1995</v>
          </cell>
          <cell r="AF867" t="str">
            <v>XE01036</v>
          </cell>
          <cell r="AH867">
            <v>9.6199999999999992</v>
          </cell>
          <cell r="AW867" t="str">
            <v>Nguyễn Trung Kiên 199523</v>
          </cell>
          <cell r="AX867" t="str">
            <v>Nga</v>
          </cell>
        </row>
        <row r="868">
          <cell r="D868" t="str">
            <v>Tạ Văn Nam</v>
          </cell>
          <cell r="AF868" t="str">
            <v>XE01437</v>
          </cell>
          <cell r="AH868">
            <v>7.82</v>
          </cell>
          <cell r="AW868" t="str">
            <v>Tạ Văn Nam23</v>
          </cell>
          <cell r="AX868" t="str">
            <v>Nga</v>
          </cell>
        </row>
        <row r="869">
          <cell r="D869" t="str">
            <v>Tạ Văn Nam</v>
          </cell>
          <cell r="AF869" t="str">
            <v>XE01437</v>
          </cell>
          <cell r="AH869">
            <v>9.42</v>
          </cell>
          <cell r="AW869" t="str">
            <v>Tạ Văn Nam24</v>
          </cell>
          <cell r="AX869" t="str">
            <v>Nga</v>
          </cell>
        </row>
        <row r="870">
          <cell r="D870" t="str">
            <v>Tạ Văn Nam</v>
          </cell>
          <cell r="AF870" t="str">
            <v>XE01437</v>
          </cell>
          <cell r="AH870">
            <v>8.2200000000000006</v>
          </cell>
          <cell r="AW870" t="str">
            <v>Tạ Văn Nam25</v>
          </cell>
          <cell r="AX870" t="str">
            <v>Nga</v>
          </cell>
        </row>
        <row r="871">
          <cell r="D871" t="str">
            <v>Vũ Đức Toàn</v>
          </cell>
          <cell r="AF871" t="str">
            <v>XE00295</v>
          </cell>
          <cell r="AH871">
            <v>9.82</v>
          </cell>
          <cell r="AW871" t="str">
            <v>Vũ Đức Toàn20</v>
          </cell>
          <cell r="AX871" t="str">
            <v>Nga</v>
          </cell>
        </row>
        <row r="872">
          <cell r="D872" t="str">
            <v>Vũ Đức Toàn</v>
          </cell>
          <cell r="AF872" t="str">
            <v>XE00295</v>
          </cell>
          <cell r="AH872">
            <v>8.84</v>
          </cell>
          <cell r="AW872" t="str">
            <v>Vũ Đức Toàn21</v>
          </cell>
          <cell r="AX872" t="str">
            <v>Nga</v>
          </cell>
        </row>
        <row r="873">
          <cell r="D873" t="str">
            <v>Vũ Đức Toàn</v>
          </cell>
          <cell r="AF873" t="str">
            <v>XE00295</v>
          </cell>
          <cell r="AH873">
            <v>8.84</v>
          </cell>
          <cell r="AW873" t="str">
            <v>Vũ Đức Toàn22</v>
          </cell>
          <cell r="AX873" t="str">
            <v>Nga</v>
          </cell>
        </row>
        <row r="874">
          <cell r="D874" t="str">
            <v>Nguyễn Quang Tuấn</v>
          </cell>
          <cell r="AF874" t="str">
            <v>XE00813</v>
          </cell>
          <cell r="AH874">
            <v>9.82</v>
          </cell>
          <cell r="AW874" t="str">
            <v>Nguyễn Quang Tuấn21</v>
          </cell>
          <cell r="AX874" t="str">
            <v>Nga</v>
          </cell>
        </row>
        <row r="875">
          <cell r="D875" t="str">
            <v>Nguyễn Quang Tuấn</v>
          </cell>
          <cell r="AF875" t="str">
            <v>XE00813</v>
          </cell>
          <cell r="AH875">
            <v>9.02</v>
          </cell>
          <cell r="AW875" t="str">
            <v>Nguyễn Quang Tuấn22</v>
          </cell>
          <cell r="AX875" t="str">
            <v>Nga</v>
          </cell>
        </row>
        <row r="876">
          <cell r="D876" t="str">
            <v>Nguyễn Quang Tuấn</v>
          </cell>
          <cell r="AF876" t="str">
            <v>XE00813</v>
          </cell>
          <cell r="AH876">
            <v>8.44</v>
          </cell>
          <cell r="AW876" t="str">
            <v>Nguyễn Quang Tuấn23</v>
          </cell>
          <cell r="AX876" t="str">
            <v>Nga</v>
          </cell>
        </row>
        <row r="877">
          <cell r="D877" t="str">
            <v>Đỗ Văn Phương</v>
          </cell>
          <cell r="AF877" t="str">
            <v>XE01605</v>
          </cell>
          <cell r="AH877">
            <v>9.02</v>
          </cell>
          <cell r="AW877" t="str">
            <v>Đỗ Văn Phương21</v>
          </cell>
          <cell r="AX877" t="str">
            <v>Nga</v>
          </cell>
        </row>
        <row r="878">
          <cell r="D878" t="str">
            <v>Đỗ Văn Phương</v>
          </cell>
          <cell r="AF878" t="str">
            <v>XE01605</v>
          </cell>
          <cell r="AH878">
            <v>9.42</v>
          </cell>
          <cell r="AW878" t="str">
            <v>Đỗ Văn Phương22</v>
          </cell>
          <cell r="AX878" t="str">
            <v>Nga</v>
          </cell>
        </row>
        <row r="879">
          <cell r="D879" t="str">
            <v>Phạm Văn Hà</v>
          </cell>
          <cell r="AF879" t="str">
            <v>XE00063</v>
          </cell>
          <cell r="AH879">
            <v>9.42</v>
          </cell>
          <cell r="AW879" t="str">
            <v>Phạm Văn Hà17</v>
          </cell>
          <cell r="AX879" t="str">
            <v>Nga</v>
          </cell>
        </row>
        <row r="880">
          <cell r="D880" t="str">
            <v>Phạm Văn Hà</v>
          </cell>
          <cell r="AF880" t="str">
            <v>XE00063</v>
          </cell>
          <cell r="AH880">
            <v>9.24</v>
          </cell>
          <cell r="AW880" t="str">
            <v>Phạm Văn Hà18</v>
          </cell>
          <cell r="AX880" t="str">
            <v>Nga</v>
          </cell>
        </row>
        <row r="881">
          <cell r="D881" t="str">
            <v>Phạm Văn Hà</v>
          </cell>
          <cell r="AF881" t="str">
            <v>XE00063</v>
          </cell>
          <cell r="AH881">
            <v>9.82</v>
          </cell>
          <cell r="AW881" t="str">
            <v>Phạm Văn Hà19</v>
          </cell>
          <cell r="AX881" t="str">
            <v>Nga</v>
          </cell>
        </row>
        <row r="882">
          <cell r="D882" t="str">
            <v>Nguyễn Đức Phong</v>
          </cell>
          <cell r="AF882" t="str">
            <v>XE00737</v>
          </cell>
          <cell r="AH882">
            <v>9.42</v>
          </cell>
          <cell r="AW882" t="str">
            <v>Nguyễn Đức Phong17</v>
          </cell>
          <cell r="AX882" t="str">
            <v>Nga</v>
          </cell>
        </row>
        <row r="883">
          <cell r="D883" t="str">
            <v>Nguyễn Trung Kiên 1995</v>
          </cell>
          <cell r="AF883" t="str">
            <v>XE01036</v>
          </cell>
          <cell r="AH883">
            <v>9.02</v>
          </cell>
          <cell r="AW883" t="str">
            <v>Nguyễn Trung Kiên 199524</v>
          </cell>
          <cell r="AX883" t="str">
            <v>Nga</v>
          </cell>
        </row>
        <row r="884">
          <cell r="D884" t="str">
            <v>Nguyễn Trung Kiên 1995</v>
          </cell>
          <cell r="AF884" t="str">
            <v>XE01036</v>
          </cell>
          <cell r="AH884">
            <v>9.82</v>
          </cell>
          <cell r="AW884" t="str">
            <v>Nguyễn Trung Kiên 199525</v>
          </cell>
          <cell r="AX884" t="str">
            <v>Nga</v>
          </cell>
        </row>
        <row r="885">
          <cell r="D885" t="str">
            <v>Vũ Đức Toàn</v>
          </cell>
          <cell r="AF885" t="str">
            <v>XE00295</v>
          </cell>
          <cell r="AH885">
            <v>9.82</v>
          </cell>
          <cell r="AW885" t="str">
            <v>Vũ Đức Toàn23</v>
          </cell>
          <cell r="AX885" t="str">
            <v>Nga</v>
          </cell>
        </row>
        <row r="886">
          <cell r="D886" t="str">
            <v>Vũ Đức Toàn</v>
          </cell>
          <cell r="AF886" t="str">
            <v>XE00295</v>
          </cell>
          <cell r="AH886">
            <v>9.02</v>
          </cell>
          <cell r="AW886" t="str">
            <v>Vũ Đức Toàn24</v>
          </cell>
          <cell r="AX886" t="str">
            <v>Nga</v>
          </cell>
        </row>
        <row r="887">
          <cell r="D887" t="str">
            <v>Vũ Đức Toàn</v>
          </cell>
          <cell r="AF887" t="str">
            <v>XE00295</v>
          </cell>
          <cell r="AH887">
            <v>9.82</v>
          </cell>
          <cell r="AW887" t="str">
            <v>Vũ Đức Toàn25</v>
          </cell>
          <cell r="AX887" t="str">
            <v>Nga</v>
          </cell>
        </row>
        <row r="888">
          <cell r="D888" t="str">
            <v>Nguyễn Đức Quang</v>
          </cell>
          <cell r="AF888" t="str">
            <v>XE00320</v>
          </cell>
          <cell r="AH888">
            <v>8.84</v>
          </cell>
          <cell r="AW888" t="str">
            <v>Nguyễn Đức Quang23</v>
          </cell>
          <cell r="AX888" t="str">
            <v>Nga</v>
          </cell>
        </row>
        <row r="889">
          <cell r="D889" t="str">
            <v>Nguyễn Đức Quang</v>
          </cell>
          <cell r="AF889" t="str">
            <v>XE00320</v>
          </cell>
          <cell r="AH889">
            <v>8.84</v>
          </cell>
          <cell r="AW889" t="str">
            <v>Nguyễn Đức Quang24</v>
          </cell>
          <cell r="AX889" t="str">
            <v>Nga</v>
          </cell>
        </row>
        <row r="890">
          <cell r="D890" t="str">
            <v>Nguyễn Đức Quang</v>
          </cell>
          <cell r="AF890" t="str">
            <v>XE00320</v>
          </cell>
          <cell r="AH890">
            <v>9.42</v>
          </cell>
          <cell r="AW890" t="str">
            <v>Nguyễn Đức Quang25</v>
          </cell>
          <cell r="AX890" t="str">
            <v>Nga</v>
          </cell>
        </row>
        <row r="891">
          <cell r="D891" t="str">
            <v>Hà Văn Dũng</v>
          </cell>
          <cell r="AF891" t="str">
            <v>XE00326</v>
          </cell>
          <cell r="AH891">
            <v>8.2200000000000006</v>
          </cell>
          <cell r="AW891" t="str">
            <v>Hà Văn Dũng23</v>
          </cell>
          <cell r="AX891" t="str">
            <v>Nga</v>
          </cell>
        </row>
        <row r="892">
          <cell r="D892" t="str">
            <v>Hà Văn Dũng</v>
          </cell>
          <cell r="AF892" t="str">
            <v>XE00326</v>
          </cell>
          <cell r="AH892">
            <v>9.42</v>
          </cell>
          <cell r="AW892" t="str">
            <v>Hà Văn Dũng24</v>
          </cell>
          <cell r="AX892" t="str">
            <v>Nga</v>
          </cell>
        </row>
        <row r="893">
          <cell r="D893" t="str">
            <v>Hà Văn Dũng</v>
          </cell>
          <cell r="AF893" t="str">
            <v>XE00326</v>
          </cell>
          <cell r="AH893">
            <v>9.82</v>
          </cell>
          <cell r="AW893" t="str">
            <v>Hà Văn Dũng25</v>
          </cell>
          <cell r="AX893" t="str">
            <v>Nga</v>
          </cell>
        </row>
        <row r="894">
          <cell r="D894" t="str">
            <v>Đào Trung Đức</v>
          </cell>
          <cell r="AF894" t="str">
            <v>XE00366</v>
          </cell>
          <cell r="AH894">
            <v>9.82</v>
          </cell>
          <cell r="AW894" t="str">
            <v>Đào Trung Đức23</v>
          </cell>
          <cell r="AX894" t="str">
            <v>Nga</v>
          </cell>
        </row>
        <row r="895">
          <cell r="D895" t="str">
            <v>Đào Trung Đức</v>
          </cell>
          <cell r="AF895" t="str">
            <v>XE00366</v>
          </cell>
          <cell r="AH895">
            <v>9.82</v>
          </cell>
          <cell r="AW895" t="str">
            <v>Đào Trung Đức24</v>
          </cell>
          <cell r="AX895" t="str">
            <v>Nga</v>
          </cell>
        </row>
        <row r="896">
          <cell r="D896" t="str">
            <v>Đào Trung Đức</v>
          </cell>
          <cell r="AF896" t="str">
            <v>XE00366</v>
          </cell>
          <cell r="AH896">
            <v>9.82</v>
          </cell>
          <cell r="AW896" t="str">
            <v>Đào Trung Đức25</v>
          </cell>
          <cell r="AX896" t="str">
            <v>Nga</v>
          </cell>
        </row>
        <row r="897">
          <cell r="D897" t="str">
            <v>Nguyễn Chí Quốc</v>
          </cell>
          <cell r="AF897" t="str">
            <v>XE00309</v>
          </cell>
          <cell r="AH897">
            <v>7.82</v>
          </cell>
          <cell r="AW897" t="str">
            <v>Nguyễn Chí Quốc23</v>
          </cell>
          <cell r="AX897" t="str">
            <v>Nga</v>
          </cell>
        </row>
        <row r="898">
          <cell r="D898" t="str">
            <v>Nguyễn Chí Quốc</v>
          </cell>
          <cell r="AF898" t="str">
            <v>XE00309</v>
          </cell>
          <cell r="AH898">
            <v>8.84</v>
          </cell>
          <cell r="AW898" t="str">
            <v>Nguyễn Chí Quốc24</v>
          </cell>
          <cell r="AX898" t="str">
            <v>Nga</v>
          </cell>
        </row>
        <row r="899">
          <cell r="D899" t="str">
            <v>Nguyễn Chí Quốc</v>
          </cell>
          <cell r="AF899" t="str">
            <v>XE00309</v>
          </cell>
          <cell r="AH899">
            <v>9.2199999999999989</v>
          </cell>
          <cell r="AW899" t="str">
            <v>Nguyễn Chí Quốc25</v>
          </cell>
          <cell r="AX899" t="str">
            <v>Nga</v>
          </cell>
        </row>
        <row r="900">
          <cell r="D900" t="str">
            <v>Nguyễn Tuấn Anh 1978</v>
          </cell>
          <cell r="AF900" t="str">
            <v>XE00524</v>
          </cell>
          <cell r="AH900">
            <v>9.42</v>
          </cell>
          <cell r="AW900" t="str">
            <v>Nguyễn Tuấn Anh 197824</v>
          </cell>
          <cell r="AX900" t="str">
            <v>Nga</v>
          </cell>
        </row>
        <row r="901">
          <cell r="D901" t="str">
            <v>Nguyễn Tuấn Anh 1978</v>
          </cell>
          <cell r="AF901" t="str">
            <v>XE00524</v>
          </cell>
          <cell r="AH901">
            <v>9.24</v>
          </cell>
          <cell r="AW901" t="str">
            <v>Nguyễn Tuấn Anh 197825</v>
          </cell>
          <cell r="AX901" t="str">
            <v>Nga</v>
          </cell>
        </row>
        <row r="902">
          <cell r="D902" t="str">
            <v>Hoàng Việt Cường</v>
          </cell>
          <cell r="AF902" t="str">
            <v>XE00248</v>
          </cell>
          <cell r="AH902">
            <v>9.42</v>
          </cell>
          <cell r="AW902" t="str">
            <v>Hoàng Việt Cường24</v>
          </cell>
          <cell r="AX902" t="str">
            <v>Nga</v>
          </cell>
        </row>
        <row r="903">
          <cell r="D903" t="str">
            <v>Hoàng Việt Cường</v>
          </cell>
          <cell r="AF903" t="str">
            <v>XE00248</v>
          </cell>
          <cell r="AH903">
            <v>7.82</v>
          </cell>
          <cell r="AW903" t="str">
            <v>Hoàng Việt Cường25</v>
          </cell>
          <cell r="AX903" t="str">
            <v>Nga</v>
          </cell>
        </row>
        <row r="904">
          <cell r="D904" t="str">
            <v>Trần Văn Thiện</v>
          </cell>
          <cell r="AF904" t="str">
            <v>XE00658</v>
          </cell>
          <cell r="AH904">
            <v>9.82</v>
          </cell>
          <cell r="AW904" t="str">
            <v>Trần Văn Thiện21</v>
          </cell>
          <cell r="AX904" t="str">
            <v>Nga</v>
          </cell>
        </row>
        <row r="905">
          <cell r="D905" t="str">
            <v>Trần Văn Thiện</v>
          </cell>
          <cell r="AF905" t="str">
            <v>XE00658</v>
          </cell>
          <cell r="AH905">
            <v>9.42</v>
          </cell>
          <cell r="AW905" t="str">
            <v>Trần Văn Thiện22</v>
          </cell>
          <cell r="AX905" t="str">
            <v>Nga</v>
          </cell>
        </row>
        <row r="906">
          <cell r="D906" t="str">
            <v>Trần Văn Thiện</v>
          </cell>
          <cell r="AF906" t="str">
            <v>XE00658</v>
          </cell>
          <cell r="AH906">
            <v>8.84</v>
          </cell>
          <cell r="AW906" t="str">
            <v>Trần Văn Thiện23</v>
          </cell>
          <cell r="AX906" t="str">
            <v>Nga</v>
          </cell>
        </row>
        <row r="907">
          <cell r="D907" t="str">
            <v>Phạm Văn Hà</v>
          </cell>
          <cell r="AF907" t="str">
            <v>XE00063</v>
          </cell>
          <cell r="AH907">
            <v>9.82</v>
          </cell>
          <cell r="AW907" t="str">
            <v>Phạm Văn Hà20</v>
          </cell>
          <cell r="AX907" t="str">
            <v>Nga</v>
          </cell>
        </row>
        <row r="908">
          <cell r="D908" t="str">
            <v>Phạm Văn Hà</v>
          </cell>
          <cell r="AF908" t="str">
            <v>XE00063</v>
          </cell>
          <cell r="AH908">
            <v>9.82</v>
          </cell>
          <cell r="AW908" t="str">
            <v>Phạm Văn Hà21</v>
          </cell>
          <cell r="AX908" t="str">
            <v>Nga</v>
          </cell>
        </row>
        <row r="909">
          <cell r="D909" t="str">
            <v>Phạm Văn Hà</v>
          </cell>
          <cell r="AF909" t="str">
            <v>XE00063</v>
          </cell>
          <cell r="AH909">
            <v>9.82</v>
          </cell>
          <cell r="AW909" t="str">
            <v>Phạm Văn Hà22</v>
          </cell>
          <cell r="AX909" t="str">
            <v>Nga</v>
          </cell>
        </row>
        <row r="910">
          <cell r="D910" t="str">
            <v>Lê Văn Liệu</v>
          </cell>
          <cell r="AF910" t="str">
            <v>XE00054</v>
          </cell>
          <cell r="AH910">
            <v>9.42</v>
          </cell>
          <cell r="AW910" t="str">
            <v>Lê Văn Liệu21</v>
          </cell>
          <cell r="AX910" t="str">
            <v>Nga</v>
          </cell>
        </row>
        <row r="911">
          <cell r="D911" t="str">
            <v>Lê Văn Liệu</v>
          </cell>
          <cell r="AF911" t="str">
            <v>XE00054</v>
          </cell>
          <cell r="AH911">
            <v>9.82</v>
          </cell>
          <cell r="AW911" t="str">
            <v>Lê Văn Liệu22</v>
          </cell>
          <cell r="AX911" t="str">
            <v>Nga</v>
          </cell>
        </row>
        <row r="912">
          <cell r="D912" t="str">
            <v>Lê Văn Liệu</v>
          </cell>
          <cell r="AF912" t="str">
            <v>XE00054</v>
          </cell>
          <cell r="AH912">
            <v>9.82</v>
          </cell>
          <cell r="AW912" t="str">
            <v>Lê Văn Liệu23</v>
          </cell>
          <cell r="AX912" t="str">
            <v>Nga</v>
          </cell>
        </row>
        <row r="913">
          <cell r="D913" t="str">
            <v>Phạm Huy Toàn</v>
          </cell>
          <cell r="AF913" t="str">
            <v>XE00234</v>
          </cell>
          <cell r="AH913">
            <v>9.82</v>
          </cell>
          <cell r="AW913" t="str">
            <v>Phạm Huy Toàn21</v>
          </cell>
          <cell r="AX913" t="str">
            <v>Nga</v>
          </cell>
        </row>
        <row r="914">
          <cell r="D914" t="str">
            <v>Phạm Huy Toàn</v>
          </cell>
          <cell r="AF914" t="str">
            <v>XE00234</v>
          </cell>
          <cell r="AH914">
            <v>9.42</v>
          </cell>
          <cell r="AW914" t="str">
            <v>Phạm Huy Toàn22</v>
          </cell>
          <cell r="AX914" t="str">
            <v>Nga</v>
          </cell>
        </row>
        <row r="915">
          <cell r="D915" t="str">
            <v>Phạm Huy Toàn</v>
          </cell>
          <cell r="AF915" t="str">
            <v>XE00234</v>
          </cell>
          <cell r="AH915">
            <v>9.82</v>
          </cell>
          <cell r="AW915" t="str">
            <v>Phạm Huy Toàn23</v>
          </cell>
          <cell r="AX915" t="str">
            <v>Nga</v>
          </cell>
        </row>
        <row r="916">
          <cell r="D916" t="str">
            <v>Vũ Văn Hiển</v>
          </cell>
          <cell r="AF916" t="str">
            <v>XE00148</v>
          </cell>
          <cell r="AH916">
            <v>8.84</v>
          </cell>
          <cell r="AW916" t="str">
            <v>Vũ Văn Hiển21</v>
          </cell>
          <cell r="AX916" t="str">
            <v>Nga</v>
          </cell>
        </row>
        <row r="917">
          <cell r="D917" t="str">
            <v>Vũ Văn Hiển</v>
          </cell>
          <cell r="AF917" t="str">
            <v>XE00148</v>
          </cell>
          <cell r="AH917">
            <v>9.42</v>
          </cell>
          <cell r="AW917" t="str">
            <v>Vũ Văn Hiển22</v>
          </cell>
          <cell r="AX917" t="str">
            <v>Nga</v>
          </cell>
        </row>
        <row r="918">
          <cell r="D918" t="str">
            <v>Vũ Văn Hiển</v>
          </cell>
          <cell r="AF918" t="str">
            <v>XE00148</v>
          </cell>
          <cell r="AH918">
            <v>9.42</v>
          </cell>
          <cell r="AW918" t="str">
            <v>Vũ Văn Hiển23</v>
          </cell>
          <cell r="AX918" t="str">
            <v>Nga</v>
          </cell>
        </row>
        <row r="919">
          <cell r="D919" t="str">
            <v>Lê Văn Đảm</v>
          </cell>
          <cell r="AF919" t="str">
            <v>XE00187</v>
          </cell>
          <cell r="AH919">
            <v>9.02</v>
          </cell>
          <cell r="AW919" t="str">
            <v>Lê Văn Đảm21</v>
          </cell>
          <cell r="AX919" t="str">
            <v>Nga</v>
          </cell>
        </row>
        <row r="920">
          <cell r="D920" t="str">
            <v>Lê Văn Đảm</v>
          </cell>
          <cell r="AF920" t="str">
            <v>XE00187</v>
          </cell>
          <cell r="AH920">
            <v>9.82</v>
          </cell>
          <cell r="AW920" t="str">
            <v>Lê Văn Đảm22</v>
          </cell>
          <cell r="AX920" t="str">
            <v>Nga</v>
          </cell>
        </row>
        <row r="921">
          <cell r="D921" t="str">
            <v>Lê Văn Đảm</v>
          </cell>
          <cell r="AF921" t="str">
            <v>XE00187</v>
          </cell>
          <cell r="AH921">
            <v>9.42</v>
          </cell>
          <cell r="AW921" t="str">
            <v>Lê Văn Đảm23</v>
          </cell>
          <cell r="AX921" t="str">
            <v>Nga</v>
          </cell>
        </row>
        <row r="922">
          <cell r="D922" t="str">
            <v>Phạm Văn Ký</v>
          </cell>
          <cell r="AF922" t="str">
            <v>XE00257</v>
          </cell>
          <cell r="AH922">
            <v>9.42</v>
          </cell>
          <cell r="AW922" t="str">
            <v>Phạm Văn Ký20</v>
          </cell>
          <cell r="AX922" t="str">
            <v>Nga</v>
          </cell>
        </row>
        <row r="923">
          <cell r="D923" t="str">
            <v>Phạm Văn Ký</v>
          </cell>
          <cell r="AF923" t="str">
            <v>XE00257</v>
          </cell>
          <cell r="AH923">
            <v>9.42</v>
          </cell>
          <cell r="AW923" t="str">
            <v>Phạm Văn Ký21</v>
          </cell>
          <cell r="AX923" t="str">
            <v>Nga</v>
          </cell>
        </row>
        <row r="924">
          <cell r="D924" t="str">
            <v>Phạm Văn Ký</v>
          </cell>
          <cell r="AF924" t="str">
            <v>XE00257</v>
          </cell>
          <cell r="AH924">
            <v>9.82</v>
          </cell>
          <cell r="AW924" t="str">
            <v>Phạm Văn Ký22</v>
          </cell>
          <cell r="AX924" t="str">
            <v>Nga</v>
          </cell>
        </row>
        <row r="925">
          <cell r="D925" t="str">
            <v>Nguyễn Thanh Bình</v>
          </cell>
          <cell r="AF925" t="str">
            <v>XE00825</v>
          </cell>
          <cell r="AH925">
            <v>9.82</v>
          </cell>
          <cell r="AW925" t="str">
            <v>Nguyễn Thanh Bình23</v>
          </cell>
          <cell r="AX925" t="str">
            <v>Nga</v>
          </cell>
        </row>
        <row r="926">
          <cell r="D926" t="str">
            <v>Nguyễn Thanh Bình</v>
          </cell>
          <cell r="AF926" t="str">
            <v>XE00825</v>
          </cell>
          <cell r="AH926">
            <v>9.6199999999999992</v>
          </cell>
          <cell r="AW926" t="str">
            <v>Nguyễn Thanh Bình24</v>
          </cell>
          <cell r="AX926" t="str">
            <v>Nga</v>
          </cell>
        </row>
        <row r="927">
          <cell r="D927" t="str">
            <v>Nguyễn Thanh Bình</v>
          </cell>
          <cell r="AF927" t="str">
            <v>XE00825</v>
          </cell>
          <cell r="AH927">
            <v>9.82</v>
          </cell>
          <cell r="AW927" t="str">
            <v>Nguyễn Thanh Bình25</v>
          </cell>
          <cell r="AX927" t="str">
            <v>Nga</v>
          </cell>
        </row>
        <row r="928">
          <cell r="D928" t="str">
            <v>Ngô Xuân Nam</v>
          </cell>
          <cell r="AF928" t="str">
            <v>XE01669</v>
          </cell>
          <cell r="AH928">
            <v>9.82</v>
          </cell>
          <cell r="AW928" t="str">
            <v>Ngô Xuân Nam22</v>
          </cell>
          <cell r="AX928" t="str">
            <v>Nga</v>
          </cell>
        </row>
        <row r="929">
          <cell r="D929" t="str">
            <v>Ngô Xuân Nam</v>
          </cell>
          <cell r="AF929" t="str">
            <v>XE01669</v>
          </cell>
          <cell r="AH929">
            <v>9.82</v>
          </cell>
          <cell r="AW929" t="str">
            <v>Ngô Xuân Nam23</v>
          </cell>
          <cell r="AX929" t="str">
            <v>Nga</v>
          </cell>
        </row>
        <row r="930">
          <cell r="D930" t="str">
            <v>Ngô Xuân Nam</v>
          </cell>
          <cell r="AF930" t="str">
            <v>XE01669</v>
          </cell>
          <cell r="AH930">
            <v>9.82</v>
          </cell>
          <cell r="AW930" t="str">
            <v>Ngô Xuân Nam24</v>
          </cell>
          <cell r="AX930" t="str">
            <v>Nga</v>
          </cell>
        </row>
        <row r="931">
          <cell r="D931" t="str">
            <v>Ngô Xuân Nam</v>
          </cell>
          <cell r="AF931" t="str">
            <v>XE01669</v>
          </cell>
          <cell r="AH931">
            <v>9.82</v>
          </cell>
          <cell r="AW931" t="str">
            <v>Ngô Xuân Nam25</v>
          </cell>
          <cell r="AX931" t="str">
            <v>Nga</v>
          </cell>
        </row>
        <row r="932">
          <cell r="D932" t="str">
            <v>Nguyễn Đức Phong</v>
          </cell>
          <cell r="AF932" t="str">
            <v>XE00737</v>
          </cell>
          <cell r="AH932">
            <v>9.42</v>
          </cell>
          <cell r="AW932" t="str">
            <v>Nguyễn Đức Phong18</v>
          </cell>
          <cell r="AX932" t="str">
            <v>Nga</v>
          </cell>
        </row>
        <row r="933">
          <cell r="D933" t="str">
            <v>Hoàng Cát Giao</v>
          </cell>
          <cell r="AF933" t="str">
            <v>XE00734</v>
          </cell>
          <cell r="AH933">
            <v>9.42</v>
          </cell>
          <cell r="AW933" t="str">
            <v>Hoàng Cát Giao24</v>
          </cell>
          <cell r="AX933" t="str">
            <v>Nga</v>
          </cell>
        </row>
        <row r="934">
          <cell r="D934" t="str">
            <v>Hoàng Cát Giao</v>
          </cell>
          <cell r="AF934" t="str">
            <v>XE00734</v>
          </cell>
          <cell r="AH934">
            <v>9.82</v>
          </cell>
          <cell r="AW934" t="str">
            <v>Hoàng Cát Giao25</v>
          </cell>
          <cell r="AX934" t="str">
            <v>Nga</v>
          </cell>
        </row>
        <row r="935">
          <cell r="D935" t="str">
            <v>Nguyễn Duy Hà</v>
          </cell>
          <cell r="AF935" t="str">
            <v>XE00799</v>
          </cell>
          <cell r="AH935">
            <v>9.82</v>
          </cell>
          <cell r="AW935" t="str">
            <v>Nguyễn Duy Hà24</v>
          </cell>
          <cell r="AX935" t="str">
            <v>Nga</v>
          </cell>
        </row>
        <row r="936">
          <cell r="D936" t="str">
            <v>Nguyễn Duy Hà</v>
          </cell>
          <cell r="AF936" t="str">
            <v>XE00799</v>
          </cell>
          <cell r="AH936">
            <v>9.82</v>
          </cell>
          <cell r="AW936" t="str">
            <v>Nguyễn Duy Hà25</v>
          </cell>
          <cell r="AX936" t="str">
            <v>Nga</v>
          </cell>
        </row>
        <row r="937">
          <cell r="D937" t="str">
            <v>Vũ Duy Long</v>
          </cell>
          <cell r="AF937" t="str">
            <v>XE00721</v>
          </cell>
          <cell r="AH937">
            <v>9.42</v>
          </cell>
          <cell r="AW937" t="str">
            <v>Vũ Duy Long23</v>
          </cell>
          <cell r="AX937" t="str">
            <v>Nga</v>
          </cell>
        </row>
        <row r="938">
          <cell r="D938" t="str">
            <v>Vũ Duy Long</v>
          </cell>
          <cell r="AF938" t="str">
            <v>XE00721</v>
          </cell>
          <cell r="AH938">
            <v>9.42</v>
          </cell>
          <cell r="AW938" t="str">
            <v>Vũ Duy Long24</v>
          </cell>
          <cell r="AX938" t="str">
            <v>Nga</v>
          </cell>
        </row>
        <row r="939">
          <cell r="D939" t="str">
            <v>Vũ Duy Long</v>
          </cell>
          <cell r="AF939" t="str">
            <v>XE00721</v>
          </cell>
          <cell r="AH939">
            <v>9.82</v>
          </cell>
          <cell r="AW939" t="str">
            <v>Vũ Duy Long25</v>
          </cell>
          <cell r="AX939" t="str">
            <v>Nga</v>
          </cell>
        </row>
        <row r="940">
          <cell r="D940" t="str">
            <v>Phùng Kim Tiến</v>
          </cell>
          <cell r="AF940" t="str">
            <v>XE01242</v>
          </cell>
          <cell r="AH940">
            <v>9.42</v>
          </cell>
          <cell r="AW940" t="str">
            <v>Phùng Kim Tiến23</v>
          </cell>
          <cell r="AX940" t="str">
            <v>Nga</v>
          </cell>
        </row>
        <row r="941">
          <cell r="D941" t="str">
            <v>Phùng Kim Tiến</v>
          </cell>
          <cell r="AF941" t="str">
            <v>XE01242</v>
          </cell>
          <cell r="AH941">
            <v>9.82</v>
          </cell>
          <cell r="AW941" t="str">
            <v>Phùng Kim Tiến24</v>
          </cell>
          <cell r="AX941" t="str">
            <v>Nga</v>
          </cell>
        </row>
        <row r="942">
          <cell r="D942" t="str">
            <v>Phùng Kim Tiến</v>
          </cell>
          <cell r="AF942" t="str">
            <v>XE01242</v>
          </cell>
          <cell r="AH942">
            <v>8.84</v>
          </cell>
          <cell r="AW942" t="str">
            <v>Phùng Kim Tiến25</v>
          </cell>
          <cell r="AX942" t="str">
            <v>Nga</v>
          </cell>
        </row>
        <row r="943">
          <cell r="D943" t="str">
            <v>Nguyễn Quang Tuấn</v>
          </cell>
          <cell r="AF943" t="str">
            <v>XE00813</v>
          </cell>
          <cell r="AH943">
            <v>9.5399999999999991</v>
          </cell>
          <cell r="AW943" t="str">
            <v>Nguyễn Quang Tuấn24</v>
          </cell>
          <cell r="AX943" t="str">
            <v>Nga</v>
          </cell>
        </row>
        <row r="944">
          <cell r="D944" t="str">
            <v>Nguyễn Quang Tuấn</v>
          </cell>
          <cell r="AF944" t="str">
            <v>XE00813</v>
          </cell>
          <cell r="AH944">
            <v>9.02</v>
          </cell>
          <cell r="AW944" t="str">
            <v>Nguyễn Quang Tuấn25</v>
          </cell>
          <cell r="AX944" t="str">
            <v>Nga</v>
          </cell>
        </row>
        <row r="945">
          <cell r="D945" t="str">
            <v>Tưởng Tuấn Nam</v>
          </cell>
          <cell r="AF945" t="str">
            <v>XE00964</v>
          </cell>
          <cell r="AH945">
            <v>9.82</v>
          </cell>
          <cell r="AW945" t="str">
            <v>Tưởng Tuấn Nam23</v>
          </cell>
          <cell r="AX945" t="str">
            <v>Nga</v>
          </cell>
        </row>
        <row r="946">
          <cell r="D946" t="str">
            <v>Tưởng Tuấn Nam</v>
          </cell>
          <cell r="AF946" t="str">
            <v>XE00964</v>
          </cell>
          <cell r="AH946">
            <v>8.84</v>
          </cell>
          <cell r="AW946" t="str">
            <v>Tưởng Tuấn Nam24</v>
          </cell>
          <cell r="AX946" t="str">
            <v>Nga</v>
          </cell>
        </row>
        <row r="947">
          <cell r="D947" t="str">
            <v>Tưởng Tuấn Nam</v>
          </cell>
          <cell r="AF947" t="str">
            <v>XE00964</v>
          </cell>
          <cell r="AH947">
            <v>9.82</v>
          </cell>
          <cell r="AW947" t="str">
            <v>Tưởng Tuấn Nam25</v>
          </cell>
          <cell r="AX947" t="str">
            <v>Nga</v>
          </cell>
        </row>
        <row r="948">
          <cell r="D948" t="str">
            <v>Trương Minh Quân</v>
          </cell>
          <cell r="AF948" t="str">
            <v>XE01077</v>
          </cell>
          <cell r="AH948">
            <v>9.2199999999999989</v>
          </cell>
          <cell r="AW948" t="str">
            <v>Trương Minh Quân23</v>
          </cell>
          <cell r="AX948" t="str">
            <v>Nga</v>
          </cell>
        </row>
        <row r="949">
          <cell r="D949" t="str">
            <v>Trương Minh Quân</v>
          </cell>
          <cell r="AF949" t="str">
            <v>XE01077</v>
          </cell>
          <cell r="AH949">
            <v>9.42</v>
          </cell>
          <cell r="AW949" t="str">
            <v>Trương Minh Quân24</v>
          </cell>
          <cell r="AX949" t="str">
            <v>Nga</v>
          </cell>
        </row>
        <row r="950">
          <cell r="D950" t="str">
            <v>Trương Minh Quân</v>
          </cell>
          <cell r="AF950" t="str">
            <v>XE01077</v>
          </cell>
          <cell r="AH950">
            <v>9.82</v>
          </cell>
          <cell r="AW950" t="str">
            <v>Trương Minh Quân25</v>
          </cell>
          <cell r="AX950" t="str">
            <v>Nga</v>
          </cell>
        </row>
        <row r="951">
          <cell r="D951" t="str">
            <v>Đỗ Văn Phương</v>
          </cell>
          <cell r="AF951" t="str">
            <v>XE01605</v>
          </cell>
          <cell r="AH951">
            <v>9.42</v>
          </cell>
          <cell r="AW951" t="str">
            <v>Đỗ Văn Phương23</v>
          </cell>
          <cell r="AX951" t="str">
            <v>Nga</v>
          </cell>
        </row>
        <row r="952">
          <cell r="D952" t="str">
            <v>Đỗ Văn Phương</v>
          </cell>
          <cell r="AF952" t="str">
            <v>XE01605</v>
          </cell>
          <cell r="AH952">
            <v>9.82</v>
          </cell>
          <cell r="AW952" t="str">
            <v>Đỗ Văn Phương24</v>
          </cell>
          <cell r="AX952" t="str">
            <v>Nga</v>
          </cell>
        </row>
        <row r="953">
          <cell r="D953" t="str">
            <v>Đỗ Văn Phương</v>
          </cell>
          <cell r="AF953" t="str">
            <v>XE01605</v>
          </cell>
          <cell r="AH953">
            <v>9.82</v>
          </cell>
          <cell r="AW953" t="str">
            <v>Đỗ Văn Phương25</v>
          </cell>
          <cell r="AX953" t="str">
            <v>Nga</v>
          </cell>
        </row>
        <row r="954">
          <cell r="D954" t="str">
            <v>Nguyễn Đức Phong</v>
          </cell>
          <cell r="AF954" t="str">
            <v>XE00737</v>
          </cell>
          <cell r="AH954">
            <v>9.82</v>
          </cell>
          <cell r="AW954" t="str">
            <v>Nguyễn Đức Phong19</v>
          </cell>
          <cell r="AX954" t="str">
            <v>Nga</v>
          </cell>
        </row>
        <row r="955">
          <cell r="D955" t="str">
            <v>Nguyễn Đức Phong</v>
          </cell>
          <cell r="AF955" t="str">
            <v>XE00737</v>
          </cell>
          <cell r="AH955">
            <v>9.82</v>
          </cell>
          <cell r="AW955" t="str">
            <v>Nguyễn Đức Phong20</v>
          </cell>
          <cell r="AX955" t="str">
            <v>Nga</v>
          </cell>
        </row>
        <row r="956">
          <cell r="D956" t="str">
            <v>Trần Văn Thiện</v>
          </cell>
          <cell r="AF956" t="str">
            <v>XE00658</v>
          </cell>
          <cell r="AH956">
            <v>9.82</v>
          </cell>
          <cell r="AW956" t="str">
            <v>Trần Văn Thiện24</v>
          </cell>
          <cell r="AX956" t="str">
            <v>Nga</v>
          </cell>
        </row>
        <row r="957">
          <cell r="D957" t="str">
            <v>Trần Văn Thiện</v>
          </cell>
          <cell r="AF957" t="str">
            <v>XE00658</v>
          </cell>
          <cell r="AH957">
            <v>9.42</v>
          </cell>
          <cell r="AW957" t="str">
            <v>Trần Văn Thiện25</v>
          </cell>
          <cell r="AX957" t="str">
            <v>Nga</v>
          </cell>
        </row>
        <row r="958">
          <cell r="D958" t="str">
            <v>Phạm Văn Hà</v>
          </cell>
          <cell r="AF958" t="str">
            <v>XE00063</v>
          </cell>
          <cell r="AH958">
            <v>9.42</v>
          </cell>
          <cell r="AW958" t="str">
            <v>Phạm Văn Hà23</v>
          </cell>
          <cell r="AX958" t="str">
            <v>Nga</v>
          </cell>
        </row>
        <row r="959">
          <cell r="D959" t="str">
            <v>Phạm Văn Hà</v>
          </cell>
          <cell r="AF959" t="str">
            <v>XE00063</v>
          </cell>
          <cell r="AH959">
            <v>9.82</v>
          </cell>
          <cell r="AW959" t="str">
            <v>Phạm Văn Hà24</v>
          </cell>
          <cell r="AX959" t="str">
            <v>Nga</v>
          </cell>
        </row>
        <row r="960">
          <cell r="D960" t="str">
            <v>Phạm Văn Hà</v>
          </cell>
          <cell r="AF960" t="str">
            <v>XE00063</v>
          </cell>
          <cell r="AH960">
            <v>9.6199999999999992</v>
          </cell>
          <cell r="AW960" t="str">
            <v>Phạm Văn Hà25</v>
          </cell>
          <cell r="AX960" t="str">
            <v>Nga</v>
          </cell>
        </row>
        <row r="961">
          <cell r="D961" t="str">
            <v>Phạm Văn Ký</v>
          </cell>
          <cell r="AF961" t="str">
            <v>XE00257</v>
          </cell>
          <cell r="AH961">
            <v>9.42</v>
          </cell>
          <cell r="AW961" t="str">
            <v>Phạm Văn Ký23</v>
          </cell>
          <cell r="AX961" t="str">
            <v>Nga</v>
          </cell>
        </row>
        <row r="962">
          <cell r="D962" t="str">
            <v>Phạm Văn Ký</v>
          </cell>
          <cell r="AF962" t="str">
            <v>XE00257</v>
          </cell>
          <cell r="AH962">
            <v>9.02</v>
          </cell>
          <cell r="AW962" t="str">
            <v>Phạm Văn Ký24</v>
          </cell>
          <cell r="AX962" t="str">
            <v>Nga</v>
          </cell>
        </row>
        <row r="963">
          <cell r="D963" t="str">
            <v>Phạm Văn Ký</v>
          </cell>
          <cell r="AF963" t="str">
            <v>XE00257</v>
          </cell>
          <cell r="AH963">
            <v>8.6199999999999992</v>
          </cell>
          <cell r="AW963" t="str">
            <v>Phạm Văn Ký25</v>
          </cell>
          <cell r="AX963" t="str">
            <v>Nga</v>
          </cell>
        </row>
        <row r="964">
          <cell r="D964" t="str">
            <v>Lê Văn Liệu</v>
          </cell>
          <cell r="AF964" t="str">
            <v>XE00054</v>
          </cell>
          <cell r="AH964">
            <v>9.82</v>
          </cell>
          <cell r="AW964" t="str">
            <v>Lê Văn Liệu24</v>
          </cell>
          <cell r="AX964" t="str">
            <v>Nga</v>
          </cell>
        </row>
        <row r="965">
          <cell r="D965" t="str">
            <v>Lê Văn Liệu</v>
          </cell>
          <cell r="AF965" t="str">
            <v>XE00054</v>
          </cell>
          <cell r="AH965">
            <v>9.42</v>
          </cell>
          <cell r="AW965" t="str">
            <v>Lê Văn Liệu25</v>
          </cell>
          <cell r="AX965" t="str">
            <v>Nga</v>
          </cell>
        </row>
        <row r="966">
          <cell r="D966" t="str">
            <v>Lê Văn Đảm</v>
          </cell>
          <cell r="AF966" t="str">
            <v>XE00187</v>
          </cell>
          <cell r="AH966">
            <v>8.2200000000000006</v>
          </cell>
          <cell r="AW966" t="str">
            <v>Lê Văn Đảm24</v>
          </cell>
          <cell r="AX966" t="str">
            <v>Nga</v>
          </cell>
        </row>
        <row r="967">
          <cell r="D967" t="str">
            <v>Lê Văn Đảm</v>
          </cell>
          <cell r="AF967" t="str">
            <v>XE00187</v>
          </cell>
          <cell r="AH967">
            <v>8.84</v>
          </cell>
          <cell r="AW967" t="str">
            <v>Lê Văn Đảm25</v>
          </cell>
          <cell r="AX967" t="str">
            <v>Nga</v>
          </cell>
        </row>
        <row r="968">
          <cell r="D968" t="str">
            <v>Phạm Huy Toàn</v>
          </cell>
          <cell r="AF968" t="str">
            <v>XE00234</v>
          </cell>
          <cell r="AH968">
            <v>9.6199999999999992</v>
          </cell>
          <cell r="AW968" t="str">
            <v>Phạm Huy Toàn24</v>
          </cell>
          <cell r="AX968" t="str">
            <v>Nga</v>
          </cell>
        </row>
        <row r="969">
          <cell r="D969" t="str">
            <v>Phạm Huy Toàn</v>
          </cell>
          <cell r="AF969" t="str">
            <v>XE00234</v>
          </cell>
          <cell r="AH969">
            <v>9.82</v>
          </cell>
          <cell r="AW969" t="str">
            <v>Phạm Huy Toàn25</v>
          </cell>
          <cell r="AX969" t="str">
            <v>Nga</v>
          </cell>
        </row>
        <row r="970">
          <cell r="D970" t="str">
            <v>Vũ Văn Hiển</v>
          </cell>
          <cell r="AF970" t="str">
            <v>XE00148</v>
          </cell>
          <cell r="AH970">
            <v>9.42</v>
          </cell>
          <cell r="AW970" t="str">
            <v>Vũ Văn Hiển24</v>
          </cell>
          <cell r="AX970" t="str">
            <v>Nga</v>
          </cell>
        </row>
        <row r="971">
          <cell r="D971" t="str">
            <v>Vũ Văn Hiển</v>
          </cell>
          <cell r="AF971" t="str">
            <v>XE00148</v>
          </cell>
          <cell r="AH971">
            <v>9.82</v>
          </cell>
          <cell r="AW971" t="str">
            <v>Vũ Văn Hiển25</v>
          </cell>
          <cell r="AX971" t="str">
            <v>Nga</v>
          </cell>
        </row>
        <row r="972">
          <cell r="D972" t="str">
            <v>Trần Hữu Nam 1972</v>
          </cell>
          <cell r="AF972" t="str">
            <v>XE00033</v>
          </cell>
          <cell r="AH972">
            <v>9.82</v>
          </cell>
          <cell r="AW972" t="str">
            <v>Trần Hữu Nam 19721</v>
          </cell>
          <cell r="AX972" t="str">
            <v>Lương</v>
          </cell>
        </row>
        <row r="973">
          <cell r="D973" t="str">
            <v>Trần Hữu Nam 1972</v>
          </cell>
          <cell r="AF973" t="str">
            <v>XE00033</v>
          </cell>
          <cell r="AH973">
            <v>9.82</v>
          </cell>
          <cell r="AW973" t="str">
            <v>Trần Hữu Nam 19722</v>
          </cell>
          <cell r="AX973" t="str">
            <v>Lương</v>
          </cell>
        </row>
        <row r="974">
          <cell r="D974" t="str">
            <v>Bùi Quý Phúc</v>
          </cell>
          <cell r="AF974" t="str">
            <v>XE00077</v>
          </cell>
          <cell r="AH974">
            <v>9.82</v>
          </cell>
          <cell r="AW974" t="str">
            <v>Bùi Quý Phúc1</v>
          </cell>
          <cell r="AX974" t="str">
            <v>Lương</v>
          </cell>
        </row>
        <row r="975">
          <cell r="D975" t="str">
            <v>Bùi Quý Phúc</v>
          </cell>
          <cell r="AF975" t="str">
            <v>XE00077</v>
          </cell>
          <cell r="AH975">
            <v>9.42</v>
          </cell>
          <cell r="AW975" t="str">
            <v>Bùi Quý Phúc2</v>
          </cell>
          <cell r="AX975" t="str">
            <v>Lương</v>
          </cell>
        </row>
        <row r="976">
          <cell r="D976" t="str">
            <v>Ngô Quốc Hùng</v>
          </cell>
          <cell r="AF976" t="str">
            <v>XE00024</v>
          </cell>
          <cell r="AH976">
            <v>9.42</v>
          </cell>
          <cell r="AW976" t="str">
            <v>Ngô Quốc Hùng1</v>
          </cell>
          <cell r="AX976" t="str">
            <v>Lương</v>
          </cell>
        </row>
        <row r="977">
          <cell r="D977" t="str">
            <v>Ngô Quốc Hùng</v>
          </cell>
          <cell r="AF977" t="str">
            <v>XE00024</v>
          </cell>
          <cell r="AH977">
            <v>9.82</v>
          </cell>
          <cell r="AW977" t="str">
            <v>Ngô Quốc Hùng2</v>
          </cell>
          <cell r="AX977" t="str">
            <v>Lương</v>
          </cell>
        </row>
        <row r="978">
          <cell r="D978" t="str">
            <v>Trần Thanh An</v>
          </cell>
          <cell r="AF978" t="str">
            <v>XE00113</v>
          </cell>
          <cell r="AH978">
            <v>9.42</v>
          </cell>
          <cell r="AW978" t="str">
            <v>Trần Thanh An1</v>
          </cell>
          <cell r="AX978" t="str">
            <v>Lương</v>
          </cell>
        </row>
        <row r="979">
          <cell r="D979" t="str">
            <v>Trần Thanh An</v>
          </cell>
          <cell r="AF979" t="str">
            <v>XE00113</v>
          </cell>
          <cell r="AH979">
            <v>9.82</v>
          </cell>
          <cell r="AW979" t="str">
            <v>Trần Thanh An2</v>
          </cell>
          <cell r="AX979" t="str">
            <v>Lương</v>
          </cell>
        </row>
        <row r="980">
          <cell r="D980" t="str">
            <v>Nguyễn Văn Thế</v>
          </cell>
          <cell r="AF980" t="str">
            <v>XE00600</v>
          </cell>
          <cell r="AH980">
            <v>9.82</v>
          </cell>
          <cell r="AW980" t="str">
            <v>Nguyễn Văn Thế1</v>
          </cell>
          <cell r="AX980" t="str">
            <v>Lương</v>
          </cell>
        </row>
        <row r="981">
          <cell r="D981" t="str">
            <v>Nguyễn Văn Thế</v>
          </cell>
          <cell r="AF981" t="str">
            <v>XE00600</v>
          </cell>
          <cell r="AH981">
            <v>9.82</v>
          </cell>
          <cell r="AW981" t="str">
            <v>Nguyễn Văn Thế2</v>
          </cell>
          <cell r="AX981" t="str">
            <v>Lương</v>
          </cell>
        </row>
        <row r="982">
          <cell r="D982" t="str">
            <v>Hoàng Ngọc Cường</v>
          </cell>
          <cell r="AF982" t="str">
            <v>XE00703</v>
          </cell>
          <cell r="AH982">
            <v>8.84</v>
          </cell>
          <cell r="AW982" t="str">
            <v>Hoàng Ngọc Cường1</v>
          </cell>
          <cell r="AX982" t="str">
            <v>Lương</v>
          </cell>
        </row>
        <row r="983">
          <cell r="D983" t="str">
            <v>Hoàng Ngọc Cường</v>
          </cell>
          <cell r="AF983" t="str">
            <v>XE00703</v>
          </cell>
          <cell r="AH983">
            <v>9.82</v>
          </cell>
          <cell r="AW983" t="str">
            <v>Hoàng Ngọc Cường2</v>
          </cell>
          <cell r="AX983" t="str">
            <v>Lương</v>
          </cell>
        </row>
        <row r="984">
          <cell r="D984" t="str">
            <v>Trần Đình Vượng</v>
          </cell>
          <cell r="AF984" t="str">
            <v>XE01155</v>
          </cell>
          <cell r="AH984">
            <v>9.82</v>
          </cell>
          <cell r="AW984" t="str">
            <v>Trần Đình Vượng1</v>
          </cell>
          <cell r="AX984" t="str">
            <v>Lương</v>
          </cell>
        </row>
        <row r="985">
          <cell r="D985" t="str">
            <v>Trần Đình Vượng</v>
          </cell>
          <cell r="AF985" t="str">
            <v>XE01155</v>
          </cell>
          <cell r="AH985">
            <v>9.82</v>
          </cell>
          <cell r="AW985" t="str">
            <v>Trần Đình Vượng2</v>
          </cell>
          <cell r="AX985" t="str">
            <v>Lương</v>
          </cell>
        </row>
        <row r="986">
          <cell r="D986" t="str">
            <v>Đặng Ngọc Toàn</v>
          </cell>
          <cell r="AF986" t="str">
            <v>XE00138</v>
          </cell>
          <cell r="AH986">
            <v>9.42</v>
          </cell>
          <cell r="AW986" t="str">
            <v>Đặng Ngọc Toàn1</v>
          </cell>
          <cell r="AX986" t="str">
            <v>Lương</v>
          </cell>
        </row>
        <row r="987">
          <cell r="D987" t="str">
            <v>Đặng Ngọc Toàn</v>
          </cell>
          <cell r="AF987" t="str">
            <v>XE00138</v>
          </cell>
          <cell r="AH987">
            <v>8.44</v>
          </cell>
          <cell r="AW987" t="str">
            <v>Đặng Ngọc Toàn2</v>
          </cell>
          <cell r="AX987" t="str">
            <v>Lương</v>
          </cell>
        </row>
        <row r="988">
          <cell r="D988" t="str">
            <v>Nguyễn Ngọc Trường</v>
          </cell>
          <cell r="AF988" t="str">
            <v>XE00240</v>
          </cell>
          <cell r="AH988">
            <v>9.42</v>
          </cell>
          <cell r="AW988" t="str">
            <v>Nguyễn Ngọc Trường1</v>
          </cell>
          <cell r="AX988" t="str">
            <v>Lương</v>
          </cell>
        </row>
        <row r="989">
          <cell r="D989" t="str">
            <v>Nguyễn Ngọc Trường</v>
          </cell>
          <cell r="AF989" t="str">
            <v>XE00240</v>
          </cell>
          <cell r="AH989">
            <v>9.42</v>
          </cell>
          <cell r="AW989" t="str">
            <v>Nguyễn Ngọc Trường2</v>
          </cell>
          <cell r="AX989" t="str">
            <v>Lương</v>
          </cell>
        </row>
        <row r="990">
          <cell r="D990" t="str">
            <v>Tống Văn Nam</v>
          </cell>
          <cell r="AF990" t="str">
            <v>XE00019</v>
          </cell>
          <cell r="AH990">
            <v>9.42</v>
          </cell>
          <cell r="AW990" t="str">
            <v>Tống Văn Nam1</v>
          </cell>
          <cell r="AX990" t="str">
            <v>Lương</v>
          </cell>
        </row>
        <row r="991">
          <cell r="D991" t="str">
            <v>Tống Văn Nam</v>
          </cell>
          <cell r="AF991" t="str">
            <v>XE00019</v>
          </cell>
          <cell r="AH991">
            <v>9.02</v>
          </cell>
          <cell r="AW991" t="str">
            <v>Tống Văn Nam2</v>
          </cell>
          <cell r="AX991" t="str">
            <v>Lương</v>
          </cell>
        </row>
        <row r="992">
          <cell r="D992" t="str">
            <v>Lê Trọng Giáp</v>
          </cell>
          <cell r="AF992" t="str">
            <v>XE00020</v>
          </cell>
          <cell r="AH992">
            <v>9.2199999999999989</v>
          </cell>
          <cell r="AW992" t="str">
            <v>Lê Trọng Giáp1</v>
          </cell>
          <cell r="AX992" t="str">
            <v>Lương</v>
          </cell>
        </row>
        <row r="993">
          <cell r="D993" t="str">
            <v>Lê Trọng Giáp</v>
          </cell>
          <cell r="AF993" t="str">
            <v>XE00020</v>
          </cell>
          <cell r="AH993">
            <v>9.42</v>
          </cell>
          <cell r="AW993" t="str">
            <v>Lê Trọng Giáp2</v>
          </cell>
          <cell r="AX993" t="str">
            <v>Lương</v>
          </cell>
        </row>
        <row r="994">
          <cell r="D994" t="str">
            <v>Phan Đăng Quang</v>
          </cell>
          <cell r="AF994" t="str">
            <v>XE00195</v>
          </cell>
          <cell r="AH994">
            <v>9.82</v>
          </cell>
          <cell r="AW994" t="str">
            <v>Phan Đăng Quang1</v>
          </cell>
          <cell r="AX994" t="str">
            <v>Lương</v>
          </cell>
        </row>
        <row r="995">
          <cell r="D995" t="str">
            <v>Phan Đăng Quang</v>
          </cell>
          <cell r="AF995" t="str">
            <v>XE00195</v>
          </cell>
          <cell r="AH995">
            <v>8.84</v>
          </cell>
          <cell r="AW995" t="str">
            <v>Phan Đăng Quang2</v>
          </cell>
          <cell r="AX995" t="str">
            <v>Lương</v>
          </cell>
        </row>
        <row r="996">
          <cell r="D996" t="str">
            <v>Nguyễn Việt Trung</v>
          </cell>
          <cell r="AF996" t="str">
            <v>XE00137</v>
          </cell>
          <cell r="AH996">
            <v>9.82</v>
          </cell>
          <cell r="AW996" t="str">
            <v>Nguyễn Việt Trung1</v>
          </cell>
          <cell r="AX996" t="str">
            <v>Lương</v>
          </cell>
        </row>
        <row r="997">
          <cell r="D997" t="str">
            <v>Nguyễn Việt Trung</v>
          </cell>
          <cell r="AF997" t="str">
            <v>XE00137</v>
          </cell>
          <cell r="AH997">
            <v>9.82</v>
          </cell>
          <cell r="AW997" t="str">
            <v>Nguyễn Việt Trung2</v>
          </cell>
          <cell r="AX997" t="str">
            <v>Lương</v>
          </cell>
        </row>
        <row r="998">
          <cell r="D998" t="str">
            <v>Trịnh Xuân Đức</v>
          </cell>
          <cell r="AF998" t="str">
            <v>XE00109</v>
          </cell>
          <cell r="AH998">
            <v>9.42</v>
          </cell>
          <cell r="AW998" t="str">
            <v>Trịnh Xuân Đức1</v>
          </cell>
          <cell r="AX998" t="str">
            <v>Lương</v>
          </cell>
        </row>
        <row r="999">
          <cell r="D999" t="str">
            <v>Trịnh Xuân Đức</v>
          </cell>
          <cell r="AF999" t="str">
            <v>XE00109</v>
          </cell>
          <cell r="AH999">
            <v>10</v>
          </cell>
          <cell r="AW999" t="str">
            <v>Trịnh Xuân Đức2</v>
          </cell>
          <cell r="AX999" t="str">
            <v>Lương</v>
          </cell>
        </row>
        <row r="1000">
          <cell r="D1000" t="str">
            <v>Lê Văn Diện</v>
          </cell>
          <cell r="AF1000" t="str">
            <v>XE00098</v>
          </cell>
          <cell r="AH1000">
            <v>9.42</v>
          </cell>
          <cell r="AW1000" t="str">
            <v>Lê Văn Diện1</v>
          </cell>
          <cell r="AX1000" t="str">
            <v>Lương</v>
          </cell>
        </row>
        <row r="1001">
          <cell r="D1001" t="str">
            <v>Lê Văn Diện</v>
          </cell>
          <cell r="AF1001" t="str">
            <v>XE00098</v>
          </cell>
          <cell r="AH1001">
            <v>9.02</v>
          </cell>
          <cell r="AW1001" t="str">
            <v>Lê Văn Diện2</v>
          </cell>
          <cell r="AX1001" t="str">
            <v>Lương</v>
          </cell>
        </row>
        <row r="1002">
          <cell r="D1002" t="str">
            <v>Nguyễn Thành Đạt</v>
          </cell>
          <cell r="AF1002" t="str">
            <v>XE00256</v>
          </cell>
          <cell r="AH1002">
            <v>8.84</v>
          </cell>
          <cell r="AW1002" t="str">
            <v>Nguyễn Thành Đạt1</v>
          </cell>
          <cell r="AX1002" t="str">
            <v>Lương</v>
          </cell>
        </row>
        <row r="1003">
          <cell r="D1003" t="str">
            <v>Nguyễn Thành Đạt</v>
          </cell>
          <cell r="AF1003" t="str">
            <v>XE00256</v>
          </cell>
          <cell r="AH1003">
            <v>9.82</v>
          </cell>
          <cell r="AW1003" t="str">
            <v>Nguyễn Thành Đạt2</v>
          </cell>
          <cell r="AX1003" t="str">
            <v>Lương</v>
          </cell>
        </row>
        <row r="1004">
          <cell r="D1004" t="str">
            <v>Dương Văn Thọ</v>
          </cell>
          <cell r="AF1004" t="str">
            <v>XE00282</v>
          </cell>
          <cell r="AH1004">
            <v>9.82</v>
          </cell>
          <cell r="AW1004" t="str">
            <v>Dương Văn Thọ1</v>
          </cell>
          <cell r="AX1004" t="str">
            <v>Lương</v>
          </cell>
        </row>
        <row r="1005">
          <cell r="D1005" t="str">
            <v>Trần Văn Hạnh</v>
          </cell>
          <cell r="AF1005" t="str">
            <v>XE00290</v>
          </cell>
          <cell r="AH1005">
            <v>9.82</v>
          </cell>
          <cell r="AW1005" t="str">
            <v>Trần Văn Hạnh1</v>
          </cell>
          <cell r="AX1005" t="str">
            <v>Lương</v>
          </cell>
        </row>
        <row r="1006">
          <cell r="D1006" t="str">
            <v>Nguyễn Ngọc Hưng</v>
          </cell>
          <cell r="AF1006" t="str">
            <v>XE00559</v>
          </cell>
          <cell r="AH1006">
            <v>9.02</v>
          </cell>
          <cell r="AW1006" t="str">
            <v>Nguyễn Ngọc Hưng1</v>
          </cell>
          <cell r="AX1006" t="str">
            <v>Lương</v>
          </cell>
        </row>
        <row r="1007">
          <cell r="D1007" t="str">
            <v>Nguyễn Đức Thanh</v>
          </cell>
          <cell r="AF1007" t="str">
            <v>XE00627</v>
          </cell>
          <cell r="AH1007">
            <v>9.5</v>
          </cell>
          <cell r="AW1007" t="str">
            <v>Nguyễn Đức Thanh1</v>
          </cell>
          <cell r="AX1007" t="str">
            <v>Lương</v>
          </cell>
        </row>
        <row r="1008">
          <cell r="D1008" t="str">
            <v>Vũ Việt Hùng</v>
          </cell>
          <cell r="AF1008" t="str">
            <v>XE00812</v>
          </cell>
          <cell r="AH1008">
            <v>9.82</v>
          </cell>
          <cell r="AW1008" t="str">
            <v>Vũ Việt Hùng1</v>
          </cell>
          <cell r="AX1008" t="str">
            <v>Lương</v>
          </cell>
        </row>
        <row r="1009">
          <cell r="D1009" t="str">
            <v>Cù Xuân Duy</v>
          </cell>
          <cell r="AF1009" t="str">
            <v>XE00887</v>
          </cell>
          <cell r="AH1009">
            <v>9.42</v>
          </cell>
          <cell r="AW1009" t="str">
            <v>Cù Xuân Duy1</v>
          </cell>
          <cell r="AX1009" t="str">
            <v>Lương</v>
          </cell>
        </row>
        <row r="1010">
          <cell r="D1010" t="str">
            <v>Phạm Quốc Hội</v>
          </cell>
          <cell r="AF1010" t="str">
            <v>XE01229</v>
          </cell>
          <cell r="AH1010">
            <v>9.42</v>
          </cell>
          <cell r="AW1010" t="str">
            <v>Phạm Quốc Hội1</v>
          </cell>
          <cell r="AX1010" t="str">
            <v>Lương</v>
          </cell>
        </row>
        <row r="1011">
          <cell r="D1011" t="str">
            <v>Trần Đức Toản</v>
          </cell>
          <cell r="AF1011" t="str">
            <v>XE01314</v>
          </cell>
          <cell r="AH1011">
            <v>8.84</v>
          </cell>
          <cell r="AW1011" t="str">
            <v>Trần Đức Toản1</v>
          </cell>
          <cell r="AX1011" t="str">
            <v>Lương</v>
          </cell>
        </row>
        <row r="1012">
          <cell r="D1012" t="str">
            <v>Đặng Hồng Thuỷ</v>
          </cell>
          <cell r="AF1012" t="str">
            <v>XE01385</v>
          </cell>
          <cell r="AH1012">
            <v>9.02</v>
          </cell>
          <cell r="AW1012" t="str">
            <v>Đặng Hồng Thuỷ1</v>
          </cell>
          <cell r="AX1012" t="str">
            <v>Lương</v>
          </cell>
        </row>
        <row r="1013">
          <cell r="D1013" t="str">
            <v>Phạm Thế Anh</v>
          </cell>
          <cell r="AF1013" t="str">
            <v>XE00298</v>
          </cell>
          <cell r="AH1013">
            <v>8.44</v>
          </cell>
          <cell r="AW1013" t="str">
            <v>Phạm Thế Anh1</v>
          </cell>
          <cell r="AX1013" t="str">
            <v>Lương</v>
          </cell>
        </row>
        <row r="1014">
          <cell r="D1014" t="str">
            <v>Nguyễn Xuân Thắng</v>
          </cell>
          <cell r="AF1014" t="str">
            <v>XE00046</v>
          </cell>
          <cell r="AH1014">
            <v>8.84</v>
          </cell>
          <cell r="AW1014" t="str">
            <v>Nguyễn Xuân Thắng1</v>
          </cell>
          <cell r="AX1014" t="str">
            <v>Lương</v>
          </cell>
        </row>
        <row r="1015">
          <cell r="D1015" t="str">
            <v>Nguyễn Thanh Sơn</v>
          </cell>
          <cell r="AF1015" t="str">
            <v>XE01468</v>
          </cell>
          <cell r="AH1015">
            <v>9.82</v>
          </cell>
          <cell r="AW1015" t="str">
            <v>Nguyễn Thanh Sơn1</v>
          </cell>
          <cell r="AX1015" t="str">
            <v>Lương</v>
          </cell>
        </row>
        <row r="1016">
          <cell r="D1016" t="str">
            <v>Phạm Văn Đồng</v>
          </cell>
          <cell r="AF1016" t="str">
            <v>XE01479</v>
          </cell>
          <cell r="AH1016">
            <v>9.42</v>
          </cell>
          <cell r="AW1016" t="str">
            <v>Phạm Văn Đồng1</v>
          </cell>
          <cell r="AX1016" t="str">
            <v>Lương</v>
          </cell>
        </row>
        <row r="1017">
          <cell r="D1017" t="str">
            <v>Phạm Viết Thắng</v>
          </cell>
          <cell r="AF1017" t="str">
            <v>XE01596</v>
          </cell>
          <cell r="AH1017">
            <v>9.82</v>
          </cell>
          <cell r="AW1017" t="str">
            <v>Phạm Viết Thắng1</v>
          </cell>
          <cell r="AX1017" t="str">
            <v>Lương</v>
          </cell>
        </row>
        <row r="1018">
          <cell r="D1018" t="str">
            <v>Phạm Viết Thắng</v>
          </cell>
          <cell r="AF1018" t="str">
            <v>XE01596</v>
          </cell>
          <cell r="AH1018">
            <v>9.42</v>
          </cell>
          <cell r="AW1018" t="str">
            <v>Phạm Viết Thắng2</v>
          </cell>
          <cell r="AX1018" t="str">
            <v>Lương</v>
          </cell>
        </row>
        <row r="1019">
          <cell r="D1019" t="str">
            <v>Phạm Thanh Tùng</v>
          </cell>
          <cell r="AF1019" t="str">
            <v>XE01402</v>
          </cell>
          <cell r="AH1019">
            <v>9.82</v>
          </cell>
          <cell r="AW1019" t="str">
            <v>Phạm Thanh Tùng1</v>
          </cell>
          <cell r="AX1019" t="str">
            <v>Lương</v>
          </cell>
        </row>
        <row r="1020">
          <cell r="D1020" t="str">
            <v>Phạm Thanh Tùng</v>
          </cell>
          <cell r="AF1020" t="str">
            <v>XE01402</v>
          </cell>
          <cell r="AH1020">
            <v>9.2199999999999989</v>
          </cell>
          <cell r="AW1020" t="str">
            <v>Phạm Thanh Tùng2</v>
          </cell>
          <cell r="AX1020" t="str">
            <v>Lương</v>
          </cell>
        </row>
        <row r="1021">
          <cell r="D1021" t="str">
            <v>Nguyễn Hải Nam</v>
          </cell>
          <cell r="AF1021" t="str">
            <v>XE01661</v>
          </cell>
          <cell r="AH1021">
            <v>9.24</v>
          </cell>
          <cell r="AW1021" t="str">
            <v>Nguyễn Hải Nam1</v>
          </cell>
          <cell r="AX1021" t="str">
            <v>Lương</v>
          </cell>
        </row>
        <row r="1022">
          <cell r="D1022" t="str">
            <v>Nguyễn Hải Nam</v>
          </cell>
          <cell r="AF1022" t="str">
            <v>XE01661</v>
          </cell>
          <cell r="AH1022">
            <v>8.84</v>
          </cell>
          <cell r="AW1022" t="str">
            <v>Nguyễn Hải Nam2</v>
          </cell>
          <cell r="AX1022" t="str">
            <v>Lương</v>
          </cell>
        </row>
        <row r="1023">
          <cell r="D1023" t="str">
            <v>Vũ Văn Chín</v>
          </cell>
          <cell r="AF1023" t="str">
            <v>XE01703</v>
          </cell>
          <cell r="AH1023">
            <v>9.8000000000000007</v>
          </cell>
          <cell r="AW1023" t="str">
            <v>Vũ Văn Chín1</v>
          </cell>
          <cell r="AX1023" t="str">
            <v>Lương</v>
          </cell>
        </row>
        <row r="1024">
          <cell r="D1024" t="str">
            <v>Vũ Văn Chín</v>
          </cell>
          <cell r="AF1024" t="str">
            <v>XE01703</v>
          </cell>
          <cell r="AH1024">
            <v>8.24</v>
          </cell>
          <cell r="AW1024" t="str">
            <v>Vũ Văn Chín2</v>
          </cell>
          <cell r="AX1024" t="str">
            <v>Lương</v>
          </cell>
        </row>
        <row r="1025">
          <cell r="D1025" t="str">
            <v>Phạm Văn Tình</v>
          </cell>
          <cell r="AF1025" t="str">
            <v>XE01177</v>
          </cell>
          <cell r="AH1025">
            <v>9.82</v>
          </cell>
          <cell r="AW1025" t="str">
            <v>Phạm Văn Tình1</v>
          </cell>
          <cell r="AX1025" t="str">
            <v>Lương</v>
          </cell>
        </row>
        <row r="1026">
          <cell r="D1026" t="str">
            <v>Phạm Văn Tình</v>
          </cell>
          <cell r="AF1026" t="str">
            <v>XE01177</v>
          </cell>
          <cell r="AH1026">
            <v>9.82</v>
          </cell>
          <cell r="AW1026" t="str">
            <v>Phạm Văn Tình2</v>
          </cell>
          <cell r="AX1026" t="str">
            <v>Lương</v>
          </cell>
        </row>
        <row r="1027">
          <cell r="D1027" t="str">
            <v>Phạm Văn Tuân</v>
          </cell>
          <cell r="AF1027" t="str">
            <v>XE01711</v>
          </cell>
          <cell r="AH1027">
            <v>9.6199999999999992</v>
          </cell>
          <cell r="AW1027" t="str">
            <v>Phạm Văn Tuân1</v>
          </cell>
          <cell r="AX1027" t="str">
            <v>Lương</v>
          </cell>
        </row>
        <row r="1028">
          <cell r="D1028" t="str">
            <v>Phạm Văn Tuân</v>
          </cell>
          <cell r="AF1028" t="str">
            <v>XE01711</v>
          </cell>
          <cell r="AH1028">
            <v>9.82</v>
          </cell>
          <cell r="AW1028" t="str">
            <v>Phạm Văn Tuân2</v>
          </cell>
          <cell r="AX1028" t="str">
            <v>Lương</v>
          </cell>
        </row>
        <row r="1029">
          <cell r="D1029" t="str">
            <v>Bùi Quý Phúc</v>
          </cell>
          <cell r="AF1029" t="str">
            <v>XE00077</v>
          </cell>
          <cell r="AH1029">
            <v>9.2199999999999989</v>
          </cell>
          <cell r="AW1029" t="str">
            <v>Bùi Quý Phúc3</v>
          </cell>
          <cell r="AX1029" t="str">
            <v>Lương</v>
          </cell>
        </row>
        <row r="1030">
          <cell r="D1030" t="str">
            <v>Bùi Quý Phúc</v>
          </cell>
          <cell r="AF1030" t="str">
            <v>XE00077</v>
          </cell>
          <cell r="AH1030">
            <v>9.82</v>
          </cell>
          <cell r="AW1030" t="str">
            <v>Bùi Quý Phúc4</v>
          </cell>
          <cell r="AX1030" t="str">
            <v>Lương</v>
          </cell>
        </row>
        <row r="1031">
          <cell r="D1031" t="str">
            <v>Ngô Quốc Hùng</v>
          </cell>
          <cell r="AF1031" t="str">
            <v>XE00024</v>
          </cell>
          <cell r="AH1031">
            <v>9.02</v>
          </cell>
          <cell r="AW1031" t="str">
            <v>Ngô Quốc Hùng3</v>
          </cell>
          <cell r="AX1031" t="str">
            <v>Lương</v>
          </cell>
        </row>
        <row r="1032">
          <cell r="D1032" t="str">
            <v>Ngô Quốc Hùng</v>
          </cell>
          <cell r="AF1032" t="str">
            <v>XE00024</v>
          </cell>
          <cell r="AH1032">
            <v>9.82</v>
          </cell>
          <cell r="AW1032" t="str">
            <v>Ngô Quốc Hùng4</v>
          </cell>
          <cell r="AX1032" t="str">
            <v>Lương</v>
          </cell>
        </row>
        <row r="1033">
          <cell r="D1033" t="str">
            <v>Vũ Văn Tuyến</v>
          </cell>
          <cell r="AF1033" t="str">
            <v>XE01502</v>
          </cell>
          <cell r="AH1033">
            <v>9.42</v>
          </cell>
          <cell r="AW1033" t="str">
            <v>Vũ Văn Tuyến1</v>
          </cell>
          <cell r="AX1033" t="str">
            <v>Lương</v>
          </cell>
        </row>
        <row r="1034">
          <cell r="D1034" t="str">
            <v>Vũ Văn Tuyến</v>
          </cell>
          <cell r="AF1034" t="str">
            <v>XE01502</v>
          </cell>
          <cell r="AH1034">
            <v>9.82</v>
          </cell>
          <cell r="AW1034" t="str">
            <v>Vũ Văn Tuyến2</v>
          </cell>
          <cell r="AX1034" t="str">
            <v>Lương</v>
          </cell>
        </row>
        <row r="1035">
          <cell r="D1035" t="str">
            <v>Trần Thanh An</v>
          </cell>
          <cell r="AF1035" t="str">
            <v>XE00113</v>
          </cell>
          <cell r="AH1035">
            <v>9.42</v>
          </cell>
          <cell r="AW1035" t="str">
            <v>Trần Thanh An3</v>
          </cell>
          <cell r="AX1035" t="str">
            <v>Lương</v>
          </cell>
        </row>
        <row r="1036">
          <cell r="D1036" t="str">
            <v>Trần Thanh An</v>
          </cell>
          <cell r="AF1036" t="str">
            <v>XE00113</v>
          </cell>
          <cell r="AH1036">
            <v>9.02</v>
          </cell>
          <cell r="AW1036" t="str">
            <v>Trần Thanh An4</v>
          </cell>
          <cell r="AX1036" t="str">
            <v>Lương</v>
          </cell>
        </row>
        <row r="1037">
          <cell r="D1037" t="str">
            <v>Nguyễn Văn Thế</v>
          </cell>
          <cell r="AF1037" t="str">
            <v>XE00600</v>
          </cell>
          <cell r="AH1037">
            <v>9.42</v>
          </cell>
          <cell r="AW1037" t="str">
            <v>Nguyễn Văn Thế3</v>
          </cell>
          <cell r="AX1037" t="str">
            <v>Lương</v>
          </cell>
        </row>
        <row r="1038">
          <cell r="D1038" t="str">
            <v>Trần Đình Vượng</v>
          </cell>
          <cell r="AF1038" t="str">
            <v>XE01155</v>
          </cell>
          <cell r="AH1038">
            <v>9.82</v>
          </cell>
          <cell r="AW1038" t="str">
            <v>Trần Đình Vượng3</v>
          </cell>
          <cell r="AX1038" t="str">
            <v>Lương</v>
          </cell>
        </row>
        <row r="1039">
          <cell r="D1039" t="str">
            <v>Trần Đình Vượng</v>
          </cell>
          <cell r="AF1039" t="str">
            <v>XE01155</v>
          </cell>
          <cell r="AH1039">
            <v>9.82</v>
          </cell>
          <cell r="AW1039" t="str">
            <v>Trần Đình Vượng4</v>
          </cell>
          <cell r="AX1039" t="str">
            <v>Lương</v>
          </cell>
        </row>
        <row r="1040">
          <cell r="D1040" t="str">
            <v>Đặng Ngọc Toàn</v>
          </cell>
          <cell r="AF1040" t="str">
            <v>XE00138</v>
          </cell>
          <cell r="AH1040">
            <v>9.82</v>
          </cell>
          <cell r="AW1040" t="str">
            <v>Đặng Ngọc Toàn3</v>
          </cell>
          <cell r="AX1040" t="str">
            <v>Lương</v>
          </cell>
        </row>
        <row r="1041">
          <cell r="D1041" t="str">
            <v>Nguyễn Việt Trung</v>
          </cell>
          <cell r="AF1041" t="str">
            <v>XE00137</v>
          </cell>
          <cell r="AH1041">
            <v>7.6199999999999992</v>
          </cell>
          <cell r="AW1041" t="str">
            <v>Nguyễn Việt Trung3</v>
          </cell>
          <cell r="AX1041" t="str">
            <v>Lương</v>
          </cell>
        </row>
        <row r="1042">
          <cell r="D1042" t="str">
            <v>Trịnh Xuân Đức</v>
          </cell>
          <cell r="AF1042" t="str">
            <v>XE00109</v>
          </cell>
          <cell r="AH1042">
            <v>9.42</v>
          </cell>
          <cell r="AW1042" t="str">
            <v>Trịnh Xuân Đức3</v>
          </cell>
          <cell r="AX1042" t="str">
            <v>Lương</v>
          </cell>
        </row>
        <row r="1043">
          <cell r="D1043" t="str">
            <v>Trịnh Xuân Đức</v>
          </cell>
          <cell r="AF1043" t="str">
            <v>XE00109</v>
          </cell>
          <cell r="AH1043">
            <v>9.82</v>
          </cell>
          <cell r="AW1043" t="str">
            <v>Trịnh Xuân Đức4</v>
          </cell>
          <cell r="AX1043" t="str">
            <v>Lương</v>
          </cell>
        </row>
        <row r="1044">
          <cell r="D1044" t="str">
            <v>Lê Văn Diện</v>
          </cell>
          <cell r="AF1044" t="str">
            <v>XE00098</v>
          </cell>
          <cell r="AH1044">
            <v>9.02</v>
          </cell>
          <cell r="AW1044" t="str">
            <v>Lê Văn Diện3</v>
          </cell>
          <cell r="AX1044" t="str">
            <v>Lương</v>
          </cell>
        </row>
        <row r="1045">
          <cell r="D1045" t="str">
            <v>Nguyễn Thành Đạt</v>
          </cell>
          <cell r="AF1045" t="str">
            <v>XE00256</v>
          </cell>
          <cell r="AH1045">
            <v>9.82</v>
          </cell>
          <cell r="AW1045" t="str">
            <v>Nguyễn Thành Đạt3</v>
          </cell>
          <cell r="AX1045" t="str">
            <v>Lương</v>
          </cell>
        </row>
        <row r="1046">
          <cell r="D1046" t="str">
            <v>Dương Văn Thọ</v>
          </cell>
          <cell r="AF1046" t="str">
            <v>XE00282</v>
          </cell>
          <cell r="AH1046">
            <v>9.82</v>
          </cell>
          <cell r="AW1046" t="str">
            <v>Dương Văn Thọ2</v>
          </cell>
          <cell r="AX1046" t="str">
            <v>Lương</v>
          </cell>
        </row>
        <row r="1047">
          <cell r="D1047" t="str">
            <v>Dương Văn Thọ</v>
          </cell>
          <cell r="AF1047" t="str">
            <v>XE00282</v>
          </cell>
          <cell r="AH1047">
            <v>9.82</v>
          </cell>
          <cell r="AW1047" t="str">
            <v>Dương Văn Thọ3</v>
          </cell>
          <cell r="AX1047" t="str">
            <v>Lương</v>
          </cell>
        </row>
        <row r="1048">
          <cell r="D1048" t="str">
            <v>Trần Văn Hạnh</v>
          </cell>
          <cell r="AF1048" t="str">
            <v>XE00290</v>
          </cell>
          <cell r="AH1048">
            <v>9.82</v>
          </cell>
          <cell r="AW1048" t="str">
            <v>Trần Văn Hạnh2</v>
          </cell>
          <cell r="AX1048" t="str">
            <v>Lương</v>
          </cell>
        </row>
        <row r="1049">
          <cell r="D1049" t="str">
            <v>Trần Văn Hạnh</v>
          </cell>
          <cell r="AF1049" t="str">
            <v>XE00290</v>
          </cell>
          <cell r="AH1049">
            <v>9.0399999999999991</v>
          </cell>
          <cell r="AW1049" t="str">
            <v>Trần Văn Hạnh3</v>
          </cell>
          <cell r="AX1049" t="str">
            <v>Lương</v>
          </cell>
        </row>
        <row r="1050">
          <cell r="D1050" t="str">
            <v>Nguyễn Ngọc Hưng</v>
          </cell>
          <cell r="AF1050" t="str">
            <v>XE00559</v>
          </cell>
          <cell r="AH1050">
            <v>9.82</v>
          </cell>
          <cell r="AW1050" t="str">
            <v>Nguyễn Ngọc Hưng2</v>
          </cell>
          <cell r="AX1050" t="str">
            <v>Lương</v>
          </cell>
        </row>
        <row r="1051">
          <cell r="D1051" t="str">
            <v>Nguyễn Ngọc Hưng</v>
          </cell>
          <cell r="AF1051" t="str">
            <v>XE00559</v>
          </cell>
          <cell r="AH1051">
            <v>9.82</v>
          </cell>
          <cell r="AW1051" t="str">
            <v>Nguyễn Ngọc Hưng3</v>
          </cell>
          <cell r="AX1051" t="str">
            <v>Lương</v>
          </cell>
        </row>
        <row r="1052">
          <cell r="D1052" t="str">
            <v>Nguyễn Đức Thanh</v>
          </cell>
          <cell r="AF1052" t="str">
            <v>XE00627</v>
          </cell>
          <cell r="AH1052">
            <v>9.6199999999999992</v>
          </cell>
          <cell r="AW1052" t="str">
            <v>Nguyễn Đức Thanh2</v>
          </cell>
          <cell r="AX1052" t="str">
            <v>Lương</v>
          </cell>
        </row>
        <row r="1053">
          <cell r="D1053" t="str">
            <v>Nguyễn Đức Thanh</v>
          </cell>
          <cell r="AF1053" t="str">
            <v>XE00627</v>
          </cell>
          <cell r="AH1053">
            <v>9.82</v>
          </cell>
          <cell r="AW1053" t="str">
            <v>Nguyễn Đức Thanh3</v>
          </cell>
          <cell r="AX1053" t="str">
            <v>Lương</v>
          </cell>
        </row>
        <row r="1054">
          <cell r="D1054" t="str">
            <v>Vũ Việt Hùng</v>
          </cell>
          <cell r="AF1054" t="str">
            <v>XE00812</v>
          </cell>
          <cell r="AH1054">
            <v>9.82</v>
          </cell>
          <cell r="AW1054" t="str">
            <v>Vũ Việt Hùng2</v>
          </cell>
          <cell r="AX1054" t="str">
            <v>Lương</v>
          </cell>
        </row>
        <row r="1055">
          <cell r="D1055" t="str">
            <v>Vũ Việt Hùng</v>
          </cell>
          <cell r="AF1055" t="str">
            <v>XE00812</v>
          </cell>
          <cell r="AH1055">
            <v>9.42</v>
          </cell>
          <cell r="AW1055" t="str">
            <v>Vũ Việt Hùng3</v>
          </cell>
          <cell r="AX1055" t="str">
            <v>Lương</v>
          </cell>
        </row>
        <row r="1056">
          <cell r="D1056" t="str">
            <v>Cù Xuân Duy</v>
          </cell>
          <cell r="AF1056" t="str">
            <v>XE00887</v>
          </cell>
          <cell r="AH1056">
            <v>9.82</v>
          </cell>
          <cell r="AW1056" t="str">
            <v>Cù Xuân Duy2</v>
          </cell>
          <cell r="AX1056" t="str">
            <v>Lương</v>
          </cell>
        </row>
        <row r="1057">
          <cell r="D1057" t="str">
            <v>Cù Xuân Duy</v>
          </cell>
          <cell r="AF1057" t="str">
            <v>XE00887</v>
          </cell>
          <cell r="AH1057">
            <v>8.84</v>
          </cell>
          <cell r="AW1057" t="str">
            <v>Cù Xuân Duy3</v>
          </cell>
          <cell r="AX1057" t="str">
            <v>Lương</v>
          </cell>
        </row>
        <row r="1058">
          <cell r="D1058" t="str">
            <v>Phạm Quốc Hội</v>
          </cell>
          <cell r="AF1058" t="str">
            <v>XE01229</v>
          </cell>
          <cell r="AH1058">
            <v>9.42</v>
          </cell>
          <cell r="AW1058" t="str">
            <v>Phạm Quốc Hội2</v>
          </cell>
          <cell r="AX1058" t="str">
            <v>Lương</v>
          </cell>
        </row>
        <row r="1059">
          <cell r="D1059" t="str">
            <v>Phạm Quốc Hội</v>
          </cell>
          <cell r="AF1059" t="str">
            <v>XE01229</v>
          </cell>
          <cell r="AH1059">
            <v>9.82</v>
          </cell>
          <cell r="AW1059" t="str">
            <v>Phạm Quốc Hội3</v>
          </cell>
          <cell r="AX1059" t="str">
            <v>Lương</v>
          </cell>
        </row>
        <row r="1060">
          <cell r="D1060" t="str">
            <v>Trần Đức Toản</v>
          </cell>
          <cell r="AF1060" t="str">
            <v>XE01314</v>
          </cell>
          <cell r="AH1060">
            <v>9.6199999999999992</v>
          </cell>
          <cell r="AW1060" t="str">
            <v>Trần Đức Toản2</v>
          </cell>
          <cell r="AX1060" t="str">
            <v>Lương</v>
          </cell>
        </row>
        <row r="1061">
          <cell r="D1061" t="str">
            <v>Trần Đức Toản</v>
          </cell>
          <cell r="AF1061" t="str">
            <v>XE01314</v>
          </cell>
          <cell r="AH1061">
            <v>9.42</v>
          </cell>
          <cell r="AW1061" t="str">
            <v>Trần Đức Toản3</v>
          </cell>
          <cell r="AX1061" t="str">
            <v>Lương</v>
          </cell>
        </row>
        <row r="1062">
          <cell r="D1062" t="str">
            <v>Đặng Hồng Thuỷ</v>
          </cell>
          <cell r="AF1062" t="str">
            <v>XE01385</v>
          </cell>
          <cell r="AH1062">
            <v>9.82</v>
          </cell>
          <cell r="AW1062" t="str">
            <v>Đặng Hồng Thuỷ2</v>
          </cell>
          <cell r="AX1062" t="str">
            <v>Lương</v>
          </cell>
        </row>
        <row r="1063">
          <cell r="D1063" t="str">
            <v>Đặng Hồng Thuỷ</v>
          </cell>
          <cell r="AF1063" t="str">
            <v>XE01385</v>
          </cell>
          <cell r="AH1063">
            <v>5.84</v>
          </cell>
          <cell r="AW1063" t="str">
            <v>Đặng Hồng Thuỷ3</v>
          </cell>
          <cell r="AX1063" t="str">
            <v>Lương</v>
          </cell>
        </row>
        <row r="1064">
          <cell r="D1064" t="str">
            <v>Trần Nam</v>
          </cell>
          <cell r="AF1064" t="str">
            <v>XE00130</v>
          </cell>
          <cell r="AH1064">
            <v>9.82</v>
          </cell>
          <cell r="AW1064" t="str">
            <v>Trần Nam1</v>
          </cell>
          <cell r="AX1064" t="str">
            <v>Lương</v>
          </cell>
        </row>
        <row r="1065">
          <cell r="D1065" t="str">
            <v>Trần Nam</v>
          </cell>
          <cell r="AF1065" t="str">
            <v>XE00130</v>
          </cell>
          <cell r="AH1065">
            <v>9.42</v>
          </cell>
          <cell r="AW1065" t="str">
            <v>Trần Nam2</v>
          </cell>
          <cell r="AX1065" t="str">
            <v>Lương</v>
          </cell>
        </row>
        <row r="1066">
          <cell r="D1066" t="str">
            <v>Trần Nam</v>
          </cell>
          <cell r="AF1066" t="str">
            <v>XE00130</v>
          </cell>
          <cell r="AH1066">
            <v>7.6400000000000006</v>
          </cell>
          <cell r="AW1066" t="str">
            <v>Trần Nam3</v>
          </cell>
          <cell r="AX1066" t="str">
            <v>Lương</v>
          </cell>
        </row>
        <row r="1067">
          <cell r="D1067" t="str">
            <v>Phạm Thế Anh</v>
          </cell>
          <cell r="AF1067" t="str">
            <v>XE00298</v>
          </cell>
          <cell r="AH1067">
            <v>9.82</v>
          </cell>
          <cell r="AW1067" t="str">
            <v>Phạm Thế Anh2</v>
          </cell>
          <cell r="AX1067" t="str">
            <v>Lương</v>
          </cell>
        </row>
        <row r="1068">
          <cell r="D1068" t="str">
            <v>Phạm Thế Anh</v>
          </cell>
          <cell r="AF1068" t="str">
            <v>XE00298</v>
          </cell>
          <cell r="AH1068">
            <v>9.64</v>
          </cell>
          <cell r="AW1068" t="str">
            <v>Phạm Thế Anh3</v>
          </cell>
          <cell r="AX1068" t="str">
            <v>Lương</v>
          </cell>
        </row>
        <row r="1069">
          <cell r="D1069" t="str">
            <v>Nguyễn Xuân Thắng</v>
          </cell>
          <cell r="AF1069" t="str">
            <v>XE00046</v>
          </cell>
          <cell r="AH1069">
            <v>7.82</v>
          </cell>
          <cell r="AW1069" t="str">
            <v>Nguyễn Xuân Thắng2</v>
          </cell>
          <cell r="AX1069" t="str">
            <v>Lương</v>
          </cell>
        </row>
        <row r="1070">
          <cell r="D1070" t="str">
            <v>Nguyễn Xuân Thắng</v>
          </cell>
          <cell r="AF1070" t="str">
            <v>XE00046</v>
          </cell>
          <cell r="AH1070">
            <v>9.82</v>
          </cell>
          <cell r="AW1070" t="str">
            <v>Nguyễn Xuân Thắng3</v>
          </cell>
          <cell r="AX1070" t="str">
            <v>Lương</v>
          </cell>
        </row>
        <row r="1071">
          <cell r="D1071" t="str">
            <v>Nguyễn Xuân Thắng</v>
          </cell>
          <cell r="AF1071" t="str">
            <v>XE00046</v>
          </cell>
          <cell r="AH1071">
            <v>9.42</v>
          </cell>
          <cell r="AW1071" t="str">
            <v>Nguyễn Xuân Thắng4</v>
          </cell>
          <cell r="AX1071" t="str">
            <v>Lương</v>
          </cell>
        </row>
        <row r="1072">
          <cell r="D1072" t="str">
            <v>Nguyễn Thanh Sơn</v>
          </cell>
          <cell r="AF1072" t="str">
            <v>XE01468</v>
          </cell>
          <cell r="AH1072">
            <v>9.82</v>
          </cell>
          <cell r="AW1072" t="str">
            <v>Nguyễn Thanh Sơn2</v>
          </cell>
          <cell r="AX1072" t="str">
            <v>Lương</v>
          </cell>
        </row>
        <row r="1073">
          <cell r="D1073" t="str">
            <v>Nguyễn Thanh Sơn</v>
          </cell>
          <cell r="AF1073" t="str">
            <v>XE01468</v>
          </cell>
          <cell r="AH1073">
            <v>8.2200000000000006</v>
          </cell>
          <cell r="AW1073" t="str">
            <v>Nguyễn Thanh Sơn3</v>
          </cell>
          <cell r="AX1073" t="str">
            <v>Lương</v>
          </cell>
        </row>
        <row r="1074">
          <cell r="D1074" t="str">
            <v>Phạm Viết Thắng</v>
          </cell>
          <cell r="AF1074" t="str">
            <v>XE01596</v>
          </cell>
          <cell r="AH1074">
            <v>8.84</v>
          </cell>
          <cell r="AW1074" t="str">
            <v>Phạm Viết Thắng3</v>
          </cell>
          <cell r="AX1074" t="str">
            <v>Lương</v>
          </cell>
        </row>
        <row r="1075">
          <cell r="D1075" t="str">
            <v>Phạm Viết Thắng</v>
          </cell>
          <cell r="AF1075" t="str">
            <v>XE01596</v>
          </cell>
          <cell r="AH1075">
            <v>9.82</v>
          </cell>
          <cell r="AW1075" t="str">
            <v>Phạm Viết Thắng4</v>
          </cell>
          <cell r="AX1075" t="str">
            <v>Lương</v>
          </cell>
        </row>
        <row r="1076">
          <cell r="D1076" t="str">
            <v>Phạm Thanh Tùng</v>
          </cell>
          <cell r="AF1076" t="str">
            <v>XE01402</v>
          </cell>
          <cell r="AH1076">
            <v>9.82</v>
          </cell>
          <cell r="AW1076" t="str">
            <v>Phạm Thanh Tùng3</v>
          </cell>
          <cell r="AX1076" t="str">
            <v>Lương</v>
          </cell>
        </row>
        <row r="1077">
          <cell r="D1077" t="str">
            <v>Phạm Thanh Tùng</v>
          </cell>
          <cell r="AF1077" t="str">
            <v>XE01402</v>
          </cell>
          <cell r="AH1077">
            <v>9.82</v>
          </cell>
          <cell r="AW1077" t="str">
            <v>Phạm Thanh Tùng4</v>
          </cell>
          <cell r="AX1077" t="str">
            <v>Lương</v>
          </cell>
        </row>
        <row r="1078">
          <cell r="D1078" t="str">
            <v>Nguyễn Hải Nam</v>
          </cell>
          <cell r="AF1078" t="str">
            <v>XE01661</v>
          </cell>
          <cell r="AH1078">
            <v>9.82</v>
          </cell>
          <cell r="AW1078" t="str">
            <v>Nguyễn Hải Nam3</v>
          </cell>
          <cell r="AX1078" t="str">
            <v>Lương</v>
          </cell>
        </row>
        <row r="1079">
          <cell r="D1079" t="str">
            <v>Nguyễn Hải Nam</v>
          </cell>
          <cell r="AF1079" t="str">
            <v>XE01661</v>
          </cell>
          <cell r="AH1079">
            <v>9.42</v>
          </cell>
          <cell r="AW1079" t="str">
            <v>Nguyễn Hải Nam4</v>
          </cell>
          <cell r="AX1079" t="str">
            <v>Lương</v>
          </cell>
        </row>
        <row r="1080">
          <cell r="D1080" t="str">
            <v>Vũ Văn Chín</v>
          </cell>
          <cell r="AF1080" t="str">
            <v>XE01703</v>
          </cell>
          <cell r="AH1080">
            <v>9.42</v>
          </cell>
          <cell r="AW1080" t="str">
            <v>Vũ Văn Chín3</v>
          </cell>
          <cell r="AX1080" t="str">
            <v>Lương</v>
          </cell>
        </row>
        <row r="1081">
          <cell r="D1081" t="str">
            <v>Vũ Văn Chín</v>
          </cell>
          <cell r="AF1081" t="str">
            <v>XE01703</v>
          </cell>
          <cell r="AH1081">
            <v>8.44</v>
          </cell>
          <cell r="AW1081" t="str">
            <v>Vũ Văn Chín4</v>
          </cell>
          <cell r="AX1081" t="str">
            <v>Lương</v>
          </cell>
        </row>
        <row r="1082">
          <cell r="D1082" t="str">
            <v>Phạm Văn Tình</v>
          </cell>
          <cell r="AF1082" t="str">
            <v>XE01177</v>
          </cell>
          <cell r="AH1082">
            <v>8.84</v>
          </cell>
          <cell r="AW1082" t="str">
            <v>Phạm Văn Tình3</v>
          </cell>
          <cell r="AX1082" t="str">
            <v>Lương</v>
          </cell>
        </row>
        <row r="1083">
          <cell r="D1083" t="str">
            <v>Phạm Văn Tình</v>
          </cell>
          <cell r="AF1083" t="str">
            <v>XE01177</v>
          </cell>
          <cell r="AH1083">
            <v>9.6199999999999992</v>
          </cell>
          <cell r="AW1083" t="str">
            <v>Phạm Văn Tình4</v>
          </cell>
          <cell r="AX1083" t="str">
            <v>Lương</v>
          </cell>
        </row>
        <row r="1084">
          <cell r="D1084" t="str">
            <v>Phạm Văn Tuân</v>
          </cell>
          <cell r="AF1084" t="str">
            <v>XE01711</v>
          </cell>
          <cell r="AH1084">
            <v>9.42</v>
          </cell>
          <cell r="AW1084" t="str">
            <v>Phạm Văn Tuân3</v>
          </cell>
          <cell r="AX1084" t="str">
            <v>Lương</v>
          </cell>
        </row>
        <row r="1085">
          <cell r="D1085" t="str">
            <v>Phạm Văn Tuân</v>
          </cell>
          <cell r="AF1085" t="str">
            <v>XE01711</v>
          </cell>
          <cell r="AH1085">
            <v>9.82</v>
          </cell>
          <cell r="AW1085" t="str">
            <v>Phạm Văn Tuân4</v>
          </cell>
          <cell r="AX1085" t="str">
            <v>Lương</v>
          </cell>
        </row>
        <row r="1086">
          <cell r="D1086" t="str">
            <v>Bùi Quý Phúc</v>
          </cell>
          <cell r="AF1086" t="str">
            <v>XE00077</v>
          </cell>
          <cell r="AH1086">
            <v>9.42</v>
          </cell>
          <cell r="AW1086" t="str">
            <v>Bùi Quý Phúc5</v>
          </cell>
          <cell r="AX1086" t="str">
            <v>Lương</v>
          </cell>
        </row>
        <row r="1087">
          <cell r="D1087" t="str">
            <v>Bùi Quý Phúc</v>
          </cell>
          <cell r="AF1087" t="str">
            <v>XE00077</v>
          </cell>
          <cell r="AH1087">
            <v>9.82</v>
          </cell>
          <cell r="AW1087" t="str">
            <v>Bùi Quý Phúc6</v>
          </cell>
          <cell r="AX1087" t="str">
            <v>Lương</v>
          </cell>
        </row>
        <row r="1088">
          <cell r="D1088" t="str">
            <v>Phan Đăng Quang</v>
          </cell>
          <cell r="AF1088" t="str">
            <v>XE00195</v>
          </cell>
          <cell r="AH1088">
            <v>7.6800000000000006</v>
          </cell>
          <cell r="AW1088" t="str">
            <v>Phan Đăng Quang3</v>
          </cell>
          <cell r="AX1088" t="str">
            <v>Lương</v>
          </cell>
        </row>
        <row r="1089">
          <cell r="D1089" t="str">
            <v>Phan Đăng Quang</v>
          </cell>
          <cell r="AF1089" t="str">
            <v>XE00195</v>
          </cell>
          <cell r="AH1089">
            <v>9.82</v>
          </cell>
          <cell r="AW1089" t="str">
            <v>Phan Đăng Quang4</v>
          </cell>
          <cell r="AX1089" t="str">
            <v>Lương</v>
          </cell>
        </row>
        <row r="1090">
          <cell r="D1090" t="str">
            <v>Nguyễn Việt Trung</v>
          </cell>
          <cell r="AF1090" t="str">
            <v>XE00137</v>
          </cell>
          <cell r="AH1090">
            <v>9.82</v>
          </cell>
          <cell r="AW1090" t="str">
            <v>Nguyễn Việt Trung4</v>
          </cell>
          <cell r="AX1090" t="str">
            <v>Lương</v>
          </cell>
        </row>
        <row r="1091">
          <cell r="D1091" t="str">
            <v>Nguyễn Việt Trung</v>
          </cell>
          <cell r="AF1091" t="str">
            <v>XE00137</v>
          </cell>
          <cell r="AH1091">
            <v>9.82</v>
          </cell>
          <cell r="AW1091" t="str">
            <v>Nguyễn Việt Trung5</v>
          </cell>
          <cell r="AX1091" t="str">
            <v>Lương</v>
          </cell>
        </row>
        <row r="1092">
          <cell r="D1092" t="str">
            <v>Đặng Ngọc Toàn</v>
          </cell>
          <cell r="AF1092" t="str">
            <v>XE00138</v>
          </cell>
          <cell r="AH1092">
            <v>8.2200000000000006</v>
          </cell>
          <cell r="AW1092" t="str">
            <v>Đặng Ngọc Toàn4</v>
          </cell>
          <cell r="AX1092" t="str">
            <v>Lương</v>
          </cell>
        </row>
        <row r="1093">
          <cell r="D1093" t="str">
            <v>Nguyễn Văn Thế</v>
          </cell>
          <cell r="AF1093" t="str">
            <v>XE00600</v>
          </cell>
          <cell r="AH1093">
            <v>9.2199999999999989</v>
          </cell>
          <cell r="AW1093" t="str">
            <v>Nguyễn Văn Thế4</v>
          </cell>
          <cell r="AX1093" t="str">
            <v>Lương</v>
          </cell>
        </row>
        <row r="1094">
          <cell r="D1094" t="str">
            <v>Trịnh Xuân Đức</v>
          </cell>
          <cell r="AF1094" t="str">
            <v>XE00109</v>
          </cell>
          <cell r="AH1094">
            <v>9.82</v>
          </cell>
          <cell r="AW1094" t="str">
            <v>Trịnh Xuân Đức5</v>
          </cell>
          <cell r="AX1094" t="str">
            <v>Lương</v>
          </cell>
        </row>
        <row r="1095">
          <cell r="D1095" t="str">
            <v>Trịnh Xuân Đức</v>
          </cell>
          <cell r="AF1095" t="str">
            <v>XE00109</v>
          </cell>
          <cell r="AH1095">
            <v>9.02</v>
          </cell>
          <cell r="AW1095" t="str">
            <v>Trịnh Xuân Đức6</v>
          </cell>
          <cell r="AX1095" t="str">
            <v>Lương</v>
          </cell>
        </row>
        <row r="1096">
          <cell r="D1096" t="str">
            <v>Lê Văn Diện</v>
          </cell>
          <cell r="AF1096" t="str">
            <v>XE00098</v>
          </cell>
          <cell r="AH1096">
            <v>8.84</v>
          </cell>
          <cell r="AW1096" t="str">
            <v>Lê Văn Diện4</v>
          </cell>
          <cell r="AX1096" t="str">
            <v>Lương</v>
          </cell>
        </row>
        <row r="1097">
          <cell r="D1097" t="str">
            <v>Lê Văn Diện</v>
          </cell>
          <cell r="AF1097" t="str">
            <v>XE00098</v>
          </cell>
          <cell r="AH1097">
            <v>9.6</v>
          </cell>
          <cell r="AW1097" t="str">
            <v>Lê Văn Diện5</v>
          </cell>
          <cell r="AX1097" t="str">
            <v>Lương</v>
          </cell>
        </row>
        <row r="1098">
          <cell r="D1098" t="str">
            <v>Nguyễn Thành Đạt</v>
          </cell>
          <cell r="AF1098" t="str">
            <v>XE00256</v>
          </cell>
          <cell r="AH1098">
            <v>9.7199999999999989</v>
          </cell>
          <cell r="AW1098" t="str">
            <v>Nguyễn Thành Đạt4</v>
          </cell>
          <cell r="AX1098" t="str">
            <v>Lương</v>
          </cell>
        </row>
        <row r="1099">
          <cell r="D1099" t="str">
            <v>Nguyễn Thành Đạt</v>
          </cell>
          <cell r="AF1099" t="str">
            <v>XE00256</v>
          </cell>
          <cell r="AH1099">
            <v>8.2200000000000006</v>
          </cell>
          <cell r="AW1099" t="str">
            <v>Nguyễn Thành Đạt5</v>
          </cell>
          <cell r="AX1099" t="str">
            <v>Lương</v>
          </cell>
        </row>
        <row r="1100">
          <cell r="D1100" t="str">
            <v>Dương Văn Thọ</v>
          </cell>
          <cell r="AF1100" t="str">
            <v>XE00282</v>
          </cell>
          <cell r="AH1100">
            <v>9.82</v>
          </cell>
          <cell r="AW1100" t="str">
            <v>Dương Văn Thọ4</v>
          </cell>
          <cell r="AX1100" t="str">
            <v>Lương</v>
          </cell>
        </row>
        <row r="1101">
          <cell r="D1101" t="str">
            <v>Dương Văn Thọ</v>
          </cell>
          <cell r="AF1101" t="str">
            <v>XE00282</v>
          </cell>
          <cell r="AH1101">
            <v>9.42</v>
          </cell>
          <cell r="AW1101" t="str">
            <v>Dương Văn Thọ5</v>
          </cell>
          <cell r="AX1101" t="str">
            <v>Lương</v>
          </cell>
        </row>
        <row r="1102">
          <cell r="D1102" t="str">
            <v>Trần Văn Hạnh</v>
          </cell>
          <cell r="AF1102" t="str">
            <v>XE00290</v>
          </cell>
          <cell r="AH1102">
            <v>9.82</v>
          </cell>
          <cell r="AW1102" t="str">
            <v>Trần Văn Hạnh4</v>
          </cell>
          <cell r="AX1102" t="str">
            <v>Lương</v>
          </cell>
        </row>
        <row r="1103">
          <cell r="D1103" t="str">
            <v>Trần Văn Hạnh</v>
          </cell>
          <cell r="AF1103" t="str">
            <v>XE00290</v>
          </cell>
          <cell r="AH1103">
            <v>9.42</v>
          </cell>
          <cell r="AW1103" t="str">
            <v>Trần Văn Hạnh5</v>
          </cell>
          <cell r="AX1103" t="str">
            <v>Lương</v>
          </cell>
        </row>
        <row r="1104">
          <cell r="D1104" t="str">
            <v>Nguyễn Ngọc Hưng</v>
          </cell>
          <cell r="AF1104" t="str">
            <v>XE00559</v>
          </cell>
          <cell r="AH1104">
            <v>9.6199999999999992</v>
          </cell>
          <cell r="AW1104" t="str">
            <v>Nguyễn Ngọc Hưng4</v>
          </cell>
          <cell r="AX1104" t="str">
            <v>Lương</v>
          </cell>
        </row>
        <row r="1105">
          <cell r="D1105" t="str">
            <v>Nguyễn Ngọc Hưng</v>
          </cell>
          <cell r="AF1105" t="str">
            <v>XE00559</v>
          </cell>
          <cell r="AH1105">
            <v>9.82</v>
          </cell>
          <cell r="AW1105" t="str">
            <v>Nguyễn Ngọc Hưng5</v>
          </cell>
          <cell r="AX1105" t="str">
            <v>Lương</v>
          </cell>
        </row>
        <row r="1106">
          <cell r="D1106" t="str">
            <v>Nguyễn Đức Thanh</v>
          </cell>
          <cell r="AF1106" t="str">
            <v>XE00627</v>
          </cell>
          <cell r="AH1106">
            <v>9.42</v>
          </cell>
          <cell r="AW1106" t="str">
            <v>Nguyễn Đức Thanh4</v>
          </cell>
          <cell r="AX1106" t="str">
            <v>Lương</v>
          </cell>
        </row>
        <row r="1107">
          <cell r="D1107" t="str">
            <v>Nguyễn Đức Thanh</v>
          </cell>
          <cell r="AF1107" t="str">
            <v>XE00627</v>
          </cell>
          <cell r="AH1107">
            <v>9.02</v>
          </cell>
          <cell r="AW1107" t="str">
            <v>Nguyễn Đức Thanh5</v>
          </cell>
          <cell r="AX1107" t="str">
            <v>Lương</v>
          </cell>
        </row>
        <row r="1108">
          <cell r="D1108" t="str">
            <v>Vũ Việt Hùng</v>
          </cell>
          <cell r="AF1108" t="str">
            <v>XE00812</v>
          </cell>
          <cell r="AH1108">
            <v>9.82</v>
          </cell>
          <cell r="AW1108" t="str">
            <v>Vũ Việt Hùng4</v>
          </cell>
          <cell r="AX1108" t="str">
            <v>Lương</v>
          </cell>
        </row>
        <row r="1109">
          <cell r="D1109" t="str">
            <v>Vũ Việt Hùng</v>
          </cell>
          <cell r="AF1109" t="str">
            <v>XE00812</v>
          </cell>
          <cell r="AH1109">
            <v>9.82</v>
          </cell>
          <cell r="AW1109" t="str">
            <v>Vũ Việt Hùng5</v>
          </cell>
          <cell r="AX1109" t="str">
            <v>Lương</v>
          </cell>
        </row>
        <row r="1110">
          <cell r="D1110" t="str">
            <v>Cù Xuân Duy</v>
          </cell>
          <cell r="AF1110" t="str">
            <v>XE00887</v>
          </cell>
          <cell r="AH1110">
            <v>9.42</v>
          </cell>
          <cell r="AW1110" t="str">
            <v>Cù Xuân Duy4</v>
          </cell>
          <cell r="AX1110" t="str">
            <v>Lương</v>
          </cell>
        </row>
        <row r="1111">
          <cell r="D1111" t="str">
            <v>Cù Xuân Duy</v>
          </cell>
          <cell r="AF1111" t="str">
            <v>XE00887</v>
          </cell>
          <cell r="AH1111">
            <v>9.42</v>
          </cell>
          <cell r="AW1111" t="str">
            <v>Cù Xuân Duy5</v>
          </cell>
          <cell r="AX1111" t="str">
            <v>Lương</v>
          </cell>
        </row>
        <row r="1112">
          <cell r="D1112" t="str">
            <v>Phạm Quốc Hội</v>
          </cell>
          <cell r="AF1112" t="str">
            <v>XE01229</v>
          </cell>
          <cell r="AH1112">
            <v>9.82</v>
          </cell>
          <cell r="AW1112" t="str">
            <v>Phạm Quốc Hội4</v>
          </cell>
          <cell r="AX1112" t="str">
            <v>Lương</v>
          </cell>
        </row>
        <row r="1113">
          <cell r="D1113" t="str">
            <v>Phạm Quốc Hội</v>
          </cell>
          <cell r="AF1113" t="str">
            <v>XE01229</v>
          </cell>
          <cell r="AH1113">
            <v>9.42</v>
          </cell>
          <cell r="AW1113" t="str">
            <v>Phạm Quốc Hội5</v>
          </cell>
          <cell r="AX1113" t="str">
            <v>Lương</v>
          </cell>
        </row>
        <row r="1114">
          <cell r="D1114" t="str">
            <v>Đặng Hồng Thuỷ</v>
          </cell>
          <cell r="AF1114" t="str">
            <v>XE01385</v>
          </cell>
          <cell r="AH1114">
            <v>9.82</v>
          </cell>
          <cell r="AW1114" t="str">
            <v>Đặng Hồng Thuỷ4</v>
          </cell>
          <cell r="AX1114" t="str">
            <v>Lương</v>
          </cell>
        </row>
        <row r="1115">
          <cell r="D1115" t="str">
            <v>Đặng Hồng Thuỷ</v>
          </cell>
          <cell r="AF1115" t="str">
            <v>XE01385</v>
          </cell>
          <cell r="AH1115">
            <v>7.6400000000000006</v>
          </cell>
          <cell r="AW1115" t="str">
            <v>Đặng Hồng Thuỷ5</v>
          </cell>
          <cell r="AX1115" t="str">
            <v>Lương</v>
          </cell>
        </row>
        <row r="1116">
          <cell r="D1116" t="str">
            <v>Trần Nam</v>
          </cell>
          <cell r="AF1116" t="str">
            <v>XE00130</v>
          </cell>
          <cell r="AH1116">
            <v>9.42</v>
          </cell>
          <cell r="AW1116" t="str">
            <v>Trần Nam4</v>
          </cell>
          <cell r="AX1116" t="str">
            <v>Lương</v>
          </cell>
        </row>
        <row r="1117">
          <cell r="D1117" t="str">
            <v>Phạm Thế Anh</v>
          </cell>
          <cell r="AF1117" t="str">
            <v>XE00298</v>
          </cell>
          <cell r="AH1117">
            <v>9.82</v>
          </cell>
          <cell r="AW1117" t="str">
            <v>Phạm Thế Anh4</v>
          </cell>
          <cell r="AX1117" t="str">
            <v>Lương</v>
          </cell>
        </row>
        <row r="1118">
          <cell r="D1118" t="str">
            <v>Phạm Thế Anh</v>
          </cell>
          <cell r="AF1118" t="str">
            <v>XE00298</v>
          </cell>
          <cell r="AH1118">
            <v>8.44</v>
          </cell>
          <cell r="AW1118" t="str">
            <v>Phạm Thế Anh5</v>
          </cell>
          <cell r="AX1118" t="str">
            <v>Lương</v>
          </cell>
        </row>
        <row r="1119">
          <cell r="D1119" t="str">
            <v>Nguyễn Xuân Thắng</v>
          </cell>
          <cell r="AF1119" t="str">
            <v>XE00046</v>
          </cell>
          <cell r="AH1119">
            <v>9.42</v>
          </cell>
          <cell r="AW1119" t="str">
            <v>Nguyễn Xuân Thắng5</v>
          </cell>
          <cell r="AX1119" t="str">
            <v>Lương</v>
          </cell>
        </row>
        <row r="1120">
          <cell r="D1120" t="str">
            <v>Nguyễn Xuân Thắng</v>
          </cell>
          <cell r="AF1120" t="str">
            <v>XE00046</v>
          </cell>
          <cell r="AH1120">
            <v>8.44</v>
          </cell>
          <cell r="AW1120" t="str">
            <v>Nguyễn Xuân Thắng6</v>
          </cell>
          <cell r="AX1120" t="str">
            <v>Lương</v>
          </cell>
        </row>
        <row r="1121">
          <cell r="D1121" t="str">
            <v>Nguyễn Thanh Sơn</v>
          </cell>
          <cell r="AF1121" t="str">
            <v>XE01468</v>
          </cell>
          <cell r="AH1121">
            <v>9.82</v>
          </cell>
          <cell r="AW1121" t="str">
            <v>Nguyễn Thanh Sơn4</v>
          </cell>
          <cell r="AX1121" t="str">
            <v>Lương</v>
          </cell>
        </row>
        <row r="1122">
          <cell r="D1122" t="str">
            <v>Nguyễn Thanh Sơn</v>
          </cell>
          <cell r="AF1122" t="str">
            <v>XE01468</v>
          </cell>
          <cell r="AH1122">
            <v>9.82</v>
          </cell>
          <cell r="AW1122" t="str">
            <v>Nguyễn Thanh Sơn5</v>
          </cell>
          <cell r="AX1122" t="str">
            <v>Lương</v>
          </cell>
        </row>
        <row r="1123">
          <cell r="D1123" t="str">
            <v>Phạm Văn Đồng</v>
          </cell>
          <cell r="AF1123" t="str">
            <v>XE01479</v>
          </cell>
          <cell r="AH1123">
            <v>9.42</v>
          </cell>
          <cell r="AW1123" t="str">
            <v>Phạm Văn Đồng2</v>
          </cell>
          <cell r="AX1123" t="str">
            <v>Lương</v>
          </cell>
        </row>
        <row r="1124">
          <cell r="D1124" t="str">
            <v>Phạm Văn Đồng</v>
          </cell>
          <cell r="AF1124" t="str">
            <v>XE01479</v>
          </cell>
          <cell r="AH1124">
            <v>9.42</v>
          </cell>
          <cell r="AW1124" t="str">
            <v>Phạm Văn Đồng3</v>
          </cell>
          <cell r="AX1124" t="str">
            <v>Lương</v>
          </cell>
        </row>
        <row r="1125">
          <cell r="D1125" t="str">
            <v>Phạm Văn Đồng</v>
          </cell>
          <cell r="AF1125" t="str">
            <v>XE01479</v>
          </cell>
          <cell r="AH1125">
            <v>9.82</v>
          </cell>
          <cell r="AW1125" t="str">
            <v>Phạm Văn Đồng4</v>
          </cell>
          <cell r="AX1125" t="str">
            <v>Lương</v>
          </cell>
        </row>
        <row r="1126">
          <cell r="D1126" t="str">
            <v>Vũ Văn Tuyến</v>
          </cell>
          <cell r="AF1126" t="str">
            <v>XE01502</v>
          </cell>
          <cell r="AH1126">
            <v>9.42</v>
          </cell>
          <cell r="AW1126" t="str">
            <v>Vũ Văn Tuyến3</v>
          </cell>
          <cell r="AX1126" t="str">
            <v>Lương</v>
          </cell>
        </row>
        <row r="1127">
          <cell r="D1127" t="str">
            <v>Vũ Văn Tuyến</v>
          </cell>
          <cell r="AF1127" t="str">
            <v>XE01502</v>
          </cell>
          <cell r="AH1127">
            <v>9.02</v>
          </cell>
          <cell r="AW1127" t="str">
            <v>Vũ Văn Tuyến4</v>
          </cell>
          <cell r="AX1127" t="str">
            <v>Lương</v>
          </cell>
        </row>
        <row r="1128">
          <cell r="D1128" t="str">
            <v>Trần Hữu Nam 1972</v>
          </cell>
          <cell r="AF1128" t="str">
            <v>XE00033</v>
          </cell>
          <cell r="AH1128">
            <v>9.42</v>
          </cell>
          <cell r="AW1128" t="str">
            <v>Trần Hữu Nam 19723</v>
          </cell>
          <cell r="AX1128" t="str">
            <v>Lương</v>
          </cell>
        </row>
        <row r="1129">
          <cell r="D1129" t="str">
            <v>Trần Hữu Nam 1972</v>
          </cell>
          <cell r="AF1129" t="str">
            <v>XE00033</v>
          </cell>
          <cell r="AH1129">
            <v>9.02</v>
          </cell>
          <cell r="AW1129" t="str">
            <v>Trần Hữu Nam 19724</v>
          </cell>
          <cell r="AX1129" t="str">
            <v>Lương</v>
          </cell>
        </row>
        <row r="1130">
          <cell r="D1130" t="str">
            <v>Tống Văn Nam</v>
          </cell>
          <cell r="AF1130" t="str">
            <v>XE00019</v>
          </cell>
          <cell r="AH1130">
            <v>9.82</v>
          </cell>
          <cell r="AW1130" t="str">
            <v>Tống Văn Nam3</v>
          </cell>
          <cell r="AX1130" t="str">
            <v>Lương</v>
          </cell>
        </row>
        <row r="1131">
          <cell r="D1131" t="str">
            <v>Tống Văn Nam</v>
          </cell>
          <cell r="AF1131" t="str">
            <v>XE00019</v>
          </cell>
          <cell r="AH1131">
            <v>7.6400000000000006</v>
          </cell>
          <cell r="AW1131" t="str">
            <v>Tống Văn Nam4</v>
          </cell>
          <cell r="AX1131" t="str">
            <v>Lương</v>
          </cell>
        </row>
        <row r="1132">
          <cell r="D1132" t="str">
            <v>Nguyễn Ngọc Trường</v>
          </cell>
          <cell r="AF1132" t="str">
            <v>XE00240</v>
          </cell>
          <cell r="AH1132">
            <v>9.42</v>
          </cell>
          <cell r="AW1132" t="str">
            <v>Nguyễn Ngọc Trường3</v>
          </cell>
          <cell r="AX1132" t="str">
            <v>Lương</v>
          </cell>
        </row>
        <row r="1133">
          <cell r="D1133" t="str">
            <v>Nguyễn Ngọc Trường</v>
          </cell>
          <cell r="AF1133" t="str">
            <v>XE00240</v>
          </cell>
          <cell r="AH1133">
            <v>9.42</v>
          </cell>
          <cell r="AW1133" t="str">
            <v>Nguyễn Ngọc Trường4</v>
          </cell>
          <cell r="AX1133" t="str">
            <v>Lương</v>
          </cell>
        </row>
        <row r="1134">
          <cell r="D1134" t="str">
            <v>Phạm Viết Thắng</v>
          </cell>
          <cell r="AF1134" t="str">
            <v>XE01596</v>
          </cell>
          <cell r="AH1134">
            <v>9.6199999999999992</v>
          </cell>
          <cell r="AW1134" t="str">
            <v>Phạm Viết Thắng5</v>
          </cell>
          <cell r="AX1134" t="str">
            <v>Lương</v>
          </cell>
        </row>
        <row r="1135">
          <cell r="D1135" t="str">
            <v>Phạm Thanh Tùng</v>
          </cell>
          <cell r="AF1135" t="str">
            <v>XE01402</v>
          </cell>
          <cell r="AH1135">
            <v>9.42</v>
          </cell>
          <cell r="AW1135" t="str">
            <v>Phạm Thanh Tùng5</v>
          </cell>
          <cell r="AX1135" t="str">
            <v>Lương</v>
          </cell>
        </row>
        <row r="1136">
          <cell r="D1136" t="str">
            <v>Nguyễn Hải Nam</v>
          </cell>
          <cell r="AF1136" t="str">
            <v>XE01661</v>
          </cell>
          <cell r="AH1136">
            <v>9.2199999999999989</v>
          </cell>
          <cell r="AW1136" t="str">
            <v>Nguyễn Hải Nam5</v>
          </cell>
          <cell r="AX1136" t="str">
            <v>Lương</v>
          </cell>
        </row>
        <row r="1137">
          <cell r="D1137" t="str">
            <v>Vũ Văn Chín</v>
          </cell>
          <cell r="AF1137" t="str">
            <v>XE01703</v>
          </cell>
          <cell r="AH1137">
            <v>9.42</v>
          </cell>
          <cell r="AW1137" t="str">
            <v>Vũ Văn Chín5</v>
          </cell>
          <cell r="AX1137" t="str">
            <v>Lương</v>
          </cell>
        </row>
        <row r="1138">
          <cell r="D1138" t="str">
            <v>Hoàng Mạnh Tú</v>
          </cell>
          <cell r="AF1138" t="str">
            <v>XE00406</v>
          </cell>
          <cell r="AH1138">
            <v>9.0399999999999991</v>
          </cell>
          <cell r="AW1138" t="str">
            <v>Hoàng Mạnh Tú1</v>
          </cell>
          <cell r="AX1138" t="str">
            <v>Lương</v>
          </cell>
        </row>
        <row r="1139">
          <cell r="D1139" t="str">
            <v>Hoàng Mạnh Tú</v>
          </cell>
          <cell r="AF1139" t="str">
            <v>XE00406</v>
          </cell>
          <cell r="AH1139">
            <v>9.82</v>
          </cell>
          <cell r="AW1139" t="str">
            <v>Hoàng Mạnh Tú2</v>
          </cell>
          <cell r="AX1139" t="str">
            <v>Lương</v>
          </cell>
        </row>
        <row r="1140">
          <cell r="D1140" t="str">
            <v>Hoàng Mạnh Tú</v>
          </cell>
          <cell r="AF1140" t="str">
            <v>XE00406</v>
          </cell>
          <cell r="AH1140">
            <v>9.42</v>
          </cell>
          <cell r="AW1140" t="str">
            <v>Hoàng Mạnh Tú3</v>
          </cell>
          <cell r="AX1140" t="str">
            <v>Lương</v>
          </cell>
        </row>
        <row r="1141">
          <cell r="D1141" t="str">
            <v>Lê Hữu Bích</v>
          </cell>
          <cell r="AF1141" t="str">
            <v>XE00050</v>
          </cell>
          <cell r="AH1141">
            <v>8.44</v>
          </cell>
          <cell r="AW1141" t="str">
            <v>Lê Hữu Bích1</v>
          </cell>
          <cell r="AX1141" t="str">
            <v>Lương</v>
          </cell>
        </row>
        <row r="1142">
          <cell r="D1142" t="str">
            <v>Lê Hữu Bích</v>
          </cell>
          <cell r="AF1142" t="str">
            <v>XE00050</v>
          </cell>
          <cell r="AH1142">
            <v>9.82</v>
          </cell>
          <cell r="AW1142" t="str">
            <v>Lê Hữu Bích2</v>
          </cell>
          <cell r="AX1142" t="str">
            <v>Lương</v>
          </cell>
        </row>
        <row r="1143">
          <cell r="D1143" t="str">
            <v>Lê Hữu Bích</v>
          </cell>
          <cell r="AF1143" t="str">
            <v>XE00050</v>
          </cell>
          <cell r="AH1143">
            <v>9.42</v>
          </cell>
          <cell r="AW1143" t="str">
            <v>Lê Hữu Bích3</v>
          </cell>
          <cell r="AX1143" t="str">
            <v>Lương</v>
          </cell>
        </row>
        <row r="1144">
          <cell r="D1144" t="str">
            <v>Ngô Quốc Hùng</v>
          </cell>
          <cell r="AF1144" t="str">
            <v>XE00024</v>
          </cell>
          <cell r="AH1144">
            <v>8.6199999999999992</v>
          </cell>
          <cell r="AW1144" t="str">
            <v>Ngô Quốc Hùng5</v>
          </cell>
          <cell r="AX1144" t="str">
            <v>Lương</v>
          </cell>
        </row>
        <row r="1145">
          <cell r="D1145" t="str">
            <v>Trần Thanh An</v>
          </cell>
          <cell r="AF1145" t="str">
            <v>XE00113</v>
          </cell>
          <cell r="AH1145">
            <v>9.82</v>
          </cell>
          <cell r="AW1145" t="str">
            <v>Trần Thanh An5</v>
          </cell>
          <cell r="AX1145" t="str">
            <v>Lương</v>
          </cell>
        </row>
        <row r="1146">
          <cell r="D1146" t="str">
            <v>Nguyễn Văn Thế</v>
          </cell>
          <cell r="AF1146" t="str">
            <v>XE00600</v>
          </cell>
          <cell r="AH1146">
            <v>9.82</v>
          </cell>
          <cell r="AW1146" t="str">
            <v>Nguyễn Văn Thế5</v>
          </cell>
          <cell r="AX1146" t="str">
            <v>Lương</v>
          </cell>
        </row>
        <row r="1147">
          <cell r="D1147" t="str">
            <v>Trần Đình Vượng</v>
          </cell>
          <cell r="AF1147" t="str">
            <v>XE01155</v>
          </cell>
          <cell r="AH1147">
            <v>9.42</v>
          </cell>
          <cell r="AW1147" t="str">
            <v>Trần Đình Vượng5</v>
          </cell>
          <cell r="AX1147" t="str">
            <v>Lương</v>
          </cell>
        </row>
        <row r="1148">
          <cell r="D1148" t="str">
            <v>Đặng Ngọc Toàn</v>
          </cell>
          <cell r="AF1148" t="str">
            <v>XE00138</v>
          </cell>
          <cell r="AH1148">
            <v>9.82</v>
          </cell>
          <cell r="AW1148" t="str">
            <v>Đặng Ngọc Toàn5</v>
          </cell>
          <cell r="AX1148" t="str">
            <v>Lương</v>
          </cell>
        </row>
        <row r="1149">
          <cell r="D1149" t="str">
            <v>Nguyễn Ngọc Trường</v>
          </cell>
          <cell r="AF1149" t="str">
            <v>XE00240</v>
          </cell>
          <cell r="AH1149">
            <v>9.02</v>
          </cell>
          <cell r="AW1149" t="str">
            <v>Nguyễn Ngọc Trường5</v>
          </cell>
          <cell r="AX1149" t="str">
            <v>Lương</v>
          </cell>
        </row>
        <row r="1150">
          <cell r="D1150" t="str">
            <v>Tống Văn Nam</v>
          </cell>
          <cell r="AF1150" t="str">
            <v>XE00019</v>
          </cell>
          <cell r="AH1150">
            <v>9.6199999999999992</v>
          </cell>
          <cell r="AW1150" t="str">
            <v>Tống Văn Nam5</v>
          </cell>
          <cell r="AX1150" t="str">
            <v>Lương</v>
          </cell>
        </row>
        <row r="1151">
          <cell r="D1151" t="str">
            <v>Lê Trọng Giáp</v>
          </cell>
          <cell r="AF1151" t="str">
            <v>XE00020</v>
          </cell>
          <cell r="AH1151">
            <v>7.6400000000000006</v>
          </cell>
          <cell r="AW1151" t="str">
            <v>Lê Trọng Giáp3</v>
          </cell>
          <cell r="AX1151" t="str">
            <v>Lương</v>
          </cell>
        </row>
        <row r="1152">
          <cell r="D1152" t="str">
            <v>Lê Trọng Giáp</v>
          </cell>
          <cell r="AF1152" t="str">
            <v>XE00020</v>
          </cell>
          <cell r="AH1152">
            <v>9.42</v>
          </cell>
          <cell r="AW1152" t="str">
            <v>Lê Trọng Giáp4</v>
          </cell>
          <cell r="AX1152" t="str">
            <v>Lương</v>
          </cell>
        </row>
        <row r="1153">
          <cell r="D1153" t="str">
            <v>Lê Trọng Giáp</v>
          </cell>
          <cell r="AF1153" t="str">
            <v>XE00020</v>
          </cell>
          <cell r="AH1153">
            <v>9.82</v>
          </cell>
          <cell r="AW1153" t="str">
            <v>Lê Trọng Giáp5</v>
          </cell>
          <cell r="AX1153" t="str">
            <v>Lương</v>
          </cell>
        </row>
        <row r="1154">
          <cell r="D1154" t="str">
            <v>Phan Đăng Quang</v>
          </cell>
          <cell r="AF1154" t="str">
            <v>XE00195</v>
          </cell>
          <cell r="AH1154">
            <v>9.02</v>
          </cell>
          <cell r="AW1154" t="str">
            <v>Phan Đăng Quang5</v>
          </cell>
          <cell r="AX1154" t="str">
            <v>Lương</v>
          </cell>
        </row>
        <row r="1155">
          <cell r="D1155" t="str">
            <v>Nguyễn Việt Trung</v>
          </cell>
          <cell r="AF1155" t="str">
            <v>XE00137</v>
          </cell>
          <cell r="AH1155">
            <v>9.42</v>
          </cell>
          <cell r="AW1155" t="str">
            <v>Nguyễn Việt Trung6</v>
          </cell>
          <cell r="AX1155" t="str">
            <v>Lương</v>
          </cell>
        </row>
        <row r="1156">
          <cell r="D1156" t="str">
            <v>Trịnh Xuân Đức</v>
          </cell>
          <cell r="AF1156" t="str">
            <v>XE00109</v>
          </cell>
          <cell r="AH1156">
            <v>9.42</v>
          </cell>
          <cell r="AW1156" t="str">
            <v>Trịnh Xuân Đức7</v>
          </cell>
          <cell r="AX1156" t="str">
            <v>Lương</v>
          </cell>
        </row>
        <row r="1157">
          <cell r="D1157" t="str">
            <v>Lê Văn Diện</v>
          </cell>
          <cell r="AF1157" t="str">
            <v>XE00098</v>
          </cell>
          <cell r="AH1157">
            <v>7.24</v>
          </cell>
          <cell r="AW1157" t="str">
            <v>Lê Văn Diện6</v>
          </cell>
          <cell r="AX1157" t="str">
            <v>Lương</v>
          </cell>
        </row>
        <row r="1158">
          <cell r="D1158" t="str">
            <v>Dương Văn Thọ</v>
          </cell>
          <cell r="AF1158" t="str">
            <v>XE00282</v>
          </cell>
          <cell r="AH1158">
            <v>8.2200000000000006</v>
          </cell>
          <cell r="AW1158" t="str">
            <v>Dương Văn Thọ6</v>
          </cell>
          <cell r="AX1158" t="str">
            <v>Lương</v>
          </cell>
        </row>
        <row r="1159">
          <cell r="D1159" t="str">
            <v>Nguyễn Ngọc Hưng</v>
          </cell>
          <cell r="AF1159" t="str">
            <v>XE00559</v>
          </cell>
          <cell r="AH1159">
            <v>9.42</v>
          </cell>
          <cell r="AW1159" t="str">
            <v>Nguyễn Ngọc Hưng6</v>
          </cell>
          <cell r="AX1159" t="str">
            <v>Lương</v>
          </cell>
        </row>
        <row r="1160">
          <cell r="D1160" t="str">
            <v>Nguyễn Đức Thanh</v>
          </cell>
          <cell r="AF1160" t="str">
            <v>XE00627</v>
          </cell>
          <cell r="AH1160">
            <v>8.2200000000000006</v>
          </cell>
          <cell r="AW1160" t="str">
            <v>Nguyễn Đức Thanh6</v>
          </cell>
          <cell r="AX1160" t="str">
            <v>Lương</v>
          </cell>
        </row>
        <row r="1161">
          <cell r="D1161" t="str">
            <v>Vũ Việt Hùng</v>
          </cell>
          <cell r="AF1161" t="str">
            <v>XE00812</v>
          </cell>
          <cell r="AH1161">
            <v>9.42</v>
          </cell>
          <cell r="AW1161" t="str">
            <v>Vũ Việt Hùng6</v>
          </cell>
          <cell r="AX1161" t="str">
            <v>Lương</v>
          </cell>
        </row>
        <row r="1162">
          <cell r="D1162" t="str">
            <v>Cù Xuân Duy</v>
          </cell>
          <cell r="AF1162" t="str">
            <v>XE00887</v>
          </cell>
          <cell r="AH1162">
            <v>9.42</v>
          </cell>
          <cell r="AW1162" t="str">
            <v>Cù Xuân Duy6</v>
          </cell>
          <cell r="AX1162" t="str">
            <v>Lương</v>
          </cell>
        </row>
        <row r="1163">
          <cell r="D1163" t="str">
            <v>Phạm Quốc Hội</v>
          </cell>
          <cell r="AF1163" t="str">
            <v>XE01229</v>
          </cell>
          <cell r="AH1163">
            <v>9.82</v>
          </cell>
          <cell r="AW1163" t="str">
            <v>Phạm Quốc Hội6</v>
          </cell>
          <cell r="AX1163" t="str">
            <v>Lương</v>
          </cell>
        </row>
        <row r="1164">
          <cell r="D1164" t="str">
            <v>Trần Đức Toản</v>
          </cell>
          <cell r="AF1164" t="str">
            <v>XE01314</v>
          </cell>
          <cell r="AH1164">
            <v>8.84</v>
          </cell>
          <cell r="AW1164" t="str">
            <v>Trần Đức Toản4</v>
          </cell>
          <cell r="AX1164" t="str">
            <v>Lương</v>
          </cell>
        </row>
        <row r="1165">
          <cell r="D1165" t="str">
            <v>Trần Đức Toản</v>
          </cell>
          <cell r="AF1165" t="str">
            <v>XE01314</v>
          </cell>
          <cell r="AH1165">
            <v>9.82</v>
          </cell>
          <cell r="AW1165" t="str">
            <v>Trần Đức Toản5</v>
          </cell>
          <cell r="AX1165" t="str">
            <v>Lương</v>
          </cell>
        </row>
        <row r="1166">
          <cell r="D1166" t="str">
            <v>Đặng Hồng Thuỷ</v>
          </cell>
          <cell r="AF1166" t="str">
            <v>XE01385</v>
          </cell>
          <cell r="AH1166">
            <v>8.64</v>
          </cell>
          <cell r="AW1166" t="str">
            <v>Đặng Hồng Thuỷ6</v>
          </cell>
          <cell r="AX1166" t="str">
            <v>Lương</v>
          </cell>
        </row>
        <row r="1167">
          <cell r="D1167" t="str">
            <v>Trần Nam</v>
          </cell>
          <cell r="AF1167" t="str">
            <v>XE00130</v>
          </cell>
          <cell r="AH1167">
            <v>9.42</v>
          </cell>
          <cell r="AW1167" t="str">
            <v>Trần Nam5</v>
          </cell>
          <cell r="AX1167" t="str">
            <v>Lương</v>
          </cell>
        </row>
        <row r="1168">
          <cell r="D1168" t="str">
            <v>Trần Nam</v>
          </cell>
          <cell r="AF1168" t="str">
            <v>XE00130</v>
          </cell>
          <cell r="AH1168">
            <v>9.42</v>
          </cell>
          <cell r="AW1168" t="str">
            <v>Trần Nam6</v>
          </cell>
          <cell r="AX1168" t="str">
            <v>Lương</v>
          </cell>
        </row>
        <row r="1169">
          <cell r="D1169" t="str">
            <v>Phạm Thế Anh</v>
          </cell>
          <cell r="AF1169" t="str">
            <v>XE00298</v>
          </cell>
          <cell r="AH1169">
            <v>9.42</v>
          </cell>
          <cell r="AW1169" t="str">
            <v>Phạm Thế Anh6</v>
          </cell>
          <cell r="AX1169" t="str">
            <v>Lương</v>
          </cell>
        </row>
        <row r="1170">
          <cell r="D1170" t="str">
            <v>Nguyễn Xuân Thắng</v>
          </cell>
          <cell r="AF1170" t="str">
            <v>XE00046</v>
          </cell>
          <cell r="AH1170">
            <v>9.82</v>
          </cell>
          <cell r="AW1170" t="str">
            <v>Nguyễn Xuân Thắng7</v>
          </cell>
          <cell r="AX1170" t="str">
            <v>Lương</v>
          </cell>
        </row>
        <row r="1171">
          <cell r="D1171" t="str">
            <v>Nguyễn Thanh Sơn</v>
          </cell>
          <cell r="AF1171" t="str">
            <v>XE01468</v>
          </cell>
          <cell r="AH1171">
            <v>9.42</v>
          </cell>
          <cell r="AW1171" t="str">
            <v>Nguyễn Thanh Sơn6</v>
          </cell>
          <cell r="AX1171" t="str">
            <v>Lương</v>
          </cell>
        </row>
        <row r="1172">
          <cell r="D1172" t="str">
            <v>Phạm Văn Đồng</v>
          </cell>
          <cell r="AF1172" t="str">
            <v>XE01479</v>
          </cell>
          <cell r="AH1172">
            <v>9.24</v>
          </cell>
          <cell r="AW1172" t="str">
            <v>Phạm Văn Đồng5</v>
          </cell>
          <cell r="AX1172" t="str">
            <v>Lương</v>
          </cell>
        </row>
        <row r="1173">
          <cell r="D1173" t="str">
            <v>Vũ Văn Tuyến</v>
          </cell>
          <cell r="AF1173" t="str">
            <v>XE01502</v>
          </cell>
          <cell r="AH1173">
            <v>9.6199999999999992</v>
          </cell>
          <cell r="AW1173" t="str">
            <v>Vũ Văn Tuyến5</v>
          </cell>
          <cell r="AX1173" t="str">
            <v>Lương</v>
          </cell>
        </row>
        <row r="1174">
          <cell r="D1174" t="str">
            <v>Phạm Viết Thắng</v>
          </cell>
          <cell r="AF1174" t="str">
            <v>XE01596</v>
          </cell>
          <cell r="AH1174">
            <v>8.84</v>
          </cell>
          <cell r="AW1174" t="str">
            <v>Phạm Viết Thắng6</v>
          </cell>
          <cell r="AX1174" t="str">
            <v>Lương</v>
          </cell>
        </row>
        <row r="1175">
          <cell r="D1175" t="str">
            <v>Phạm Thanh Tùng</v>
          </cell>
          <cell r="AF1175" t="str">
            <v>XE01402</v>
          </cell>
          <cell r="AH1175">
            <v>9.82</v>
          </cell>
          <cell r="AW1175" t="str">
            <v>Phạm Thanh Tùng6</v>
          </cell>
          <cell r="AX1175" t="str">
            <v>Lương</v>
          </cell>
        </row>
        <row r="1176">
          <cell r="D1176" t="str">
            <v>Nguyễn Hải Nam</v>
          </cell>
          <cell r="AF1176" t="str">
            <v>XE01661</v>
          </cell>
          <cell r="AH1176">
            <v>9.6199999999999992</v>
          </cell>
          <cell r="AW1176" t="str">
            <v>Nguyễn Hải Nam6</v>
          </cell>
          <cell r="AX1176" t="str">
            <v>Lương</v>
          </cell>
        </row>
        <row r="1177">
          <cell r="D1177" t="str">
            <v>Vũ Văn Chín</v>
          </cell>
          <cell r="AF1177" t="str">
            <v>XE01703</v>
          </cell>
          <cell r="AH1177">
            <v>9.82</v>
          </cell>
          <cell r="AW1177" t="str">
            <v>Vũ Văn Chín6</v>
          </cell>
          <cell r="AX1177" t="str">
            <v>Lương</v>
          </cell>
        </row>
        <row r="1178">
          <cell r="D1178" t="str">
            <v>Phạm Văn Tình</v>
          </cell>
          <cell r="AF1178" t="str">
            <v>XE01177</v>
          </cell>
          <cell r="AH1178">
            <v>9.7199999999999989</v>
          </cell>
          <cell r="AW1178" t="str">
            <v>Phạm Văn Tình5</v>
          </cell>
          <cell r="AX1178" t="str">
            <v>Lương</v>
          </cell>
        </row>
        <row r="1179">
          <cell r="D1179" t="str">
            <v>Phạm Văn Tuân</v>
          </cell>
          <cell r="AF1179" t="str">
            <v>XE01711</v>
          </cell>
          <cell r="AH1179">
            <v>9.82</v>
          </cell>
          <cell r="AW1179" t="str">
            <v>Phạm Văn Tuân5</v>
          </cell>
          <cell r="AX1179" t="str">
            <v>Lương</v>
          </cell>
        </row>
        <row r="1180">
          <cell r="D1180" t="str">
            <v>Trần Hữu Nam 1972</v>
          </cell>
          <cell r="AF1180" t="str">
            <v>XE00033</v>
          </cell>
          <cell r="AH1180">
            <v>9.82</v>
          </cell>
          <cell r="AW1180" t="str">
            <v>Trần Hữu Nam 19725</v>
          </cell>
          <cell r="AX1180" t="str">
            <v>Lương</v>
          </cell>
        </row>
        <row r="1181">
          <cell r="D1181" t="str">
            <v>Trần Hữu Nam 1972</v>
          </cell>
          <cell r="AF1181" t="str">
            <v>XE00033</v>
          </cell>
          <cell r="AH1181">
            <v>9.42</v>
          </cell>
          <cell r="AW1181" t="str">
            <v>Trần Hữu Nam 19726</v>
          </cell>
          <cell r="AX1181" t="str">
            <v>Lương</v>
          </cell>
        </row>
        <row r="1182">
          <cell r="D1182" t="str">
            <v>Bùi Quý Phúc</v>
          </cell>
          <cell r="AF1182" t="str">
            <v>XE00077</v>
          </cell>
          <cell r="AH1182">
            <v>9.6199999999999992</v>
          </cell>
          <cell r="AW1182" t="str">
            <v>Bùi Quý Phúc7</v>
          </cell>
          <cell r="AX1182" t="str">
            <v>Lương</v>
          </cell>
        </row>
        <row r="1183">
          <cell r="D1183" t="str">
            <v>Trần Hữu Nam 1972</v>
          </cell>
          <cell r="AF1183" t="str">
            <v>XE00033</v>
          </cell>
          <cell r="AH1183">
            <v>9.82</v>
          </cell>
          <cell r="AW1183" t="str">
            <v>Trần Hữu Nam 19727</v>
          </cell>
          <cell r="AX1183" t="str">
            <v>Lương</v>
          </cell>
        </row>
        <row r="1184">
          <cell r="D1184" t="str">
            <v>Trần Hữu Nam 1972</v>
          </cell>
          <cell r="AF1184" t="str">
            <v>XE00033</v>
          </cell>
          <cell r="AH1184">
            <v>9.02</v>
          </cell>
          <cell r="AW1184" t="str">
            <v>Trần Hữu Nam 19728</v>
          </cell>
          <cell r="AX1184" t="str">
            <v>Lương</v>
          </cell>
        </row>
        <row r="1185">
          <cell r="D1185" t="str">
            <v>Bùi Quý Phúc</v>
          </cell>
          <cell r="AF1185" t="str">
            <v>XE00077</v>
          </cell>
          <cell r="AH1185">
            <v>9.82</v>
          </cell>
          <cell r="AW1185" t="str">
            <v>Bùi Quý Phúc8</v>
          </cell>
          <cell r="AX1185" t="str">
            <v>Lương</v>
          </cell>
        </row>
        <row r="1186">
          <cell r="D1186" t="str">
            <v>Bùi Quý Phúc</v>
          </cell>
          <cell r="AF1186" t="str">
            <v>XE00077</v>
          </cell>
          <cell r="AH1186">
            <v>9.24</v>
          </cell>
          <cell r="AW1186" t="str">
            <v>Bùi Quý Phúc9</v>
          </cell>
          <cell r="AX1186" t="str">
            <v>Lương</v>
          </cell>
        </row>
        <row r="1187">
          <cell r="D1187" t="str">
            <v>Ngô Quốc Hùng</v>
          </cell>
          <cell r="AF1187" t="str">
            <v>XE00024</v>
          </cell>
          <cell r="AH1187">
            <v>9.82</v>
          </cell>
          <cell r="AW1187" t="str">
            <v>Ngô Quốc Hùng6</v>
          </cell>
          <cell r="AX1187" t="str">
            <v>Lương</v>
          </cell>
        </row>
        <row r="1188">
          <cell r="D1188" t="str">
            <v>Trần Thanh An</v>
          </cell>
          <cell r="AF1188" t="str">
            <v>XE00113</v>
          </cell>
          <cell r="AH1188">
            <v>9.42</v>
          </cell>
          <cell r="AW1188" t="str">
            <v>Trần Thanh An6</v>
          </cell>
          <cell r="AX1188" t="str">
            <v>Lương</v>
          </cell>
        </row>
        <row r="1189">
          <cell r="D1189" t="str">
            <v>Nguyễn Văn Thế</v>
          </cell>
          <cell r="AF1189" t="str">
            <v>XE00600</v>
          </cell>
          <cell r="AH1189">
            <v>9.6199999999999992</v>
          </cell>
          <cell r="AW1189" t="str">
            <v>Nguyễn Văn Thế6</v>
          </cell>
          <cell r="AX1189" t="str">
            <v>Lương</v>
          </cell>
        </row>
        <row r="1190">
          <cell r="D1190" t="str">
            <v>Trần Đình Vượng</v>
          </cell>
          <cell r="AF1190" t="str">
            <v>XE01155</v>
          </cell>
          <cell r="AH1190">
            <v>8.82</v>
          </cell>
          <cell r="AW1190" t="str">
            <v>Trần Đình Vượng6</v>
          </cell>
          <cell r="AX1190" t="str">
            <v>Lương</v>
          </cell>
        </row>
        <row r="1191">
          <cell r="D1191" t="str">
            <v>Đặng Ngọc Toàn</v>
          </cell>
          <cell r="AF1191" t="str">
            <v>XE00138</v>
          </cell>
          <cell r="AH1191">
            <v>9.82</v>
          </cell>
          <cell r="AW1191" t="str">
            <v>Đặng Ngọc Toàn6</v>
          </cell>
          <cell r="AX1191" t="str">
            <v>Lương</v>
          </cell>
        </row>
        <row r="1192">
          <cell r="D1192" t="str">
            <v>Nguyễn Ngọc Trường</v>
          </cell>
          <cell r="AF1192" t="str">
            <v>XE00240</v>
          </cell>
          <cell r="AH1192">
            <v>9.42</v>
          </cell>
          <cell r="AW1192" t="str">
            <v>Nguyễn Ngọc Trường6</v>
          </cell>
          <cell r="AX1192" t="str">
            <v>Lương</v>
          </cell>
        </row>
        <row r="1193">
          <cell r="D1193" t="str">
            <v>Tống Văn Nam</v>
          </cell>
          <cell r="AF1193" t="str">
            <v>XE00019</v>
          </cell>
          <cell r="AH1193">
            <v>8.84</v>
          </cell>
          <cell r="AW1193" t="str">
            <v>Tống Văn Nam6</v>
          </cell>
          <cell r="AX1193" t="str">
            <v>Lương</v>
          </cell>
        </row>
        <row r="1194">
          <cell r="D1194" t="str">
            <v>Lê Hữu Bích</v>
          </cell>
          <cell r="AF1194" t="str">
            <v>XE00050</v>
          </cell>
          <cell r="AH1194">
            <v>9.82</v>
          </cell>
          <cell r="AW1194" t="str">
            <v>Lê Hữu Bích4</v>
          </cell>
          <cell r="AX1194" t="str">
            <v>Lương</v>
          </cell>
        </row>
        <row r="1195">
          <cell r="D1195" t="str">
            <v>Lê Hữu Bích</v>
          </cell>
          <cell r="AF1195" t="str">
            <v>XE00050</v>
          </cell>
          <cell r="AH1195">
            <v>9.42</v>
          </cell>
          <cell r="AW1195" t="str">
            <v>Lê Hữu Bích5</v>
          </cell>
          <cell r="AX1195" t="str">
            <v>Lương</v>
          </cell>
        </row>
        <row r="1196">
          <cell r="D1196" t="str">
            <v>Lê Hữu Bích</v>
          </cell>
          <cell r="AF1196" t="str">
            <v>XE00050</v>
          </cell>
          <cell r="AH1196">
            <v>9.82</v>
          </cell>
          <cell r="AW1196" t="str">
            <v>Lê Hữu Bích6</v>
          </cell>
          <cell r="AX1196" t="str">
            <v>Lương</v>
          </cell>
        </row>
        <row r="1197">
          <cell r="D1197" t="str">
            <v>Lê Trọng Giáp</v>
          </cell>
          <cell r="AF1197" t="str">
            <v>XE00020</v>
          </cell>
          <cell r="AH1197">
            <v>9.82</v>
          </cell>
          <cell r="AW1197" t="str">
            <v>Lê Trọng Giáp6</v>
          </cell>
          <cell r="AX1197" t="str">
            <v>Lương</v>
          </cell>
        </row>
        <row r="1198">
          <cell r="D1198" t="str">
            <v>Phan Đăng Quang</v>
          </cell>
          <cell r="AF1198" t="str">
            <v>XE00195</v>
          </cell>
          <cell r="AH1198">
            <v>9.82</v>
          </cell>
          <cell r="AW1198" t="str">
            <v>Phan Đăng Quang6</v>
          </cell>
          <cell r="AX1198" t="str">
            <v>Lương</v>
          </cell>
        </row>
        <row r="1199">
          <cell r="D1199" t="str">
            <v>Nguyễn Việt Trung</v>
          </cell>
          <cell r="AF1199" t="str">
            <v>XE00137</v>
          </cell>
          <cell r="AH1199">
            <v>9.6199999999999992</v>
          </cell>
          <cell r="AW1199" t="str">
            <v>Nguyễn Việt Trung7</v>
          </cell>
          <cell r="AX1199" t="str">
            <v>Lương</v>
          </cell>
        </row>
        <row r="1200">
          <cell r="D1200" t="str">
            <v>Trịnh Xuân Đức</v>
          </cell>
          <cell r="AF1200" t="str">
            <v>XE00109</v>
          </cell>
          <cell r="AH1200">
            <v>9.82</v>
          </cell>
          <cell r="AW1200" t="str">
            <v>Trịnh Xuân Đức8</v>
          </cell>
          <cell r="AX1200" t="str">
            <v>Lương</v>
          </cell>
        </row>
        <row r="1201">
          <cell r="D1201" t="str">
            <v>Lê Văn Diện</v>
          </cell>
          <cell r="AF1201" t="str">
            <v>XE00098</v>
          </cell>
          <cell r="AH1201">
            <v>9.82</v>
          </cell>
          <cell r="AW1201" t="str">
            <v>Lê Văn Diện7</v>
          </cell>
          <cell r="AX1201" t="str">
            <v>Lương</v>
          </cell>
        </row>
        <row r="1202">
          <cell r="D1202" t="str">
            <v>Nguyễn Thành Đạt</v>
          </cell>
          <cell r="AF1202" t="str">
            <v>XE00256</v>
          </cell>
          <cell r="AH1202">
            <v>8.84</v>
          </cell>
          <cell r="AW1202" t="str">
            <v>Nguyễn Thành Đạt6</v>
          </cell>
          <cell r="AX1202" t="str">
            <v>Lương</v>
          </cell>
        </row>
        <row r="1203">
          <cell r="D1203" t="str">
            <v>Dương Văn Thọ</v>
          </cell>
          <cell r="AF1203" t="str">
            <v>XE00282</v>
          </cell>
          <cell r="AH1203">
            <v>9.82</v>
          </cell>
          <cell r="AW1203" t="str">
            <v>Dương Văn Thọ7</v>
          </cell>
          <cell r="AX1203" t="str">
            <v>Lương</v>
          </cell>
        </row>
        <row r="1204">
          <cell r="D1204" t="str">
            <v>Trần Văn Hạnh</v>
          </cell>
          <cell r="AF1204" t="str">
            <v>XE00290</v>
          </cell>
          <cell r="AH1204">
            <v>9.42</v>
          </cell>
          <cell r="AW1204" t="str">
            <v>Trần Văn Hạnh6</v>
          </cell>
          <cell r="AX1204" t="str">
            <v>Lương</v>
          </cell>
        </row>
        <row r="1205">
          <cell r="D1205" t="str">
            <v>Nguyễn Ngọc Hưng</v>
          </cell>
          <cell r="AF1205" t="str">
            <v>XE00559</v>
          </cell>
          <cell r="AH1205">
            <v>9.42</v>
          </cell>
          <cell r="AW1205" t="str">
            <v>Nguyễn Ngọc Hưng7</v>
          </cell>
          <cell r="AX1205" t="str">
            <v>Lương</v>
          </cell>
        </row>
        <row r="1206">
          <cell r="D1206" t="str">
            <v>Nguyễn Đức Thanh</v>
          </cell>
          <cell r="AF1206" t="str">
            <v>XE00627</v>
          </cell>
          <cell r="AH1206">
            <v>9.82</v>
          </cell>
          <cell r="AW1206" t="str">
            <v>Nguyễn Đức Thanh7</v>
          </cell>
          <cell r="AX1206" t="str">
            <v>Lương</v>
          </cell>
        </row>
        <row r="1207">
          <cell r="D1207" t="str">
            <v>Vũ Việt Hùng</v>
          </cell>
          <cell r="AF1207" t="str">
            <v>XE00812</v>
          </cell>
          <cell r="AH1207">
            <v>9.82</v>
          </cell>
          <cell r="AW1207" t="str">
            <v>Vũ Việt Hùng7</v>
          </cell>
          <cell r="AX1207" t="str">
            <v>Lương</v>
          </cell>
        </row>
        <row r="1208">
          <cell r="D1208" t="str">
            <v>Cù Xuân Duy</v>
          </cell>
          <cell r="AF1208" t="str">
            <v>XE00887</v>
          </cell>
          <cell r="AH1208">
            <v>9.82</v>
          </cell>
          <cell r="AW1208" t="str">
            <v>Cù Xuân Duy7</v>
          </cell>
          <cell r="AX1208" t="str">
            <v>Lương</v>
          </cell>
        </row>
        <row r="1209">
          <cell r="D1209" t="str">
            <v>Phạm Quốc Hội</v>
          </cell>
          <cell r="AF1209" t="str">
            <v>XE01229</v>
          </cell>
          <cell r="AH1209">
            <v>9.42</v>
          </cell>
          <cell r="AW1209" t="str">
            <v>Phạm Quốc Hội7</v>
          </cell>
          <cell r="AX1209" t="str">
            <v>Lương</v>
          </cell>
        </row>
        <row r="1210">
          <cell r="D1210" t="str">
            <v>Trần Đức Toản</v>
          </cell>
          <cell r="AF1210" t="str">
            <v>XE01314</v>
          </cell>
          <cell r="AH1210">
            <v>9.82</v>
          </cell>
          <cell r="AW1210" t="str">
            <v>Trần Đức Toản6</v>
          </cell>
          <cell r="AX1210" t="str">
            <v>Lương</v>
          </cell>
        </row>
        <row r="1211">
          <cell r="D1211" t="str">
            <v>Trần Đức Toản</v>
          </cell>
          <cell r="AF1211" t="str">
            <v>XE01314</v>
          </cell>
          <cell r="AH1211">
            <v>7.82</v>
          </cell>
          <cell r="AW1211" t="str">
            <v>Trần Đức Toản7</v>
          </cell>
          <cell r="AX1211" t="str">
            <v>Lương</v>
          </cell>
        </row>
        <row r="1212">
          <cell r="D1212" t="str">
            <v>Đặng Hồng Thuỷ</v>
          </cell>
          <cell r="AF1212" t="str">
            <v>XE01385</v>
          </cell>
          <cell r="AH1212">
            <v>9.44</v>
          </cell>
          <cell r="AW1212" t="str">
            <v>Đặng Hồng Thuỷ7</v>
          </cell>
          <cell r="AX1212" t="str">
            <v>Lương</v>
          </cell>
        </row>
        <row r="1213">
          <cell r="D1213" t="str">
            <v>Trần Nam</v>
          </cell>
          <cell r="AF1213" t="str">
            <v>XE00130</v>
          </cell>
          <cell r="AH1213">
            <v>9.82</v>
          </cell>
          <cell r="AW1213" t="str">
            <v>Trần Nam7</v>
          </cell>
          <cell r="AX1213" t="str">
            <v>Lương</v>
          </cell>
        </row>
        <row r="1214">
          <cell r="D1214" t="str">
            <v>Trần Nam</v>
          </cell>
          <cell r="AF1214" t="str">
            <v>XE00130</v>
          </cell>
          <cell r="AH1214">
            <v>9.02</v>
          </cell>
          <cell r="AW1214" t="str">
            <v>Trần Nam8</v>
          </cell>
          <cell r="AX1214" t="str">
            <v>Lương</v>
          </cell>
        </row>
        <row r="1215">
          <cell r="D1215" t="str">
            <v>Phạm Thế Anh</v>
          </cell>
          <cell r="AF1215" t="str">
            <v>XE00298</v>
          </cell>
          <cell r="AH1215">
            <v>9.82</v>
          </cell>
          <cell r="AW1215" t="str">
            <v>Phạm Thế Anh7</v>
          </cell>
          <cell r="AX1215" t="str">
            <v>Lương</v>
          </cell>
        </row>
        <row r="1216">
          <cell r="D1216" t="str">
            <v>Nguyễn Xuân Thắng</v>
          </cell>
          <cell r="AF1216" t="str">
            <v>XE00046</v>
          </cell>
          <cell r="AH1216">
            <v>9.24</v>
          </cell>
          <cell r="AW1216" t="str">
            <v>Nguyễn Xuân Thắng8</v>
          </cell>
          <cell r="AX1216" t="str">
            <v>Lương</v>
          </cell>
        </row>
        <row r="1217">
          <cell r="D1217" t="str">
            <v>Nguyễn Thanh Sơn</v>
          </cell>
          <cell r="AF1217" t="str">
            <v>XE01468</v>
          </cell>
          <cell r="AH1217">
            <v>9.82</v>
          </cell>
          <cell r="AW1217" t="str">
            <v>Nguyễn Thanh Sơn7</v>
          </cell>
          <cell r="AX1217" t="str">
            <v>Lương</v>
          </cell>
        </row>
        <row r="1218">
          <cell r="D1218" t="str">
            <v>Phạm Văn Đồng</v>
          </cell>
          <cell r="AF1218" t="str">
            <v>XE01479</v>
          </cell>
          <cell r="AH1218">
            <v>7.42</v>
          </cell>
          <cell r="AW1218" t="str">
            <v>Phạm Văn Đồng6</v>
          </cell>
          <cell r="AX1218" t="str">
            <v>Lương</v>
          </cell>
        </row>
        <row r="1219">
          <cell r="D1219" t="str">
            <v>Vũ Văn Tuyến</v>
          </cell>
          <cell r="AF1219" t="str">
            <v>XE01502</v>
          </cell>
          <cell r="AH1219">
            <v>9.42</v>
          </cell>
          <cell r="AW1219" t="str">
            <v>Vũ Văn Tuyến6</v>
          </cell>
          <cell r="AX1219" t="str">
            <v>Lương</v>
          </cell>
        </row>
        <row r="1220">
          <cell r="D1220" t="str">
            <v>Phạm Viết Thắng</v>
          </cell>
          <cell r="AF1220" t="str">
            <v>XE01596</v>
          </cell>
          <cell r="AH1220">
            <v>8.44</v>
          </cell>
          <cell r="AW1220" t="str">
            <v>Phạm Viết Thắng7</v>
          </cell>
          <cell r="AX1220" t="str">
            <v>Lương</v>
          </cell>
        </row>
        <row r="1221">
          <cell r="D1221" t="str">
            <v>Phạm Thanh Tùng</v>
          </cell>
          <cell r="AF1221" t="str">
            <v>XE01402</v>
          </cell>
          <cell r="AH1221">
            <v>9.42</v>
          </cell>
          <cell r="AW1221" t="str">
            <v>Phạm Thanh Tùng7</v>
          </cell>
          <cell r="AX1221" t="str">
            <v>Lương</v>
          </cell>
        </row>
        <row r="1222">
          <cell r="D1222" t="str">
            <v>Nguyễn Hải Nam</v>
          </cell>
          <cell r="AF1222" t="str">
            <v>XE01661</v>
          </cell>
          <cell r="AH1222">
            <v>7.24</v>
          </cell>
          <cell r="AW1222" t="str">
            <v>Nguyễn Hải Nam7</v>
          </cell>
          <cell r="AX1222" t="str">
            <v>Lương</v>
          </cell>
        </row>
        <row r="1223">
          <cell r="D1223" t="str">
            <v>Vũ Văn Chín</v>
          </cell>
          <cell r="AF1223" t="str">
            <v>XE01703</v>
          </cell>
          <cell r="AH1223">
            <v>7.82</v>
          </cell>
          <cell r="AW1223" t="str">
            <v>Vũ Văn Chín7</v>
          </cell>
          <cell r="AX1223" t="str">
            <v>Lương</v>
          </cell>
        </row>
        <row r="1224">
          <cell r="D1224" t="str">
            <v>Phạm Văn Tình</v>
          </cell>
          <cell r="AF1224" t="str">
            <v>XE01177</v>
          </cell>
          <cell r="AH1224">
            <v>9.42</v>
          </cell>
          <cell r="AW1224" t="str">
            <v>Phạm Văn Tình6</v>
          </cell>
          <cell r="AX1224" t="str">
            <v>Lương</v>
          </cell>
        </row>
        <row r="1225">
          <cell r="D1225" t="str">
            <v>Hoàng Mạnh Tú</v>
          </cell>
          <cell r="AF1225" t="str">
            <v>XE00406</v>
          </cell>
          <cell r="AH1225">
            <v>9.82</v>
          </cell>
          <cell r="AW1225" t="str">
            <v>Hoàng Mạnh Tú4</v>
          </cell>
          <cell r="AX1225" t="str">
            <v>Lương</v>
          </cell>
        </row>
        <row r="1226">
          <cell r="D1226" t="str">
            <v>Hoàng Mạnh Tú</v>
          </cell>
          <cell r="AF1226" t="str">
            <v>XE00406</v>
          </cell>
          <cell r="AH1226">
            <v>9.42</v>
          </cell>
          <cell r="AW1226" t="str">
            <v>Hoàng Mạnh Tú5</v>
          </cell>
          <cell r="AX1226" t="str">
            <v>Lương</v>
          </cell>
        </row>
        <row r="1227">
          <cell r="D1227" t="str">
            <v>Hoàng Mạnh Tú</v>
          </cell>
          <cell r="AF1227" t="str">
            <v>XE00406</v>
          </cell>
          <cell r="AH1227">
            <v>9.82</v>
          </cell>
          <cell r="AW1227" t="str">
            <v>Hoàng Mạnh Tú6</v>
          </cell>
          <cell r="AX1227" t="str">
            <v>Lương</v>
          </cell>
        </row>
        <row r="1228">
          <cell r="D1228" t="str">
            <v>Hoàng Mạnh Tú</v>
          </cell>
          <cell r="AF1228" t="str">
            <v>XE00406</v>
          </cell>
          <cell r="AH1228">
            <v>9.24</v>
          </cell>
          <cell r="AW1228" t="str">
            <v>Hoàng Mạnh Tú7</v>
          </cell>
          <cell r="AX1228" t="str">
            <v>Lương</v>
          </cell>
        </row>
        <row r="1229">
          <cell r="D1229" t="str">
            <v>Phạm Văn Tuân</v>
          </cell>
          <cell r="AF1229" t="str">
            <v>XE01711</v>
          </cell>
          <cell r="AH1229">
            <v>7.44</v>
          </cell>
          <cell r="AW1229" t="str">
            <v>Phạm Văn Tuân6</v>
          </cell>
          <cell r="AX1229" t="str">
            <v>Lương</v>
          </cell>
        </row>
        <row r="1230">
          <cell r="D1230" t="str">
            <v>Ngô Quốc Hùng</v>
          </cell>
          <cell r="AF1230" t="str">
            <v>XE00024</v>
          </cell>
          <cell r="AH1230">
            <v>9.42</v>
          </cell>
          <cell r="AW1230" t="str">
            <v>Ngô Quốc Hùng7</v>
          </cell>
          <cell r="AX1230" t="str">
            <v>Lương</v>
          </cell>
        </row>
        <row r="1231">
          <cell r="D1231" t="str">
            <v>Trần Thanh An</v>
          </cell>
          <cell r="AF1231" t="str">
            <v>XE00113</v>
          </cell>
          <cell r="AH1231">
            <v>9.82</v>
          </cell>
          <cell r="AW1231" t="str">
            <v>Trần Thanh An7</v>
          </cell>
          <cell r="AX1231" t="str">
            <v>Lương</v>
          </cell>
        </row>
        <row r="1232">
          <cell r="D1232" t="str">
            <v>Nguyễn Văn Thế</v>
          </cell>
          <cell r="AF1232" t="str">
            <v>XE00600</v>
          </cell>
          <cell r="AH1232">
            <v>9.82</v>
          </cell>
          <cell r="AW1232" t="str">
            <v>Nguyễn Văn Thế7</v>
          </cell>
          <cell r="AX1232" t="str">
            <v>Lương</v>
          </cell>
        </row>
        <row r="1233">
          <cell r="D1233" t="str">
            <v>Trần Đình Vượng</v>
          </cell>
          <cell r="AF1233" t="str">
            <v>XE01155</v>
          </cell>
          <cell r="AH1233">
            <v>9.82</v>
          </cell>
          <cell r="AW1233" t="str">
            <v>Trần Đình Vượng7</v>
          </cell>
          <cell r="AX1233" t="str">
            <v>Lương</v>
          </cell>
        </row>
        <row r="1234">
          <cell r="D1234" t="str">
            <v>Đặng Ngọc Toàn</v>
          </cell>
          <cell r="AF1234" t="str">
            <v>XE00138</v>
          </cell>
          <cell r="AH1234">
            <v>9.02</v>
          </cell>
          <cell r="AW1234" t="str">
            <v>Đặng Ngọc Toàn7</v>
          </cell>
          <cell r="AX1234" t="str">
            <v>Lương</v>
          </cell>
        </row>
        <row r="1235">
          <cell r="D1235" t="str">
            <v>Nguyễn Ngọc Trường</v>
          </cell>
          <cell r="AF1235" t="str">
            <v>XE00240</v>
          </cell>
          <cell r="AH1235">
            <v>9.42</v>
          </cell>
          <cell r="AW1235" t="str">
            <v>Nguyễn Ngọc Trường7</v>
          </cell>
          <cell r="AX1235" t="str">
            <v>Lương</v>
          </cell>
        </row>
        <row r="1236">
          <cell r="D1236" t="str">
            <v>Tống Văn Nam</v>
          </cell>
          <cell r="AF1236" t="str">
            <v>XE00019</v>
          </cell>
          <cell r="AH1236">
            <v>9.82</v>
          </cell>
          <cell r="AW1236" t="str">
            <v>Tống Văn Nam7</v>
          </cell>
          <cell r="AX1236" t="str">
            <v>Lương</v>
          </cell>
        </row>
        <row r="1237">
          <cell r="D1237" t="str">
            <v>Lê Hữu Bích</v>
          </cell>
          <cell r="AF1237" t="str">
            <v>XE00050</v>
          </cell>
          <cell r="AH1237">
            <v>9.64</v>
          </cell>
          <cell r="AW1237" t="str">
            <v>Lê Hữu Bích7</v>
          </cell>
          <cell r="AX1237" t="str">
            <v>Lương</v>
          </cell>
        </row>
        <row r="1238">
          <cell r="D1238" t="str">
            <v>Lê Trọng Giáp</v>
          </cell>
          <cell r="AF1238" t="str">
            <v>XE00020</v>
          </cell>
          <cell r="AH1238">
            <v>9.42</v>
          </cell>
          <cell r="AW1238" t="str">
            <v>Lê Trọng Giáp7</v>
          </cell>
          <cell r="AX1238" t="str">
            <v>Lương</v>
          </cell>
        </row>
        <row r="1239">
          <cell r="D1239" t="str">
            <v>Phan Đăng Quang</v>
          </cell>
          <cell r="AF1239" t="str">
            <v>XE00195</v>
          </cell>
          <cell r="AH1239">
            <v>6.8400000000000007</v>
          </cell>
          <cell r="AW1239" t="str">
            <v>Phan Đăng Quang7</v>
          </cell>
          <cell r="AX1239" t="str">
            <v>Lương</v>
          </cell>
        </row>
        <row r="1240">
          <cell r="D1240" t="str">
            <v>Nguyễn Việt Trung</v>
          </cell>
          <cell r="AF1240" t="str">
            <v>XE00137</v>
          </cell>
          <cell r="AH1240">
            <v>7.44</v>
          </cell>
          <cell r="AW1240" t="str">
            <v>Nguyễn Việt Trung8</v>
          </cell>
          <cell r="AX1240" t="str">
            <v>Lương</v>
          </cell>
        </row>
        <row r="1241">
          <cell r="D1241" t="str">
            <v>Trịnh Xuân Đức</v>
          </cell>
          <cell r="AF1241" t="str">
            <v>XE00109</v>
          </cell>
          <cell r="AH1241">
            <v>9.82</v>
          </cell>
          <cell r="AW1241" t="str">
            <v>Trịnh Xuân Đức9</v>
          </cell>
          <cell r="AX1241" t="str">
            <v>Lương</v>
          </cell>
        </row>
        <row r="1242">
          <cell r="D1242" t="str">
            <v>Lê Văn Diện</v>
          </cell>
          <cell r="AF1242" t="str">
            <v>XE00098</v>
          </cell>
          <cell r="AH1242">
            <v>9.82</v>
          </cell>
          <cell r="AW1242" t="str">
            <v>Lê Văn Diện8</v>
          </cell>
          <cell r="AX1242" t="str">
            <v>Lương</v>
          </cell>
        </row>
        <row r="1243">
          <cell r="D1243" t="str">
            <v>Nguyễn Thành Đạt</v>
          </cell>
          <cell r="AF1243" t="str">
            <v>XE00256</v>
          </cell>
          <cell r="AH1243">
            <v>9.02</v>
          </cell>
          <cell r="AW1243" t="str">
            <v>Nguyễn Thành Đạt7</v>
          </cell>
          <cell r="AX1243" t="str">
            <v>Lương</v>
          </cell>
        </row>
        <row r="1244">
          <cell r="D1244" t="str">
            <v>Dương Văn Thọ</v>
          </cell>
          <cell r="AF1244" t="str">
            <v>XE00282</v>
          </cell>
          <cell r="AH1244">
            <v>9.42</v>
          </cell>
          <cell r="AW1244" t="str">
            <v>Dương Văn Thọ8</v>
          </cell>
          <cell r="AX1244" t="str">
            <v>Lương</v>
          </cell>
        </row>
        <row r="1245">
          <cell r="D1245" t="str">
            <v>Trần Văn Hạnh</v>
          </cell>
          <cell r="AF1245" t="str">
            <v>XE00290</v>
          </cell>
          <cell r="AH1245">
            <v>9.42</v>
          </cell>
          <cell r="AW1245" t="str">
            <v>Trần Văn Hạnh7</v>
          </cell>
          <cell r="AX1245" t="str">
            <v>Lương</v>
          </cell>
        </row>
        <row r="1246">
          <cell r="D1246" t="str">
            <v>Nguyễn Ngọc Hưng</v>
          </cell>
          <cell r="AF1246" t="str">
            <v>XE00559</v>
          </cell>
          <cell r="AH1246">
            <v>9.82</v>
          </cell>
          <cell r="AW1246" t="str">
            <v>Nguyễn Ngọc Hưng8</v>
          </cell>
          <cell r="AX1246" t="str">
            <v>Lương</v>
          </cell>
        </row>
        <row r="1247">
          <cell r="D1247" t="str">
            <v>Nguyễn Đức Thanh</v>
          </cell>
          <cell r="AF1247" t="str">
            <v>XE00627</v>
          </cell>
          <cell r="AH1247">
            <v>8.44</v>
          </cell>
          <cell r="AW1247" t="str">
            <v>Nguyễn Đức Thanh8</v>
          </cell>
          <cell r="AX1247" t="str">
            <v>Lương</v>
          </cell>
        </row>
        <row r="1248">
          <cell r="D1248" t="str">
            <v>Vũ Việt Hùng</v>
          </cell>
          <cell r="AF1248" t="str">
            <v>XE00812</v>
          </cell>
          <cell r="AH1248">
            <v>9.82</v>
          </cell>
          <cell r="AW1248" t="str">
            <v>Vũ Việt Hùng8</v>
          </cell>
          <cell r="AX1248" t="str">
            <v>Lương</v>
          </cell>
        </row>
        <row r="1249">
          <cell r="D1249" t="str">
            <v>Đặng Hồng Thuỷ</v>
          </cell>
          <cell r="AF1249" t="str">
            <v>XE01385</v>
          </cell>
          <cell r="AH1249">
            <v>9.42</v>
          </cell>
          <cell r="AW1249" t="str">
            <v>Đặng Hồng Thuỷ8</v>
          </cell>
          <cell r="AX1249" t="str">
            <v>Lương</v>
          </cell>
        </row>
        <row r="1250">
          <cell r="D1250" t="str">
            <v>Đặng Hồng Thuỷ</v>
          </cell>
          <cell r="AF1250" t="str">
            <v>XE01385</v>
          </cell>
          <cell r="AH1250">
            <v>9.02</v>
          </cell>
          <cell r="AW1250" t="str">
            <v>Đặng Hồng Thuỷ9</v>
          </cell>
          <cell r="AX1250" t="str">
            <v>Lương</v>
          </cell>
        </row>
        <row r="1251">
          <cell r="D1251" t="str">
            <v>Trần Nam</v>
          </cell>
          <cell r="AF1251" t="str">
            <v>XE00130</v>
          </cell>
          <cell r="AH1251">
            <v>9.42</v>
          </cell>
          <cell r="AW1251" t="str">
            <v>Trần Nam9</v>
          </cell>
          <cell r="AX1251" t="str">
            <v>Lương</v>
          </cell>
        </row>
        <row r="1252">
          <cell r="D1252" t="str">
            <v>Trần Nam</v>
          </cell>
          <cell r="AF1252" t="str">
            <v>XE00130</v>
          </cell>
          <cell r="AH1252">
            <v>9.82</v>
          </cell>
          <cell r="AW1252" t="str">
            <v>Trần Nam10</v>
          </cell>
          <cell r="AX1252" t="str">
            <v>Lương</v>
          </cell>
        </row>
        <row r="1253">
          <cell r="D1253" t="str">
            <v>Phạm Thế Anh</v>
          </cell>
          <cell r="AF1253" t="str">
            <v>XE00298</v>
          </cell>
          <cell r="AH1253">
            <v>8.84</v>
          </cell>
          <cell r="AW1253" t="str">
            <v>Phạm Thế Anh8</v>
          </cell>
          <cell r="AX1253" t="str">
            <v>Lương</v>
          </cell>
        </row>
        <row r="1254">
          <cell r="D1254" t="str">
            <v>Phạm Thế Anh</v>
          </cell>
          <cell r="AF1254" t="str">
            <v>XE00298</v>
          </cell>
          <cell r="AH1254">
            <v>9.82</v>
          </cell>
          <cell r="AW1254" t="str">
            <v>Phạm Thế Anh9</v>
          </cell>
          <cell r="AX1254" t="str">
            <v>Lương</v>
          </cell>
        </row>
        <row r="1255">
          <cell r="D1255" t="str">
            <v>Nguyễn Xuân Thắng</v>
          </cell>
          <cell r="AF1255" t="str">
            <v>XE00046</v>
          </cell>
          <cell r="AH1255">
            <v>9.42</v>
          </cell>
          <cell r="AW1255" t="str">
            <v>Nguyễn Xuân Thắng9</v>
          </cell>
          <cell r="AX1255" t="str">
            <v>Lương</v>
          </cell>
        </row>
        <row r="1256">
          <cell r="D1256" t="str">
            <v>Nguyễn Thanh Sơn</v>
          </cell>
          <cell r="AF1256" t="str">
            <v>XE01468</v>
          </cell>
          <cell r="AH1256">
            <v>8.84</v>
          </cell>
          <cell r="AW1256" t="str">
            <v>Nguyễn Thanh Sơn8</v>
          </cell>
          <cell r="AX1256" t="str">
            <v>Lương</v>
          </cell>
        </row>
        <row r="1257">
          <cell r="D1257" t="str">
            <v>Phạm Văn Đồng</v>
          </cell>
          <cell r="AF1257" t="str">
            <v>XE01479</v>
          </cell>
          <cell r="AH1257">
            <v>8.84</v>
          </cell>
          <cell r="AW1257" t="str">
            <v>Phạm Văn Đồng7</v>
          </cell>
          <cell r="AX1257" t="str">
            <v>Lương</v>
          </cell>
        </row>
        <row r="1258">
          <cell r="D1258" t="str">
            <v>Vũ Văn Tuyến</v>
          </cell>
          <cell r="AF1258" t="str">
            <v>XE01502</v>
          </cell>
          <cell r="AH1258">
            <v>9.42</v>
          </cell>
          <cell r="AW1258" t="str">
            <v>Vũ Văn Tuyến7</v>
          </cell>
          <cell r="AX1258" t="str">
            <v>Lương</v>
          </cell>
        </row>
        <row r="1259">
          <cell r="D1259" t="str">
            <v>Phạm Viết Thắng</v>
          </cell>
          <cell r="AF1259" t="str">
            <v>XE01596</v>
          </cell>
          <cell r="AH1259">
            <v>9.42</v>
          </cell>
          <cell r="AW1259" t="str">
            <v>Phạm Viết Thắng8</v>
          </cell>
          <cell r="AX1259" t="str">
            <v>Lương</v>
          </cell>
        </row>
        <row r="1260">
          <cell r="D1260" t="str">
            <v>Phạm Thanh Tùng</v>
          </cell>
          <cell r="AF1260" t="str">
            <v>XE01402</v>
          </cell>
          <cell r="AH1260">
            <v>9.24</v>
          </cell>
          <cell r="AW1260" t="str">
            <v>Phạm Thanh Tùng8</v>
          </cell>
          <cell r="AX1260" t="str">
            <v>Lương</v>
          </cell>
        </row>
        <row r="1261">
          <cell r="D1261" t="str">
            <v>Nguyễn Hải Nam</v>
          </cell>
          <cell r="AF1261" t="str">
            <v>XE01661</v>
          </cell>
          <cell r="AH1261">
            <v>8.0399999999999991</v>
          </cell>
          <cell r="AW1261" t="str">
            <v>Nguyễn Hải Nam8</v>
          </cell>
          <cell r="AX1261" t="str">
            <v>Lương</v>
          </cell>
        </row>
        <row r="1262">
          <cell r="D1262" t="str">
            <v>Vũ Văn Chín</v>
          </cell>
          <cell r="AF1262" t="str">
            <v>XE01703</v>
          </cell>
          <cell r="AH1262">
            <v>9.82</v>
          </cell>
          <cell r="AW1262" t="str">
            <v>Vũ Văn Chín8</v>
          </cell>
          <cell r="AX1262" t="str">
            <v>Lương</v>
          </cell>
        </row>
        <row r="1263">
          <cell r="D1263" t="str">
            <v>Phạm Văn Tình</v>
          </cell>
          <cell r="AF1263" t="str">
            <v>XE01177</v>
          </cell>
          <cell r="AH1263">
            <v>9.42</v>
          </cell>
          <cell r="AW1263" t="str">
            <v>Phạm Văn Tình7</v>
          </cell>
          <cell r="AX1263" t="str">
            <v>Lương</v>
          </cell>
        </row>
        <row r="1264">
          <cell r="D1264" t="str">
            <v>Phạm Văn Tuân</v>
          </cell>
          <cell r="AF1264" t="str">
            <v>XE01711</v>
          </cell>
          <cell r="AH1264">
            <v>9.82</v>
          </cell>
          <cell r="AW1264" t="str">
            <v>Phạm Văn Tuân7</v>
          </cell>
          <cell r="AX1264" t="str">
            <v>Lương</v>
          </cell>
        </row>
        <row r="1265">
          <cell r="D1265" t="str">
            <v>Phạm Văn Tuân</v>
          </cell>
          <cell r="AF1265" t="str">
            <v>XE01711</v>
          </cell>
          <cell r="AH1265">
            <v>9.82</v>
          </cell>
          <cell r="AW1265" t="str">
            <v>Phạm Văn Tuân8</v>
          </cell>
          <cell r="AX1265" t="str">
            <v>Lương</v>
          </cell>
        </row>
        <row r="1266">
          <cell r="D1266" t="str">
            <v>Trần Hữu Nam 1972</v>
          </cell>
          <cell r="AF1266" t="str">
            <v>XE00033</v>
          </cell>
          <cell r="AH1266">
            <v>9.42</v>
          </cell>
          <cell r="AW1266" t="str">
            <v>Trần Hữu Nam 19729</v>
          </cell>
          <cell r="AX1266" t="str">
            <v>Lương</v>
          </cell>
        </row>
        <row r="1267">
          <cell r="D1267" t="str">
            <v>Trần Hữu Nam 1972</v>
          </cell>
          <cell r="AF1267" t="str">
            <v>XE00033</v>
          </cell>
          <cell r="AH1267">
            <v>9.42</v>
          </cell>
          <cell r="AW1267" t="str">
            <v>Trần Hữu Nam 197210</v>
          </cell>
          <cell r="AX1267" t="str">
            <v>Lương</v>
          </cell>
        </row>
        <row r="1268">
          <cell r="D1268" t="str">
            <v>Bùi Quý Phúc</v>
          </cell>
          <cell r="AF1268" t="str">
            <v>XE00077</v>
          </cell>
          <cell r="AH1268">
            <v>9.82</v>
          </cell>
          <cell r="AW1268" t="str">
            <v>Bùi Quý Phúc10</v>
          </cell>
          <cell r="AX1268" t="str">
            <v>Lương</v>
          </cell>
        </row>
        <row r="1269">
          <cell r="D1269" t="str">
            <v>Ngô Quốc Hùng</v>
          </cell>
          <cell r="AF1269" t="str">
            <v>XE00024</v>
          </cell>
          <cell r="AH1269">
            <v>9.82</v>
          </cell>
          <cell r="AW1269" t="str">
            <v>Ngô Quốc Hùng8</v>
          </cell>
          <cell r="AX1269" t="str">
            <v>Lương</v>
          </cell>
        </row>
        <row r="1270">
          <cell r="D1270" t="str">
            <v>Trần Thanh An</v>
          </cell>
          <cell r="AF1270" t="str">
            <v>XE00113</v>
          </cell>
          <cell r="AH1270">
            <v>9.02</v>
          </cell>
          <cell r="AW1270" t="str">
            <v>Trần Thanh An8</v>
          </cell>
          <cell r="AX1270" t="str">
            <v>Lương</v>
          </cell>
        </row>
        <row r="1271">
          <cell r="D1271" t="str">
            <v>Nguyễn Văn Thế</v>
          </cell>
          <cell r="AF1271" t="str">
            <v>XE00600</v>
          </cell>
          <cell r="AH1271">
            <v>8.2200000000000006</v>
          </cell>
          <cell r="AW1271" t="str">
            <v>Nguyễn Văn Thế8</v>
          </cell>
          <cell r="AX1271" t="str">
            <v>Lương</v>
          </cell>
        </row>
        <row r="1272">
          <cell r="D1272" t="str">
            <v>Trần Đình Vượng</v>
          </cell>
          <cell r="AF1272" t="str">
            <v>XE01155</v>
          </cell>
          <cell r="AH1272">
            <v>9.82</v>
          </cell>
          <cell r="AW1272" t="str">
            <v>Trần Đình Vượng8</v>
          </cell>
          <cell r="AX1272" t="str">
            <v>Lương</v>
          </cell>
        </row>
        <row r="1273">
          <cell r="D1273" t="str">
            <v>Đặng Ngọc Toàn</v>
          </cell>
          <cell r="AF1273" t="str">
            <v>XE00138</v>
          </cell>
          <cell r="AH1273">
            <v>9.82</v>
          </cell>
          <cell r="AW1273" t="str">
            <v>Đặng Ngọc Toàn8</v>
          </cell>
          <cell r="AX1273" t="str">
            <v>Lương</v>
          </cell>
        </row>
        <row r="1274">
          <cell r="D1274" t="str">
            <v>Đặng Ngọc Toàn</v>
          </cell>
          <cell r="AF1274" t="str">
            <v>XE00138</v>
          </cell>
          <cell r="AH1274">
            <v>9.42</v>
          </cell>
          <cell r="AW1274" t="str">
            <v>Đặng Ngọc Toàn9</v>
          </cell>
          <cell r="AX1274" t="str">
            <v>Lương</v>
          </cell>
        </row>
        <row r="1275">
          <cell r="D1275" t="str">
            <v>Nguyễn Ngọc Trường</v>
          </cell>
          <cell r="AF1275" t="str">
            <v>XE00240</v>
          </cell>
          <cell r="AH1275">
            <v>8.2200000000000006</v>
          </cell>
          <cell r="AW1275" t="str">
            <v>Nguyễn Ngọc Trường8</v>
          </cell>
          <cell r="AX1275" t="str">
            <v>Lương</v>
          </cell>
        </row>
        <row r="1276">
          <cell r="D1276" t="str">
            <v>Tống Văn Nam</v>
          </cell>
          <cell r="AF1276" t="str">
            <v>XE00019</v>
          </cell>
          <cell r="AH1276">
            <v>9.82</v>
          </cell>
          <cell r="AW1276" t="str">
            <v>Tống Văn Nam8</v>
          </cell>
          <cell r="AX1276" t="str">
            <v>Lương</v>
          </cell>
        </row>
        <row r="1277">
          <cell r="D1277" t="str">
            <v>Tống Văn Nam</v>
          </cell>
          <cell r="AF1277" t="str">
            <v>XE00019</v>
          </cell>
          <cell r="AH1277">
            <v>9.82</v>
          </cell>
          <cell r="AW1277" t="str">
            <v>Tống Văn Nam9</v>
          </cell>
          <cell r="AX1277" t="str">
            <v>Lương</v>
          </cell>
        </row>
        <row r="1278">
          <cell r="D1278" t="str">
            <v>Lê Hữu Bích</v>
          </cell>
          <cell r="AF1278" t="str">
            <v>XE00050</v>
          </cell>
          <cell r="AH1278">
            <v>8.84</v>
          </cell>
          <cell r="AW1278" t="str">
            <v>Lê Hữu Bích8</v>
          </cell>
          <cell r="AX1278" t="str">
            <v>Lương</v>
          </cell>
        </row>
        <row r="1279">
          <cell r="D1279" t="str">
            <v>Lê Hữu Bích</v>
          </cell>
          <cell r="AF1279" t="str">
            <v>XE00050</v>
          </cell>
          <cell r="AH1279">
            <v>9.82</v>
          </cell>
          <cell r="AW1279" t="str">
            <v>Lê Hữu Bích9</v>
          </cell>
          <cell r="AX1279" t="str">
            <v>Lương</v>
          </cell>
        </row>
        <row r="1280">
          <cell r="D1280" t="str">
            <v>Lê Trọng Giáp</v>
          </cell>
          <cell r="AF1280" t="str">
            <v>XE00020</v>
          </cell>
          <cell r="AH1280">
            <v>9.2199999999999989</v>
          </cell>
          <cell r="AW1280" t="str">
            <v>Lê Trọng Giáp8</v>
          </cell>
          <cell r="AX1280" t="str">
            <v>Lương</v>
          </cell>
        </row>
        <row r="1281">
          <cell r="D1281" t="str">
            <v>Phan Đăng Quang</v>
          </cell>
          <cell r="AF1281" t="str">
            <v>XE00195</v>
          </cell>
          <cell r="AH1281">
            <v>9.02</v>
          </cell>
          <cell r="AW1281" t="str">
            <v>Phan Đăng Quang8</v>
          </cell>
          <cell r="AX1281" t="str">
            <v>Lương</v>
          </cell>
        </row>
        <row r="1282">
          <cell r="D1282" t="str">
            <v>Phan Đăng Quang</v>
          </cell>
          <cell r="AF1282" t="str">
            <v>XE00195</v>
          </cell>
          <cell r="AH1282">
            <v>7.24</v>
          </cell>
          <cell r="AW1282" t="str">
            <v>Phan Đăng Quang9</v>
          </cell>
          <cell r="AX1282" t="str">
            <v>Lương</v>
          </cell>
        </row>
        <row r="1283">
          <cell r="D1283" t="str">
            <v>Lê Văn Diện</v>
          </cell>
          <cell r="AF1283" t="str">
            <v>XE00098</v>
          </cell>
          <cell r="AH1283">
            <v>9.42</v>
          </cell>
          <cell r="AW1283" t="str">
            <v>Lê Văn Diện9</v>
          </cell>
          <cell r="AX1283" t="str">
            <v>Lương</v>
          </cell>
        </row>
        <row r="1284">
          <cell r="D1284" t="str">
            <v>Nguyễn Thành Đạt</v>
          </cell>
          <cell r="AF1284" t="str">
            <v>XE00256</v>
          </cell>
          <cell r="AH1284">
            <v>9.42</v>
          </cell>
          <cell r="AW1284" t="str">
            <v>Nguyễn Thành Đạt8</v>
          </cell>
          <cell r="AX1284" t="str">
            <v>Lương</v>
          </cell>
        </row>
        <row r="1285">
          <cell r="D1285" t="str">
            <v>Nguyễn Thành Đạt</v>
          </cell>
          <cell r="AF1285" t="str">
            <v>XE00256</v>
          </cell>
          <cell r="AH1285">
            <v>9.24</v>
          </cell>
          <cell r="AW1285" t="str">
            <v>Nguyễn Thành Đạt9</v>
          </cell>
          <cell r="AX1285" t="str">
            <v>Lương</v>
          </cell>
        </row>
        <row r="1286">
          <cell r="D1286" t="str">
            <v>Dương Văn Thọ</v>
          </cell>
          <cell r="AF1286" t="str">
            <v>XE00282</v>
          </cell>
          <cell r="AH1286">
            <v>9.24</v>
          </cell>
          <cell r="AW1286" t="str">
            <v>Dương Văn Thọ9</v>
          </cell>
          <cell r="AX1286" t="str">
            <v>Lương</v>
          </cell>
        </row>
        <row r="1287">
          <cell r="D1287" t="str">
            <v>Dương Văn Thọ</v>
          </cell>
          <cell r="AF1287" t="str">
            <v>XE00282</v>
          </cell>
          <cell r="AH1287">
            <v>9.42</v>
          </cell>
          <cell r="AW1287" t="str">
            <v>Dương Văn Thọ10</v>
          </cell>
          <cell r="AX1287" t="str">
            <v>Lương</v>
          </cell>
        </row>
        <row r="1288">
          <cell r="D1288" t="str">
            <v>Trần Văn Hạnh</v>
          </cell>
          <cell r="AF1288" t="str">
            <v>XE00290</v>
          </cell>
          <cell r="AH1288">
            <v>9.82</v>
          </cell>
          <cell r="AW1288" t="str">
            <v>Trần Văn Hạnh8</v>
          </cell>
          <cell r="AX1288" t="str">
            <v>Lương</v>
          </cell>
        </row>
        <row r="1289">
          <cell r="D1289" t="str">
            <v>Trần Văn Hạnh</v>
          </cell>
          <cell r="AF1289" t="str">
            <v>XE00290</v>
          </cell>
          <cell r="AH1289">
            <v>9.02</v>
          </cell>
          <cell r="AW1289" t="str">
            <v>Trần Văn Hạnh9</v>
          </cell>
          <cell r="AX1289" t="str">
            <v>Lương</v>
          </cell>
        </row>
        <row r="1290">
          <cell r="D1290" t="str">
            <v>Nguyễn Ngọc Hưng</v>
          </cell>
          <cell r="AF1290" t="str">
            <v>XE00559</v>
          </cell>
          <cell r="AH1290">
            <v>9.82</v>
          </cell>
          <cell r="AW1290" t="str">
            <v>Nguyễn Ngọc Hưng9</v>
          </cell>
          <cell r="AX1290" t="str">
            <v>Lương</v>
          </cell>
        </row>
        <row r="1291">
          <cell r="D1291" t="str">
            <v>Vũ Việt Hùng</v>
          </cell>
          <cell r="AF1291" t="str">
            <v>XE00812</v>
          </cell>
          <cell r="AH1291">
            <v>9.02</v>
          </cell>
          <cell r="AW1291" t="str">
            <v>Vũ Việt Hùng9</v>
          </cell>
          <cell r="AX1291" t="str">
            <v>Lương</v>
          </cell>
        </row>
        <row r="1292">
          <cell r="D1292" t="str">
            <v>Vũ Việt Hùng</v>
          </cell>
          <cell r="AF1292" t="str">
            <v>XE00812</v>
          </cell>
          <cell r="AH1292">
            <v>9.82</v>
          </cell>
          <cell r="AW1292" t="str">
            <v>Vũ Việt Hùng10</v>
          </cell>
          <cell r="AX1292" t="str">
            <v>Lương</v>
          </cell>
        </row>
        <row r="1293">
          <cell r="D1293" t="str">
            <v>Cù Xuân Duy</v>
          </cell>
          <cell r="AF1293" t="str">
            <v>XE00887</v>
          </cell>
          <cell r="AH1293">
            <v>9.42</v>
          </cell>
          <cell r="AW1293" t="str">
            <v>Cù Xuân Duy8</v>
          </cell>
          <cell r="AX1293" t="str">
            <v>Lương</v>
          </cell>
        </row>
        <row r="1294">
          <cell r="D1294" t="str">
            <v>Cù Xuân Duy</v>
          </cell>
          <cell r="AF1294" t="str">
            <v>XE00887</v>
          </cell>
          <cell r="AH1294">
            <v>9.82</v>
          </cell>
          <cell r="AW1294" t="str">
            <v>Cù Xuân Duy9</v>
          </cell>
          <cell r="AX1294" t="str">
            <v>Lương</v>
          </cell>
        </row>
        <row r="1295">
          <cell r="D1295" t="str">
            <v>Trần Đức Toản</v>
          </cell>
          <cell r="AF1295" t="str">
            <v>XE01314</v>
          </cell>
          <cell r="AH1295">
            <v>8.84</v>
          </cell>
          <cell r="AW1295" t="str">
            <v>Trần Đức Toản8</v>
          </cell>
          <cell r="AX1295" t="str">
            <v>Lương</v>
          </cell>
        </row>
        <row r="1296">
          <cell r="D1296" t="str">
            <v>Phạm Thế Anh</v>
          </cell>
          <cell r="AF1296" t="str">
            <v>XE00298</v>
          </cell>
          <cell r="AH1296">
            <v>8.84</v>
          </cell>
          <cell r="AW1296" t="str">
            <v>Phạm Thế Anh10</v>
          </cell>
          <cell r="AX1296" t="str">
            <v>Lương</v>
          </cell>
        </row>
        <row r="1297">
          <cell r="D1297" t="str">
            <v>Nguyễn Thanh Sơn</v>
          </cell>
          <cell r="AF1297" t="str">
            <v>XE01468</v>
          </cell>
          <cell r="AH1297">
            <v>7.6800000000000006</v>
          </cell>
          <cell r="AW1297" t="str">
            <v>Nguyễn Thanh Sơn9</v>
          </cell>
          <cell r="AX1297" t="str">
            <v>Lương</v>
          </cell>
        </row>
        <row r="1298">
          <cell r="D1298" t="str">
            <v>Phạm Văn Đồng</v>
          </cell>
          <cell r="AF1298" t="str">
            <v>XE01479</v>
          </cell>
          <cell r="AH1298">
            <v>8.84</v>
          </cell>
          <cell r="AW1298" t="str">
            <v>Phạm Văn Đồng8</v>
          </cell>
          <cell r="AX1298" t="str">
            <v>Lương</v>
          </cell>
        </row>
        <row r="1299">
          <cell r="D1299" t="str">
            <v>Phạm Thanh Tùng</v>
          </cell>
          <cell r="AF1299" t="str">
            <v>XE01402</v>
          </cell>
          <cell r="AH1299">
            <v>8.44</v>
          </cell>
          <cell r="AW1299" t="str">
            <v>Phạm Thanh Tùng9</v>
          </cell>
          <cell r="AX1299" t="str">
            <v>Lương</v>
          </cell>
        </row>
        <row r="1300">
          <cell r="D1300" t="str">
            <v>Nguyễn Hải Nam</v>
          </cell>
          <cell r="AF1300" t="str">
            <v>XE01661</v>
          </cell>
          <cell r="AH1300">
            <v>9.42</v>
          </cell>
          <cell r="AW1300" t="str">
            <v>Nguyễn Hải Nam9</v>
          </cell>
          <cell r="AX1300" t="str">
            <v>Lương</v>
          </cell>
        </row>
        <row r="1301">
          <cell r="D1301" t="str">
            <v>Vũ Văn Chín</v>
          </cell>
          <cell r="AF1301" t="str">
            <v>XE01703</v>
          </cell>
          <cell r="AH1301">
            <v>9.42</v>
          </cell>
          <cell r="AW1301" t="str">
            <v>Vũ Văn Chín9</v>
          </cell>
          <cell r="AX1301" t="str">
            <v>Lương</v>
          </cell>
        </row>
        <row r="1302">
          <cell r="D1302" t="str">
            <v>Hoàng Mạnh Tú</v>
          </cell>
          <cell r="AF1302" t="str">
            <v>XE00406</v>
          </cell>
          <cell r="AH1302">
            <v>8.620000000000001</v>
          </cell>
          <cell r="AW1302" t="str">
            <v>Hoàng Mạnh Tú8</v>
          </cell>
          <cell r="AX1302" t="str">
            <v>Lương</v>
          </cell>
        </row>
        <row r="1303">
          <cell r="D1303" t="str">
            <v>Hoàng Mạnh Tú</v>
          </cell>
          <cell r="AF1303" t="str">
            <v>XE00406</v>
          </cell>
          <cell r="AH1303">
            <v>9.6199999999999992</v>
          </cell>
          <cell r="AW1303" t="str">
            <v>Hoàng Mạnh Tú9</v>
          </cell>
          <cell r="AX1303" t="str">
            <v>Lương</v>
          </cell>
        </row>
        <row r="1304">
          <cell r="D1304" t="str">
            <v>Trần Hữu Nam 1972</v>
          </cell>
          <cell r="AF1304" t="str">
            <v>XE00033</v>
          </cell>
          <cell r="AH1304">
            <v>9.82</v>
          </cell>
          <cell r="AW1304" t="str">
            <v>Trần Hữu Nam 197211</v>
          </cell>
          <cell r="AX1304" t="str">
            <v>Lương</v>
          </cell>
        </row>
        <row r="1305">
          <cell r="D1305" t="str">
            <v>Trần Hữu Nam 1972</v>
          </cell>
          <cell r="AF1305" t="str">
            <v>XE00033</v>
          </cell>
          <cell r="AH1305">
            <v>9.6199999999999992</v>
          </cell>
          <cell r="AW1305" t="str">
            <v>Trần Hữu Nam 197212</v>
          </cell>
          <cell r="AX1305" t="str">
            <v>Lương</v>
          </cell>
        </row>
        <row r="1306">
          <cell r="D1306" t="str">
            <v>Ngô Quốc Hùng</v>
          </cell>
          <cell r="AF1306" t="str">
            <v>XE00024</v>
          </cell>
          <cell r="AH1306">
            <v>9.42</v>
          </cell>
          <cell r="AW1306" t="str">
            <v>Ngô Quốc Hùng9</v>
          </cell>
          <cell r="AX1306" t="str">
            <v>Lương</v>
          </cell>
        </row>
        <row r="1307">
          <cell r="D1307" t="str">
            <v>Trần Thanh An</v>
          </cell>
          <cell r="AF1307" t="str">
            <v>XE00113</v>
          </cell>
          <cell r="AH1307">
            <v>9.42</v>
          </cell>
          <cell r="AW1307" t="str">
            <v>Trần Thanh An9</v>
          </cell>
          <cell r="AX1307" t="str">
            <v>Lương</v>
          </cell>
        </row>
        <row r="1308">
          <cell r="D1308" t="str">
            <v>Nguyễn Văn Thế</v>
          </cell>
          <cell r="AF1308" t="str">
            <v>XE00600</v>
          </cell>
          <cell r="AH1308">
            <v>9.42</v>
          </cell>
          <cell r="AW1308" t="str">
            <v>Nguyễn Văn Thế9</v>
          </cell>
          <cell r="AX1308" t="str">
            <v>Lương</v>
          </cell>
        </row>
        <row r="1309">
          <cell r="D1309" t="str">
            <v>Trần Đình Vượng</v>
          </cell>
          <cell r="AF1309" t="str">
            <v>XE01155</v>
          </cell>
          <cell r="AH1309">
            <v>9.02</v>
          </cell>
          <cell r="AW1309" t="str">
            <v>Trần Đình Vượng9</v>
          </cell>
          <cell r="AX1309" t="str">
            <v>Lương</v>
          </cell>
        </row>
        <row r="1310">
          <cell r="D1310" t="str">
            <v>Nguyễn Ngọc Trường</v>
          </cell>
          <cell r="AF1310" t="str">
            <v>XE00240</v>
          </cell>
          <cell r="AH1310">
            <v>8.2200000000000006</v>
          </cell>
          <cell r="AW1310" t="str">
            <v>Nguyễn Ngọc Trường9</v>
          </cell>
          <cell r="AX1310" t="str">
            <v>Lương</v>
          </cell>
        </row>
        <row r="1311">
          <cell r="D1311" t="str">
            <v>Nguyễn Ngọc Trường</v>
          </cell>
          <cell r="AF1311" t="str">
            <v>XE00240</v>
          </cell>
          <cell r="AH1311">
            <v>8.2200000000000006</v>
          </cell>
          <cell r="AW1311" t="str">
            <v>Nguyễn Ngọc Trường10</v>
          </cell>
          <cell r="AX1311" t="str">
            <v>Lương</v>
          </cell>
        </row>
        <row r="1312">
          <cell r="D1312" t="str">
            <v>Tống Văn Nam</v>
          </cell>
          <cell r="AF1312" t="str">
            <v>XE00019</v>
          </cell>
          <cell r="AH1312">
            <v>9.42</v>
          </cell>
          <cell r="AW1312" t="str">
            <v>Tống Văn Nam10</v>
          </cell>
          <cell r="AX1312" t="str">
            <v>Lương</v>
          </cell>
        </row>
        <row r="1313">
          <cell r="D1313" t="str">
            <v>Tống Văn Nam</v>
          </cell>
          <cell r="AF1313" t="str">
            <v>XE00019</v>
          </cell>
          <cell r="AH1313">
            <v>8.84</v>
          </cell>
          <cell r="AW1313" t="str">
            <v>Tống Văn Nam11</v>
          </cell>
          <cell r="AX1313" t="str">
            <v>Lương</v>
          </cell>
        </row>
        <row r="1314">
          <cell r="D1314" t="str">
            <v>Lê Trọng Giáp</v>
          </cell>
          <cell r="AF1314" t="str">
            <v>XE00020</v>
          </cell>
          <cell r="AH1314">
            <v>9.82</v>
          </cell>
          <cell r="AW1314" t="str">
            <v>Lê Trọng Giáp9</v>
          </cell>
          <cell r="AX1314" t="str">
            <v>Lương</v>
          </cell>
        </row>
        <row r="1315">
          <cell r="D1315" t="str">
            <v>Lê Trọng Giáp</v>
          </cell>
          <cell r="AF1315" t="str">
            <v>XE00020</v>
          </cell>
          <cell r="AH1315">
            <v>8.84</v>
          </cell>
          <cell r="AW1315" t="str">
            <v>Lê Trọng Giáp10</v>
          </cell>
          <cell r="AX1315" t="str">
            <v>Lương</v>
          </cell>
        </row>
        <row r="1316">
          <cell r="D1316" t="str">
            <v>Phan Đăng Quang</v>
          </cell>
          <cell r="AF1316" t="str">
            <v>XE00195</v>
          </cell>
          <cell r="AH1316">
            <v>9.02</v>
          </cell>
          <cell r="AW1316" t="str">
            <v>Phan Đăng Quang10</v>
          </cell>
          <cell r="AX1316" t="str">
            <v>Lương</v>
          </cell>
        </row>
        <row r="1317">
          <cell r="D1317" t="str">
            <v>Trịnh Xuân Đức</v>
          </cell>
          <cell r="AF1317" t="str">
            <v>XE00109</v>
          </cell>
          <cell r="AH1317">
            <v>9.82</v>
          </cell>
          <cell r="AW1317" t="str">
            <v>Trịnh Xuân Đức10</v>
          </cell>
          <cell r="AX1317" t="str">
            <v>Lương</v>
          </cell>
        </row>
        <row r="1318">
          <cell r="D1318" t="str">
            <v>Trịnh Xuân Đức</v>
          </cell>
          <cell r="AF1318" t="str">
            <v>XE00109</v>
          </cell>
          <cell r="AH1318">
            <v>9.42</v>
          </cell>
          <cell r="AW1318" t="str">
            <v>Trịnh Xuân Đức11</v>
          </cell>
          <cell r="AX1318" t="str">
            <v>Lương</v>
          </cell>
        </row>
        <row r="1319">
          <cell r="D1319" t="str">
            <v>Lê Văn Diện</v>
          </cell>
          <cell r="AF1319" t="str">
            <v>XE00098</v>
          </cell>
          <cell r="AH1319">
            <v>9.82</v>
          </cell>
          <cell r="AW1319" t="str">
            <v>Lê Văn Diện10</v>
          </cell>
          <cell r="AX1319" t="str">
            <v>Lương</v>
          </cell>
        </row>
        <row r="1320">
          <cell r="D1320" t="str">
            <v>Lê Văn Diện</v>
          </cell>
          <cell r="AF1320" t="str">
            <v>XE00098</v>
          </cell>
          <cell r="AH1320">
            <v>9.82</v>
          </cell>
          <cell r="AW1320" t="str">
            <v>Lê Văn Diện11</v>
          </cell>
          <cell r="AX1320" t="str">
            <v>Lương</v>
          </cell>
        </row>
        <row r="1321">
          <cell r="D1321" t="str">
            <v>Nguyễn Thành Đạt</v>
          </cell>
          <cell r="AF1321" t="str">
            <v>XE00256</v>
          </cell>
          <cell r="AH1321">
            <v>9.24</v>
          </cell>
          <cell r="AW1321" t="str">
            <v>Nguyễn Thành Đạt10</v>
          </cell>
          <cell r="AX1321" t="str">
            <v>Lương</v>
          </cell>
        </row>
        <row r="1322">
          <cell r="D1322" t="str">
            <v>Nguyễn Thành Đạt</v>
          </cell>
          <cell r="AF1322" t="str">
            <v>XE00256</v>
          </cell>
          <cell r="AH1322">
            <v>7.82</v>
          </cell>
          <cell r="AW1322" t="str">
            <v>Nguyễn Thành Đạt11</v>
          </cell>
          <cell r="AX1322" t="str">
            <v>Lương</v>
          </cell>
        </row>
        <row r="1323">
          <cell r="D1323" t="str">
            <v>Dương Văn Thọ</v>
          </cell>
          <cell r="AF1323" t="str">
            <v>XE00282</v>
          </cell>
          <cell r="AH1323">
            <v>9.42</v>
          </cell>
          <cell r="AW1323" t="str">
            <v>Dương Văn Thọ11</v>
          </cell>
          <cell r="AX1323" t="str">
            <v>Lương</v>
          </cell>
        </row>
        <row r="1324">
          <cell r="D1324" t="str">
            <v>Dương Văn Thọ</v>
          </cell>
          <cell r="AF1324" t="str">
            <v>XE00282</v>
          </cell>
          <cell r="AH1324">
            <v>9.82</v>
          </cell>
          <cell r="AW1324" t="str">
            <v>Dương Văn Thọ12</v>
          </cell>
          <cell r="AX1324" t="str">
            <v>Lương</v>
          </cell>
        </row>
        <row r="1325">
          <cell r="D1325" t="str">
            <v>Trần Văn Hạnh</v>
          </cell>
          <cell r="AF1325" t="str">
            <v>XE00290</v>
          </cell>
          <cell r="AH1325">
            <v>9.82</v>
          </cell>
          <cell r="AW1325" t="str">
            <v>Trần Văn Hạnh10</v>
          </cell>
          <cell r="AX1325" t="str">
            <v>Lương</v>
          </cell>
        </row>
        <row r="1326">
          <cell r="D1326" t="str">
            <v>Trần Văn Hạnh</v>
          </cell>
          <cell r="AF1326" t="str">
            <v>XE00290</v>
          </cell>
          <cell r="AH1326">
            <v>9.42</v>
          </cell>
          <cell r="AW1326" t="str">
            <v>Trần Văn Hạnh11</v>
          </cell>
          <cell r="AX1326" t="str">
            <v>Lương</v>
          </cell>
        </row>
        <row r="1327">
          <cell r="D1327" t="str">
            <v>Trần Văn Hạnh</v>
          </cell>
          <cell r="AF1327" t="str">
            <v>XE00290</v>
          </cell>
          <cell r="AH1327">
            <v>9.42</v>
          </cell>
          <cell r="AW1327" t="str">
            <v>Trần Văn Hạnh12</v>
          </cell>
          <cell r="AX1327" t="str">
            <v>Lương</v>
          </cell>
        </row>
        <row r="1328">
          <cell r="D1328" t="str">
            <v>Cù Xuân Duy</v>
          </cell>
          <cell r="AF1328" t="str">
            <v>XE00887</v>
          </cell>
          <cell r="AH1328">
            <v>9.82</v>
          </cell>
          <cell r="AW1328" t="str">
            <v>Cù Xuân Duy10</v>
          </cell>
          <cell r="AX1328" t="str">
            <v>Lương</v>
          </cell>
        </row>
        <row r="1329">
          <cell r="D1329" t="str">
            <v>Cù Xuân Duy</v>
          </cell>
          <cell r="AF1329" t="str">
            <v>XE00887</v>
          </cell>
          <cell r="AH1329">
            <v>9.82</v>
          </cell>
          <cell r="AW1329" t="str">
            <v>Cù Xuân Duy11</v>
          </cell>
          <cell r="AX1329" t="str">
            <v>Lương</v>
          </cell>
        </row>
        <row r="1330">
          <cell r="D1330" t="str">
            <v>Phạm Quốc Hội</v>
          </cell>
          <cell r="AF1330" t="str">
            <v>XE01229</v>
          </cell>
          <cell r="AH1330">
            <v>7.24</v>
          </cell>
          <cell r="AW1330" t="str">
            <v>Phạm Quốc Hội8</v>
          </cell>
          <cell r="AX1330" t="str">
            <v>Lương</v>
          </cell>
        </row>
        <row r="1331">
          <cell r="D1331" t="str">
            <v>Phạm Quốc Hội</v>
          </cell>
          <cell r="AF1331" t="str">
            <v>XE01229</v>
          </cell>
          <cell r="AH1331">
            <v>8.64</v>
          </cell>
          <cell r="AW1331" t="str">
            <v>Phạm Quốc Hội9</v>
          </cell>
          <cell r="AX1331" t="str">
            <v>Lương</v>
          </cell>
        </row>
        <row r="1332">
          <cell r="D1332" t="str">
            <v>Trần Đức Toản</v>
          </cell>
          <cell r="AF1332" t="str">
            <v>XE01314</v>
          </cell>
          <cell r="AH1332">
            <v>9.24</v>
          </cell>
          <cell r="AW1332" t="str">
            <v>Trần Đức Toản9</v>
          </cell>
          <cell r="AX1332" t="str">
            <v>Lương</v>
          </cell>
        </row>
        <row r="1333">
          <cell r="D1333" t="str">
            <v>Trần Đức Toản</v>
          </cell>
          <cell r="AF1333" t="str">
            <v>XE01314</v>
          </cell>
          <cell r="AH1333">
            <v>9.42</v>
          </cell>
          <cell r="AW1333" t="str">
            <v>Trần Đức Toản10</v>
          </cell>
          <cell r="AX1333" t="str">
            <v>Lương</v>
          </cell>
        </row>
        <row r="1334">
          <cell r="D1334" t="str">
            <v>Trần Nam</v>
          </cell>
          <cell r="AF1334" t="str">
            <v>XE00130</v>
          </cell>
          <cell r="AH1334">
            <v>9.82</v>
          </cell>
          <cell r="AW1334" t="str">
            <v>Trần Nam11</v>
          </cell>
          <cell r="AX1334" t="str">
            <v>Lương</v>
          </cell>
        </row>
        <row r="1335">
          <cell r="D1335" t="str">
            <v>Trần Nam</v>
          </cell>
          <cell r="AF1335" t="str">
            <v>XE00130</v>
          </cell>
          <cell r="AH1335">
            <v>9.42</v>
          </cell>
          <cell r="AW1335" t="str">
            <v>Trần Nam12</v>
          </cell>
          <cell r="AX1335" t="str">
            <v>Lương</v>
          </cell>
        </row>
        <row r="1336">
          <cell r="D1336" t="str">
            <v>Phạm Thế Anh</v>
          </cell>
          <cell r="AF1336" t="str">
            <v>XE00298</v>
          </cell>
          <cell r="AH1336">
            <v>9.42</v>
          </cell>
          <cell r="AW1336" t="str">
            <v>Phạm Thế Anh11</v>
          </cell>
          <cell r="AX1336" t="str">
            <v>Lương</v>
          </cell>
        </row>
        <row r="1337">
          <cell r="D1337" t="str">
            <v>Phạm Thế Anh</v>
          </cell>
          <cell r="AF1337" t="str">
            <v>XE00298</v>
          </cell>
          <cell r="AH1337">
            <v>9.44</v>
          </cell>
          <cell r="AW1337" t="str">
            <v>Phạm Thế Anh12</v>
          </cell>
          <cell r="AX1337" t="str">
            <v>Lương</v>
          </cell>
        </row>
        <row r="1338">
          <cell r="D1338" t="str">
            <v>Nguyễn Thanh Sơn</v>
          </cell>
          <cell r="AF1338" t="str">
            <v>XE01468</v>
          </cell>
          <cell r="AH1338">
            <v>9.82</v>
          </cell>
          <cell r="AW1338" t="str">
            <v>Nguyễn Thanh Sơn10</v>
          </cell>
          <cell r="AX1338" t="str">
            <v>Lương</v>
          </cell>
        </row>
        <row r="1339">
          <cell r="D1339" t="str">
            <v>Phạm Văn Đồng</v>
          </cell>
          <cell r="AF1339" t="str">
            <v>XE01479</v>
          </cell>
          <cell r="AH1339">
            <v>9.02</v>
          </cell>
          <cell r="AW1339" t="str">
            <v>Phạm Văn Đồng9</v>
          </cell>
          <cell r="AX1339" t="str">
            <v>Lương</v>
          </cell>
        </row>
        <row r="1340">
          <cell r="D1340" t="str">
            <v>Phạm Văn Đồng</v>
          </cell>
          <cell r="AF1340" t="str">
            <v>XE01479</v>
          </cell>
          <cell r="AH1340">
            <v>9.82</v>
          </cell>
          <cell r="AW1340" t="str">
            <v>Phạm Văn Đồng10</v>
          </cell>
          <cell r="AX1340" t="str">
            <v>Lương</v>
          </cell>
        </row>
        <row r="1341">
          <cell r="D1341" t="str">
            <v>Phạm Viết Thắng</v>
          </cell>
          <cell r="AF1341" t="str">
            <v>XE01596</v>
          </cell>
          <cell r="AH1341">
            <v>7.6199999999999992</v>
          </cell>
          <cell r="AW1341" t="str">
            <v>Phạm Viết Thắng9</v>
          </cell>
          <cell r="AX1341" t="str">
            <v>Lương</v>
          </cell>
        </row>
        <row r="1342">
          <cell r="D1342" t="str">
            <v>Phạm Viết Thắng</v>
          </cell>
          <cell r="AF1342" t="str">
            <v>XE01596</v>
          </cell>
          <cell r="AH1342">
            <v>9.82</v>
          </cell>
          <cell r="AW1342" t="str">
            <v>Phạm Viết Thắng10</v>
          </cell>
          <cell r="AX1342" t="str">
            <v>Lương</v>
          </cell>
        </row>
        <row r="1343">
          <cell r="D1343" t="str">
            <v>Phạm Thanh Tùng</v>
          </cell>
          <cell r="AF1343" t="str">
            <v>XE01402</v>
          </cell>
          <cell r="AH1343">
            <v>9.42</v>
          </cell>
          <cell r="AW1343" t="str">
            <v>Phạm Thanh Tùng10</v>
          </cell>
          <cell r="AX1343" t="str">
            <v>Lương</v>
          </cell>
        </row>
        <row r="1344">
          <cell r="D1344" t="str">
            <v>Nguyễn Hải Nam</v>
          </cell>
          <cell r="AF1344" t="str">
            <v>XE01661</v>
          </cell>
          <cell r="AH1344">
            <v>9.82</v>
          </cell>
          <cell r="AW1344" t="str">
            <v>Nguyễn Hải Nam10</v>
          </cell>
          <cell r="AX1344" t="str">
            <v>Lương</v>
          </cell>
        </row>
        <row r="1345">
          <cell r="D1345" t="str">
            <v>Vũ Văn Chín</v>
          </cell>
          <cell r="AF1345" t="str">
            <v>XE01703</v>
          </cell>
          <cell r="AH1345">
            <v>9.82</v>
          </cell>
          <cell r="AW1345" t="str">
            <v>Vũ Văn Chín10</v>
          </cell>
          <cell r="AX1345" t="str">
            <v>Lương</v>
          </cell>
        </row>
        <row r="1346">
          <cell r="D1346" t="str">
            <v>Phạm Văn Tình</v>
          </cell>
          <cell r="AF1346" t="str">
            <v>XE01177</v>
          </cell>
          <cell r="AH1346">
            <v>9.82</v>
          </cell>
          <cell r="AW1346" t="str">
            <v>Phạm Văn Tình8</v>
          </cell>
          <cell r="AX1346" t="str">
            <v>Lương</v>
          </cell>
        </row>
        <row r="1347">
          <cell r="D1347" t="str">
            <v>Phạm Văn Tình</v>
          </cell>
          <cell r="AF1347" t="str">
            <v>XE01177</v>
          </cell>
          <cell r="AH1347">
            <v>9.82</v>
          </cell>
          <cell r="AW1347" t="str">
            <v>Phạm Văn Tình9</v>
          </cell>
          <cell r="AX1347" t="str">
            <v>Lương</v>
          </cell>
        </row>
        <row r="1348">
          <cell r="D1348" t="str">
            <v>Hoàng Mạnh Tú</v>
          </cell>
          <cell r="AF1348" t="str">
            <v>XE00406</v>
          </cell>
          <cell r="AH1348">
            <v>9.82</v>
          </cell>
          <cell r="AW1348" t="str">
            <v>Hoàng Mạnh Tú10</v>
          </cell>
          <cell r="AX1348" t="str">
            <v>Lương</v>
          </cell>
        </row>
        <row r="1349">
          <cell r="D1349" t="str">
            <v>Trần Hữu Nam 1972</v>
          </cell>
          <cell r="AF1349" t="str">
            <v>XE00033</v>
          </cell>
          <cell r="AH1349">
            <v>9.42</v>
          </cell>
          <cell r="AW1349" t="str">
            <v>Trần Hữu Nam 197213</v>
          </cell>
          <cell r="AX1349" t="str">
            <v>Lương</v>
          </cell>
        </row>
        <row r="1350">
          <cell r="D1350" t="str">
            <v>Trần Hữu Nam 1972</v>
          </cell>
          <cell r="AF1350" t="str">
            <v>XE00033</v>
          </cell>
          <cell r="AH1350">
            <v>7.6400000000000006</v>
          </cell>
          <cell r="AW1350" t="str">
            <v>Trần Hữu Nam 197214</v>
          </cell>
          <cell r="AX1350" t="str">
            <v>Lương</v>
          </cell>
        </row>
        <row r="1351">
          <cell r="D1351" t="str">
            <v>Bùi Quý Phúc</v>
          </cell>
          <cell r="AF1351" t="str">
            <v>XE00077</v>
          </cell>
          <cell r="AH1351">
            <v>9.82</v>
          </cell>
          <cell r="AW1351" t="str">
            <v>Bùi Quý Phúc11</v>
          </cell>
          <cell r="AX1351" t="str">
            <v>Lương</v>
          </cell>
        </row>
        <row r="1352">
          <cell r="D1352" t="str">
            <v>Bùi Quý Phúc</v>
          </cell>
          <cell r="AF1352" t="str">
            <v>XE00077</v>
          </cell>
          <cell r="AH1352">
            <v>9.42</v>
          </cell>
          <cell r="AW1352" t="str">
            <v>Bùi Quý Phúc12</v>
          </cell>
          <cell r="AX1352" t="str">
            <v>Lương</v>
          </cell>
        </row>
        <row r="1353">
          <cell r="D1353" t="str">
            <v>Trần Hữu Nam 1972</v>
          </cell>
          <cell r="AF1353" t="str">
            <v>XE00033</v>
          </cell>
          <cell r="AH1353">
            <v>9.82</v>
          </cell>
          <cell r="AW1353" t="str">
            <v>Trần Hữu Nam 197215</v>
          </cell>
          <cell r="AX1353" t="str">
            <v>Lương</v>
          </cell>
        </row>
        <row r="1354">
          <cell r="D1354" t="str">
            <v>Trần Thanh An</v>
          </cell>
          <cell r="AF1354" t="str">
            <v>XE00113</v>
          </cell>
          <cell r="AH1354">
            <v>9.24</v>
          </cell>
          <cell r="AW1354" t="str">
            <v>Trần Thanh An10</v>
          </cell>
          <cell r="AX1354" t="str">
            <v>Lương</v>
          </cell>
        </row>
        <row r="1355">
          <cell r="D1355" t="str">
            <v>Nguyễn Văn Thế</v>
          </cell>
          <cell r="AF1355" t="str">
            <v>XE00600</v>
          </cell>
          <cell r="AH1355">
            <v>9.82</v>
          </cell>
          <cell r="AW1355" t="str">
            <v>Nguyễn Văn Thế10</v>
          </cell>
          <cell r="AX1355" t="str">
            <v>Lương</v>
          </cell>
        </row>
        <row r="1356">
          <cell r="D1356" t="str">
            <v>Trần Đình Vượng</v>
          </cell>
          <cell r="AF1356" t="str">
            <v>XE01155</v>
          </cell>
          <cell r="AH1356">
            <v>8.44</v>
          </cell>
          <cell r="AW1356" t="str">
            <v>Trần Đình Vượng10</v>
          </cell>
          <cell r="AX1356" t="str">
            <v>Lương</v>
          </cell>
        </row>
        <row r="1357">
          <cell r="D1357" t="str">
            <v>Nguyễn Ngọc Trường</v>
          </cell>
          <cell r="AF1357" t="str">
            <v>XE00240</v>
          </cell>
          <cell r="AH1357">
            <v>9.82</v>
          </cell>
          <cell r="AW1357" t="str">
            <v>Nguyễn Ngọc Trường11</v>
          </cell>
          <cell r="AX1357" t="str">
            <v>Lương</v>
          </cell>
        </row>
        <row r="1358">
          <cell r="D1358" t="str">
            <v>Tống Văn Nam</v>
          </cell>
          <cell r="AF1358" t="str">
            <v>XE00019</v>
          </cell>
          <cell r="AH1358">
            <v>9.82</v>
          </cell>
          <cell r="AW1358" t="str">
            <v>Tống Văn Nam12</v>
          </cell>
          <cell r="AX1358" t="str">
            <v>Lương</v>
          </cell>
        </row>
        <row r="1359">
          <cell r="D1359" t="str">
            <v>Lê Hữu Bích</v>
          </cell>
          <cell r="AF1359" t="str">
            <v>XE00050</v>
          </cell>
          <cell r="AH1359">
            <v>9.42</v>
          </cell>
          <cell r="AW1359" t="str">
            <v>Lê Hữu Bích10</v>
          </cell>
          <cell r="AX1359" t="str">
            <v>Lương</v>
          </cell>
        </row>
        <row r="1360">
          <cell r="D1360" t="str">
            <v>Lê Trọng Giáp</v>
          </cell>
          <cell r="AF1360" t="str">
            <v>XE00020</v>
          </cell>
          <cell r="AH1360">
            <v>8.0400000000000009</v>
          </cell>
          <cell r="AW1360" t="str">
            <v>Lê Trọng Giáp11</v>
          </cell>
          <cell r="AX1360" t="str">
            <v>Lương</v>
          </cell>
        </row>
        <row r="1361">
          <cell r="D1361" t="str">
            <v>Phan Đăng Quang</v>
          </cell>
          <cell r="AF1361" t="str">
            <v>XE00195</v>
          </cell>
          <cell r="AH1361">
            <v>8.44</v>
          </cell>
          <cell r="AW1361" t="str">
            <v>Phan Đăng Quang11</v>
          </cell>
          <cell r="AX1361" t="str">
            <v>Lương</v>
          </cell>
        </row>
        <row r="1362">
          <cell r="D1362" t="str">
            <v>Nguyễn Việt Trung</v>
          </cell>
          <cell r="AF1362" t="str">
            <v>XE00137</v>
          </cell>
          <cell r="AH1362">
            <v>9.2199999999999989</v>
          </cell>
          <cell r="AW1362" t="str">
            <v>Nguyễn Việt Trung9</v>
          </cell>
          <cell r="AX1362" t="str">
            <v>Lương</v>
          </cell>
        </row>
        <row r="1363">
          <cell r="D1363" t="str">
            <v>Nguyễn Việt Trung</v>
          </cell>
          <cell r="AF1363" t="str">
            <v>XE00137</v>
          </cell>
          <cell r="AH1363">
            <v>9.64</v>
          </cell>
          <cell r="AW1363" t="str">
            <v>Nguyễn Việt Trung10</v>
          </cell>
          <cell r="AX1363" t="str">
            <v>Lương</v>
          </cell>
        </row>
        <row r="1364">
          <cell r="D1364" t="str">
            <v>Trịnh Xuân Đức</v>
          </cell>
          <cell r="AF1364" t="str">
            <v>XE00109</v>
          </cell>
          <cell r="AH1364">
            <v>9.42</v>
          </cell>
          <cell r="AW1364" t="str">
            <v>Trịnh Xuân Đức12</v>
          </cell>
          <cell r="AX1364" t="str">
            <v>Lương</v>
          </cell>
        </row>
        <row r="1365">
          <cell r="D1365" t="str">
            <v>Trịnh Xuân Đức</v>
          </cell>
          <cell r="AF1365" t="str">
            <v>XE00109</v>
          </cell>
          <cell r="AH1365">
            <v>9.82</v>
          </cell>
          <cell r="AW1365" t="str">
            <v>Trịnh Xuân Đức13</v>
          </cell>
          <cell r="AX1365" t="str">
            <v>Lương</v>
          </cell>
        </row>
        <row r="1366">
          <cell r="D1366" t="str">
            <v>Lê Văn Diện</v>
          </cell>
          <cell r="AF1366" t="str">
            <v>XE00098</v>
          </cell>
          <cell r="AH1366">
            <v>9.82</v>
          </cell>
          <cell r="AW1366" t="str">
            <v>Lê Văn Diện12</v>
          </cell>
          <cell r="AX1366" t="str">
            <v>Lương</v>
          </cell>
        </row>
        <row r="1367">
          <cell r="D1367" t="str">
            <v>Lê Văn Diện</v>
          </cell>
          <cell r="AF1367" t="str">
            <v>XE00098</v>
          </cell>
          <cell r="AH1367">
            <v>9.82</v>
          </cell>
          <cell r="AW1367" t="str">
            <v>Lê Văn Diện13</v>
          </cell>
          <cell r="AX1367" t="str">
            <v>Lương</v>
          </cell>
        </row>
        <row r="1368">
          <cell r="D1368" t="str">
            <v>Nguyễn Thành Đạt</v>
          </cell>
          <cell r="AF1368" t="str">
            <v>XE00256</v>
          </cell>
          <cell r="AH1368">
            <v>9.42</v>
          </cell>
          <cell r="AW1368" t="str">
            <v>Nguyễn Thành Đạt12</v>
          </cell>
          <cell r="AX1368" t="str">
            <v>Lương</v>
          </cell>
        </row>
        <row r="1369">
          <cell r="D1369" t="str">
            <v>Dương Văn Thọ</v>
          </cell>
          <cell r="AF1369" t="str">
            <v>XE00282</v>
          </cell>
          <cell r="AH1369">
            <v>9.82</v>
          </cell>
          <cell r="AW1369" t="str">
            <v>Dương Văn Thọ13</v>
          </cell>
          <cell r="AX1369" t="str">
            <v>Lương</v>
          </cell>
        </row>
        <row r="1370">
          <cell r="D1370" t="str">
            <v>Trần Văn Hạnh</v>
          </cell>
          <cell r="AF1370" t="str">
            <v>XE00290</v>
          </cell>
          <cell r="AH1370">
            <v>8.84</v>
          </cell>
          <cell r="AW1370" t="str">
            <v>Trần Văn Hạnh13</v>
          </cell>
          <cell r="AX1370" t="str">
            <v>Lương</v>
          </cell>
        </row>
        <row r="1371">
          <cell r="D1371" t="str">
            <v>Cù Xuân Duy</v>
          </cell>
          <cell r="AF1371" t="str">
            <v>XE00887</v>
          </cell>
          <cell r="AH1371">
            <v>9.82</v>
          </cell>
          <cell r="AW1371" t="str">
            <v>Cù Xuân Duy12</v>
          </cell>
          <cell r="AX1371" t="str">
            <v>Lương</v>
          </cell>
        </row>
        <row r="1372">
          <cell r="D1372" t="str">
            <v>Cù Xuân Duy</v>
          </cell>
          <cell r="AF1372" t="str">
            <v>XE00887</v>
          </cell>
          <cell r="AH1372">
            <v>9.82</v>
          </cell>
          <cell r="AW1372" t="str">
            <v>Cù Xuân Duy13</v>
          </cell>
          <cell r="AX1372" t="str">
            <v>Lương</v>
          </cell>
        </row>
        <row r="1373">
          <cell r="D1373" t="str">
            <v>Phạm Quốc Hội</v>
          </cell>
          <cell r="AF1373" t="str">
            <v>XE01229</v>
          </cell>
          <cell r="AH1373">
            <v>9.82</v>
          </cell>
          <cell r="AW1373" t="str">
            <v>Phạm Quốc Hội10</v>
          </cell>
          <cell r="AX1373" t="str">
            <v>Lương</v>
          </cell>
        </row>
        <row r="1374">
          <cell r="D1374" t="str">
            <v>Phạm Quốc Hội</v>
          </cell>
          <cell r="AF1374" t="str">
            <v>XE01229</v>
          </cell>
          <cell r="AH1374">
            <v>9.82</v>
          </cell>
          <cell r="AW1374" t="str">
            <v>Phạm Quốc Hội11</v>
          </cell>
          <cell r="AX1374" t="str">
            <v>Lương</v>
          </cell>
        </row>
        <row r="1375">
          <cell r="D1375" t="str">
            <v>Trần Đức Toản</v>
          </cell>
          <cell r="AF1375" t="str">
            <v>XE01314</v>
          </cell>
          <cell r="AH1375">
            <v>8.2200000000000006</v>
          </cell>
          <cell r="AW1375" t="str">
            <v>Trần Đức Toản11</v>
          </cell>
          <cell r="AX1375" t="str">
            <v>Lương</v>
          </cell>
        </row>
        <row r="1376">
          <cell r="D1376" t="str">
            <v>Trần Đức Toản</v>
          </cell>
          <cell r="AF1376" t="str">
            <v>XE01314</v>
          </cell>
          <cell r="AH1376">
            <v>9.02</v>
          </cell>
          <cell r="AW1376" t="str">
            <v>Trần Đức Toản12</v>
          </cell>
          <cell r="AX1376" t="str">
            <v>Lương</v>
          </cell>
        </row>
        <row r="1377">
          <cell r="D1377" t="str">
            <v>Đặng Hồng Thuỷ</v>
          </cell>
          <cell r="AF1377" t="str">
            <v>XE01385</v>
          </cell>
          <cell r="AH1377">
            <v>8.84</v>
          </cell>
          <cell r="AW1377" t="str">
            <v>Đặng Hồng Thuỷ10</v>
          </cell>
          <cell r="AX1377" t="str">
            <v>Lương</v>
          </cell>
        </row>
        <row r="1378">
          <cell r="D1378" t="str">
            <v>Đặng Hồng Thuỷ</v>
          </cell>
          <cell r="AF1378" t="str">
            <v>XE01385</v>
          </cell>
          <cell r="AH1378">
            <v>9.32</v>
          </cell>
          <cell r="AW1378" t="str">
            <v>Đặng Hồng Thuỷ11</v>
          </cell>
          <cell r="AX1378" t="str">
            <v>Lương</v>
          </cell>
        </row>
        <row r="1379">
          <cell r="D1379" t="str">
            <v>Trần Nam</v>
          </cell>
          <cell r="AF1379" t="str">
            <v>XE00130</v>
          </cell>
          <cell r="AH1379">
            <v>9.82</v>
          </cell>
          <cell r="AW1379" t="str">
            <v>Trần Nam13</v>
          </cell>
          <cell r="AX1379" t="str">
            <v>Lương</v>
          </cell>
        </row>
        <row r="1380">
          <cell r="D1380" t="str">
            <v>Phạm Thế Anh</v>
          </cell>
          <cell r="AF1380" t="str">
            <v>XE00298</v>
          </cell>
          <cell r="AH1380">
            <v>9.82</v>
          </cell>
          <cell r="AW1380" t="str">
            <v>Phạm Thế Anh13</v>
          </cell>
          <cell r="AX1380" t="str">
            <v>Lương</v>
          </cell>
        </row>
        <row r="1381">
          <cell r="D1381" t="str">
            <v>Nguyễn Xuân Thắng</v>
          </cell>
          <cell r="AF1381" t="str">
            <v>XE00046</v>
          </cell>
          <cell r="AH1381">
            <v>9.6</v>
          </cell>
          <cell r="AW1381" t="str">
            <v>Nguyễn Xuân Thắng10</v>
          </cell>
          <cell r="AX1381" t="str">
            <v>Lương</v>
          </cell>
        </row>
        <row r="1382">
          <cell r="D1382" t="str">
            <v>Nguyễn Xuân Thắng</v>
          </cell>
          <cell r="AF1382" t="str">
            <v>XE00046</v>
          </cell>
          <cell r="AH1382">
            <v>9.42</v>
          </cell>
          <cell r="AW1382" t="str">
            <v>Nguyễn Xuân Thắng11</v>
          </cell>
          <cell r="AX1382" t="str">
            <v>Lương</v>
          </cell>
        </row>
        <row r="1383">
          <cell r="D1383" t="str">
            <v>Phạm Văn Đồng</v>
          </cell>
          <cell r="AF1383" t="str">
            <v>XE01479</v>
          </cell>
          <cell r="AH1383">
            <v>9.02</v>
          </cell>
          <cell r="AW1383" t="str">
            <v>Phạm Văn Đồng11</v>
          </cell>
          <cell r="AX1383" t="str">
            <v>Lương</v>
          </cell>
        </row>
        <row r="1384">
          <cell r="D1384" t="str">
            <v>Phạm Viết Thắng</v>
          </cell>
          <cell r="AF1384" t="str">
            <v>XE01596</v>
          </cell>
          <cell r="AH1384">
            <v>9.02</v>
          </cell>
          <cell r="AW1384" t="str">
            <v>Phạm Viết Thắng11</v>
          </cell>
          <cell r="AX1384" t="str">
            <v>Lương</v>
          </cell>
        </row>
        <row r="1385">
          <cell r="D1385" t="str">
            <v>Phạm Thanh Tùng</v>
          </cell>
          <cell r="AF1385" t="str">
            <v>XE01402</v>
          </cell>
          <cell r="AH1385">
            <v>9.42</v>
          </cell>
          <cell r="AW1385" t="str">
            <v>Phạm Thanh Tùng11</v>
          </cell>
          <cell r="AX1385" t="str">
            <v>Lương</v>
          </cell>
        </row>
        <row r="1386">
          <cell r="D1386" t="str">
            <v>Nguyễn Hải Nam</v>
          </cell>
          <cell r="AF1386" t="str">
            <v>XE01661</v>
          </cell>
          <cell r="AH1386">
            <v>9.82</v>
          </cell>
          <cell r="AW1386" t="str">
            <v>Nguyễn Hải Nam11</v>
          </cell>
          <cell r="AX1386" t="str">
            <v>Lương</v>
          </cell>
        </row>
        <row r="1387">
          <cell r="D1387" t="str">
            <v>Vũ Văn Chín</v>
          </cell>
          <cell r="AF1387" t="str">
            <v>XE01703</v>
          </cell>
          <cell r="AH1387">
            <v>9.82</v>
          </cell>
          <cell r="AW1387" t="str">
            <v>Vũ Văn Chín11</v>
          </cell>
          <cell r="AX1387" t="str">
            <v>Lương</v>
          </cell>
        </row>
        <row r="1388">
          <cell r="D1388" t="str">
            <v>Phạm Văn Tình</v>
          </cell>
          <cell r="AF1388" t="str">
            <v>XE01177</v>
          </cell>
          <cell r="AH1388">
            <v>9.42</v>
          </cell>
          <cell r="AW1388" t="str">
            <v>Phạm Văn Tình10</v>
          </cell>
          <cell r="AX1388" t="str">
            <v>Lương</v>
          </cell>
        </row>
        <row r="1389">
          <cell r="D1389" t="str">
            <v>Hoàng Mạnh Tú</v>
          </cell>
          <cell r="AF1389" t="str">
            <v>XE00406</v>
          </cell>
          <cell r="AH1389">
            <v>9.82</v>
          </cell>
          <cell r="AW1389" t="str">
            <v>Hoàng Mạnh Tú11</v>
          </cell>
          <cell r="AX1389" t="str">
            <v>Lương</v>
          </cell>
        </row>
        <row r="1390">
          <cell r="D1390" t="str">
            <v>Phạm Văn Tuân</v>
          </cell>
          <cell r="AF1390" t="str">
            <v>XE01711</v>
          </cell>
          <cell r="AH1390">
            <v>9.82</v>
          </cell>
          <cell r="AW1390" t="str">
            <v>Phạm Văn Tuân9</v>
          </cell>
          <cell r="AX1390" t="str">
            <v>Lương</v>
          </cell>
        </row>
        <row r="1391">
          <cell r="D1391" t="str">
            <v>Ngô Quốc Hùng</v>
          </cell>
          <cell r="AF1391" t="str">
            <v>XE00024</v>
          </cell>
          <cell r="AH1391">
            <v>9.82</v>
          </cell>
          <cell r="AW1391" t="str">
            <v>Ngô Quốc Hùng10</v>
          </cell>
          <cell r="AX1391" t="str">
            <v>Lương</v>
          </cell>
        </row>
        <row r="1392">
          <cell r="D1392" t="str">
            <v>Ngô Quốc Hùng</v>
          </cell>
          <cell r="AF1392" t="str">
            <v>XE00024</v>
          </cell>
          <cell r="AH1392">
            <v>9.42</v>
          </cell>
          <cell r="AW1392" t="str">
            <v>Ngô Quốc Hùng11</v>
          </cell>
          <cell r="AX1392" t="str">
            <v>Lương</v>
          </cell>
        </row>
        <row r="1393">
          <cell r="D1393" t="str">
            <v>Trần Thanh An</v>
          </cell>
          <cell r="AF1393" t="str">
            <v>XE00113</v>
          </cell>
          <cell r="AH1393">
            <v>9.82</v>
          </cell>
          <cell r="AW1393" t="str">
            <v>Trần Thanh An11</v>
          </cell>
          <cell r="AX1393" t="str">
            <v>Lương</v>
          </cell>
        </row>
        <row r="1394">
          <cell r="D1394" t="str">
            <v>Nguyễn Văn Thế</v>
          </cell>
          <cell r="AF1394" t="str">
            <v>XE00600</v>
          </cell>
          <cell r="AH1394">
            <v>9.82</v>
          </cell>
          <cell r="AW1394" t="str">
            <v>Nguyễn Văn Thế11</v>
          </cell>
          <cell r="AX1394" t="str">
            <v>Lương</v>
          </cell>
        </row>
        <row r="1395">
          <cell r="D1395" t="str">
            <v>Hoàng Ngọc Cường</v>
          </cell>
          <cell r="AF1395" t="str">
            <v>XE00703</v>
          </cell>
          <cell r="AH1395">
            <v>9.42</v>
          </cell>
          <cell r="AW1395" t="str">
            <v>Hoàng Ngọc Cường3</v>
          </cell>
          <cell r="AX1395" t="str">
            <v>Lương</v>
          </cell>
        </row>
        <row r="1396">
          <cell r="D1396" t="str">
            <v>Hoàng Ngọc Cường</v>
          </cell>
          <cell r="AF1396" t="str">
            <v>XE00703</v>
          </cell>
          <cell r="AH1396">
            <v>9.42</v>
          </cell>
          <cell r="AW1396" t="str">
            <v>Hoàng Ngọc Cường4</v>
          </cell>
          <cell r="AX1396" t="str">
            <v>Lương</v>
          </cell>
        </row>
        <row r="1397">
          <cell r="D1397" t="str">
            <v>Hoàng Ngọc Cường</v>
          </cell>
          <cell r="AF1397" t="str">
            <v>XE00703</v>
          </cell>
          <cell r="AH1397">
            <v>9.42</v>
          </cell>
          <cell r="AW1397" t="str">
            <v>Hoàng Ngọc Cường5</v>
          </cell>
          <cell r="AX1397" t="str">
            <v>Lương</v>
          </cell>
        </row>
        <row r="1398">
          <cell r="D1398" t="str">
            <v>Trần Đình Vượng</v>
          </cell>
          <cell r="AF1398" t="str">
            <v>XE01155</v>
          </cell>
          <cell r="AH1398">
            <v>9.42</v>
          </cell>
          <cell r="AW1398" t="str">
            <v>Trần Đình Vượng11</v>
          </cell>
          <cell r="AX1398" t="str">
            <v>Lương</v>
          </cell>
        </row>
        <row r="1399">
          <cell r="D1399" t="str">
            <v>Đặng Ngọc Toàn</v>
          </cell>
          <cell r="AF1399" t="str">
            <v>XE00138</v>
          </cell>
          <cell r="AH1399">
            <v>9.42</v>
          </cell>
          <cell r="AW1399" t="str">
            <v>Đặng Ngọc Toàn10</v>
          </cell>
          <cell r="AX1399" t="str">
            <v>Lương</v>
          </cell>
        </row>
        <row r="1400">
          <cell r="D1400" t="str">
            <v>Đặng Ngọc Toàn</v>
          </cell>
          <cell r="AF1400" t="str">
            <v>XE00138</v>
          </cell>
          <cell r="AH1400">
            <v>8.84</v>
          </cell>
          <cell r="AW1400" t="str">
            <v>Đặng Ngọc Toàn11</v>
          </cell>
          <cell r="AX1400" t="str">
            <v>Lương</v>
          </cell>
        </row>
        <row r="1401">
          <cell r="D1401" t="str">
            <v>Nguyễn Ngọc Trường</v>
          </cell>
          <cell r="AF1401" t="str">
            <v>XE00240</v>
          </cell>
          <cell r="AH1401">
            <v>9.02</v>
          </cell>
          <cell r="AW1401" t="str">
            <v>Nguyễn Ngọc Trường12</v>
          </cell>
          <cell r="AX1401" t="str">
            <v>Lương</v>
          </cell>
        </row>
        <row r="1402">
          <cell r="D1402" t="str">
            <v>Tống Văn Nam</v>
          </cell>
          <cell r="AF1402" t="str">
            <v>XE00019</v>
          </cell>
          <cell r="AH1402">
            <v>9.2199999999999989</v>
          </cell>
          <cell r="AW1402" t="str">
            <v>Tống Văn Nam13</v>
          </cell>
          <cell r="AX1402" t="str">
            <v>Lương</v>
          </cell>
        </row>
        <row r="1403">
          <cell r="D1403" t="str">
            <v>Lê Hữu Bích</v>
          </cell>
          <cell r="AF1403" t="str">
            <v>XE00050</v>
          </cell>
          <cell r="AH1403">
            <v>8.2200000000000006</v>
          </cell>
          <cell r="AW1403" t="str">
            <v>Lê Hữu Bích11</v>
          </cell>
          <cell r="AX1403" t="str">
            <v>Lương</v>
          </cell>
        </row>
        <row r="1404">
          <cell r="D1404" t="str">
            <v>Lê Trọng Giáp</v>
          </cell>
          <cell r="AF1404" t="str">
            <v>XE00020</v>
          </cell>
          <cell r="AH1404">
            <v>8.84</v>
          </cell>
          <cell r="AW1404" t="str">
            <v>Lê Trọng Giáp12</v>
          </cell>
          <cell r="AX1404" t="str">
            <v>Lương</v>
          </cell>
        </row>
        <row r="1405">
          <cell r="D1405" t="str">
            <v>Phan Đăng Quang</v>
          </cell>
          <cell r="AF1405" t="str">
            <v>XE00195</v>
          </cell>
          <cell r="AH1405">
            <v>8.44</v>
          </cell>
          <cell r="AW1405" t="str">
            <v>Phan Đăng Quang12</v>
          </cell>
          <cell r="AX1405" t="str">
            <v>Lương</v>
          </cell>
        </row>
        <row r="1406">
          <cell r="D1406" t="str">
            <v>Nguyễn Việt Trung</v>
          </cell>
          <cell r="AF1406" t="str">
            <v>XE00137</v>
          </cell>
          <cell r="AH1406">
            <v>9.42</v>
          </cell>
          <cell r="AW1406" t="str">
            <v>Nguyễn Việt Trung11</v>
          </cell>
          <cell r="AX1406" t="str">
            <v>Lương</v>
          </cell>
        </row>
        <row r="1407">
          <cell r="D1407" t="str">
            <v>Trịnh Xuân Đức</v>
          </cell>
          <cell r="AF1407" t="str">
            <v>XE00109</v>
          </cell>
          <cell r="AH1407">
            <v>9.82</v>
          </cell>
          <cell r="AW1407" t="str">
            <v>Trịnh Xuân Đức14</v>
          </cell>
          <cell r="AX1407" t="str">
            <v>Lương</v>
          </cell>
        </row>
        <row r="1408">
          <cell r="D1408" t="str">
            <v>Lê Văn Diện</v>
          </cell>
          <cell r="AF1408" t="str">
            <v>XE00098</v>
          </cell>
          <cell r="AH1408">
            <v>8.44</v>
          </cell>
          <cell r="AW1408" t="str">
            <v>Lê Văn Diện14</v>
          </cell>
          <cell r="AX1408" t="str">
            <v>Lương</v>
          </cell>
        </row>
        <row r="1409">
          <cell r="D1409" t="str">
            <v>Nguyễn Thành Đạt</v>
          </cell>
          <cell r="AF1409" t="str">
            <v>XE00256</v>
          </cell>
          <cell r="AH1409">
            <v>9.82</v>
          </cell>
          <cell r="AW1409" t="str">
            <v>Nguyễn Thành Đạt13</v>
          </cell>
          <cell r="AX1409" t="str">
            <v>Lương</v>
          </cell>
        </row>
        <row r="1410">
          <cell r="D1410" t="str">
            <v>Dương Văn Thọ</v>
          </cell>
          <cell r="AF1410" t="str">
            <v>XE00282</v>
          </cell>
          <cell r="AH1410">
            <v>9.82</v>
          </cell>
          <cell r="AW1410" t="str">
            <v>Dương Văn Thọ14</v>
          </cell>
          <cell r="AX1410" t="str">
            <v>Lương</v>
          </cell>
        </row>
        <row r="1411">
          <cell r="D1411" t="str">
            <v>Trần Văn Hạnh</v>
          </cell>
          <cell r="AF1411" t="str">
            <v>XE00290</v>
          </cell>
          <cell r="AH1411">
            <v>9.2199999999999989</v>
          </cell>
          <cell r="AW1411" t="str">
            <v>Trần Văn Hạnh14</v>
          </cell>
          <cell r="AX1411" t="str">
            <v>Lương</v>
          </cell>
        </row>
        <row r="1412">
          <cell r="D1412" t="str">
            <v>Nguyễn Ngọc Hưng</v>
          </cell>
          <cell r="AF1412" t="str">
            <v>XE00559</v>
          </cell>
          <cell r="AH1412">
            <v>9.42</v>
          </cell>
          <cell r="AW1412" t="str">
            <v>Nguyễn Ngọc Hưng10</v>
          </cell>
          <cell r="AX1412" t="str">
            <v>Lương</v>
          </cell>
        </row>
        <row r="1413">
          <cell r="D1413" t="str">
            <v>Nguyễn Ngọc Hưng</v>
          </cell>
          <cell r="AF1413" t="str">
            <v>XE00559</v>
          </cell>
          <cell r="AH1413">
            <v>9.82</v>
          </cell>
          <cell r="AW1413" t="str">
            <v>Nguyễn Ngọc Hưng11</v>
          </cell>
          <cell r="AX1413" t="str">
            <v>Lương</v>
          </cell>
        </row>
        <row r="1414">
          <cell r="D1414" t="str">
            <v>Nguyễn Đức Thanh</v>
          </cell>
          <cell r="AF1414" t="str">
            <v>XE00627</v>
          </cell>
          <cell r="AH1414">
            <v>9.82</v>
          </cell>
          <cell r="AW1414" t="str">
            <v>Nguyễn Đức Thanh9</v>
          </cell>
          <cell r="AX1414" t="str">
            <v>Lương</v>
          </cell>
        </row>
        <row r="1415">
          <cell r="D1415" t="str">
            <v>Nguyễn Đức Thanh</v>
          </cell>
          <cell r="AF1415" t="str">
            <v>XE00627</v>
          </cell>
          <cell r="AH1415">
            <v>9.02</v>
          </cell>
          <cell r="AW1415" t="str">
            <v>Nguyễn Đức Thanh10</v>
          </cell>
          <cell r="AX1415" t="str">
            <v>Lương</v>
          </cell>
        </row>
        <row r="1416">
          <cell r="D1416" t="str">
            <v>Nguyễn Đức Thanh</v>
          </cell>
          <cell r="AF1416" t="str">
            <v>XE00627</v>
          </cell>
          <cell r="AH1416">
            <v>9.82</v>
          </cell>
          <cell r="AW1416" t="str">
            <v>Nguyễn Đức Thanh11</v>
          </cell>
          <cell r="AX1416" t="str">
            <v>Lương</v>
          </cell>
        </row>
        <row r="1417">
          <cell r="D1417" t="str">
            <v>Vũ Việt Hùng</v>
          </cell>
          <cell r="AF1417" t="str">
            <v>XE00812</v>
          </cell>
          <cell r="AH1417">
            <v>8.44</v>
          </cell>
          <cell r="AW1417" t="str">
            <v>Vũ Việt Hùng11</v>
          </cell>
          <cell r="AX1417" t="str">
            <v>Lương</v>
          </cell>
        </row>
        <row r="1418">
          <cell r="D1418" t="str">
            <v>Cù Xuân Duy</v>
          </cell>
          <cell r="AF1418" t="str">
            <v>XE00887</v>
          </cell>
          <cell r="AH1418">
            <v>9.82</v>
          </cell>
          <cell r="AW1418" t="str">
            <v>Cù Xuân Duy14</v>
          </cell>
          <cell r="AX1418" t="str">
            <v>Lương</v>
          </cell>
        </row>
        <row r="1419">
          <cell r="D1419" t="str">
            <v>Phạm Quốc Hội</v>
          </cell>
          <cell r="AF1419" t="str">
            <v>XE01229</v>
          </cell>
          <cell r="AH1419">
            <v>9.82</v>
          </cell>
          <cell r="AW1419" t="str">
            <v>Phạm Quốc Hội12</v>
          </cell>
          <cell r="AX1419" t="str">
            <v>Lương</v>
          </cell>
        </row>
        <row r="1420">
          <cell r="D1420" t="str">
            <v>Trần Đức Toản</v>
          </cell>
          <cell r="AF1420" t="str">
            <v>XE01314</v>
          </cell>
          <cell r="AH1420">
            <v>9.82</v>
          </cell>
          <cell r="AW1420" t="str">
            <v>Trần Đức Toản13</v>
          </cell>
          <cell r="AX1420" t="str">
            <v>Lương</v>
          </cell>
        </row>
        <row r="1421">
          <cell r="D1421" t="str">
            <v>Đặng Hồng Thuỷ</v>
          </cell>
          <cell r="AF1421" t="str">
            <v>XE01385</v>
          </cell>
          <cell r="AH1421">
            <v>9.0399999999999991</v>
          </cell>
          <cell r="AW1421" t="str">
            <v>Đặng Hồng Thuỷ12</v>
          </cell>
          <cell r="AX1421" t="str">
            <v>Lương</v>
          </cell>
        </row>
        <row r="1422">
          <cell r="D1422" t="str">
            <v>Trần Nam</v>
          </cell>
          <cell r="AF1422" t="str">
            <v>XE00130</v>
          </cell>
          <cell r="AH1422">
            <v>9.82</v>
          </cell>
          <cell r="AW1422" t="str">
            <v>Trần Nam14</v>
          </cell>
          <cell r="AX1422" t="str">
            <v>Lương</v>
          </cell>
        </row>
        <row r="1423">
          <cell r="D1423" t="str">
            <v>Phạm Thế Anh</v>
          </cell>
          <cell r="AF1423" t="str">
            <v>XE00298</v>
          </cell>
          <cell r="AH1423">
            <v>9.42</v>
          </cell>
          <cell r="AW1423" t="str">
            <v>Phạm Thế Anh14</v>
          </cell>
          <cell r="AX1423" t="str">
            <v>Lương</v>
          </cell>
        </row>
        <row r="1424">
          <cell r="D1424" t="str">
            <v>Nguyễn Xuân Thắng</v>
          </cell>
          <cell r="AF1424" t="str">
            <v>XE00046</v>
          </cell>
          <cell r="AH1424">
            <v>9.82</v>
          </cell>
          <cell r="AW1424" t="str">
            <v>Nguyễn Xuân Thắng12</v>
          </cell>
          <cell r="AX1424" t="str">
            <v>Lương</v>
          </cell>
        </row>
        <row r="1425">
          <cell r="D1425" t="str">
            <v>Nguyễn Thanh Sơn</v>
          </cell>
          <cell r="AF1425" t="str">
            <v>XE01468</v>
          </cell>
          <cell r="AH1425">
            <v>9.82</v>
          </cell>
          <cell r="AW1425" t="str">
            <v>Nguyễn Thanh Sơn11</v>
          </cell>
          <cell r="AX1425" t="str">
            <v>Lương</v>
          </cell>
        </row>
        <row r="1426">
          <cell r="D1426" t="str">
            <v>Phạm Văn Đồng</v>
          </cell>
          <cell r="AF1426" t="str">
            <v>XE01479</v>
          </cell>
          <cell r="AH1426">
            <v>9.82</v>
          </cell>
          <cell r="AW1426" t="str">
            <v>Phạm Văn Đồng12</v>
          </cell>
          <cell r="AX1426" t="str">
            <v>Lương</v>
          </cell>
        </row>
        <row r="1427">
          <cell r="D1427" t="str">
            <v>Vũ Văn Tuyến</v>
          </cell>
          <cell r="AF1427" t="str">
            <v>XE01502</v>
          </cell>
          <cell r="AH1427">
            <v>9.82</v>
          </cell>
          <cell r="AW1427" t="str">
            <v>Vũ Văn Tuyến8</v>
          </cell>
          <cell r="AX1427" t="str">
            <v>Lương</v>
          </cell>
        </row>
        <row r="1428">
          <cell r="D1428" t="str">
            <v>Vũ Văn Tuyến</v>
          </cell>
          <cell r="AF1428" t="str">
            <v>XE01502</v>
          </cell>
          <cell r="AH1428">
            <v>9.82</v>
          </cell>
          <cell r="AW1428" t="str">
            <v>Vũ Văn Tuyến9</v>
          </cell>
          <cell r="AX1428" t="str">
            <v>Lương</v>
          </cell>
        </row>
        <row r="1429">
          <cell r="D1429" t="str">
            <v>Vũ Văn Tuyến</v>
          </cell>
          <cell r="AF1429" t="str">
            <v>XE01502</v>
          </cell>
          <cell r="AH1429">
            <v>7.6400000000000006</v>
          </cell>
          <cell r="AW1429" t="str">
            <v>Vũ Văn Tuyến10</v>
          </cell>
          <cell r="AX1429" t="str">
            <v>Lương</v>
          </cell>
        </row>
        <row r="1430">
          <cell r="D1430" t="str">
            <v>Phạm Viết Thắng</v>
          </cell>
          <cell r="AF1430" t="str">
            <v>XE01596</v>
          </cell>
          <cell r="AH1430">
            <v>9.82</v>
          </cell>
          <cell r="AW1430" t="str">
            <v>Phạm Viết Thắng12</v>
          </cell>
          <cell r="AX1430" t="str">
            <v>Lương</v>
          </cell>
        </row>
        <row r="1431">
          <cell r="D1431" t="str">
            <v>Phạm Thanh Tùng</v>
          </cell>
          <cell r="AF1431" t="str">
            <v>XE01402</v>
          </cell>
          <cell r="AH1431">
            <v>9.02</v>
          </cell>
          <cell r="AW1431" t="str">
            <v>Phạm Thanh Tùng12</v>
          </cell>
          <cell r="AX1431" t="str">
            <v>Lương</v>
          </cell>
        </row>
        <row r="1432">
          <cell r="D1432" t="str">
            <v>Phạm Thanh Tùng</v>
          </cell>
          <cell r="AF1432" t="str">
            <v>XE01402</v>
          </cell>
          <cell r="AH1432">
            <v>9.42</v>
          </cell>
          <cell r="AW1432" t="str">
            <v>Phạm Thanh Tùng13</v>
          </cell>
          <cell r="AX1432" t="str">
            <v>Lương</v>
          </cell>
        </row>
        <row r="1433">
          <cell r="D1433" t="str">
            <v>Nguyễn Hải Nam</v>
          </cell>
          <cell r="AF1433" t="str">
            <v>XE01661</v>
          </cell>
          <cell r="AH1433">
            <v>9.82</v>
          </cell>
          <cell r="AW1433" t="str">
            <v>Nguyễn Hải Nam12</v>
          </cell>
          <cell r="AX1433" t="str">
            <v>Lương</v>
          </cell>
        </row>
        <row r="1434">
          <cell r="D1434" t="str">
            <v>Nguyễn Hải Nam</v>
          </cell>
          <cell r="AF1434" t="str">
            <v>XE01661</v>
          </cell>
          <cell r="AH1434">
            <v>9.42</v>
          </cell>
          <cell r="AW1434" t="str">
            <v>Nguyễn Hải Nam13</v>
          </cell>
          <cell r="AX1434" t="str">
            <v>Lương</v>
          </cell>
        </row>
        <row r="1435">
          <cell r="D1435" t="str">
            <v>Vũ Văn Chín</v>
          </cell>
          <cell r="AF1435" t="str">
            <v>XE01703</v>
          </cell>
          <cell r="AH1435">
            <v>9.42</v>
          </cell>
          <cell r="AW1435" t="str">
            <v>Vũ Văn Chín12</v>
          </cell>
          <cell r="AX1435" t="str">
            <v>Lương</v>
          </cell>
        </row>
        <row r="1436">
          <cell r="D1436" t="str">
            <v>Vũ Văn Chín</v>
          </cell>
          <cell r="AF1436" t="str">
            <v>XE01703</v>
          </cell>
          <cell r="AH1436">
            <v>9.42</v>
          </cell>
          <cell r="AW1436" t="str">
            <v>Vũ Văn Chín13</v>
          </cell>
          <cell r="AX1436" t="str">
            <v>Lương</v>
          </cell>
        </row>
        <row r="1437">
          <cell r="D1437" t="str">
            <v>Phạm Văn Tình</v>
          </cell>
          <cell r="AF1437" t="str">
            <v>XE01177</v>
          </cell>
          <cell r="AH1437">
            <v>9.42</v>
          </cell>
          <cell r="AW1437" t="str">
            <v>Phạm Văn Tình11</v>
          </cell>
          <cell r="AX1437" t="str">
            <v>Lương</v>
          </cell>
        </row>
        <row r="1438">
          <cell r="D1438" t="str">
            <v>Phạm Văn Tình</v>
          </cell>
          <cell r="AF1438" t="str">
            <v>XE01177</v>
          </cell>
          <cell r="AH1438">
            <v>9.02</v>
          </cell>
          <cell r="AW1438" t="str">
            <v>Phạm Văn Tình12</v>
          </cell>
          <cell r="AX1438" t="str">
            <v>Lương</v>
          </cell>
        </row>
        <row r="1439">
          <cell r="D1439" t="str">
            <v>Hoàng Mạnh Tú</v>
          </cell>
          <cell r="AF1439" t="str">
            <v>XE00406</v>
          </cell>
          <cell r="AH1439">
            <v>9.82</v>
          </cell>
          <cell r="AW1439" t="str">
            <v>Hoàng Mạnh Tú12</v>
          </cell>
          <cell r="AX1439" t="str">
            <v>Lương</v>
          </cell>
        </row>
        <row r="1440">
          <cell r="D1440" t="str">
            <v>Hoàng Mạnh Tú</v>
          </cell>
          <cell r="AF1440" t="str">
            <v>XE00406</v>
          </cell>
          <cell r="AH1440">
            <v>9.42</v>
          </cell>
          <cell r="AW1440" t="str">
            <v>Hoàng Mạnh Tú13</v>
          </cell>
          <cell r="AX1440" t="str">
            <v>Lương</v>
          </cell>
        </row>
        <row r="1441">
          <cell r="D1441" t="str">
            <v>Phạm Văn Tuân</v>
          </cell>
          <cell r="AF1441" t="str">
            <v>XE01711</v>
          </cell>
          <cell r="AH1441">
            <v>9.42</v>
          </cell>
          <cell r="AW1441" t="str">
            <v>Phạm Văn Tuân10</v>
          </cell>
          <cell r="AX1441" t="str">
            <v>Lương</v>
          </cell>
        </row>
        <row r="1442">
          <cell r="D1442" t="str">
            <v>Phạm Văn Tuân</v>
          </cell>
          <cell r="AF1442" t="str">
            <v>XE01711</v>
          </cell>
          <cell r="AH1442">
            <v>9.6199999999999992</v>
          </cell>
          <cell r="AW1442" t="str">
            <v>Phạm Văn Tuân11</v>
          </cell>
          <cell r="AX1442" t="str">
            <v>Lương</v>
          </cell>
        </row>
        <row r="1443">
          <cell r="D1443" t="str">
            <v>Trần Hữu Nam 1972</v>
          </cell>
          <cell r="AF1443" t="str">
            <v>XE00033</v>
          </cell>
          <cell r="AH1443">
            <v>9.82</v>
          </cell>
          <cell r="AW1443" t="str">
            <v>Trần Hữu Nam 197216</v>
          </cell>
          <cell r="AX1443" t="str">
            <v>Lương</v>
          </cell>
        </row>
        <row r="1444">
          <cell r="D1444" t="str">
            <v>Bùi Quý Phúc</v>
          </cell>
          <cell r="AF1444" t="str">
            <v>XE00077</v>
          </cell>
          <cell r="AH1444">
            <v>9.8000000000000007</v>
          </cell>
          <cell r="AW1444" t="str">
            <v>Bùi Quý Phúc13</v>
          </cell>
          <cell r="AX1444" t="str">
            <v>Lương</v>
          </cell>
        </row>
        <row r="1445">
          <cell r="D1445" t="str">
            <v>Bùi Quý Phúc</v>
          </cell>
          <cell r="AF1445" t="str">
            <v>XE00077</v>
          </cell>
          <cell r="AH1445">
            <v>9.82</v>
          </cell>
          <cell r="AW1445" t="str">
            <v>Bùi Quý Phúc14</v>
          </cell>
          <cell r="AX1445" t="str">
            <v>Lương</v>
          </cell>
        </row>
        <row r="1446">
          <cell r="D1446" t="str">
            <v>Ngô Quốc Hùng</v>
          </cell>
          <cell r="AF1446" t="str">
            <v>XE00024</v>
          </cell>
          <cell r="AH1446">
            <v>8.84</v>
          </cell>
          <cell r="AW1446" t="str">
            <v>Ngô Quốc Hùng12</v>
          </cell>
          <cell r="AX1446" t="str">
            <v>Lương</v>
          </cell>
        </row>
        <row r="1447">
          <cell r="D1447" t="str">
            <v>Trần Thanh An</v>
          </cell>
          <cell r="AF1447" t="str">
            <v>XE00113</v>
          </cell>
          <cell r="AH1447">
            <v>9.82</v>
          </cell>
          <cell r="AW1447" t="str">
            <v>Trần Thanh An12</v>
          </cell>
          <cell r="AX1447" t="str">
            <v>Lương</v>
          </cell>
        </row>
        <row r="1448">
          <cell r="D1448" t="str">
            <v>Nguyễn Văn Thế</v>
          </cell>
          <cell r="AF1448" t="str">
            <v>XE00600</v>
          </cell>
          <cell r="AH1448">
            <v>7.82</v>
          </cell>
          <cell r="AW1448" t="str">
            <v>Nguyễn Văn Thế12</v>
          </cell>
          <cell r="AX1448" t="str">
            <v>Lương</v>
          </cell>
        </row>
        <row r="1449">
          <cell r="D1449" t="str">
            <v>Hoàng Ngọc Cường</v>
          </cell>
          <cell r="AF1449" t="str">
            <v>XE00703</v>
          </cell>
          <cell r="AH1449">
            <v>9.42</v>
          </cell>
          <cell r="AW1449" t="str">
            <v>Hoàng Ngọc Cường6</v>
          </cell>
          <cell r="AX1449" t="str">
            <v>Lương</v>
          </cell>
        </row>
        <row r="1450">
          <cell r="D1450" t="str">
            <v>Hoàng Ngọc Cường</v>
          </cell>
          <cell r="AF1450" t="str">
            <v>XE00703</v>
          </cell>
          <cell r="AH1450">
            <v>9.82</v>
          </cell>
          <cell r="AW1450" t="str">
            <v>Hoàng Ngọc Cường7</v>
          </cell>
          <cell r="AX1450" t="str">
            <v>Lương</v>
          </cell>
        </row>
        <row r="1451">
          <cell r="D1451" t="str">
            <v>Trần Đình Vượng</v>
          </cell>
          <cell r="AF1451" t="str">
            <v>XE01155</v>
          </cell>
          <cell r="AH1451">
            <v>9.42</v>
          </cell>
          <cell r="AW1451" t="str">
            <v>Trần Đình Vượng12</v>
          </cell>
          <cell r="AX1451" t="str">
            <v>Lương</v>
          </cell>
        </row>
        <row r="1452">
          <cell r="D1452" t="str">
            <v>Đặng Ngọc Toàn</v>
          </cell>
          <cell r="AF1452" t="str">
            <v>XE00138</v>
          </cell>
          <cell r="AH1452">
            <v>9.82</v>
          </cell>
          <cell r="AW1452" t="str">
            <v>Đặng Ngọc Toàn12</v>
          </cell>
          <cell r="AX1452" t="str">
            <v>Lương</v>
          </cell>
        </row>
        <row r="1453">
          <cell r="D1453" t="str">
            <v>Nguyễn Ngọc Trường</v>
          </cell>
          <cell r="AF1453" t="str">
            <v>XE00240</v>
          </cell>
          <cell r="AH1453">
            <v>9.42</v>
          </cell>
          <cell r="AW1453" t="str">
            <v>Nguyễn Ngọc Trường13</v>
          </cell>
          <cell r="AX1453" t="str">
            <v>Lương</v>
          </cell>
        </row>
        <row r="1454">
          <cell r="D1454" t="str">
            <v>Tống Văn Nam</v>
          </cell>
          <cell r="AF1454" t="str">
            <v>XE00019</v>
          </cell>
          <cell r="AH1454">
            <v>9.42</v>
          </cell>
          <cell r="AW1454" t="str">
            <v>Tống Văn Nam14</v>
          </cell>
          <cell r="AX1454" t="str">
            <v>Lương</v>
          </cell>
        </row>
        <row r="1455">
          <cell r="D1455" t="str">
            <v>Lê Hữu Bích</v>
          </cell>
          <cell r="AF1455" t="str">
            <v>XE00050</v>
          </cell>
          <cell r="AH1455">
            <v>7.82</v>
          </cell>
          <cell r="AW1455" t="str">
            <v>Lê Hữu Bích12</v>
          </cell>
          <cell r="AX1455" t="str">
            <v>Lương</v>
          </cell>
        </row>
        <row r="1456">
          <cell r="D1456" t="str">
            <v>Lê Trọng Giáp</v>
          </cell>
          <cell r="AF1456" t="str">
            <v>XE00020</v>
          </cell>
          <cell r="AH1456">
            <v>9.82</v>
          </cell>
          <cell r="AW1456" t="str">
            <v>Lê Trọng Giáp13</v>
          </cell>
          <cell r="AX1456" t="str">
            <v>Lương</v>
          </cell>
        </row>
        <row r="1457">
          <cell r="D1457" t="str">
            <v>Phan Đăng Quang</v>
          </cell>
          <cell r="AF1457" t="str">
            <v>XE00195</v>
          </cell>
          <cell r="AH1457">
            <v>9.82</v>
          </cell>
          <cell r="AW1457" t="str">
            <v>Phan Đăng Quang13</v>
          </cell>
          <cell r="AX1457" t="str">
            <v>Lương</v>
          </cell>
        </row>
        <row r="1458">
          <cell r="D1458" t="str">
            <v>Nguyễn Việt Trung</v>
          </cell>
          <cell r="AF1458" t="str">
            <v>XE00137</v>
          </cell>
          <cell r="AH1458">
            <v>9.82</v>
          </cell>
          <cell r="AW1458" t="str">
            <v>Nguyễn Việt Trung12</v>
          </cell>
          <cell r="AX1458" t="str">
            <v>Lương</v>
          </cell>
        </row>
        <row r="1459">
          <cell r="D1459" t="str">
            <v>Trịnh Xuân Đức</v>
          </cell>
          <cell r="AF1459" t="str">
            <v>XE00109</v>
          </cell>
          <cell r="AH1459">
            <v>9.82</v>
          </cell>
          <cell r="AW1459" t="str">
            <v>Trịnh Xuân Đức15</v>
          </cell>
          <cell r="AX1459" t="str">
            <v>Lương</v>
          </cell>
        </row>
        <row r="1460">
          <cell r="D1460" t="str">
            <v>Lê Văn Diện</v>
          </cell>
          <cell r="AF1460" t="str">
            <v>XE00098</v>
          </cell>
          <cell r="AH1460">
            <v>7.82</v>
          </cell>
          <cell r="AW1460" t="str">
            <v>Lê Văn Diện15</v>
          </cell>
          <cell r="AX1460" t="str">
            <v>Lương</v>
          </cell>
        </row>
        <row r="1461">
          <cell r="D1461" t="str">
            <v>Nguyễn Thành Đạt</v>
          </cell>
          <cell r="AF1461" t="str">
            <v>XE00256</v>
          </cell>
          <cell r="AH1461">
            <v>7.6400000000000006</v>
          </cell>
          <cell r="AW1461" t="str">
            <v>Nguyễn Thành Đạt14</v>
          </cell>
          <cell r="AX1461" t="str">
            <v>Lương</v>
          </cell>
        </row>
        <row r="1462">
          <cell r="D1462" t="str">
            <v>Dương Văn Thọ</v>
          </cell>
          <cell r="AF1462" t="str">
            <v>XE00282</v>
          </cell>
          <cell r="AH1462">
            <v>9.82</v>
          </cell>
          <cell r="AW1462" t="str">
            <v>Dương Văn Thọ15</v>
          </cell>
          <cell r="AX1462" t="str">
            <v>Lương</v>
          </cell>
        </row>
        <row r="1463">
          <cell r="D1463" t="str">
            <v>Trần Văn Hạnh</v>
          </cell>
          <cell r="AF1463" t="str">
            <v>XE00290</v>
          </cell>
          <cell r="AH1463">
            <v>9.02</v>
          </cell>
          <cell r="AW1463" t="str">
            <v>Trần Văn Hạnh15</v>
          </cell>
          <cell r="AX1463" t="str">
            <v>Lương</v>
          </cell>
        </row>
        <row r="1464">
          <cell r="D1464" t="str">
            <v>Nguyễn Ngọc Hưng</v>
          </cell>
          <cell r="AF1464" t="str">
            <v>XE00559</v>
          </cell>
          <cell r="AH1464">
            <v>8.84</v>
          </cell>
          <cell r="AW1464" t="str">
            <v>Nguyễn Ngọc Hưng12</v>
          </cell>
          <cell r="AX1464" t="str">
            <v>Lương</v>
          </cell>
        </row>
        <row r="1465">
          <cell r="D1465" t="str">
            <v>Nguyễn Ngọc Hưng</v>
          </cell>
          <cell r="AF1465" t="str">
            <v>XE00559</v>
          </cell>
          <cell r="AH1465">
            <v>9.42</v>
          </cell>
          <cell r="AW1465" t="str">
            <v>Nguyễn Ngọc Hưng13</v>
          </cell>
          <cell r="AX1465" t="str">
            <v>Lương</v>
          </cell>
        </row>
        <row r="1466">
          <cell r="D1466" t="str">
            <v>Nguyễn Đức Thanh</v>
          </cell>
          <cell r="AF1466" t="str">
            <v>XE00627</v>
          </cell>
          <cell r="AH1466">
            <v>8.84</v>
          </cell>
          <cell r="AW1466" t="str">
            <v>Nguyễn Đức Thanh12</v>
          </cell>
          <cell r="AX1466" t="str">
            <v>Lương</v>
          </cell>
        </row>
        <row r="1467">
          <cell r="D1467" t="str">
            <v>Nguyễn Đức Thanh</v>
          </cell>
          <cell r="AF1467" t="str">
            <v>XE00627</v>
          </cell>
          <cell r="AH1467">
            <v>9.24</v>
          </cell>
          <cell r="AW1467" t="str">
            <v>Nguyễn Đức Thanh13</v>
          </cell>
          <cell r="AX1467" t="str">
            <v>Lương</v>
          </cell>
        </row>
        <row r="1468">
          <cell r="D1468" t="str">
            <v>Vũ Việt Hùng</v>
          </cell>
          <cell r="AF1468" t="str">
            <v>XE00812</v>
          </cell>
          <cell r="AH1468">
            <v>9.82</v>
          </cell>
          <cell r="AW1468" t="str">
            <v>Vũ Việt Hùng12</v>
          </cell>
          <cell r="AX1468" t="str">
            <v>Lương</v>
          </cell>
        </row>
        <row r="1469">
          <cell r="D1469" t="str">
            <v>Vũ Việt Hùng</v>
          </cell>
          <cell r="AF1469" t="str">
            <v>XE00812</v>
          </cell>
          <cell r="AH1469">
            <v>9.82</v>
          </cell>
          <cell r="AW1469" t="str">
            <v>Vũ Việt Hùng13</v>
          </cell>
          <cell r="AX1469" t="str">
            <v>Lương</v>
          </cell>
        </row>
        <row r="1470">
          <cell r="D1470" t="str">
            <v>Phạm Quốc Hội</v>
          </cell>
          <cell r="AF1470" t="str">
            <v>XE01229</v>
          </cell>
          <cell r="AH1470">
            <v>9.42</v>
          </cell>
          <cell r="AW1470" t="str">
            <v>Phạm Quốc Hội13</v>
          </cell>
          <cell r="AX1470" t="str">
            <v>Lương</v>
          </cell>
        </row>
        <row r="1471">
          <cell r="D1471" t="str">
            <v>Trần Đức Toản</v>
          </cell>
          <cell r="AF1471" t="str">
            <v>XE01314</v>
          </cell>
          <cell r="AH1471">
            <v>9.82</v>
          </cell>
          <cell r="AW1471" t="str">
            <v>Trần Đức Toản14</v>
          </cell>
          <cell r="AX1471" t="str">
            <v>Lương</v>
          </cell>
        </row>
        <row r="1472">
          <cell r="D1472" t="str">
            <v>Đặng Hồng Thuỷ</v>
          </cell>
          <cell r="AF1472" t="str">
            <v>XE01385</v>
          </cell>
          <cell r="AH1472">
            <v>9.42</v>
          </cell>
          <cell r="AW1472" t="str">
            <v>Đặng Hồng Thuỷ13</v>
          </cell>
          <cell r="AX1472" t="str">
            <v>Lương</v>
          </cell>
        </row>
        <row r="1473">
          <cell r="D1473" t="str">
            <v>Trần Nam</v>
          </cell>
          <cell r="AF1473" t="str">
            <v>XE00130</v>
          </cell>
          <cell r="AH1473">
            <v>9.02</v>
          </cell>
          <cell r="AW1473" t="str">
            <v>Trần Nam15</v>
          </cell>
          <cell r="AX1473" t="str">
            <v>Lương</v>
          </cell>
        </row>
        <row r="1474">
          <cell r="D1474" t="str">
            <v>Phạm Thế Anh</v>
          </cell>
          <cell r="AF1474" t="str">
            <v>XE00298</v>
          </cell>
          <cell r="AH1474">
            <v>8.44</v>
          </cell>
          <cell r="AW1474" t="str">
            <v>Phạm Thế Anh15</v>
          </cell>
          <cell r="AX1474" t="str">
            <v>Lương</v>
          </cell>
        </row>
        <row r="1475">
          <cell r="D1475" t="str">
            <v>Nguyễn Xuân Thắng</v>
          </cell>
          <cell r="AF1475" t="str">
            <v>XE00046</v>
          </cell>
          <cell r="AH1475">
            <v>9.82</v>
          </cell>
          <cell r="AW1475" t="str">
            <v>Nguyễn Xuân Thắng13</v>
          </cell>
          <cell r="AX1475" t="str">
            <v>Lương</v>
          </cell>
        </row>
        <row r="1476">
          <cell r="D1476" t="str">
            <v>Nguyễn Thanh Sơn</v>
          </cell>
          <cell r="AF1476" t="str">
            <v>XE01468</v>
          </cell>
          <cell r="AH1476">
            <v>9.42</v>
          </cell>
          <cell r="AW1476" t="str">
            <v>Nguyễn Thanh Sơn12</v>
          </cell>
          <cell r="AX1476" t="str">
            <v>Lương</v>
          </cell>
        </row>
        <row r="1477">
          <cell r="D1477" t="str">
            <v>Phạm Văn Đồng</v>
          </cell>
          <cell r="AF1477" t="str">
            <v>XE01479</v>
          </cell>
          <cell r="AH1477">
            <v>9.42</v>
          </cell>
          <cell r="AW1477" t="str">
            <v>Phạm Văn Đồng13</v>
          </cell>
          <cell r="AX1477" t="str">
            <v>Lương</v>
          </cell>
        </row>
        <row r="1478">
          <cell r="D1478" t="str">
            <v>Vũ Văn Tuyến</v>
          </cell>
          <cell r="AF1478" t="str">
            <v>XE01502</v>
          </cell>
          <cell r="AH1478">
            <v>9.82</v>
          </cell>
          <cell r="AW1478" t="str">
            <v>Vũ Văn Tuyến11</v>
          </cell>
          <cell r="AX1478" t="str">
            <v>Lương</v>
          </cell>
        </row>
        <row r="1479">
          <cell r="D1479" t="str">
            <v>Vũ Văn Tuyến</v>
          </cell>
          <cell r="AF1479" t="str">
            <v>XE01502</v>
          </cell>
          <cell r="AH1479">
            <v>9.82</v>
          </cell>
          <cell r="AW1479" t="str">
            <v>Vũ Văn Tuyến12</v>
          </cell>
          <cell r="AX1479" t="str">
            <v>Lương</v>
          </cell>
        </row>
        <row r="1480">
          <cell r="D1480" t="str">
            <v>Phạm Viết Thắng</v>
          </cell>
          <cell r="AF1480" t="str">
            <v>XE01596</v>
          </cell>
          <cell r="AH1480">
            <v>8.0400000000000009</v>
          </cell>
          <cell r="AW1480" t="str">
            <v>Phạm Viết Thắng13</v>
          </cell>
          <cell r="AX1480" t="str">
            <v>Lương</v>
          </cell>
        </row>
        <row r="1481">
          <cell r="D1481" t="str">
            <v>Ngô Quốc Hùng</v>
          </cell>
          <cell r="AF1481" t="str">
            <v>XE00024</v>
          </cell>
          <cell r="AH1481">
            <v>9.82</v>
          </cell>
          <cell r="AW1481" t="str">
            <v>Ngô Quốc Hùng13</v>
          </cell>
          <cell r="AX1481" t="str">
            <v>Lương</v>
          </cell>
        </row>
        <row r="1482">
          <cell r="D1482" t="str">
            <v>Trần Thanh An</v>
          </cell>
          <cell r="AF1482" t="str">
            <v>XE00113</v>
          </cell>
          <cell r="AH1482">
            <v>8.84</v>
          </cell>
          <cell r="AW1482" t="str">
            <v>Trần Thanh An13</v>
          </cell>
          <cell r="AX1482" t="str">
            <v>Lương</v>
          </cell>
        </row>
        <row r="1483">
          <cell r="D1483" t="str">
            <v>Nguyễn Văn Thế</v>
          </cell>
          <cell r="AF1483" t="str">
            <v>XE00600</v>
          </cell>
          <cell r="AH1483">
            <v>9.64</v>
          </cell>
          <cell r="AW1483" t="str">
            <v>Nguyễn Văn Thế13</v>
          </cell>
          <cell r="AX1483" t="str">
            <v>Lương</v>
          </cell>
        </row>
        <row r="1484">
          <cell r="D1484" t="str">
            <v>Hoàng Ngọc Cường</v>
          </cell>
          <cell r="AF1484" t="str">
            <v>XE00703</v>
          </cell>
          <cell r="AH1484">
            <v>9.82</v>
          </cell>
          <cell r="AW1484" t="str">
            <v>Hoàng Ngọc Cường8</v>
          </cell>
          <cell r="AX1484" t="str">
            <v>Lương</v>
          </cell>
        </row>
        <row r="1485">
          <cell r="D1485" t="str">
            <v>Hoàng Ngọc Cường</v>
          </cell>
          <cell r="AF1485" t="str">
            <v>XE00703</v>
          </cell>
          <cell r="AH1485">
            <v>9.82</v>
          </cell>
          <cell r="AW1485" t="str">
            <v>Hoàng Ngọc Cường9</v>
          </cell>
          <cell r="AX1485" t="str">
            <v>Lương</v>
          </cell>
        </row>
        <row r="1486">
          <cell r="D1486" t="str">
            <v>Hoàng Ngọc Cường</v>
          </cell>
          <cell r="AF1486" t="str">
            <v>XE00703</v>
          </cell>
          <cell r="AH1486">
            <v>9.42</v>
          </cell>
          <cell r="AW1486" t="str">
            <v>Hoàng Ngọc Cường10</v>
          </cell>
          <cell r="AX1486" t="str">
            <v>Lương</v>
          </cell>
        </row>
        <row r="1487">
          <cell r="D1487" t="str">
            <v>Trần Đình Vượng</v>
          </cell>
          <cell r="AF1487" t="str">
            <v>XE01155</v>
          </cell>
          <cell r="AH1487">
            <v>9.82</v>
          </cell>
          <cell r="AW1487" t="str">
            <v>Trần Đình Vượng13</v>
          </cell>
          <cell r="AX1487" t="str">
            <v>Lương</v>
          </cell>
        </row>
        <row r="1488">
          <cell r="D1488" t="str">
            <v>Trần Đình Vượng</v>
          </cell>
          <cell r="AF1488" t="str">
            <v>XE01155</v>
          </cell>
          <cell r="AH1488">
            <v>9.82</v>
          </cell>
          <cell r="AW1488" t="str">
            <v>Trần Đình Vượng14</v>
          </cell>
          <cell r="AX1488" t="str">
            <v>Lương</v>
          </cell>
        </row>
        <row r="1489">
          <cell r="D1489" t="str">
            <v>Đặng Ngọc Toàn</v>
          </cell>
          <cell r="AF1489" t="str">
            <v>XE00138</v>
          </cell>
          <cell r="AH1489">
            <v>9.82</v>
          </cell>
          <cell r="AW1489" t="str">
            <v>Đặng Ngọc Toàn13</v>
          </cell>
          <cell r="AX1489" t="str">
            <v>Lương</v>
          </cell>
        </row>
        <row r="1490">
          <cell r="D1490" t="str">
            <v>Nguyễn Ngọc Trường</v>
          </cell>
          <cell r="AF1490" t="str">
            <v>XE00240</v>
          </cell>
          <cell r="AH1490">
            <v>9.24</v>
          </cell>
          <cell r="AW1490" t="str">
            <v>Nguyễn Ngọc Trường14</v>
          </cell>
          <cell r="AX1490" t="str">
            <v>Lương</v>
          </cell>
        </row>
        <row r="1491">
          <cell r="D1491" t="str">
            <v>Tống Văn Nam</v>
          </cell>
          <cell r="AF1491" t="str">
            <v>XE00019</v>
          </cell>
          <cell r="AH1491">
            <v>9.42</v>
          </cell>
          <cell r="AW1491" t="str">
            <v>Tống Văn Nam15</v>
          </cell>
          <cell r="AX1491" t="str">
            <v>Lương</v>
          </cell>
        </row>
        <row r="1492">
          <cell r="D1492" t="str">
            <v>Lê Hữu Bích</v>
          </cell>
          <cell r="AF1492" t="str">
            <v>XE00050</v>
          </cell>
          <cell r="AH1492">
            <v>8.84</v>
          </cell>
          <cell r="AW1492" t="str">
            <v>Lê Hữu Bích13</v>
          </cell>
          <cell r="AX1492" t="str">
            <v>Lương</v>
          </cell>
        </row>
        <row r="1493">
          <cell r="D1493" t="str">
            <v>Lê Trọng Giáp</v>
          </cell>
          <cell r="AF1493" t="str">
            <v>XE00020</v>
          </cell>
          <cell r="AH1493">
            <v>9.42</v>
          </cell>
          <cell r="AW1493" t="str">
            <v>Lê Trọng Giáp14</v>
          </cell>
          <cell r="AX1493" t="str">
            <v>Lương</v>
          </cell>
        </row>
        <row r="1494">
          <cell r="D1494" t="str">
            <v>Phan Đăng Quang</v>
          </cell>
          <cell r="AF1494" t="str">
            <v>XE00195</v>
          </cell>
          <cell r="AH1494">
            <v>8.84</v>
          </cell>
          <cell r="AW1494" t="str">
            <v>Phan Đăng Quang14</v>
          </cell>
          <cell r="AX1494" t="str">
            <v>Lương</v>
          </cell>
        </row>
        <row r="1495">
          <cell r="D1495" t="str">
            <v>Nguyễn Việt Trung</v>
          </cell>
          <cell r="AF1495" t="str">
            <v>XE00137</v>
          </cell>
          <cell r="AH1495">
            <v>9.82</v>
          </cell>
          <cell r="AW1495" t="str">
            <v>Nguyễn Việt Trung13</v>
          </cell>
          <cell r="AX1495" t="str">
            <v>Lương</v>
          </cell>
        </row>
        <row r="1496">
          <cell r="D1496" t="str">
            <v>Trịnh Xuân Đức</v>
          </cell>
          <cell r="AF1496" t="str">
            <v>XE00109</v>
          </cell>
          <cell r="AH1496">
            <v>9.42</v>
          </cell>
          <cell r="AW1496" t="str">
            <v>Trịnh Xuân Đức16</v>
          </cell>
          <cell r="AX1496" t="str">
            <v>Lương</v>
          </cell>
        </row>
        <row r="1497">
          <cell r="D1497" t="str">
            <v>Lê Văn Diện</v>
          </cell>
          <cell r="AF1497" t="str">
            <v>XE00098</v>
          </cell>
          <cell r="AH1497">
            <v>9.82</v>
          </cell>
          <cell r="AW1497" t="str">
            <v>Lê Văn Diện16</v>
          </cell>
          <cell r="AX1497" t="str">
            <v>Lương</v>
          </cell>
        </row>
        <row r="1498">
          <cell r="D1498" t="str">
            <v>Nguyễn Thành Đạt</v>
          </cell>
          <cell r="AF1498" t="str">
            <v>XE00256</v>
          </cell>
          <cell r="AH1498">
            <v>9.82</v>
          </cell>
          <cell r="AW1498" t="str">
            <v>Nguyễn Thành Đạt15</v>
          </cell>
          <cell r="AX1498" t="str">
            <v>Lương</v>
          </cell>
        </row>
        <row r="1499">
          <cell r="D1499" t="str">
            <v>Dương Văn Thọ</v>
          </cell>
          <cell r="AF1499" t="str">
            <v>XE00282</v>
          </cell>
          <cell r="AH1499">
            <v>9.02</v>
          </cell>
          <cell r="AW1499" t="str">
            <v>Dương Văn Thọ16</v>
          </cell>
          <cell r="AX1499" t="str">
            <v>Lương</v>
          </cell>
        </row>
        <row r="1500">
          <cell r="D1500" t="str">
            <v>Trần Văn Hạnh</v>
          </cell>
          <cell r="AF1500" t="str">
            <v>XE00290</v>
          </cell>
          <cell r="AH1500">
            <v>9.82</v>
          </cell>
          <cell r="AW1500" t="str">
            <v>Trần Văn Hạnh16</v>
          </cell>
          <cell r="AX1500" t="str">
            <v>Lương</v>
          </cell>
        </row>
        <row r="1501">
          <cell r="D1501" t="str">
            <v>Nguyễn Ngọc Hưng</v>
          </cell>
          <cell r="AF1501" t="str">
            <v>XE00559</v>
          </cell>
          <cell r="AH1501">
            <v>9.82</v>
          </cell>
          <cell r="AW1501" t="str">
            <v>Nguyễn Ngọc Hưng14</v>
          </cell>
          <cell r="AX1501" t="str">
            <v>Lương</v>
          </cell>
        </row>
        <row r="1502">
          <cell r="D1502" t="str">
            <v>Nguyễn Đức Thanh</v>
          </cell>
          <cell r="AF1502" t="str">
            <v>XE00627</v>
          </cell>
          <cell r="AH1502">
            <v>9.42</v>
          </cell>
          <cell r="AW1502" t="str">
            <v>Nguyễn Đức Thanh14</v>
          </cell>
          <cell r="AX1502" t="str">
            <v>Lương</v>
          </cell>
        </row>
        <row r="1503">
          <cell r="D1503" t="str">
            <v>Vũ Việt Hùng</v>
          </cell>
          <cell r="AF1503" t="str">
            <v>XE00812</v>
          </cell>
          <cell r="AH1503">
            <v>8.84</v>
          </cell>
          <cell r="AW1503" t="str">
            <v>Vũ Việt Hùng14</v>
          </cell>
          <cell r="AX1503" t="str">
            <v>Lương</v>
          </cell>
        </row>
        <row r="1504">
          <cell r="D1504" t="str">
            <v>Cù Xuân Duy</v>
          </cell>
          <cell r="AF1504" t="str">
            <v>XE00887</v>
          </cell>
          <cell r="AH1504">
            <v>9.82</v>
          </cell>
          <cell r="AW1504" t="str">
            <v>Cù Xuân Duy15</v>
          </cell>
          <cell r="AX1504" t="str">
            <v>Lương</v>
          </cell>
        </row>
        <row r="1505">
          <cell r="D1505" t="str">
            <v>Phạm Quốc Hội</v>
          </cell>
          <cell r="AF1505" t="str">
            <v>XE01229</v>
          </cell>
          <cell r="AH1505">
            <v>9.42</v>
          </cell>
          <cell r="AW1505" t="str">
            <v>Phạm Quốc Hội14</v>
          </cell>
          <cell r="AX1505" t="str">
            <v>Lương</v>
          </cell>
        </row>
        <row r="1506">
          <cell r="D1506" t="str">
            <v>Trần Đức Toản</v>
          </cell>
          <cell r="AF1506" t="str">
            <v>XE01314</v>
          </cell>
          <cell r="AH1506">
            <v>8.2200000000000006</v>
          </cell>
          <cell r="AW1506" t="str">
            <v>Trần Đức Toản15</v>
          </cell>
          <cell r="AX1506" t="str">
            <v>Lương</v>
          </cell>
        </row>
        <row r="1507">
          <cell r="D1507" t="str">
            <v>Đặng Hồng Thuỷ</v>
          </cell>
          <cell r="AF1507" t="str">
            <v>XE01385</v>
          </cell>
          <cell r="AH1507">
            <v>9.02</v>
          </cell>
          <cell r="AW1507" t="str">
            <v>Đặng Hồng Thuỷ14</v>
          </cell>
          <cell r="AX1507" t="str">
            <v>Lương</v>
          </cell>
        </row>
        <row r="1508">
          <cell r="D1508" t="str">
            <v>Trần Nam</v>
          </cell>
          <cell r="AF1508" t="str">
            <v>XE00130</v>
          </cell>
          <cell r="AH1508">
            <v>9.82</v>
          </cell>
          <cell r="AW1508" t="str">
            <v>Trần Nam16</v>
          </cell>
          <cell r="AX1508" t="str">
            <v>Lương</v>
          </cell>
        </row>
        <row r="1509">
          <cell r="D1509" t="str">
            <v>Phạm Thế Anh</v>
          </cell>
          <cell r="AF1509" t="str">
            <v>XE00298</v>
          </cell>
          <cell r="AH1509">
            <v>9.42</v>
          </cell>
          <cell r="AW1509" t="str">
            <v>Phạm Thế Anh16</v>
          </cell>
          <cell r="AX1509" t="str">
            <v>Lương</v>
          </cell>
        </row>
        <row r="1510">
          <cell r="D1510" t="str">
            <v>Nguyễn Xuân Thắng</v>
          </cell>
          <cell r="AF1510" t="str">
            <v>XE00046</v>
          </cell>
          <cell r="AH1510">
            <v>9.82</v>
          </cell>
          <cell r="AW1510" t="str">
            <v>Nguyễn Xuân Thắng14</v>
          </cell>
          <cell r="AX1510" t="str">
            <v>Lương</v>
          </cell>
        </row>
        <row r="1511">
          <cell r="D1511" t="str">
            <v>Nguyễn Thanh Sơn</v>
          </cell>
          <cell r="AF1511" t="str">
            <v>XE01468</v>
          </cell>
          <cell r="AH1511">
            <v>8.0400000000000009</v>
          </cell>
          <cell r="AW1511" t="str">
            <v>Nguyễn Thanh Sơn13</v>
          </cell>
          <cell r="AX1511" t="str">
            <v>Lương</v>
          </cell>
        </row>
        <row r="1512">
          <cell r="D1512" t="str">
            <v>Phạm Văn Đồng</v>
          </cell>
          <cell r="AF1512" t="str">
            <v>XE01479</v>
          </cell>
          <cell r="AH1512">
            <v>9.42</v>
          </cell>
          <cell r="AW1512" t="str">
            <v>Phạm Văn Đồng14</v>
          </cell>
          <cell r="AX1512" t="str">
            <v>Lương</v>
          </cell>
        </row>
        <row r="1513">
          <cell r="D1513" t="str">
            <v>Phạm Viết Thắng</v>
          </cell>
          <cell r="AF1513" t="str">
            <v>XE01596</v>
          </cell>
          <cell r="AH1513">
            <v>7.6400000000000006</v>
          </cell>
          <cell r="AW1513" t="str">
            <v>Phạm Viết Thắng14</v>
          </cell>
          <cell r="AX1513" t="str">
            <v>Lương</v>
          </cell>
        </row>
        <row r="1514">
          <cell r="D1514" t="str">
            <v>Phạm Thanh Tùng</v>
          </cell>
          <cell r="AF1514" t="str">
            <v>XE01402</v>
          </cell>
          <cell r="AH1514">
            <v>9.82</v>
          </cell>
          <cell r="AW1514" t="str">
            <v>Phạm Thanh Tùng14</v>
          </cell>
          <cell r="AX1514" t="str">
            <v>Lương</v>
          </cell>
        </row>
        <row r="1515">
          <cell r="D1515" t="str">
            <v>Nguyễn Hải Nam</v>
          </cell>
          <cell r="AF1515" t="str">
            <v>XE01661</v>
          </cell>
          <cell r="AH1515">
            <v>9.82</v>
          </cell>
          <cell r="AW1515" t="str">
            <v>Nguyễn Hải Nam14</v>
          </cell>
          <cell r="AX1515" t="str">
            <v>Lương</v>
          </cell>
        </row>
        <row r="1516">
          <cell r="D1516" t="str">
            <v>Vũ Văn Chín</v>
          </cell>
          <cell r="AF1516" t="str">
            <v>XE01703</v>
          </cell>
          <cell r="AH1516">
            <v>9.82</v>
          </cell>
          <cell r="AW1516" t="str">
            <v>Vũ Văn Chín14</v>
          </cell>
          <cell r="AX1516" t="str">
            <v>Lương</v>
          </cell>
        </row>
        <row r="1517">
          <cell r="D1517" t="str">
            <v>Phạm Văn Tình</v>
          </cell>
          <cell r="AF1517" t="str">
            <v>XE01177</v>
          </cell>
          <cell r="AH1517">
            <v>9.42</v>
          </cell>
          <cell r="AW1517" t="str">
            <v>Phạm Văn Tình13</v>
          </cell>
          <cell r="AX1517" t="str">
            <v>Lương</v>
          </cell>
        </row>
        <row r="1518">
          <cell r="D1518" t="str">
            <v>Hoàng Mạnh Tú</v>
          </cell>
          <cell r="AF1518" t="str">
            <v>XE00406</v>
          </cell>
          <cell r="AH1518">
            <v>9.24</v>
          </cell>
          <cell r="AW1518" t="str">
            <v>Hoàng Mạnh Tú14</v>
          </cell>
          <cell r="AX1518" t="str">
            <v>Lương</v>
          </cell>
        </row>
        <row r="1519">
          <cell r="D1519" t="str">
            <v>Phạm Văn Tuân</v>
          </cell>
          <cell r="AF1519" t="str">
            <v>XE01711</v>
          </cell>
          <cell r="AH1519">
            <v>9.82</v>
          </cell>
          <cell r="AW1519" t="str">
            <v>Phạm Văn Tuân12</v>
          </cell>
          <cell r="AX1519" t="str">
            <v>Lương</v>
          </cell>
        </row>
        <row r="1520">
          <cell r="D1520" t="str">
            <v>Phạm Văn Tuân</v>
          </cell>
          <cell r="AF1520" t="str">
            <v>XE01711</v>
          </cell>
          <cell r="AH1520">
            <v>9.42</v>
          </cell>
          <cell r="AW1520" t="str">
            <v>Phạm Văn Tuân13</v>
          </cell>
          <cell r="AX1520" t="str">
            <v>Lương</v>
          </cell>
        </row>
        <row r="1521">
          <cell r="D1521" t="str">
            <v>Bùi Quý Phúc</v>
          </cell>
          <cell r="AF1521" t="str">
            <v>XE00077</v>
          </cell>
          <cell r="AH1521">
            <v>9.82</v>
          </cell>
          <cell r="AW1521" t="str">
            <v>Bùi Quý Phúc15</v>
          </cell>
          <cell r="AX1521" t="str">
            <v>Lương</v>
          </cell>
        </row>
        <row r="1522">
          <cell r="D1522" t="str">
            <v>Ngô Quốc Hùng</v>
          </cell>
          <cell r="AF1522" t="str">
            <v>XE00024</v>
          </cell>
          <cell r="AH1522">
            <v>8.84</v>
          </cell>
          <cell r="AW1522" t="str">
            <v>Ngô Quốc Hùng14</v>
          </cell>
          <cell r="AX1522" t="str">
            <v>Lương</v>
          </cell>
        </row>
        <row r="1523">
          <cell r="D1523" t="str">
            <v>Nguyễn Văn Thế</v>
          </cell>
          <cell r="AF1523" t="str">
            <v>XE00600</v>
          </cell>
          <cell r="AH1523">
            <v>9.82</v>
          </cell>
          <cell r="AW1523" t="str">
            <v>Nguyễn Văn Thế14</v>
          </cell>
          <cell r="AX1523" t="str">
            <v>Lương</v>
          </cell>
        </row>
        <row r="1524">
          <cell r="D1524" t="str">
            <v>Hoàng Ngọc Cường</v>
          </cell>
          <cell r="AF1524" t="str">
            <v>XE00703</v>
          </cell>
          <cell r="AH1524">
            <v>9.42</v>
          </cell>
          <cell r="AW1524" t="str">
            <v>Hoàng Ngọc Cường11</v>
          </cell>
          <cell r="AX1524" t="str">
            <v>Lương</v>
          </cell>
        </row>
        <row r="1525">
          <cell r="D1525" t="str">
            <v>Hoàng Ngọc Cường</v>
          </cell>
          <cell r="AF1525" t="str">
            <v>XE00703</v>
          </cell>
          <cell r="AH1525">
            <v>8.84</v>
          </cell>
          <cell r="AW1525" t="str">
            <v>Hoàng Ngọc Cường12</v>
          </cell>
          <cell r="AX1525" t="str">
            <v>Lương</v>
          </cell>
        </row>
        <row r="1526">
          <cell r="D1526" t="str">
            <v>Đặng Ngọc Toàn</v>
          </cell>
          <cell r="AF1526" t="str">
            <v>XE00138</v>
          </cell>
          <cell r="AH1526">
            <v>9.82</v>
          </cell>
          <cell r="AW1526" t="str">
            <v>Đặng Ngọc Toàn14</v>
          </cell>
          <cell r="AX1526" t="str">
            <v>Lương</v>
          </cell>
        </row>
        <row r="1527">
          <cell r="D1527" t="str">
            <v>Đặng Ngọc Toàn</v>
          </cell>
          <cell r="AF1527" t="str">
            <v>XE00138</v>
          </cell>
          <cell r="AH1527">
            <v>9.02</v>
          </cell>
          <cell r="AW1527" t="str">
            <v>Đặng Ngọc Toàn15</v>
          </cell>
          <cell r="AX1527" t="str">
            <v>Lương</v>
          </cell>
        </row>
        <row r="1528">
          <cell r="D1528" t="str">
            <v>Nguyễn Ngọc Trường</v>
          </cell>
          <cell r="AF1528" t="str">
            <v>XE00240</v>
          </cell>
          <cell r="AH1528">
            <v>9.02</v>
          </cell>
          <cell r="AW1528" t="str">
            <v>Nguyễn Ngọc Trường15</v>
          </cell>
          <cell r="AX1528" t="str">
            <v>Lương</v>
          </cell>
        </row>
        <row r="1529">
          <cell r="D1529" t="str">
            <v>Nguyễn Ngọc Trường</v>
          </cell>
          <cell r="AF1529" t="str">
            <v>XE00240</v>
          </cell>
          <cell r="AH1529">
            <v>7.6400000000000006</v>
          </cell>
          <cell r="AW1529" t="str">
            <v>Nguyễn Ngọc Trường16</v>
          </cell>
          <cell r="AX1529" t="str">
            <v>Lương</v>
          </cell>
        </row>
        <row r="1530">
          <cell r="D1530" t="str">
            <v>Tống Văn Nam</v>
          </cell>
          <cell r="AF1530" t="str">
            <v>XE00019</v>
          </cell>
          <cell r="AH1530">
            <v>9.82</v>
          </cell>
          <cell r="AW1530" t="str">
            <v>Tống Văn Nam16</v>
          </cell>
          <cell r="AX1530" t="str">
            <v>Lương</v>
          </cell>
        </row>
        <row r="1531">
          <cell r="D1531" t="str">
            <v>Lê Hữu Bích</v>
          </cell>
          <cell r="AF1531" t="str">
            <v>XE00050</v>
          </cell>
          <cell r="AH1531">
            <v>9.42</v>
          </cell>
          <cell r="AW1531" t="str">
            <v>Lê Hữu Bích14</v>
          </cell>
          <cell r="AX1531" t="str">
            <v>Lương</v>
          </cell>
        </row>
        <row r="1532">
          <cell r="D1532" t="str">
            <v>Lê Trọng Giáp</v>
          </cell>
          <cell r="AF1532" t="str">
            <v>XE00020</v>
          </cell>
          <cell r="AH1532">
            <v>9.42</v>
          </cell>
          <cell r="AW1532" t="str">
            <v>Lê Trọng Giáp15</v>
          </cell>
          <cell r="AX1532" t="str">
            <v>Lương</v>
          </cell>
        </row>
        <row r="1533">
          <cell r="D1533" t="str">
            <v>Phan Đăng Quang</v>
          </cell>
          <cell r="AF1533" t="str">
            <v>XE00195</v>
          </cell>
          <cell r="AH1533">
            <v>9.42</v>
          </cell>
          <cell r="AW1533" t="str">
            <v>Phan Đăng Quang15</v>
          </cell>
          <cell r="AX1533" t="str">
            <v>Lương</v>
          </cell>
        </row>
        <row r="1534">
          <cell r="D1534" t="str">
            <v>Nguyễn Việt Trung</v>
          </cell>
          <cell r="AF1534" t="str">
            <v>XE00137</v>
          </cell>
          <cell r="AH1534">
            <v>9.02</v>
          </cell>
          <cell r="AW1534" t="str">
            <v>Nguyễn Việt Trung14</v>
          </cell>
          <cell r="AX1534" t="str">
            <v>Lương</v>
          </cell>
        </row>
        <row r="1535">
          <cell r="D1535" t="str">
            <v>Dương Văn Thọ</v>
          </cell>
          <cell r="AF1535" t="str">
            <v>XE00282</v>
          </cell>
          <cell r="AH1535">
            <v>9.42</v>
          </cell>
          <cell r="AW1535" t="str">
            <v>Dương Văn Thọ17</v>
          </cell>
          <cell r="AX1535" t="str">
            <v>Lương</v>
          </cell>
        </row>
        <row r="1536">
          <cell r="D1536" t="str">
            <v>Dương Văn Thọ</v>
          </cell>
          <cell r="AF1536" t="str">
            <v>XE00282</v>
          </cell>
          <cell r="AH1536">
            <v>9.82</v>
          </cell>
          <cell r="AW1536" t="str">
            <v>Dương Văn Thọ18</v>
          </cell>
          <cell r="AX1536" t="str">
            <v>Lương</v>
          </cell>
        </row>
        <row r="1537">
          <cell r="D1537" t="str">
            <v>Nguyễn Ngọc Hưng</v>
          </cell>
          <cell r="AF1537" t="str">
            <v>XE00559</v>
          </cell>
          <cell r="AH1537">
            <v>7.6199999999999992</v>
          </cell>
          <cell r="AW1537" t="str">
            <v>Nguyễn Ngọc Hưng15</v>
          </cell>
          <cell r="AX1537" t="str">
            <v>Lương</v>
          </cell>
        </row>
        <row r="1538">
          <cell r="D1538" t="str">
            <v>Nguyễn Ngọc Hưng</v>
          </cell>
          <cell r="AF1538" t="str">
            <v>XE00559</v>
          </cell>
          <cell r="AH1538">
            <v>9.02</v>
          </cell>
          <cell r="AW1538" t="str">
            <v>Nguyễn Ngọc Hưng16</v>
          </cell>
          <cell r="AX1538" t="str">
            <v>Lương</v>
          </cell>
        </row>
        <row r="1539">
          <cell r="D1539" t="str">
            <v>Nguyễn Đức Thanh</v>
          </cell>
          <cell r="AF1539" t="str">
            <v>XE00627</v>
          </cell>
          <cell r="AH1539">
            <v>9.82</v>
          </cell>
          <cell r="AW1539" t="str">
            <v>Nguyễn Đức Thanh15</v>
          </cell>
          <cell r="AX1539" t="str">
            <v>Lương</v>
          </cell>
        </row>
        <row r="1540">
          <cell r="D1540" t="str">
            <v>Nguyễn Đức Thanh</v>
          </cell>
          <cell r="AF1540" t="str">
            <v>XE00627</v>
          </cell>
          <cell r="AH1540">
            <v>9.42</v>
          </cell>
          <cell r="AW1540" t="str">
            <v>Nguyễn Đức Thanh16</v>
          </cell>
          <cell r="AX1540" t="str">
            <v>Lương</v>
          </cell>
        </row>
        <row r="1541">
          <cell r="D1541" t="str">
            <v>Cù Xuân Duy</v>
          </cell>
          <cell r="AF1541" t="str">
            <v>XE00887</v>
          </cell>
          <cell r="AH1541">
            <v>9.82</v>
          </cell>
          <cell r="AW1541" t="str">
            <v>Cù Xuân Duy16</v>
          </cell>
          <cell r="AX1541" t="str">
            <v>Lương</v>
          </cell>
        </row>
        <row r="1542">
          <cell r="D1542" t="str">
            <v>Cù Xuân Duy</v>
          </cell>
          <cell r="AF1542" t="str">
            <v>XE00887</v>
          </cell>
          <cell r="AH1542">
            <v>9.02</v>
          </cell>
          <cell r="AW1542" t="str">
            <v>Cù Xuân Duy17</v>
          </cell>
          <cell r="AX1542" t="str">
            <v>Lương</v>
          </cell>
        </row>
        <row r="1543">
          <cell r="D1543" t="str">
            <v>Phạm Quốc Hội</v>
          </cell>
          <cell r="AF1543" t="str">
            <v>XE01229</v>
          </cell>
          <cell r="AH1543">
            <v>9.82</v>
          </cell>
          <cell r="AW1543" t="str">
            <v>Phạm Quốc Hội15</v>
          </cell>
          <cell r="AX1543" t="str">
            <v>Lương</v>
          </cell>
        </row>
        <row r="1544">
          <cell r="D1544" t="str">
            <v>Phạm Quốc Hội</v>
          </cell>
          <cell r="AF1544" t="str">
            <v>XE01229</v>
          </cell>
          <cell r="AH1544">
            <v>7.82</v>
          </cell>
          <cell r="AW1544" t="str">
            <v>Phạm Quốc Hội16</v>
          </cell>
          <cell r="AX1544" t="str">
            <v>Lương</v>
          </cell>
        </row>
        <row r="1545">
          <cell r="D1545" t="str">
            <v>Trần Đức Toản</v>
          </cell>
          <cell r="AF1545" t="str">
            <v>XE01314</v>
          </cell>
          <cell r="AH1545">
            <v>9.42</v>
          </cell>
          <cell r="AW1545" t="str">
            <v>Trần Đức Toản16</v>
          </cell>
          <cell r="AX1545" t="str">
            <v>Lương</v>
          </cell>
        </row>
        <row r="1546">
          <cell r="D1546" t="str">
            <v>Đặng Hồng Thuỷ</v>
          </cell>
          <cell r="AF1546" t="str">
            <v>XE01385</v>
          </cell>
          <cell r="AH1546">
            <v>9.82</v>
          </cell>
          <cell r="AW1546" t="str">
            <v>Đặng Hồng Thuỷ15</v>
          </cell>
          <cell r="AX1546" t="str">
            <v>Lương</v>
          </cell>
        </row>
        <row r="1547">
          <cell r="D1547" t="str">
            <v>Trần Nam</v>
          </cell>
          <cell r="AF1547" t="str">
            <v>XE00130</v>
          </cell>
          <cell r="AH1547">
            <v>9.42</v>
          </cell>
          <cell r="AW1547" t="str">
            <v>Trần Nam17</v>
          </cell>
          <cell r="AX1547" t="str">
            <v>Lương</v>
          </cell>
        </row>
        <row r="1548">
          <cell r="D1548" t="str">
            <v>Nguyễn Xuân Thắng</v>
          </cell>
          <cell r="AF1548" t="str">
            <v>XE00046</v>
          </cell>
          <cell r="AH1548">
            <v>8.2200000000000006</v>
          </cell>
          <cell r="AW1548" t="str">
            <v>Nguyễn Xuân Thắng15</v>
          </cell>
          <cell r="AX1548" t="str">
            <v>Lương</v>
          </cell>
        </row>
        <row r="1549">
          <cell r="D1549" t="str">
            <v>Nguyễn Thanh Sơn</v>
          </cell>
          <cell r="AF1549" t="str">
            <v>XE01468</v>
          </cell>
          <cell r="AH1549">
            <v>9.82</v>
          </cell>
          <cell r="AW1549" t="str">
            <v>Nguyễn Thanh Sơn14</v>
          </cell>
          <cell r="AX1549" t="str">
            <v>Lương</v>
          </cell>
        </row>
        <row r="1550">
          <cell r="D1550" t="str">
            <v>Phạm Thanh Tùng</v>
          </cell>
          <cell r="AF1550" t="str">
            <v>XE01402</v>
          </cell>
          <cell r="AH1550">
            <v>9.42</v>
          </cell>
          <cell r="AW1550" t="str">
            <v>Phạm Thanh Tùng15</v>
          </cell>
          <cell r="AX1550" t="str">
            <v>Lương</v>
          </cell>
        </row>
        <row r="1551">
          <cell r="D1551" t="str">
            <v>Phạm Thanh Tùng</v>
          </cell>
          <cell r="AF1551" t="str">
            <v>XE01402</v>
          </cell>
          <cell r="AH1551">
            <v>9.42</v>
          </cell>
          <cell r="AW1551" t="str">
            <v>Phạm Thanh Tùng16</v>
          </cell>
          <cell r="AX1551" t="str">
            <v>Lương</v>
          </cell>
        </row>
        <row r="1552">
          <cell r="D1552" t="str">
            <v>Vũ Văn Chín</v>
          </cell>
          <cell r="AF1552" t="str">
            <v>XE01703</v>
          </cell>
          <cell r="AH1552">
            <v>9.42</v>
          </cell>
          <cell r="AW1552" t="str">
            <v>Vũ Văn Chín15</v>
          </cell>
          <cell r="AX1552" t="str">
            <v>Lương</v>
          </cell>
        </row>
        <row r="1553">
          <cell r="D1553" t="str">
            <v>Phạm Văn Tình</v>
          </cell>
          <cell r="AF1553" t="str">
            <v>XE01177</v>
          </cell>
          <cell r="AH1553">
            <v>9.02</v>
          </cell>
          <cell r="AW1553" t="str">
            <v>Phạm Văn Tình14</v>
          </cell>
          <cell r="AX1553" t="str">
            <v>Lương</v>
          </cell>
        </row>
        <row r="1554">
          <cell r="D1554" t="str">
            <v>Phạm Văn Tình</v>
          </cell>
          <cell r="AF1554" t="str">
            <v>XE01177</v>
          </cell>
          <cell r="AH1554">
            <v>8.84</v>
          </cell>
          <cell r="AW1554" t="str">
            <v>Phạm Văn Tình15</v>
          </cell>
          <cell r="AX1554" t="str">
            <v>Lương</v>
          </cell>
        </row>
        <row r="1555">
          <cell r="D1555" t="str">
            <v>Hoàng Mạnh Tú</v>
          </cell>
          <cell r="AF1555" t="str">
            <v>XE00406</v>
          </cell>
          <cell r="AH1555">
            <v>9.42</v>
          </cell>
          <cell r="AW1555" t="str">
            <v>Hoàng Mạnh Tú15</v>
          </cell>
          <cell r="AX1555" t="str">
            <v>Lương</v>
          </cell>
        </row>
        <row r="1556">
          <cell r="D1556" t="str">
            <v>Hoàng Mạnh Tú</v>
          </cell>
          <cell r="AF1556" t="str">
            <v>XE00406</v>
          </cell>
          <cell r="AH1556">
            <v>9.82</v>
          </cell>
          <cell r="AW1556" t="str">
            <v>Hoàng Mạnh Tú16</v>
          </cell>
          <cell r="AX1556" t="str">
            <v>Lương</v>
          </cell>
        </row>
        <row r="1557">
          <cell r="D1557" t="str">
            <v>Phạm Văn Tuân</v>
          </cell>
          <cell r="AF1557" t="str">
            <v>XE01711</v>
          </cell>
          <cell r="AH1557">
            <v>9.82</v>
          </cell>
          <cell r="AW1557" t="str">
            <v>Phạm Văn Tuân14</v>
          </cell>
          <cell r="AX1557" t="str">
            <v>Lương</v>
          </cell>
        </row>
        <row r="1558">
          <cell r="D1558" t="str">
            <v>Phạm Văn Tuân</v>
          </cell>
          <cell r="AF1558" t="str">
            <v>XE01711</v>
          </cell>
          <cell r="AH1558">
            <v>9.82</v>
          </cell>
          <cell r="AW1558" t="str">
            <v>Phạm Văn Tuân15</v>
          </cell>
          <cell r="AX1558" t="str">
            <v>Lương</v>
          </cell>
        </row>
        <row r="1559">
          <cell r="D1559" t="str">
            <v>Bùi Quý Phúc</v>
          </cell>
          <cell r="AF1559" t="str">
            <v>XE00077</v>
          </cell>
          <cell r="AH1559">
            <v>9.82</v>
          </cell>
          <cell r="AW1559" t="str">
            <v>Bùi Quý Phúc16</v>
          </cell>
          <cell r="AX1559" t="str">
            <v>Lương</v>
          </cell>
        </row>
        <row r="1560">
          <cell r="D1560" t="str">
            <v>Bùi Quý Phúc</v>
          </cell>
          <cell r="AF1560" t="str">
            <v>XE00077</v>
          </cell>
          <cell r="AH1560">
            <v>9.02</v>
          </cell>
          <cell r="AW1560" t="str">
            <v>Bùi Quý Phúc17</v>
          </cell>
          <cell r="AX1560" t="str">
            <v>Lương</v>
          </cell>
        </row>
        <row r="1561">
          <cell r="D1561" t="str">
            <v>Ngô Quốc Hùng</v>
          </cell>
          <cell r="AF1561" t="str">
            <v>XE00024</v>
          </cell>
          <cell r="AH1561">
            <v>8.84</v>
          </cell>
          <cell r="AW1561" t="str">
            <v>Ngô Quốc Hùng15</v>
          </cell>
          <cell r="AX1561" t="str">
            <v>Lương</v>
          </cell>
        </row>
        <row r="1562">
          <cell r="D1562" t="str">
            <v>Ngô Quốc Hùng</v>
          </cell>
          <cell r="AF1562" t="str">
            <v>XE00024</v>
          </cell>
          <cell r="AH1562">
            <v>9.82</v>
          </cell>
          <cell r="AW1562" t="str">
            <v>Ngô Quốc Hùng16</v>
          </cell>
          <cell r="AX1562" t="str">
            <v>Lương</v>
          </cell>
        </row>
        <row r="1563">
          <cell r="D1563" t="str">
            <v>Nguyễn Văn Thế</v>
          </cell>
          <cell r="AF1563" t="str">
            <v>XE00600</v>
          </cell>
          <cell r="AH1563">
            <v>9.82</v>
          </cell>
          <cell r="AW1563" t="str">
            <v>Nguyễn Văn Thế15</v>
          </cell>
          <cell r="AX1563" t="str">
            <v>Lương</v>
          </cell>
        </row>
        <row r="1564">
          <cell r="D1564" t="str">
            <v>Nguyễn Văn Thế</v>
          </cell>
          <cell r="AF1564" t="str">
            <v>XE00600</v>
          </cell>
          <cell r="AH1564">
            <v>9.82</v>
          </cell>
          <cell r="AW1564" t="str">
            <v>Nguyễn Văn Thế16</v>
          </cell>
          <cell r="AX1564" t="str">
            <v>Lương</v>
          </cell>
        </row>
        <row r="1565">
          <cell r="D1565" t="str">
            <v>Hoàng Ngọc Cường</v>
          </cell>
          <cell r="AF1565" t="str">
            <v>XE00703</v>
          </cell>
          <cell r="AH1565">
            <v>9.02</v>
          </cell>
          <cell r="AW1565" t="str">
            <v>Hoàng Ngọc Cường13</v>
          </cell>
          <cell r="AX1565" t="str">
            <v>Lương</v>
          </cell>
        </row>
        <row r="1566">
          <cell r="D1566" t="str">
            <v>Hoàng Ngọc Cường</v>
          </cell>
          <cell r="AF1566" t="str">
            <v>XE00703</v>
          </cell>
          <cell r="AH1566">
            <v>9.82</v>
          </cell>
          <cell r="AW1566" t="str">
            <v>Hoàng Ngọc Cường14</v>
          </cell>
          <cell r="AX1566" t="str">
            <v>Lương</v>
          </cell>
        </row>
        <row r="1567">
          <cell r="D1567" t="str">
            <v>Hoàng Ngọc Cường</v>
          </cell>
          <cell r="AF1567" t="str">
            <v>XE00703</v>
          </cell>
          <cell r="AH1567">
            <v>9.82</v>
          </cell>
          <cell r="AW1567" t="str">
            <v>Hoàng Ngọc Cường15</v>
          </cell>
          <cell r="AX1567" t="str">
            <v>Lương</v>
          </cell>
        </row>
        <row r="1568">
          <cell r="D1568" t="str">
            <v>Trần Đình Vượng</v>
          </cell>
          <cell r="AF1568" t="str">
            <v>XE01155</v>
          </cell>
          <cell r="AH1568">
            <v>7.24</v>
          </cell>
          <cell r="AW1568" t="str">
            <v>Trần Đình Vượng15</v>
          </cell>
          <cell r="AX1568" t="str">
            <v>Lương</v>
          </cell>
        </row>
        <row r="1569">
          <cell r="D1569" t="str">
            <v>Đặng Ngọc Toàn</v>
          </cell>
          <cell r="AF1569" t="str">
            <v>XE00138</v>
          </cell>
          <cell r="AH1569">
            <v>8.84</v>
          </cell>
          <cell r="AW1569" t="str">
            <v>Đặng Ngọc Toàn16</v>
          </cell>
          <cell r="AX1569" t="str">
            <v>Lương</v>
          </cell>
        </row>
        <row r="1570">
          <cell r="D1570" t="str">
            <v>Nguyễn Ngọc Trường</v>
          </cell>
          <cell r="AF1570" t="str">
            <v>XE00240</v>
          </cell>
          <cell r="AH1570">
            <v>9.42</v>
          </cell>
          <cell r="AW1570" t="str">
            <v>Nguyễn Ngọc Trường17</v>
          </cell>
          <cell r="AX1570" t="str">
            <v>Lương</v>
          </cell>
        </row>
        <row r="1571">
          <cell r="D1571" t="str">
            <v>Lê Hữu Bích</v>
          </cell>
          <cell r="AF1571" t="str">
            <v>XE00050</v>
          </cell>
          <cell r="AH1571">
            <v>9.42</v>
          </cell>
          <cell r="AW1571" t="str">
            <v>Lê Hữu Bích15</v>
          </cell>
          <cell r="AX1571" t="str">
            <v>Lương</v>
          </cell>
        </row>
        <row r="1572">
          <cell r="D1572" t="str">
            <v>Lê Hữu Bích</v>
          </cell>
          <cell r="AF1572" t="str">
            <v>XE00050</v>
          </cell>
          <cell r="AH1572">
            <v>9.42</v>
          </cell>
          <cell r="AW1572" t="str">
            <v>Lê Hữu Bích16</v>
          </cell>
          <cell r="AX1572" t="str">
            <v>Lương</v>
          </cell>
        </row>
        <row r="1573">
          <cell r="D1573" t="str">
            <v>Lê Trọng Giáp</v>
          </cell>
          <cell r="AF1573" t="str">
            <v>XE00020</v>
          </cell>
          <cell r="AH1573">
            <v>9.82</v>
          </cell>
          <cell r="AW1573" t="str">
            <v>Lê Trọng Giáp16</v>
          </cell>
          <cell r="AX1573" t="str">
            <v>Lương</v>
          </cell>
        </row>
        <row r="1574">
          <cell r="D1574" t="str">
            <v>Lê Trọng Giáp</v>
          </cell>
          <cell r="AF1574" t="str">
            <v>XE00020</v>
          </cell>
          <cell r="AH1574">
            <v>9.82</v>
          </cell>
          <cell r="AW1574" t="str">
            <v>Lê Trọng Giáp17</v>
          </cell>
          <cell r="AX1574" t="str">
            <v>Lương</v>
          </cell>
        </row>
        <row r="1575">
          <cell r="D1575" t="str">
            <v>Phan Đăng Quang</v>
          </cell>
          <cell r="AF1575" t="str">
            <v>XE00195</v>
          </cell>
          <cell r="AH1575">
            <v>9.64</v>
          </cell>
          <cell r="AW1575" t="str">
            <v>Phan Đăng Quang16</v>
          </cell>
          <cell r="AX1575" t="str">
            <v>Lương</v>
          </cell>
        </row>
        <row r="1576">
          <cell r="D1576" t="str">
            <v>Nguyễn Việt Trung</v>
          </cell>
          <cell r="AF1576" t="str">
            <v>XE00137</v>
          </cell>
          <cell r="AH1576">
            <v>9.24</v>
          </cell>
          <cell r="AW1576" t="str">
            <v>Nguyễn Việt Trung15</v>
          </cell>
          <cell r="AX1576" t="str">
            <v>Lương</v>
          </cell>
        </row>
        <row r="1577">
          <cell r="D1577" t="str">
            <v>Trịnh Xuân Đức</v>
          </cell>
          <cell r="AF1577" t="str">
            <v>XE00109</v>
          </cell>
          <cell r="AH1577">
            <v>9.42</v>
          </cell>
          <cell r="AW1577" t="str">
            <v>Trịnh Xuân Đức17</v>
          </cell>
          <cell r="AX1577" t="str">
            <v>Lương</v>
          </cell>
        </row>
        <row r="1578">
          <cell r="D1578" t="str">
            <v>Trịnh Xuân Đức</v>
          </cell>
          <cell r="AF1578" t="str">
            <v>XE00109</v>
          </cell>
          <cell r="AH1578">
            <v>9.82</v>
          </cell>
          <cell r="AW1578" t="str">
            <v>Trịnh Xuân Đức18</v>
          </cell>
          <cell r="AX1578" t="str">
            <v>Lương</v>
          </cell>
        </row>
        <row r="1579">
          <cell r="D1579" t="str">
            <v>Dương Văn Thọ</v>
          </cell>
          <cell r="AF1579" t="str">
            <v>XE00282</v>
          </cell>
          <cell r="AH1579">
            <v>9.82</v>
          </cell>
          <cell r="AW1579" t="str">
            <v>Dương Văn Thọ19</v>
          </cell>
          <cell r="AX1579" t="str">
            <v>Lương</v>
          </cell>
        </row>
        <row r="1580">
          <cell r="D1580" t="str">
            <v>Nguyễn Ngọc Hưng</v>
          </cell>
          <cell r="AF1580" t="str">
            <v>XE00559</v>
          </cell>
          <cell r="AH1580">
            <v>9.82</v>
          </cell>
          <cell r="AW1580" t="str">
            <v>Nguyễn Ngọc Hưng17</v>
          </cell>
          <cell r="AX1580" t="str">
            <v>Lương</v>
          </cell>
        </row>
        <row r="1581">
          <cell r="D1581" t="str">
            <v>Nguyễn Ngọc Hưng</v>
          </cell>
          <cell r="AF1581" t="str">
            <v>XE00559</v>
          </cell>
          <cell r="AH1581">
            <v>9.6199999999999992</v>
          </cell>
          <cell r="AW1581" t="str">
            <v>Nguyễn Ngọc Hưng18</v>
          </cell>
          <cell r="AX1581" t="str">
            <v>Lương</v>
          </cell>
        </row>
        <row r="1582">
          <cell r="D1582" t="str">
            <v>Nguyễn Đức Thanh</v>
          </cell>
          <cell r="AF1582" t="str">
            <v>XE00627</v>
          </cell>
          <cell r="AH1582">
            <v>9.02</v>
          </cell>
          <cell r="AW1582" t="str">
            <v>Nguyễn Đức Thanh17</v>
          </cell>
          <cell r="AX1582" t="str">
            <v>Lương</v>
          </cell>
        </row>
        <row r="1583">
          <cell r="D1583" t="str">
            <v>Cù Xuân Duy</v>
          </cell>
          <cell r="AF1583" t="str">
            <v>XE00887</v>
          </cell>
          <cell r="AH1583">
            <v>9.42</v>
          </cell>
          <cell r="AW1583" t="str">
            <v>Cù Xuân Duy18</v>
          </cell>
          <cell r="AX1583" t="str">
            <v>Lương</v>
          </cell>
        </row>
        <row r="1584">
          <cell r="D1584" t="str">
            <v>Phạm Quốc Hội</v>
          </cell>
          <cell r="AF1584" t="str">
            <v>XE01229</v>
          </cell>
          <cell r="AH1584">
            <v>9.82</v>
          </cell>
          <cell r="AW1584" t="str">
            <v>Phạm Quốc Hội17</v>
          </cell>
          <cell r="AX1584" t="str">
            <v>Lương</v>
          </cell>
        </row>
        <row r="1585">
          <cell r="D1585" t="str">
            <v>Trần Đức Toản</v>
          </cell>
          <cell r="AF1585" t="str">
            <v>XE01314</v>
          </cell>
          <cell r="AH1585">
            <v>9.42</v>
          </cell>
          <cell r="AW1585" t="str">
            <v>Trần Đức Toản17</v>
          </cell>
          <cell r="AX1585" t="str">
            <v>Lương</v>
          </cell>
        </row>
        <row r="1586">
          <cell r="D1586" t="str">
            <v>Đặng Hồng Thuỷ</v>
          </cell>
          <cell r="AF1586" t="str">
            <v>XE01385</v>
          </cell>
          <cell r="AH1586">
            <v>9.6199999999999992</v>
          </cell>
          <cell r="AW1586" t="str">
            <v>Đặng Hồng Thuỷ16</v>
          </cell>
          <cell r="AX1586" t="str">
            <v>Lương</v>
          </cell>
        </row>
        <row r="1587">
          <cell r="D1587" t="str">
            <v>Trần Nam</v>
          </cell>
          <cell r="AF1587" t="str">
            <v>XE00130</v>
          </cell>
          <cell r="AH1587">
            <v>9.02</v>
          </cell>
          <cell r="AW1587" t="str">
            <v>Trần Nam18</v>
          </cell>
          <cell r="AX1587" t="str">
            <v>Lương</v>
          </cell>
        </row>
        <row r="1588">
          <cell r="D1588" t="str">
            <v>Nguyễn Xuân Thắng</v>
          </cell>
          <cell r="AF1588" t="str">
            <v>XE00046</v>
          </cell>
          <cell r="AH1588">
            <v>9.02</v>
          </cell>
          <cell r="AW1588" t="str">
            <v>Nguyễn Xuân Thắng16</v>
          </cell>
          <cell r="AX1588" t="str">
            <v>Lương</v>
          </cell>
        </row>
        <row r="1589">
          <cell r="D1589" t="str">
            <v>Nguyễn Thanh Sơn</v>
          </cell>
          <cell r="AF1589" t="str">
            <v>XE01468</v>
          </cell>
          <cell r="AH1589">
            <v>9.2199999999999989</v>
          </cell>
          <cell r="AW1589" t="str">
            <v>Nguyễn Thanh Sơn15</v>
          </cell>
          <cell r="AX1589" t="str">
            <v>Lương</v>
          </cell>
        </row>
        <row r="1590">
          <cell r="D1590" t="str">
            <v>Vũ Văn Tuyến</v>
          </cell>
          <cell r="AF1590" t="str">
            <v>XE01502</v>
          </cell>
          <cell r="AH1590">
            <v>9.42</v>
          </cell>
          <cell r="AW1590" t="str">
            <v>Vũ Văn Tuyến13</v>
          </cell>
          <cell r="AX1590" t="str">
            <v>Lương</v>
          </cell>
        </row>
        <row r="1591">
          <cell r="D1591" t="str">
            <v>Phạm Viết Thắng</v>
          </cell>
          <cell r="AF1591" t="str">
            <v>XE01596</v>
          </cell>
          <cell r="AH1591">
            <v>7.6400000000000006</v>
          </cell>
          <cell r="AW1591" t="str">
            <v>Phạm Viết Thắng15</v>
          </cell>
          <cell r="AX1591" t="str">
            <v>Lương</v>
          </cell>
        </row>
        <row r="1592">
          <cell r="D1592" t="str">
            <v>Phạm Viết Thắng</v>
          </cell>
          <cell r="AF1592" t="str">
            <v>XE01596</v>
          </cell>
          <cell r="AH1592">
            <v>9.42</v>
          </cell>
          <cell r="AW1592" t="str">
            <v>Phạm Viết Thắng16</v>
          </cell>
          <cell r="AX1592" t="str">
            <v>Lương</v>
          </cell>
        </row>
        <row r="1593">
          <cell r="D1593" t="str">
            <v>Phạm Thanh Tùng</v>
          </cell>
          <cell r="AF1593" t="str">
            <v>XE01402</v>
          </cell>
          <cell r="AH1593">
            <v>9.82</v>
          </cell>
          <cell r="AW1593" t="str">
            <v>Phạm Thanh Tùng17</v>
          </cell>
          <cell r="AX1593" t="str">
            <v>Lương</v>
          </cell>
        </row>
        <row r="1594">
          <cell r="D1594" t="str">
            <v>Phạm Văn Tình</v>
          </cell>
          <cell r="AF1594" t="str">
            <v>XE01177</v>
          </cell>
          <cell r="AH1594">
            <v>7.24</v>
          </cell>
          <cell r="AW1594" t="str">
            <v>Phạm Văn Tình16</v>
          </cell>
          <cell r="AX1594" t="str">
            <v>Lương</v>
          </cell>
        </row>
        <row r="1595">
          <cell r="D1595" t="str">
            <v>Phạm Văn Tình</v>
          </cell>
          <cell r="AF1595" t="str">
            <v>XE01177</v>
          </cell>
          <cell r="AH1595">
            <v>9.42</v>
          </cell>
          <cell r="AW1595" t="str">
            <v>Phạm Văn Tình17</v>
          </cell>
          <cell r="AX1595" t="str">
            <v>Lương</v>
          </cell>
        </row>
        <row r="1596">
          <cell r="D1596" t="str">
            <v>Hoàng Mạnh Tú</v>
          </cell>
          <cell r="AF1596" t="str">
            <v>XE00406</v>
          </cell>
          <cell r="AH1596">
            <v>9.82</v>
          </cell>
          <cell r="AW1596" t="str">
            <v>Hoàng Mạnh Tú17</v>
          </cell>
          <cell r="AX1596" t="str">
            <v>Lương</v>
          </cell>
        </row>
        <row r="1597">
          <cell r="D1597" t="str">
            <v>Hoàng Mạnh Tú</v>
          </cell>
          <cell r="AF1597" t="str">
            <v>XE00406</v>
          </cell>
          <cell r="AH1597">
            <v>8.84</v>
          </cell>
          <cell r="AW1597" t="str">
            <v>Hoàng Mạnh Tú18</v>
          </cell>
          <cell r="AX1597" t="str">
            <v>Lương</v>
          </cell>
        </row>
        <row r="1598">
          <cell r="D1598" t="str">
            <v>Trần Hữu Nam 1972</v>
          </cell>
          <cell r="AF1598" t="str">
            <v>XE00033</v>
          </cell>
          <cell r="AH1598">
            <v>9.42</v>
          </cell>
          <cell r="AW1598" t="str">
            <v>Trần Hữu Nam 197217</v>
          </cell>
          <cell r="AX1598" t="str">
            <v>Lương</v>
          </cell>
        </row>
        <row r="1599">
          <cell r="D1599" t="str">
            <v>Trần Hữu Nam 1972</v>
          </cell>
          <cell r="AF1599" t="str">
            <v>XE00033</v>
          </cell>
          <cell r="AH1599">
            <v>9.6199999999999992</v>
          </cell>
          <cell r="AW1599" t="str">
            <v>Trần Hữu Nam 197218</v>
          </cell>
          <cell r="AX1599" t="str">
            <v>Lương</v>
          </cell>
        </row>
        <row r="1600">
          <cell r="D1600" t="str">
            <v>Bùi Quý Phúc</v>
          </cell>
          <cell r="AF1600" t="str">
            <v>XE00077</v>
          </cell>
          <cell r="AH1600">
            <v>7.82</v>
          </cell>
          <cell r="AW1600" t="str">
            <v>Bùi Quý Phúc18</v>
          </cell>
          <cell r="AX1600" t="str">
            <v>Lương</v>
          </cell>
        </row>
        <row r="1601">
          <cell r="D1601" t="str">
            <v>Bùi Quý Phúc</v>
          </cell>
          <cell r="AF1601" t="str">
            <v>XE00077</v>
          </cell>
          <cell r="AH1601">
            <v>9.42</v>
          </cell>
          <cell r="AW1601" t="str">
            <v>Bùi Quý Phúc19</v>
          </cell>
          <cell r="AX1601" t="str">
            <v>Lương</v>
          </cell>
        </row>
        <row r="1602">
          <cell r="D1602" t="str">
            <v>Ngô Quốc Hùng</v>
          </cell>
          <cell r="AF1602" t="str">
            <v>XE00024</v>
          </cell>
          <cell r="AH1602">
            <v>9.82</v>
          </cell>
          <cell r="AW1602" t="str">
            <v>Ngô Quốc Hùng17</v>
          </cell>
          <cell r="AX1602" t="str">
            <v>Lương</v>
          </cell>
        </row>
        <row r="1603">
          <cell r="D1603" t="str">
            <v>Ngô Quốc Hùng</v>
          </cell>
          <cell r="AF1603" t="str">
            <v>XE00024</v>
          </cell>
          <cell r="AH1603">
            <v>9.82</v>
          </cell>
          <cell r="AW1603" t="str">
            <v>Ngô Quốc Hùng18</v>
          </cell>
          <cell r="AX1603" t="str">
            <v>Lương</v>
          </cell>
        </row>
        <row r="1604">
          <cell r="D1604" t="str">
            <v>Nguyễn Văn Thế</v>
          </cell>
          <cell r="AF1604" t="str">
            <v>XE00600</v>
          </cell>
          <cell r="AH1604">
            <v>9.42</v>
          </cell>
          <cell r="AW1604" t="str">
            <v>Nguyễn Văn Thế17</v>
          </cell>
          <cell r="AX1604" t="str">
            <v>Lương</v>
          </cell>
        </row>
        <row r="1605">
          <cell r="D1605" t="str">
            <v>Nguyễn Văn Thế</v>
          </cell>
          <cell r="AF1605" t="str">
            <v>XE00600</v>
          </cell>
          <cell r="AH1605">
            <v>7.6400000000000006</v>
          </cell>
          <cell r="AW1605" t="str">
            <v>Nguyễn Văn Thế18</v>
          </cell>
          <cell r="AX1605" t="str">
            <v>Lương</v>
          </cell>
        </row>
        <row r="1606">
          <cell r="D1606" t="str">
            <v>Hoàng Ngọc Cường</v>
          </cell>
          <cell r="AF1606" t="str">
            <v>XE00703</v>
          </cell>
          <cell r="AH1606">
            <v>9.42</v>
          </cell>
          <cell r="AW1606" t="str">
            <v>Hoàng Ngọc Cường16</v>
          </cell>
          <cell r="AX1606" t="str">
            <v>Lương</v>
          </cell>
        </row>
        <row r="1607">
          <cell r="D1607" t="str">
            <v>Hoàng Ngọc Cường</v>
          </cell>
          <cell r="AF1607" t="str">
            <v>XE00703</v>
          </cell>
          <cell r="AH1607">
            <v>9.42</v>
          </cell>
          <cell r="AW1607" t="str">
            <v>Hoàng Ngọc Cường17</v>
          </cell>
          <cell r="AX1607" t="str">
            <v>Lương</v>
          </cell>
        </row>
        <row r="1608">
          <cell r="D1608" t="str">
            <v>Trần Đình Vượng</v>
          </cell>
          <cell r="AF1608" t="str">
            <v>XE01155</v>
          </cell>
          <cell r="AH1608">
            <v>9.02</v>
          </cell>
          <cell r="AW1608" t="str">
            <v>Trần Đình Vượng16</v>
          </cell>
          <cell r="AX1608" t="str">
            <v>Lương</v>
          </cell>
        </row>
        <row r="1609">
          <cell r="D1609" t="str">
            <v>Trần Đình Vượng</v>
          </cell>
          <cell r="AF1609" t="str">
            <v>XE01155</v>
          </cell>
          <cell r="AH1609">
            <v>9.42</v>
          </cell>
          <cell r="AW1609" t="str">
            <v>Trần Đình Vượng17</v>
          </cell>
          <cell r="AX1609" t="str">
            <v>Lương</v>
          </cell>
        </row>
        <row r="1610">
          <cell r="D1610" t="str">
            <v>Đặng Ngọc Toàn</v>
          </cell>
          <cell r="AF1610" t="str">
            <v>XE00138</v>
          </cell>
          <cell r="AH1610">
            <v>9.42</v>
          </cell>
          <cell r="AW1610" t="str">
            <v>Đặng Ngọc Toàn17</v>
          </cell>
          <cell r="AX1610" t="str">
            <v>Lương</v>
          </cell>
        </row>
        <row r="1611">
          <cell r="D1611" t="str">
            <v>Nguyễn Ngọc Trường</v>
          </cell>
          <cell r="AF1611" t="str">
            <v>XE00240</v>
          </cell>
          <cell r="AH1611">
            <v>9.42</v>
          </cell>
          <cell r="AW1611" t="str">
            <v>Nguyễn Ngọc Trường18</v>
          </cell>
          <cell r="AX1611" t="str">
            <v>Lương</v>
          </cell>
        </row>
        <row r="1612">
          <cell r="D1612" t="str">
            <v>Lê Hữu Bích</v>
          </cell>
          <cell r="AF1612" t="str">
            <v>XE00050</v>
          </cell>
          <cell r="AH1612">
            <v>9.42</v>
          </cell>
          <cell r="AW1612" t="str">
            <v>Lê Hữu Bích17</v>
          </cell>
          <cell r="AX1612" t="str">
            <v>Lương</v>
          </cell>
        </row>
        <row r="1613">
          <cell r="D1613" t="str">
            <v>Lê Trọng Giáp</v>
          </cell>
          <cell r="AF1613" t="str">
            <v>XE00020</v>
          </cell>
          <cell r="AH1613">
            <v>9.02</v>
          </cell>
          <cell r="AW1613" t="str">
            <v>Lê Trọng Giáp18</v>
          </cell>
          <cell r="AX1613" t="str">
            <v>Lương</v>
          </cell>
        </row>
        <row r="1614">
          <cell r="D1614" t="str">
            <v>Phan Đăng Quang</v>
          </cell>
          <cell r="AF1614" t="str">
            <v>XE00195</v>
          </cell>
          <cell r="AH1614">
            <v>9.6199999999999992</v>
          </cell>
          <cell r="AW1614" t="str">
            <v>Phan Đăng Quang17</v>
          </cell>
          <cell r="AX1614" t="str">
            <v>Lương</v>
          </cell>
        </row>
        <row r="1615">
          <cell r="D1615" t="str">
            <v>Nguyễn Việt Trung</v>
          </cell>
          <cell r="AF1615" t="str">
            <v>XE00137</v>
          </cell>
          <cell r="AH1615">
            <v>9.02</v>
          </cell>
          <cell r="AW1615" t="str">
            <v>Nguyễn Việt Trung16</v>
          </cell>
          <cell r="AX1615" t="str">
            <v>Lương</v>
          </cell>
        </row>
        <row r="1616">
          <cell r="D1616" t="str">
            <v>Nguyễn Việt Trung</v>
          </cell>
          <cell r="AF1616" t="str">
            <v>XE00137</v>
          </cell>
          <cell r="AH1616">
            <v>9.82</v>
          </cell>
          <cell r="AW1616" t="str">
            <v>Nguyễn Việt Trung17</v>
          </cell>
          <cell r="AX1616" t="str">
            <v>Lương</v>
          </cell>
        </row>
        <row r="1617">
          <cell r="D1617" t="str">
            <v>Nguyễn Thành Đạt</v>
          </cell>
          <cell r="AF1617" t="str">
            <v>XE00256</v>
          </cell>
          <cell r="AH1617">
            <v>9.02</v>
          </cell>
          <cell r="AW1617" t="str">
            <v>Nguyễn Thành Đạt16</v>
          </cell>
          <cell r="AX1617" t="str">
            <v>Lương</v>
          </cell>
        </row>
        <row r="1618">
          <cell r="D1618" t="str">
            <v>Nguyễn Thành Đạt</v>
          </cell>
          <cell r="AF1618" t="str">
            <v>XE00256</v>
          </cell>
          <cell r="AH1618">
            <v>6.8400000000000007</v>
          </cell>
          <cell r="AW1618" t="str">
            <v>Nguyễn Thành Đạt17</v>
          </cell>
          <cell r="AX1618" t="str">
            <v>Lương</v>
          </cell>
        </row>
        <row r="1619">
          <cell r="D1619" t="str">
            <v>Dương Văn Thọ</v>
          </cell>
          <cell r="AF1619" t="str">
            <v>XE00282</v>
          </cell>
          <cell r="AH1619">
            <v>9.42</v>
          </cell>
          <cell r="AW1619" t="str">
            <v>Dương Văn Thọ20</v>
          </cell>
          <cell r="AX1619" t="str">
            <v>Lương</v>
          </cell>
        </row>
        <row r="1620">
          <cell r="D1620" t="str">
            <v>Trần Văn Hạnh</v>
          </cell>
          <cell r="AF1620" t="str">
            <v>XE00290</v>
          </cell>
          <cell r="AH1620">
            <v>9.82</v>
          </cell>
          <cell r="AW1620" t="str">
            <v>Trần Văn Hạnh17</v>
          </cell>
          <cell r="AX1620" t="str">
            <v>Lương</v>
          </cell>
        </row>
        <row r="1621">
          <cell r="D1621" t="str">
            <v>Trần Văn Hạnh</v>
          </cell>
          <cell r="AF1621" t="str">
            <v>XE00290</v>
          </cell>
          <cell r="AH1621">
            <v>9.42</v>
          </cell>
          <cell r="AW1621" t="str">
            <v>Trần Văn Hạnh18</v>
          </cell>
          <cell r="AX1621" t="str">
            <v>Lương</v>
          </cell>
        </row>
        <row r="1622">
          <cell r="D1622" t="str">
            <v>Nguyễn Ngọc Hưng</v>
          </cell>
          <cell r="AF1622" t="str">
            <v>XE00559</v>
          </cell>
          <cell r="AH1622">
            <v>8.44</v>
          </cell>
          <cell r="AW1622" t="str">
            <v>Nguyễn Ngọc Hưng19</v>
          </cell>
          <cell r="AX1622" t="str">
            <v>Lương</v>
          </cell>
        </row>
        <row r="1623">
          <cell r="D1623" t="str">
            <v>Nguyễn Đức Thanh</v>
          </cell>
          <cell r="AF1623" t="str">
            <v>XE00627</v>
          </cell>
          <cell r="AH1623">
            <v>9.82</v>
          </cell>
          <cell r="AW1623" t="str">
            <v>Nguyễn Đức Thanh18</v>
          </cell>
          <cell r="AX1623" t="str">
            <v>Lương</v>
          </cell>
        </row>
        <row r="1624">
          <cell r="D1624" t="str">
            <v>Nguyễn Đức Thanh</v>
          </cell>
          <cell r="AF1624" t="str">
            <v>XE00627</v>
          </cell>
          <cell r="AH1624">
            <v>9.42</v>
          </cell>
          <cell r="AW1624" t="str">
            <v>Nguyễn Đức Thanh19</v>
          </cell>
          <cell r="AX1624" t="str">
            <v>Lương</v>
          </cell>
        </row>
        <row r="1625">
          <cell r="D1625" t="str">
            <v>Vũ Việt Hùng</v>
          </cell>
          <cell r="AF1625" t="str">
            <v>XE00812</v>
          </cell>
          <cell r="AH1625">
            <v>9.82</v>
          </cell>
          <cell r="AW1625" t="str">
            <v>Vũ Việt Hùng15</v>
          </cell>
          <cell r="AX1625" t="str">
            <v>Lương</v>
          </cell>
        </row>
        <row r="1626">
          <cell r="D1626" t="str">
            <v>Vũ Việt Hùng</v>
          </cell>
          <cell r="AF1626" t="str">
            <v>XE00812</v>
          </cell>
          <cell r="AH1626">
            <v>9.42</v>
          </cell>
          <cell r="AW1626" t="str">
            <v>Vũ Việt Hùng16</v>
          </cell>
          <cell r="AX1626" t="str">
            <v>Lương</v>
          </cell>
        </row>
        <row r="1627">
          <cell r="D1627" t="str">
            <v>Cù Xuân Duy</v>
          </cell>
          <cell r="AF1627" t="str">
            <v>XE00887</v>
          </cell>
          <cell r="AH1627">
            <v>9.2199999999999989</v>
          </cell>
          <cell r="AW1627" t="str">
            <v>Cù Xuân Duy19</v>
          </cell>
          <cell r="AX1627" t="str">
            <v>Lương</v>
          </cell>
        </row>
        <row r="1628">
          <cell r="D1628" t="str">
            <v>Phạm Quốc Hội</v>
          </cell>
          <cell r="AF1628" t="str">
            <v>XE01229</v>
          </cell>
          <cell r="AH1628">
            <v>9.82</v>
          </cell>
          <cell r="AW1628" t="str">
            <v>Phạm Quốc Hội18</v>
          </cell>
          <cell r="AX1628" t="str">
            <v>Lương</v>
          </cell>
        </row>
        <row r="1629">
          <cell r="D1629" t="str">
            <v>Trần Đức Toản</v>
          </cell>
          <cell r="AF1629" t="str">
            <v>XE01314</v>
          </cell>
          <cell r="AH1629">
            <v>9.02</v>
          </cell>
          <cell r="AW1629" t="str">
            <v>Trần Đức Toản18</v>
          </cell>
          <cell r="AX1629" t="str">
            <v>Lương</v>
          </cell>
        </row>
        <row r="1630">
          <cell r="D1630" t="str">
            <v>Trần Nam</v>
          </cell>
          <cell r="AF1630" t="str">
            <v>XE00130</v>
          </cell>
          <cell r="AH1630">
            <v>9.02</v>
          </cell>
          <cell r="AW1630" t="str">
            <v>Trần Nam19</v>
          </cell>
          <cell r="AX1630" t="str">
            <v>Lương</v>
          </cell>
        </row>
        <row r="1631">
          <cell r="D1631" t="str">
            <v>Nguyễn Xuân Thắng</v>
          </cell>
          <cell r="AF1631" t="str">
            <v>XE00046</v>
          </cell>
          <cell r="AH1631">
            <v>9.82</v>
          </cell>
          <cell r="AW1631" t="str">
            <v>Nguyễn Xuân Thắng17</v>
          </cell>
          <cell r="AX1631" t="str">
            <v>Lương</v>
          </cell>
        </row>
        <row r="1632">
          <cell r="D1632" t="str">
            <v>Nguyễn Thanh Sơn</v>
          </cell>
          <cell r="AF1632" t="str">
            <v>XE01468</v>
          </cell>
          <cell r="AH1632">
            <v>9.82</v>
          </cell>
          <cell r="AW1632" t="str">
            <v>Nguyễn Thanh Sơn16</v>
          </cell>
          <cell r="AX1632" t="str">
            <v>Lương</v>
          </cell>
        </row>
        <row r="1633">
          <cell r="D1633" t="str">
            <v>Nguyễn Thanh Sơn</v>
          </cell>
          <cell r="AF1633" t="str">
            <v>XE01468</v>
          </cell>
          <cell r="AH1633">
            <v>9.82</v>
          </cell>
          <cell r="AW1633" t="str">
            <v>Nguyễn Thanh Sơn17</v>
          </cell>
          <cell r="AX1633" t="str">
            <v>Lương</v>
          </cell>
        </row>
        <row r="1634">
          <cell r="D1634" t="str">
            <v>Phạm Văn Đồng</v>
          </cell>
          <cell r="AF1634" t="str">
            <v>XE01479</v>
          </cell>
          <cell r="AH1634">
            <v>9.82</v>
          </cell>
          <cell r="AW1634" t="str">
            <v>Phạm Văn Đồng15</v>
          </cell>
          <cell r="AX1634" t="str">
            <v>Lương</v>
          </cell>
        </row>
        <row r="1635">
          <cell r="D1635" t="str">
            <v>Phạm Văn Đồng</v>
          </cell>
          <cell r="AF1635" t="str">
            <v>XE01479</v>
          </cell>
          <cell r="AH1635">
            <v>9.42</v>
          </cell>
          <cell r="AW1635" t="str">
            <v>Phạm Văn Đồng16</v>
          </cell>
          <cell r="AX1635" t="str">
            <v>Lương</v>
          </cell>
        </row>
        <row r="1636">
          <cell r="D1636" t="str">
            <v>Phạm Viết Thắng</v>
          </cell>
          <cell r="AF1636" t="str">
            <v>XE01596</v>
          </cell>
          <cell r="AH1636">
            <v>9.42</v>
          </cell>
          <cell r="AW1636" t="str">
            <v>Phạm Viết Thắng17</v>
          </cell>
          <cell r="AX1636" t="str">
            <v>Lương</v>
          </cell>
        </row>
        <row r="1637">
          <cell r="D1637" t="str">
            <v>Phạm Thanh Tùng</v>
          </cell>
          <cell r="AF1637" t="str">
            <v>XE01402</v>
          </cell>
          <cell r="AH1637">
            <v>9.2199999999999989</v>
          </cell>
          <cell r="AW1637" t="str">
            <v>Phạm Thanh Tùng18</v>
          </cell>
          <cell r="AX1637" t="str">
            <v>Lương</v>
          </cell>
        </row>
        <row r="1638">
          <cell r="D1638" t="str">
            <v>Vũ Văn Chín</v>
          </cell>
          <cell r="AF1638" t="str">
            <v>XE01703</v>
          </cell>
          <cell r="AH1638">
            <v>8.84</v>
          </cell>
          <cell r="AW1638" t="str">
            <v>Vũ Văn Chín16</v>
          </cell>
          <cell r="AX1638" t="str">
            <v>Lương</v>
          </cell>
        </row>
        <row r="1639">
          <cell r="D1639" t="str">
            <v>Phạm Văn Tình</v>
          </cell>
          <cell r="AF1639" t="str">
            <v>XE01177</v>
          </cell>
          <cell r="AH1639">
            <v>9.42</v>
          </cell>
          <cell r="AW1639" t="str">
            <v>Phạm Văn Tình18</v>
          </cell>
          <cell r="AX1639" t="str">
            <v>Lương</v>
          </cell>
        </row>
        <row r="1640">
          <cell r="D1640" t="str">
            <v>Hoàng Mạnh Tú</v>
          </cell>
          <cell r="AF1640" t="str">
            <v>XE00406</v>
          </cell>
          <cell r="AH1640">
            <v>9.82</v>
          </cell>
          <cell r="AW1640" t="str">
            <v>Hoàng Mạnh Tú19</v>
          </cell>
          <cell r="AX1640" t="str">
            <v>Lương</v>
          </cell>
        </row>
        <row r="1641">
          <cell r="D1641" t="str">
            <v>Phạm Văn Tuân</v>
          </cell>
          <cell r="AF1641" t="str">
            <v>XE01711</v>
          </cell>
          <cell r="AH1641">
            <v>9.02</v>
          </cell>
          <cell r="AW1641" t="str">
            <v>Phạm Văn Tuân16</v>
          </cell>
          <cell r="AX1641" t="str">
            <v>Lương</v>
          </cell>
        </row>
        <row r="1642">
          <cell r="D1642" t="str">
            <v>Trần Hữu Nam 1972</v>
          </cell>
          <cell r="AF1642" t="str">
            <v>XE00033</v>
          </cell>
          <cell r="AH1642">
            <v>8.84</v>
          </cell>
          <cell r="AW1642" t="str">
            <v>Trần Hữu Nam 197219</v>
          </cell>
          <cell r="AX1642" t="str">
            <v>Lương</v>
          </cell>
        </row>
        <row r="1643">
          <cell r="D1643" t="str">
            <v>Trần Hữu Nam 1972</v>
          </cell>
          <cell r="AF1643" t="str">
            <v>XE00033</v>
          </cell>
          <cell r="AH1643">
            <v>7.24</v>
          </cell>
          <cell r="AW1643" t="str">
            <v>Trần Hữu Nam 197220</v>
          </cell>
          <cell r="AX1643" t="str">
            <v>Lương</v>
          </cell>
        </row>
        <row r="1644">
          <cell r="D1644" t="str">
            <v>Bùi Quý Phúc</v>
          </cell>
          <cell r="AF1644" t="str">
            <v>XE00077</v>
          </cell>
          <cell r="AH1644">
            <v>9.6199999999999992</v>
          </cell>
          <cell r="AW1644" t="str">
            <v>Bùi Quý Phúc20</v>
          </cell>
          <cell r="AX1644" t="str">
            <v>Lương</v>
          </cell>
        </row>
        <row r="1645">
          <cell r="D1645" t="str">
            <v>Bùi Quý Phúc</v>
          </cell>
          <cell r="AF1645" t="str">
            <v>XE00077</v>
          </cell>
          <cell r="AH1645">
            <v>9.82</v>
          </cell>
          <cell r="AW1645" t="str">
            <v>Bùi Quý Phúc21</v>
          </cell>
          <cell r="AX1645" t="str">
            <v>Lương</v>
          </cell>
        </row>
        <row r="1646">
          <cell r="D1646" t="str">
            <v>Ngô Quốc Hùng</v>
          </cell>
          <cell r="AF1646" t="str">
            <v>XE00024</v>
          </cell>
          <cell r="AH1646">
            <v>9.42</v>
          </cell>
          <cell r="AW1646" t="str">
            <v>Ngô Quốc Hùng19</v>
          </cell>
          <cell r="AX1646" t="str">
            <v>Lương</v>
          </cell>
        </row>
        <row r="1647">
          <cell r="D1647" t="str">
            <v>Trần Thanh An</v>
          </cell>
          <cell r="AF1647" t="str">
            <v>XE00113</v>
          </cell>
          <cell r="AH1647">
            <v>8.84</v>
          </cell>
          <cell r="AW1647" t="str">
            <v>Trần Thanh An14</v>
          </cell>
          <cell r="AX1647" t="str">
            <v>Lương</v>
          </cell>
        </row>
        <row r="1648">
          <cell r="D1648" t="str">
            <v>Trần Thanh An</v>
          </cell>
          <cell r="AF1648" t="str">
            <v>XE00113</v>
          </cell>
          <cell r="AH1648">
            <v>9.82</v>
          </cell>
          <cell r="AW1648" t="str">
            <v>Trần Thanh An15</v>
          </cell>
          <cell r="AX1648" t="str">
            <v>Lương</v>
          </cell>
        </row>
        <row r="1649">
          <cell r="D1649" t="str">
            <v>Trần Thanh An</v>
          </cell>
          <cell r="AF1649" t="str">
            <v>XE00113</v>
          </cell>
          <cell r="AH1649">
            <v>9.82</v>
          </cell>
          <cell r="AW1649" t="str">
            <v>Trần Thanh An16</v>
          </cell>
          <cell r="AX1649" t="str">
            <v>Lương</v>
          </cell>
        </row>
        <row r="1650">
          <cell r="D1650" t="str">
            <v>Nguyễn Văn Thế</v>
          </cell>
          <cell r="AF1650" t="str">
            <v>XE00600</v>
          </cell>
          <cell r="AH1650">
            <v>9.82</v>
          </cell>
          <cell r="AW1650" t="str">
            <v>Nguyễn Văn Thế19</v>
          </cell>
          <cell r="AX1650" t="str">
            <v>Lương</v>
          </cell>
        </row>
        <row r="1651">
          <cell r="D1651" t="str">
            <v>Nguyễn Văn Thế</v>
          </cell>
          <cell r="AF1651" t="str">
            <v>XE00600</v>
          </cell>
          <cell r="AH1651">
            <v>9.82</v>
          </cell>
          <cell r="AW1651" t="str">
            <v>Nguyễn Văn Thế20</v>
          </cell>
          <cell r="AX1651" t="str">
            <v>Lương</v>
          </cell>
        </row>
        <row r="1652">
          <cell r="D1652" t="str">
            <v>Hoàng Ngọc Cường</v>
          </cell>
          <cell r="AF1652" t="str">
            <v>XE00703</v>
          </cell>
          <cell r="AH1652">
            <v>8.44</v>
          </cell>
          <cell r="AW1652" t="str">
            <v>Hoàng Ngọc Cường18</v>
          </cell>
          <cell r="AX1652" t="str">
            <v>Lương</v>
          </cell>
        </row>
        <row r="1653">
          <cell r="D1653" t="str">
            <v>Hoàng Ngọc Cường</v>
          </cell>
          <cell r="AF1653" t="str">
            <v>XE00703</v>
          </cell>
          <cell r="AH1653">
            <v>9.82</v>
          </cell>
          <cell r="AW1653" t="str">
            <v>Hoàng Ngọc Cường19</v>
          </cell>
          <cell r="AX1653" t="str">
            <v>Lương</v>
          </cell>
        </row>
        <row r="1654">
          <cell r="D1654" t="str">
            <v>Trần Đình Vượng</v>
          </cell>
          <cell r="AF1654" t="str">
            <v>XE01155</v>
          </cell>
          <cell r="AH1654">
            <v>9.02</v>
          </cell>
          <cell r="AW1654" t="str">
            <v>Trần Đình Vượng18</v>
          </cell>
          <cell r="AX1654" t="str">
            <v>Lương</v>
          </cell>
        </row>
        <row r="1655">
          <cell r="D1655" t="str">
            <v>Trần Đình Vượng</v>
          </cell>
          <cell r="AF1655" t="str">
            <v>XE01155</v>
          </cell>
          <cell r="AH1655">
            <v>9.42</v>
          </cell>
          <cell r="AW1655" t="str">
            <v>Trần Đình Vượng19</v>
          </cell>
          <cell r="AX1655" t="str">
            <v>Lương</v>
          </cell>
        </row>
        <row r="1656">
          <cell r="D1656" t="str">
            <v>Đặng Ngọc Toàn</v>
          </cell>
          <cell r="AF1656" t="str">
            <v>XE00138</v>
          </cell>
          <cell r="AH1656">
            <v>9.42</v>
          </cell>
          <cell r="AW1656" t="str">
            <v>Đặng Ngọc Toàn18</v>
          </cell>
          <cell r="AX1656" t="str">
            <v>Lương</v>
          </cell>
        </row>
        <row r="1657">
          <cell r="D1657" t="str">
            <v>Nguyễn Ngọc Trường</v>
          </cell>
          <cell r="AF1657" t="str">
            <v>XE00240</v>
          </cell>
          <cell r="AH1657">
            <v>9.82</v>
          </cell>
          <cell r="AW1657" t="str">
            <v>Nguyễn Ngọc Trường19</v>
          </cell>
          <cell r="AX1657" t="str">
            <v>Lương</v>
          </cell>
        </row>
        <row r="1658">
          <cell r="D1658" t="str">
            <v>Tống Văn Nam</v>
          </cell>
          <cell r="AF1658" t="str">
            <v>XE00019</v>
          </cell>
          <cell r="AH1658">
            <v>9.42</v>
          </cell>
          <cell r="AW1658" t="str">
            <v>Tống Văn Nam17</v>
          </cell>
          <cell r="AX1658" t="str">
            <v>Lương</v>
          </cell>
        </row>
        <row r="1659">
          <cell r="D1659" t="str">
            <v>Tống Văn Nam</v>
          </cell>
          <cell r="AF1659" t="str">
            <v>XE00019</v>
          </cell>
          <cell r="AH1659">
            <v>9.82</v>
          </cell>
          <cell r="AW1659" t="str">
            <v>Tống Văn Nam18</v>
          </cell>
          <cell r="AX1659" t="str">
            <v>Lương</v>
          </cell>
        </row>
        <row r="1660">
          <cell r="D1660" t="str">
            <v>Lê Hữu Bích</v>
          </cell>
          <cell r="AF1660" t="str">
            <v>XE00050</v>
          </cell>
          <cell r="AH1660">
            <v>8.84</v>
          </cell>
          <cell r="AW1660" t="str">
            <v>Lê Hữu Bích18</v>
          </cell>
          <cell r="AX1660" t="str">
            <v>Lương</v>
          </cell>
        </row>
        <row r="1661">
          <cell r="D1661" t="str">
            <v>Lê Trọng Giáp</v>
          </cell>
          <cell r="AF1661" t="str">
            <v>XE00020</v>
          </cell>
          <cell r="AH1661">
            <v>9.82</v>
          </cell>
          <cell r="AW1661" t="str">
            <v>Lê Trọng Giáp19</v>
          </cell>
          <cell r="AX1661" t="str">
            <v>Lương</v>
          </cell>
        </row>
        <row r="1662">
          <cell r="D1662" t="str">
            <v>Phan Đăng Quang</v>
          </cell>
          <cell r="AF1662" t="str">
            <v>XE00195</v>
          </cell>
          <cell r="AH1662">
            <v>8.84</v>
          </cell>
          <cell r="AW1662" t="str">
            <v>Phan Đăng Quang18</v>
          </cell>
          <cell r="AX1662" t="str">
            <v>Lương</v>
          </cell>
        </row>
        <row r="1663">
          <cell r="D1663" t="str">
            <v>Nguyễn Việt Trung</v>
          </cell>
          <cell r="AF1663" t="str">
            <v>XE00137</v>
          </cell>
          <cell r="AH1663">
            <v>9.02</v>
          </cell>
          <cell r="AW1663" t="str">
            <v>Nguyễn Việt Trung18</v>
          </cell>
          <cell r="AX1663" t="str">
            <v>Lương</v>
          </cell>
        </row>
        <row r="1664">
          <cell r="D1664" t="str">
            <v>Trịnh Xuân Đức</v>
          </cell>
          <cell r="AF1664" t="str">
            <v>XE00109</v>
          </cell>
          <cell r="AH1664">
            <v>9.82</v>
          </cell>
          <cell r="AW1664" t="str">
            <v>Trịnh Xuân Đức19</v>
          </cell>
          <cell r="AX1664" t="str">
            <v>Lương</v>
          </cell>
        </row>
        <row r="1665">
          <cell r="D1665" t="str">
            <v>Nguyễn Thành Đạt</v>
          </cell>
          <cell r="AF1665" t="str">
            <v>XE00256</v>
          </cell>
          <cell r="AH1665">
            <v>9.42</v>
          </cell>
          <cell r="AW1665" t="str">
            <v>Nguyễn Thành Đạt18</v>
          </cell>
          <cell r="AX1665" t="str">
            <v>Lương</v>
          </cell>
        </row>
        <row r="1666">
          <cell r="D1666" t="str">
            <v>Dương Văn Thọ</v>
          </cell>
          <cell r="AH1666">
            <v>9.82</v>
          </cell>
          <cell r="AW1666" t="str">
            <v>Dương Văn Thọ21</v>
          </cell>
          <cell r="AX1666" t="str">
            <v>Lương</v>
          </cell>
        </row>
        <row r="1667">
          <cell r="D1667" t="str">
            <v>Trần Văn Hạnh</v>
          </cell>
          <cell r="AH1667">
            <v>9.82</v>
          </cell>
          <cell r="AW1667" t="str">
            <v>Trần Văn Hạnh19</v>
          </cell>
          <cell r="AX1667" t="str">
            <v>Lương</v>
          </cell>
        </row>
        <row r="1668">
          <cell r="D1668" t="str">
            <v>Nguyễn Ngọc Hưng</v>
          </cell>
          <cell r="AH1668">
            <v>9.82</v>
          </cell>
          <cell r="AW1668" t="str">
            <v>Nguyễn Ngọc Hưng20</v>
          </cell>
          <cell r="AX1668" t="str">
            <v>Lương</v>
          </cell>
        </row>
        <row r="1669">
          <cell r="D1669" t="str">
            <v>Nguyễn Đức Thanh</v>
          </cell>
          <cell r="AH1669">
            <v>9.24</v>
          </cell>
          <cell r="AW1669" t="str">
            <v>Nguyễn Đức Thanh20</v>
          </cell>
          <cell r="AX1669" t="str">
            <v>Lương</v>
          </cell>
        </row>
        <row r="1670">
          <cell r="D1670" t="str">
            <v>Vũ Việt Hùng</v>
          </cell>
          <cell r="AH1670">
            <v>9.82</v>
          </cell>
          <cell r="AW1670" t="str">
            <v>Vũ Việt Hùng17</v>
          </cell>
          <cell r="AX1670" t="str">
            <v>Lương</v>
          </cell>
        </row>
        <row r="1671">
          <cell r="D1671" t="str">
            <v>Vũ Việt Hùng</v>
          </cell>
          <cell r="AH1671">
            <v>9.82</v>
          </cell>
          <cell r="AW1671" t="str">
            <v>Vũ Việt Hùng18</v>
          </cell>
          <cell r="AX1671" t="str">
            <v>Lương</v>
          </cell>
        </row>
        <row r="1672">
          <cell r="D1672" t="str">
            <v>Cù Xuân Duy</v>
          </cell>
          <cell r="AH1672">
            <v>9.2199999999999989</v>
          </cell>
          <cell r="AW1672" t="str">
            <v>Cù Xuân Duy20</v>
          </cell>
          <cell r="AX1672" t="str">
            <v>Lương</v>
          </cell>
        </row>
        <row r="1673">
          <cell r="D1673" t="str">
            <v>Phạm Quốc Hội</v>
          </cell>
          <cell r="AF1673" t="str">
            <v>XE01229</v>
          </cell>
          <cell r="AH1673">
            <v>8.6199999999999992</v>
          </cell>
          <cell r="AW1673" t="str">
            <v>Phạm Quốc Hội19</v>
          </cell>
          <cell r="AX1673" t="str">
            <v>Lương</v>
          </cell>
        </row>
        <row r="1674">
          <cell r="D1674" t="str">
            <v>Trần Hữu Nam 1972</v>
          </cell>
          <cell r="AF1674" t="str">
            <v>XE00033</v>
          </cell>
          <cell r="AH1674">
            <v>9.82</v>
          </cell>
          <cell r="AW1674" t="str">
            <v>Trần Hữu Nam 197221</v>
          </cell>
          <cell r="AX1674" t="str">
            <v>Lương</v>
          </cell>
        </row>
        <row r="1675">
          <cell r="D1675" t="str">
            <v>Bùi Quý Phúc</v>
          </cell>
          <cell r="AF1675" t="str">
            <v>XE00077</v>
          </cell>
          <cell r="AH1675">
            <v>9.42</v>
          </cell>
          <cell r="AW1675" t="str">
            <v>Bùi Quý Phúc22</v>
          </cell>
          <cell r="AX1675" t="str">
            <v>Lương</v>
          </cell>
        </row>
        <row r="1676">
          <cell r="D1676" t="str">
            <v>Ngô Quốc Hùng</v>
          </cell>
          <cell r="AF1676" t="str">
            <v>XE00024</v>
          </cell>
          <cell r="AH1676">
            <v>9.82</v>
          </cell>
          <cell r="AW1676" t="str">
            <v>Ngô Quốc Hùng20</v>
          </cell>
          <cell r="AX1676" t="str">
            <v>Lương</v>
          </cell>
        </row>
        <row r="1677">
          <cell r="D1677" t="str">
            <v>Trần Thanh An</v>
          </cell>
          <cell r="AF1677" t="str">
            <v>XE00113</v>
          </cell>
          <cell r="AH1677">
            <v>9.42</v>
          </cell>
          <cell r="AW1677" t="str">
            <v>Trần Thanh An17</v>
          </cell>
          <cell r="AX1677" t="str">
            <v>Lương</v>
          </cell>
        </row>
        <row r="1678">
          <cell r="D1678" t="str">
            <v>Trần Thanh An</v>
          </cell>
          <cell r="AF1678" t="str">
            <v>XE00113</v>
          </cell>
          <cell r="AH1678">
            <v>9.02</v>
          </cell>
          <cell r="AW1678" t="str">
            <v>Trần Thanh An18</v>
          </cell>
          <cell r="AX1678" t="str">
            <v>Lương</v>
          </cell>
        </row>
        <row r="1679">
          <cell r="D1679" t="str">
            <v>Trần Thanh An</v>
          </cell>
          <cell r="AF1679" t="str">
            <v>XE00113</v>
          </cell>
          <cell r="AH1679">
            <v>9.82</v>
          </cell>
          <cell r="AW1679" t="str">
            <v>Trần Thanh An19</v>
          </cell>
          <cell r="AX1679" t="str">
            <v>Lương</v>
          </cell>
        </row>
        <row r="1680">
          <cell r="D1680" t="str">
            <v>Nguyễn Văn Thế</v>
          </cell>
          <cell r="AF1680" t="str">
            <v>XE00600</v>
          </cell>
          <cell r="AH1680">
            <v>9.82</v>
          </cell>
          <cell r="AW1680" t="str">
            <v>Nguyễn Văn Thế21</v>
          </cell>
          <cell r="AX1680" t="str">
            <v>Lương</v>
          </cell>
        </row>
        <row r="1681">
          <cell r="D1681" t="str">
            <v>Hoàng Ngọc Cường</v>
          </cell>
          <cell r="AF1681" t="str">
            <v>XE00703</v>
          </cell>
          <cell r="AH1681">
            <v>9.02</v>
          </cell>
          <cell r="AW1681" t="str">
            <v>Hoàng Ngọc Cường20</v>
          </cell>
          <cell r="AX1681" t="str">
            <v>Lương</v>
          </cell>
        </row>
        <row r="1682">
          <cell r="D1682" t="str">
            <v>Trần Đình Vượng</v>
          </cell>
          <cell r="AF1682" t="str">
            <v>XE01155</v>
          </cell>
          <cell r="AH1682">
            <v>9.42</v>
          </cell>
          <cell r="AW1682" t="str">
            <v>Trần Đình Vượng20</v>
          </cell>
          <cell r="AX1682" t="str">
            <v>Lương</v>
          </cell>
        </row>
        <row r="1683">
          <cell r="D1683" t="str">
            <v>Đặng Ngọc Toàn</v>
          </cell>
          <cell r="AF1683" t="str">
            <v>XE00138</v>
          </cell>
          <cell r="AH1683">
            <v>9.82</v>
          </cell>
          <cell r="AW1683" t="str">
            <v>Đặng Ngọc Toàn19</v>
          </cell>
          <cell r="AX1683" t="str">
            <v>Lương</v>
          </cell>
        </row>
        <row r="1684">
          <cell r="D1684" t="str">
            <v>Nguyễn Ngọc Trường</v>
          </cell>
          <cell r="AF1684" t="str">
            <v>XE00240</v>
          </cell>
          <cell r="AH1684">
            <v>8.6199999999999992</v>
          </cell>
          <cell r="AW1684" t="str">
            <v>Nguyễn Ngọc Trường20</v>
          </cell>
          <cell r="AX1684" t="str">
            <v>Lương</v>
          </cell>
        </row>
        <row r="1685">
          <cell r="D1685" t="str">
            <v>Tống Văn Nam</v>
          </cell>
          <cell r="AF1685" t="str">
            <v>XE00019</v>
          </cell>
          <cell r="AH1685">
            <v>9.02</v>
          </cell>
          <cell r="AW1685" t="str">
            <v>Tống Văn Nam19</v>
          </cell>
          <cell r="AX1685" t="str">
            <v>Lương</v>
          </cell>
        </row>
        <row r="1686">
          <cell r="D1686" t="str">
            <v>Lê Hữu Bích</v>
          </cell>
          <cell r="AF1686" t="str">
            <v>XE00050</v>
          </cell>
          <cell r="AH1686">
            <v>9.6199999999999992</v>
          </cell>
          <cell r="AW1686" t="str">
            <v>Lê Hữu Bích19</v>
          </cell>
          <cell r="AX1686" t="str">
            <v>Lương</v>
          </cell>
        </row>
        <row r="1687">
          <cell r="D1687" t="str">
            <v>Lê Trọng Giáp</v>
          </cell>
          <cell r="AF1687" t="str">
            <v>XE00020</v>
          </cell>
          <cell r="AH1687">
            <v>9.42</v>
          </cell>
          <cell r="AW1687" t="str">
            <v>Lê Trọng Giáp20</v>
          </cell>
          <cell r="AX1687" t="str">
            <v>Lương</v>
          </cell>
        </row>
        <row r="1688">
          <cell r="D1688" t="str">
            <v>Phan Đăng Quang</v>
          </cell>
          <cell r="AF1688" t="str">
            <v>XE00195</v>
          </cell>
          <cell r="AH1688">
            <v>7.24</v>
          </cell>
          <cell r="AW1688" t="str">
            <v>Phan Đăng Quang19</v>
          </cell>
          <cell r="AX1688" t="str">
            <v>Lương</v>
          </cell>
        </row>
        <row r="1689">
          <cell r="D1689" t="str">
            <v>Nguyễn Việt Trung</v>
          </cell>
          <cell r="AF1689" t="str">
            <v>XE00137</v>
          </cell>
          <cell r="AH1689">
            <v>9.82</v>
          </cell>
          <cell r="AW1689" t="str">
            <v>Nguyễn Việt Trung19</v>
          </cell>
          <cell r="AX1689" t="str">
            <v>Lương</v>
          </cell>
        </row>
        <row r="1690">
          <cell r="D1690" t="str">
            <v>Trịnh Xuân Đức</v>
          </cell>
          <cell r="AF1690" t="str">
            <v>XE00109</v>
          </cell>
          <cell r="AH1690">
            <v>9.42</v>
          </cell>
          <cell r="AW1690" t="str">
            <v>Trịnh Xuân Đức20</v>
          </cell>
          <cell r="AX1690" t="str">
            <v>Lương</v>
          </cell>
        </row>
        <row r="1691">
          <cell r="D1691" t="str">
            <v>Lê Văn Diện</v>
          </cell>
          <cell r="AF1691" t="str">
            <v>XE00098</v>
          </cell>
          <cell r="AH1691">
            <v>9.82</v>
          </cell>
          <cell r="AW1691" t="str">
            <v>Lê Văn Diện17</v>
          </cell>
          <cell r="AX1691" t="str">
            <v>Lương</v>
          </cell>
        </row>
        <row r="1692">
          <cell r="D1692" t="str">
            <v>Lê Văn Diện</v>
          </cell>
          <cell r="AF1692" t="str">
            <v>XE00098</v>
          </cell>
          <cell r="AH1692">
            <v>9.02</v>
          </cell>
          <cell r="AW1692" t="str">
            <v>Lê Văn Diện18</v>
          </cell>
          <cell r="AX1692" t="str">
            <v>Lương</v>
          </cell>
        </row>
        <row r="1693">
          <cell r="D1693" t="str">
            <v>Lê Văn Diện</v>
          </cell>
          <cell r="AF1693" t="str">
            <v>XE00098</v>
          </cell>
          <cell r="AH1693">
            <v>9.42</v>
          </cell>
          <cell r="AW1693" t="str">
            <v>Lê Văn Diện19</v>
          </cell>
          <cell r="AX1693" t="str">
            <v>Lương</v>
          </cell>
        </row>
        <row r="1694">
          <cell r="D1694" t="str">
            <v>Nguyễn Thành Đạt</v>
          </cell>
          <cell r="AF1694" t="str">
            <v>XE00256</v>
          </cell>
          <cell r="AH1694">
            <v>9.42</v>
          </cell>
          <cell r="AW1694" t="str">
            <v>Nguyễn Thành Đạt19</v>
          </cell>
          <cell r="AX1694" t="str">
            <v>Lương</v>
          </cell>
        </row>
        <row r="1695">
          <cell r="D1695" t="str">
            <v>Dương Văn Thọ</v>
          </cell>
          <cell r="AF1695" t="str">
            <v>XE00282</v>
          </cell>
          <cell r="AH1695">
            <v>9.82</v>
          </cell>
          <cell r="AW1695" t="str">
            <v>Dương Văn Thọ22</v>
          </cell>
          <cell r="AX1695" t="str">
            <v>Lương</v>
          </cell>
        </row>
        <row r="1696">
          <cell r="D1696" t="str">
            <v>Trần Văn Hạnh</v>
          </cell>
          <cell r="AF1696" t="str">
            <v>XE00290</v>
          </cell>
          <cell r="AH1696">
            <v>9.82</v>
          </cell>
          <cell r="AW1696" t="str">
            <v>Trần Văn Hạnh20</v>
          </cell>
          <cell r="AX1696" t="str">
            <v>Lương</v>
          </cell>
        </row>
        <row r="1697">
          <cell r="D1697" t="str">
            <v>Nguyễn Ngọc Hưng</v>
          </cell>
          <cell r="AF1697" t="str">
            <v>XE00559</v>
          </cell>
          <cell r="AH1697">
            <v>9.82</v>
          </cell>
          <cell r="AW1697" t="str">
            <v>Nguyễn Ngọc Hưng21</v>
          </cell>
          <cell r="AX1697" t="str">
            <v>Lương</v>
          </cell>
        </row>
        <row r="1698">
          <cell r="D1698" t="str">
            <v>Nguyễn Đức Thanh</v>
          </cell>
          <cell r="AF1698" t="str">
            <v>XE00627</v>
          </cell>
          <cell r="AH1698">
            <v>9.82</v>
          </cell>
          <cell r="AW1698" t="str">
            <v>Nguyễn Đức Thanh21</v>
          </cell>
          <cell r="AX1698" t="str">
            <v>Lương</v>
          </cell>
        </row>
        <row r="1699">
          <cell r="D1699" t="str">
            <v>Vũ Việt Hùng</v>
          </cell>
          <cell r="AF1699" t="str">
            <v>XE00812</v>
          </cell>
          <cell r="AH1699">
            <v>9.82</v>
          </cell>
          <cell r="AW1699" t="str">
            <v>Vũ Việt Hùng19</v>
          </cell>
          <cell r="AX1699" t="str">
            <v>Lương</v>
          </cell>
        </row>
        <row r="1700">
          <cell r="D1700" t="str">
            <v>Cù Xuân Duy</v>
          </cell>
          <cell r="AF1700" t="str">
            <v>XE00887</v>
          </cell>
          <cell r="AH1700">
            <v>9.42</v>
          </cell>
          <cell r="AW1700" t="str">
            <v>Cù Xuân Duy21</v>
          </cell>
          <cell r="AX1700" t="str">
            <v>Lương</v>
          </cell>
        </row>
        <row r="1701">
          <cell r="D1701" t="str">
            <v>Phạm Quốc Hội</v>
          </cell>
          <cell r="AF1701" t="str">
            <v>XE01229</v>
          </cell>
          <cell r="AH1701">
            <v>9.42</v>
          </cell>
          <cell r="AW1701" t="str">
            <v>Phạm Quốc Hội20</v>
          </cell>
          <cell r="AX1701" t="str">
            <v>Lương</v>
          </cell>
        </row>
        <row r="1702">
          <cell r="D1702" t="str">
            <v>Trần Đức Toản</v>
          </cell>
          <cell r="AF1702" t="str">
            <v>XE01314</v>
          </cell>
          <cell r="AH1702">
            <v>9.82</v>
          </cell>
          <cell r="AW1702" t="str">
            <v>Trần Đức Toản19</v>
          </cell>
          <cell r="AX1702" t="str">
            <v>Lương</v>
          </cell>
        </row>
        <row r="1703">
          <cell r="D1703" t="str">
            <v>Đặng Hồng Thuỷ</v>
          </cell>
          <cell r="AF1703" t="str">
            <v>XE01385</v>
          </cell>
          <cell r="AH1703">
            <v>8.44</v>
          </cell>
          <cell r="AW1703" t="str">
            <v>Đặng Hồng Thuỷ17</v>
          </cell>
          <cell r="AX1703" t="str">
            <v>Lương</v>
          </cell>
        </row>
        <row r="1704">
          <cell r="D1704" t="str">
            <v>Đặng Hồng Thuỷ</v>
          </cell>
          <cell r="AF1704" t="str">
            <v>XE01385</v>
          </cell>
          <cell r="AH1704">
            <v>9.42</v>
          </cell>
          <cell r="AW1704" t="str">
            <v>Đặng Hồng Thuỷ18</v>
          </cell>
          <cell r="AX1704" t="str">
            <v>Lương</v>
          </cell>
        </row>
        <row r="1705">
          <cell r="D1705" t="str">
            <v>Trần Nam</v>
          </cell>
          <cell r="AF1705" t="str">
            <v>XE00130</v>
          </cell>
          <cell r="AH1705">
            <v>8.0400000000000009</v>
          </cell>
          <cell r="AW1705" t="str">
            <v>Trần Nam20</v>
          </cell>
          <cell r="AX1705" t="str">
            <v>Lương</v>
          </cell>
        </row>
        <row r="1706">
          <cell r="D1706" t="str">
            <v>Phạm Thế Anh</v>
          </cell>
          <cell r="AF1706" t="str">
            <v>XE00298</v>
          </cell>
          <cell r="AH1706">
            <v>9.02</v>
          </cell>
          <cell r="AW1706" t="str">
            <v>Phạm Thế Anh17</v>
          </cell>
          <cell r="AX1706" t="str">
            <v>Lương</v>
          </cell>
        </row>
        <row r="1707">
          <cell r="D1707" t="str">
            <v>Phạm Thế Anh</v>
          </cell>
          <cell r="AF1707" t="str">
            <v>XE00298</v>
          </cell>
          <cell r="AH1707">
            <v>9.82</v>
          </cell>
          <cell r="AW1707" t="str">
            <v>Phạm Thế Anh18</v>
          </cell>
          <cell r="AX1707" t="str">
            <v>Lương</v>
          </cell>
        </row>
        <row r="1708">
          <cell r="D1708" t="str">
            <v>Nguyễn Xuân Thắng</v>
          </cell>
          <cell r="AF1708" t="str">
            <v>XE00046</v>
          </cell>
          <cell r="AH1708">
            <v>9.82</v>
          </cell>
          <cell r="AW1708" t="str">
            <v>Nguyễn Xuân Thắng18</v>
          </cell>
          <cell r="AX1708" t="str">
            <v>Lương</v>
          </cell>
        </row>
        <row r="1709">
          <cell r="D1709" t="str">
            <v>Nguyễn Thanh Sơn</v>
          </cell>
          <cell r="AF1709" t="str">
            <v>XE01468</v>
          </cell>
          <cell r="AH1709">
            <v>9.42</v>
          </cell>
          <cell r="AW1709" t="str">
            <v>Nguyễn Thanh Sơn18</v>
          </cell>
          <cell r="AX1709" t="str">
            <v>Lương</v>
          </cell>
        </row>
        <row r="1710">
          <cell r="D1710" t="str">
            <v>Phạm Văn Đồng</v>
          </cell>
          <cell r="AF1710" t="str">
            <v>XE01479</v>
          </cell>
          <cell r="AH1710">
            <v>8.84</v>
          </cell>
          <cell r="AW1710" t="str">
            <v>Phạm Văn Đồng17</v>
          </cell>
          <cell r="AX1710" t="str">
            <v>Lương</v>
          </cell>
        </row>
        <row r="1711">
          <cell r="D1711" t="str">
            <v>Phạm Văn Đồng</v>
          </cell>
          <cell r="AF1711" t="str">
            <v>XE01479</v>
          </cell>
          <cell r="AH1711">
            <v>9.02</v>
          </cell>
          <cell r="AW1711" t="str">
            <v>Phạm Văn Đồng18</v>
          </cell>
          <cell r="AX1711" t="str">
            <v>Lương</v>
          </cell>
        </row>
        <row r="1712">
          <cell r="D1712" t="str">
            <v>Vũ Văn Tuyến</v>
          </cell>
          <cell r="AF1712" t="str">
            <v>XE01502</v>
          </cell>
          <cell r="AH1712">
            <v>9.02</v>
          </cell>
          <cell r="AW1712" t="str">
            <v>Vũ Văn Tuyến14</v>
          </cell>
          <cell r="AX1712" t="str">
            <v>Lương</v>
          </cell>
        </row>
        <row r="1713">
          <cell r="D1713" t="str">
            <v>Vũ Văn Tuyến</v>
          </cell>
          <cell r="AF1713" t="str">
            <v>XE01502</v>
          </cell>
          <cell r="AH1713">
            <v>9.82</v>
          </cell>
          <cell r="AW1713" t="str">
            <v>Vũ Văn Tuyến15</v>
          </cell>
          <cell r="AX1713" t="str">
            <v>Lương</v>
          </cell>
        </row>
        <row r="1714">
          <cell r="D1714" t="str">
            <v>Vũ Văn Tuyến</v>
          </cell>
          <cell r="AF1714" t="str">
            <v>XE01502</v>
          </cell>
          <cell r="AH1714">
            <v>9.42</v>
          </cell>
          <cell r="AW1714" t="str">
            <v>Vũ Văn Tuyến16</v>
          </cell>
          <cell r="AX1714" t="str">
            <v>Lương</v>
          </cell>
        </row>
        <row r="1715">
          <cell r="D1715" t="str">
            <v>Vũ Văn Tuyến</v>
          </cell>
          <cell r="AF1715" t="str">
            <v>XE01502</v>
          </cell>
          <cell r="AH1715">
            <v>9.02</v>
          </cell>
          <cell r="AW1715" t="str">
            <v>Vũ Văn Tuyến17</v>
          </cell>
          <cell r="AX1715" t="str">
            <v>Lương</v>
          </cell>
        </row>
        <row r="1716">
          <cell r="D1716" t="str">
            <v>Phạm Viết Thắng</v>
          </cell>
          <cell r="AF1716" t="str">
            <v>XE01596</v>
          </cell>
          <cell r="AH1716">
            <v>9.42</v>
          </cell>
          <cell r="AW1716" t="str">
            <v>Phạm Viết Thắng18</v>
          </cell>
          <cell r="AX1716" t="str">
            <v>Lương</v>
          </cell>
        </row>
        <row r="1717">
          <cell r="D1717" t="str">
            <v>Nguyễn Hải Nam</v>
          </cell>
          <cell r="AF1717" t="str">
            <v>XE01661</v>
          </cell>
          <cell r="AH1717">
            <v>7.64</v>
          </cell>
          <cell r="AW1717" t="str">
            <v>Nguyễn Hải Nam15</v>
          </cell>
          <cell r="AX1717" t="str">
            <v>Lương</v>
          </cell>
        </row>
        <row r="1718">
          <cell r="D1718" t="str">
            <v>Nguyễn Hải Nam</v>
          </cell>
          <cell r="AF1718" t="str">
            <v>XE01661</v>
          </cell>
          <cell r="AH1718">
            <v>9.42</v>
          </cell>
          <cell r="AW1718" t="str">
            <v>Nguyễn Hải Nam16</v>
          </cell>
          <cell r="AX1718" t="str">
            <v>Lương</v>
          </cell>
        </row>
        <row r="1719">
          <cell r="D1719" t="str">
            <v>Nguyễn Hải Nam</v>
          </cell>
          <cell r="AF1719" t="str">
            <v>XE01661</v>
          </cell>
          <cell r="AH1719">
            <v>8.84</v>
          </cell>
          <cell r="AW1719" t="str">
            <v>Nguyễn Hải Nam17</v>
          </cell>
          <cell r="AX1719" t="str">
            <v>Lương</v>
          </cell>
        </row>
        <row r="1720">
          <cell r="D1720" t="str">
            <v>Vũ Văn Chín</v>
          </cell>
          <cell r="AF1720" t="str">
            <v>XE01703</v>
          </cell>
          <cell r="AH1720">
            <v>9.42</v>
          </cell>
          <cell r="AW1720" t="str">
            <v>Vũ Văn Chín17</v>
          </cell>
          <cell r="AX1720" t="str">
            <v>Lương</v>
          </cell>
        </row>
        <row r="1721">
          <cell r="D1721" t="str">
            <v>Vũ Văn Chín</v>
          </cell>
          <cell r="AF1721" t="str">
            <v>XE01703</v>
          </cell>
          <cell r="AH1721">
            <v>9.42</v>
          </cell>
          <cell r="AW1721" t="str">
            <v>Vũ Văn Chín18</v>
          </cell>
          <cell r="AX1721" t="str">
            <v>Lương</v>
          </cell>
        </row>
        <row r="1722">
          <cell r="D1722" t="str">
            <v>Vũ Văn Chín</v>
          </cell>
          <cell r="AF1722" t="str">
            <v>XE01703</v>
          </cell>
          <cell r="AH1722">
            <v>9.42</v>
          </cell>
          <cell r="AW1722" t="str">
            <v>Vũ Văn Chín19</v>
          </cell>
          <cell r="AX1722" t="str">
            <v>Lương</v>
          </cell>
        </row>
        <row r="1723">
          <cell r="D1723" t="str">
            <v>Phạm Văn Tình</v>
          </cell>
          <cell r="AF1723" t="str">
            <v>XE01177</v>
          </cell>
          <cell r="AH1723">
            <v>7.82</v>
          </cell>
          <cell r="AW1723" t="str">
            <v>Phạm Văn Tình19</v>
          </cell>
          <cell r="AX1723" t="str">
            <v>Lương</v>
          </cell>
        </row>
        <row r="1724">
          <cell r="D1724" t="str">
            <v>Hoàng Mạnh Tú</v>
          </cell>
          <cell r="AF1724" t="str">
            <v>XE00406</v>
          </cell>
          <cell r="AH1724">
            <v>9.42</v>
          </cell>
          <cell r="AW1724" t="str">
            <v>Hoàng Mạnh Tú20</v>
          </cell>
          <cell r="AX1724" t="str">
            <v>Lương</v>
          </cell>
        </row>
        <row r="1725">
          <cell r="D1725" t="str">
            <v>Hoàng Mạnh Tú</v>
          </cell>
          <cell r="AF1725" t="str">
            <v>XE00406</v>
          </cell>
          <cell r="AH1725">
            <v>9.82</v>
          </cell>
          <cell r="AW1725" t="str">
            <v>Hoàng Mạnh Tú21</v>
          </cell>
          <cell r="AX1725" t="str">
            <v>Lương</v>
          </cell>
        </row>
        <row r="1726">
          <cell r="D1726" t="str">
            <v>Phạm Văn Tuân</v>
          </cell>
          <cell r="AF1726" t="str">
            <v>XE01711</v>
          </cell>
          <cell r="AH1726">
            <v>9.82</v>
          </cell>
          <cell r="AW1726" t="str">
            <v>Phạm Văn Tuân17</v>
          </cell>
          <cell r="AX1726" t="str">
            <v>Lương</v>
          </cell>
        </row>
        <row r="1727">
          <cell r="D1727" t="str">
            <v>Phạm Văn Tuân</v>
          </cell>
          <cell r="AF1727" t="str">
            <v>XE01711</v>
          </cell>
          <cell r="AH1727">
            <v>9.42</v>
          </cell>
          <cell r="AW1727" t="str">
            <v>Phạm Văn Tuân18</v>
          </cell>
          <cell r="AX1727" t="str">
            <v>Lương</v>
          </cell>
        </row>
        <row r="1728">
          <cell r="D1728" t="str">
            <v>Phạm Văn Tuân</v>
          </cell>
          <cell r="AF1728" t="str">
            <v>XE01711</v>
          </cell>
          <cell r="AH1728">
            <v>9.42</v>
          </cell>
          <cell r="AW1728" t="str">
            <v>Phạm Văn Tuân19</v>
          </cell>
          <cell r="AX1728" t="str">
            <v>Lương</v>
          </cell>
        </row>
        <row r="1729">
          <cell r="D1729" t="str">
            <v>Phạm Văn Tuân</v>
          </cell>
          <cell r="AF1729" t="str">
            <v>XE01711</v>
          </cell>
          <cell r="AH1729">
            <v>9.42</v>
          </cell>
          <cell r="AW1729" t="str">
            <v>Phạm Văn Tuân20</v>
          </cell>
          <cell r="AX1729" t="str">
            <v>Lương</v>
          </cell>
        </row>
        <row r="1730">
          <cell r="D1730" t="str">
            <v>Trần Hữu Nam 1972</v>
          </cell>
          <cell r="AF1730" t="str">
            <v>XE00033</v>
          </cell>
          <cell r="AH1730">
            <v>9.6199999999999992</v>
          </cell>
          <cell r="AW1730" t="str">
            <v>Trần Hữu Nam 197222</v>
          </cell>
          <cell r="AX1730" t="str">
            <v>Lương</v>
          </cell>
        </row>
        <row r="1731">
          <cell r="D1731" t="str">
            <v>Bùi Quý Phúc</v>
          </cell>
          <cell r="AF1731" t="str">
            <v>XE00077</v>
          </cell>
          <cell r="AH1731">
            <v>9.82</v>
          </cell>
          <cell r="AW1731" t="str">
            <v>Bùi Quý Phúc23</v>
          </cell>
          <cell r="AX1731" t="str">
            <v>Lương</v>
          </cell>
        </row>
        <row r="1732">
          <cell r="D1732" t="str">
            <v>Trần Hữu Nam 1972</v>
          </cell>
          <cell r="AF1732" t="str">
            <v>XE00033</v>
          </cell>
          <cell r="AH1732">
            <v>9.6199999999999992</v>
          </cell>
          <cell r="AW1732" t="str">
            <v>Trần Hữu Nam 197223</v>
          </cell>
          <cell r="AX1732" t="str">
            <v>Lương</v>
          </cell>
        </row>
        <row r="1733">
          <cell r="D1733" t="str">
            <v>Nguyễn Hải Nam</v>
          </cell>
          <cell r="AF1733" t="str">
            <v>XE01661</v>
          </cell>
          <cell r="AH1733">
            <v>9.42</v>
          </cell>
          <cell r="AW1733" t="str">
            <v>Nguyễn Hải Nam18</v>
          </cell>
          <cell r="AX1733" t="str">
            <v>Lương</v>
          </cell>
        </row>
        <row r="1734">
          <cell r="D1734" t="str">
            <v>Nguyễn Hải Nam</v>
          </cell>
          <cell r="AF1734" t="str">
            <v>XE01661</v>
          </cell>
          <cell r="AH1734">
            <v>9.42</v>
          </cell>
          <cell r="AW1734" t="str">
            <v>Nguyễn Hải Nam19</v>
          </cell>
          <cell r="AX1734" t="str">
            <v>Lương</v>
          </cell>
        </row>
        <row r="1735">
          <cell r="D1735" t="str">
            <v>Phạm Thanh Tùng</v>
          </cell>
          <cell r="AF1735" t="str">
            <v>XE01402</v>
          </cell>
          <cell r="AH1735">
            <v>9.42</v>
          </cell>
          <cell r="AW1735" t="str">
            <v>Phạm Thanh Tùng19</v>
          </cell>
          <cell r="AX1735" t="str">
            <v>Lương</v>
          </cell>
        </row>
        <row r="1736">
          <cell r="D1736" t="str">
            <v>Phạm Thanh Tùng</v>
          </cell>
          <cell r="AF1736" t="str">
            <v>XE01402</v>
          </cell>
          <cell r="AH1736">
            <v>9.42</v>
          </cell>
          <cell r="AW1736" t="str">
            <v>Phạm Thanh Tùng20</v>
          </cell>
          <cell r="AX1736" t="str">
            <v>Lương</v>
          </cell>
        </row>
        <row r="1737">
          <cell r="D1737" t="str">
            <v>Phạm Viết Thắng</v>
          </cell>
          <cell r="AF1737" t="str">
            <v>XE01596</v>
          </cell>
          <cell r="AH1737">
            <v>7.82</v>
          </cell>
          <cell r="AW1737" t="str">
            <v>Phạm Viết Thắng19</v>
          </cell>
          <cell r="AX1737" t="str">
            <v>Lương</v>
          </cell>
        </row>
        <row r="1738">
          <cell r="D1738" t="str">
            <v>Phạm Viết Thắng</v>
          </cell>
          <cell r="AF1738" t="str">
            <v>XE01596</v>
          </cell>
          <cell r="AH1738">
            <v>9.82</v>
          </cell>
          <cell r="AW1738" t="str">
            <v>Phạm Viết Thắng20</v>
          </cell>
          <cell r="AX1738" t="str">
            <v>Lương</v>
          </cell>
        </row>
        <row r="1739">
          <cell r="D1739" t="str">
            <v>Vũ Văn Tuyến</v>
          </cell>
          <cell r="AF1739" t="str">
            <v>XE01502</v>
          </cell>
          <cell r="AH1739">
            <v>9.82</v>
          </cell>
          <cell r="AW1739" t="str">
            <v>Vũ Văn Tuyến18</v>
          </cell>
          <cell r="AX1739" t="str">
            <v>Lương</v>
          </cell>
        </row>
        <row r="1740">
          <cell r="D1740" t="str">
            <v>Vũ Văn Tuyến</v>
          </cell>
          <cell r="AF1740" t="str">
            <v>XE01502</v>
          </cell>
          <cell r="AH1740">
            <v>9.82</v>
          </cell>
          <cell r="AW1740" t="str">
            <v>Vũ Văn Tuyến19</v>
          </cell>
          <cell r="AX1740" t="str">
            <v>Lương</v>
          </cell>
        </row>
        <row r="1741">
          <cell r="D1741" t="str">
            <v>Vũ Văn Tuyến</v>
          </cell>
          <cell r="AF1741" t="str">
            <v>XE01502</v>
          </cell>
          <cell r="AH1741">
            <v>9.42</v>
          </cell>
          <cell r="AW1741" t="str">
            <v>Vũ Văn Tuyến20</v>
          </cell>
          <cell r="AX1741" t="str">
            <v>Lương</v>
          </cell>
        </row>
        <row r="1742">
          <cell r="D1742" t="str">
            <v>Phạm Văn Đồng</v>
          </cell>
          <cell r="AF1742" t="str">
            <v>XE01479</v>
          </cell>
          <cell r="AH1742">
            <v>9.42</v>
          </cell>
          <cell r="AW1742" t="str">
            <v>Phạm Văn Đồng19</v>
          </cell>
          <cell r="AX1742" t="str">
            <v>Lương</v>
          </cell>
        </row>
        <row r="1743">
          <cell r="D1743" t="str">
            <v>Phạm Văn Đồng</v>
          </cell>
          <cell r="AF1743" t="str">
            <v>XE01479</v>
          </cell>
          <cell r="AH1743">
            <v>9.82</v>
          </cell>
          <cell r="AW1743" t="str">
            <v>Phạm Văn Đồng20</v>
          </cell>
          <cell r="AX1743" t="str">
            <v>Lương</v>
          </cell>
        </row>
        <row r="1744">
          <cell r="D1744" t="str">
            <v>Nguyễn Xuân Thắng</v>
          </cell>
          <cell r="AF1744" t="str">
            <v>XE00046</v>
          </cell>
          <cell r="AH1744">
            <v>9.42</v>
          </cell>
          <cell r="AW1744" t="str">
            <v>Nguyễn Xuân Thắng19</v>
          </cell>
          <cell r="AX1744" t="str">
            <v>Lương</v>
          </cell>
        </row>
        <row r="1745">
          <cell r="D1745" t="str">
            <v>Nguyễn Xuân Thắng</v>
          </cell>
          <cell r="AF1745" t="str">
            <v>XE00046</v>
          </cell>
          <cell r="AH1745">
            <v>9.42</v>
          </cell>
          <cell r="AW1745" t="str">
            <v>Nguyễn Xuân Thắng20</v>
          </cell>
          <cell r="AX1745" t="str">
            <v>Lương</v>
          </cell>
        </row>
        <row r="1746">
          <cell r="D1746" t="str">
            <v>Phạm Thế Anh</v>
          </cell>
          <cell r="AF1746" t="str">
            <v>XE00298</v>
          </cell>
          <cell r="AH1746">
            <v>9.82</v>
          </cell>
          <cell r="AW1746" t="str">
            <v>Phạm Thế Anh19</v>
          </cell>
          <cell r="AX1746" t="str">
            <v>Lương</v>
          </cell>
        </row>
        <row r="1747">
          <cell r="D1747" t="str">
            <v>Trần Nam</v>
          </cell>
          <cell r="AF1747" t="str">
            <v>XE00130</v>
          </cell>
          <cell r="AH1747">
            <v>9.02</v>
          </cell>
          <cell r="AW1747" t="str">
            <v>Trần Nam21</v>
          </cell>
          <cell r="AX1747" t="str">
            <v>Lương</v>
          </cell>
        </row>
        <row r="1748">
          <cell r="D1748" t="str">
            <v>Đặng Hồng Thuỷ</v>
          </cell>
          <cell r="AF1748" t="str">
            <v>XE01385</v>
          </cell>
          <cell r="AH1748">
            <v>8.2200000000000006</v>
          </cell>
          <cell r="AW1748" t="str">
            <v>Đặng Hồng Thuỷ19</v>
          </cell>
          <cell r="AX1748" t="str">
            <v>Lương</v>
          </cell>
        </row>
        <row r="1749">
          <cell r="D1749" t="str">
            <v>Trần Đức Toản</v>
          </cell>
          <cell r="AF1749" t="str">
            <v>XE01314</v>
          </cell>
          <cell r="AH1749">
            <v>9.82</v>
          </cell>
          <cell r="AW1749" t="str">
            <v>Trần Đức Toản20</v>
          </cell>
          <cell r="AX1749" t="str">
            <v>Lương</v>
          </cell>
        </row>
        <row r="1750">
          <cell r="D1750" t="str">
            <v>Phạm Quốc Hội</v>
          </cell>
          <cell r="AF1750" t="str">
            <v>XE01229</v>
          </cell>
          <cell r="AH1750">
            <v>9.02</v>
          </cell>
          <cell r="AW1750" t="str">
            <v>Phạm Quốc Hội21</v>
          </cell>
          <cell r="AX1750" t="str">
            <v>Lương</v>
          </cell>
        </row>
        <row r="1751">
          <cell r="D1751" t="str">
            <v>Cù Xuân Duy</v>
          </cell>
          <cell r="AF1751" t="str">
            <v>XE00887</v>
          </cell>
          <cell r="AH1751">
            <v>9.82</v>
          </cell>
          <cell r="AW1751" t="str">
            <v>Cù Xuân Duy22</v>
          </cell>
          <cell r="AX1751" t="str">
            <v>Lương</v>
          </cell>
        </row>
        <row r="1752">
          <cell r="D1752" t="str">
            <v>Vũ Việt Hùng</v>
          </cell>
          <cell r="AF1752" t="str">
            <v>XE00812</v>
          </cell>
          <cell r="AH1752">
            <v>9.42</v>
          </cell>
          <cell r="AW1752" t="str">
            <v>Vũ Việt Hùng20</v>
          </cell>
          <cell r="AX1752" t="str">
            <v>Lương</v>
          </cell>
        </row>
        <row r="1753">
          <cell r="D1753" t="str">
            <v>Nguyễn Đức Thanh</v>
          </cell>
          <cell r="AF1753" t="str">
            <v>XE00627</v>
          </cell>
          <cell r="AH1753">
            <v>9.02</v>
          </cell>
          <cell r="AW1753" t="str">
            <v>Nguyễn Đức Thanh22</v>
          </cell>
          <cell r="AX1753" t="str">
            <v>Lương</v>
          </cell>
        </row>
        <row r="1754">
          <cell r="D1754" t="str">
            <v>Nguyễn Ngọc Hưng</v>
          </cell>
          <cell r="AF1754" t="str">
            <v>XE00559</v>
          </cell>
          <cell r="AH1754">
            <v>9.82</v>
          </cell>
          <cell r="AW1754" t="str">
            <v>Nguyễn Ngọc Hưng22</v>
          </cell>
          <cell r="AX1754" t="str">
            <v>Lương</v>
          </cell>
        </row>
        <row r="1755">
          <cell r="D1755" t="str">
            <v>Trần Văn Hạnh</v>
          </cell>
          <cell r="AF1755" t="str">
            <v>XE00290</v>
          </cell>
          <cell r="AH1755">
            <v>9.42</v>
          </cell>
          <cell r="AW1755" t="str">
            <v>Trần Văn Hạnh21</v>
          </cell>
          <cell r="AX1755" t="str">
            <v>Lương</v>
          </cell>
        </row>
        <row r="1756">
          <cell r="D1756" t="str">
            <v>Dương Văn Thọ</v>
          </cell>
          <cell r="AF1756" t="str">
            <v>XE00282</v>
          </cell>
          <cell r="AH1756">
            <v>9.6199999999999992</v>
          </cell>
          <cell r="AW1756" t="str">
            <v>Dương Văn Thọ23</v>
          </cell>
          <cell r="AX1756" t="str">
            <v>Lương</v>
          </cell>
        </row>
        <row r="1757">
          <cell r="D1757" t="str">
            <v>Nguyễn Thành Đạt</v>
          </cell>
          <cell r="AF1757" t="str">
            <v>XE00256</v>
          </cell>
          <cell r="AH1757">
            <v>9.42</v>
          </cell>
          <cell r="AW1757" t="str">
            <v>Nguyễn Thành Đạt20</v>
          </cell>
          <cell r="AX1757" t="str">
            <v>Lương</v>
          </cell>
        </row>
        <row r="1758">
          <cell r="D1758" t="str">
            <v>Lê Văn Diện</v>
          </cell>
          <cell r="AF1758" t="str">
            <v>XE00098</v>
          </cell>
          <cell r="AH1758">
            <v>9.82</v>
          </cell>
          <cell r="AW1758" t="str">
            <v>Lê Văn Diện20</v>
          </cell>
          <cell r="AX1758" t="str">
            <v>Lương</v>
          </cell>
        </row>
        <row r="1759">
          <cell r="D1759" t="str">
            <v>Trịnh Xuân Đức</v>
          </cell>
          <cell r="AF1759" t="str">
            <v>XE00109</v>
          </cell>
          <cell r="AH1759">
            <v>9.82</v>
          </cell>
          <cell r="AW1759" t="str">
            <v>Trịnh Xuân Đức21</v>
          </cell>
          <cell r="AX1759" t="str">
            <v>Lương</v>
          </cell>
        </row>
        <row r="1760">
          <cell r="D1760" t="str">
            <v>Ngô Quốc Hùng</v>
          </cell>
          <cell r="AF1760" t="str">
            <v>XE00024</v>
          </cell>
          <cell r="AH1760">
            <v>8.44</v>
          </cell>
          <cell r="AW1760" t="str">
            <v>Ngô Quốc Hùng21</v>
          </cell>
          <cell r="AX1760" t="str">
            <v>Lương</v>
          </cell>
        </row>
        <row r="1761">
          <cell r="D1761" t="str">
            <v>Trần Thanh An</v>
          </cell>
          <cell r="AF1761" t="str">
            <v>XE00113</v>
          </cell>
          <cell r="AH1761">
            <v>9.6199999999999992</v>
          </cell>
          <cell r="AW1761" t="str">
            <v>Trần Thanh An20</v>
          </cell>
          <cell r="AX1761" t="str">
            <v>Lương</v>
          </cell>
        </row>
        <row r="1762">
          <cell r="D1762" t="str">
            <v>Trần Thanh An</v>
          </cell>
          <cell r="AF1762" t="str">
            <v>XE00113</v>
          </cell>
          <cell r="AH1762">
            <v>9.82</v>
          </cell>
          <cell r="AW1762" t="str">
            <v>Trần Thanh An21</v>
          </cell>
          <cell r="AX1762" t="str">
            <v>Lương</v>
          </cell>
        </row>
        <row r="1763">
          <cell r="D1763" t="str">
            <v>Nguyễn Văn Thế</v>
          </cell>
          <cell r="AF1763" t="str">
            <v>XE00600</v>
          </cell>
          <cell r="AH1763">
            <v>9.82</v>
          </cell>
          <cell r="AW1763" t="str">
            <v>Nguyễn Văn Thế22</v>
          </cell>
          <cell r="AX1763" t="str">
            <v>Lương</v>
          </cell>
        </row>
        <row r="1764">
          <cell r="D1764" t="str">
            <v>Trần Đình Vượng</v>
          </cell>
          <cell r="AF1764" t="str">
            <v>XE01155</v>
          </cell>
          <cell r="AH1764">
            <v>9.42</v>
          </cell>
          <cell r="AW1764" t="str">
            <v>Trần Đình Vượng21</v>
          </cell>
          <cell r="AX1764" t="str">
            <v>Lương</v>
          </cell>
        </row>
        <row r="1765">
          <cell r="D1765" t="str">
            <v>Trần Đình Vượng</v>
          </cell>
          <cell r="AF1765" t="str">
            <v>XE01155</v>
          </cell>
          <cell r="AH1765">
            <v>9.32</v>
          </cell>
          <cell r="AW1765" t="str">
            <v>Trần Đình Vượng22</v>
          </cell>
          <cell r="AX1765" t="str">
            <v>Lương</v>
          </cell>
        </row>
        <row r="1766">
          <cell r="D1766" t="str">
            <v>Nguyễn Ngọc Trường</v>
          </cell>
          <cell r="AF1766" t="str">
            <v>XE00240</v>
          </cell>
          <cell r="AH1766">
            <v>7.82</v>
          </cell>
          <cell r="AW1766" t="str">
            <v>Nguyễn Ngọc Trường21</v>
          </cell>
          <cell r="AX1766" t="str">
            <v>Lương</v>
          </cell>
        </row>
        <row r="1767">
          <cell r="D1767" t="str">
            <v>Lê Hữu Bích</v>
          </cell>
          <cell r="AF1767" t="str">
            <v>XE00050</v>
          </cell>
          <cell r="AH1767">
            <v>9.82</v>
          </cell>
          <cell r="AW1767" t="str">
            <v>Lê Hữu Bích20</v>
          </cell>
          <cell r="AX1767" t="str">
            <v>Lương</v>
          </cell>
        </row>
        <row r="1768">
          <cell r="D1768" t="str">
            <v>Lê Trọng Giáp</v>
          </cell>
          <cell r="AF1768" t="str">
            <v>XE00020</v>
          </cell>
          <cell r="AH1768">
            <v>8.84</v>
          </cell>
          <cell r="AW1768" t="str">
            <v>Lê Trọng Giáp21</v>
          </cell>
          <cell r="AX1768" t="str">
            <v>Lương</v>
          </cell>
        </row>
        <row r="1769">
          <cell r="D1769" t="str">
            <v>Phan Đăng Quang</v>
          </cell>
          <cell r="AF1769" t="str">
            <v>XE00195</v>
          </cell>
          <cell r="AH1769">
            <v>9.42</v>
          </cell>
          <cell r="AW1769" t="str">
            <v>Phan Đăng Quang20</v>
          </cell>
          <cell r="AX1769" t="str">
            <v>Lương</v>
          </cell>
        </row>
        <row r="1770">
          <cell r="D1770" t="str">
            <v>Phan Đăng Quang</v>
          </cell>
          <cell r="AF1770" t="str">
            <v>XE00195</v>
          </cell>
          <cell r="AH1770">
            <v>9.42</v>
          </cell>
          <cell r="AW1770" t="str">
            <v>Phan Đăng Quang21</v>
          </cell>
          <cell r="AX1770" t="str">
            <v>Lương</v>
          </cell>
        </row>
        <row r="1771">
          <cell r="D1771" t="str">
            <v>Nguyễn Việt Trung</v>
          </cell>
          <cell r="AF1771" t="str">
            <v>XE00137</v>
          </cell>
          <cell r="AH1771">
            <v>9.82</v>
          </cell>
          <cell r="AW1771" t="str">
            <v>Nguyễn Việt Trung20</v>
          </cell>
          <cell r="AX1771" t="str">
            <v>Lương</v>
          </cell>
        </row>
        <row r="1772">
          <cell r="D1772" t="str">
            <v>Trịnh Xuân Đức</v>
          </cell>
          <cell r="AF1772" t="str">
            <v>XE00109</v>
          </cell>
          <cell r="AH1772">
            <v>9.82</v>
          </cell>
          <cell r="AW1772" t="str">
            <v>Trịnh Xuân Đức22</v>
          </cell>
          <cell r="AX1772" t="str">
            <v>Lương</v>
          </cell>
        </row>
        <row r="1773">
          <cell r="D1773" t="str">
            <v>Lê Văn Diện</v>
          </cell>
          <cell r="AF1773" t="str">
            <v>XE00098</v>
          </cell>
          <cell r="AH1773">
            <v>9.42</v>
          </cell>
          <cell r="AW1773" t="str">
            <v>Lê Văn Diện21</v>
          </cell>
          <cell r="AX1773" t="str">
            <v>Lương</v>
          </cell>
        </row>
        <row r="1774">
          <cell r="D1774" t="str">
            <v>Nguyễn Thành Đạt</v>
          </cell>
          <cell r="AF1774" t="str">
            <v>XE00256</v>
          </cell>
          <cell r="AH1774">
            <v>9.82</v>
          </cell>
          <cell r="AW1774" t="str">
            <v>Nguyễn Thành Đạt21</v>
          </cell>
          <cell r="AX1774" t="str">
            <v>Lương</v>
          </cell>
        </row>
        <row r="1775">
          <cell r="D1775" t="str">
            <v>Dương Văn Thọ</v>
          </cell>
          <cell r="AF1775" t="str">
            <v>XE00282</v>
          </cell>
          <cell r="AH1775">
            <v>9.24</v>
          </cell>
          <cell r="AW1775" t="str">
            <v>Dương Văn Thọ24</v>
          </cell>
          <cell r="AX1775" t="str">
            <v>Lương</v>
          </cell>
        </row>
        <row r="1776">
          <cell r="D1776" t="str">
            <v>Trần Văn Hạnh</v>
          </cell>
          <cell r="AF1776" t="str">
            <v>XE00290</v>
          </cell>
          <cell r="AH1776">
            <v>9.82</v>
          </cell>
          <cell r="AW1776" t="str">
            <v>Trần Văn Hạnh22</v>
          </cell>
          <cell r="AX1776" t="str">
            <v>Lương</v>
          </cell>
        </row>
        <row r="1777">
          <cell r="D1777" t="str">
            <v>Nguyễn Ngọc Hưng</v>
          </cell>
          <cell r="AF1777" t="str">
            <v>XE00559</v>
          </cell>
          <cell r="AH1777">
            <v>9.42</v>
          </cell>
          <cell r="AW1777" t="str">
            <v>Nguyễn Ngọc Hưng23</v>
          </cell>
          <cell r="AX1777" t="str">
            <v>Lương</v>
          </cell>
        </row>
        <row r="1778">
          <cell r="D1778" t="str">
            <v>Nguyễn Đức Thanh</v>
          </cell>
          <cell r="AF1778" t="str">
            <v>XE00627</v>
          </cell>
          <cell r="AH1778">
            <v>9.42</v>
          </cell>
          <cell r="AW1778" t="str">
            <v>Nguyễn Đức Thanh23</v>
          </cell>
          <cell r="AX1778" t="str">
            <v>Lương</v>
          </cell>
        </row>
        <row r="1779">
          <cell r="D1779" t="str">
            <v>Vũ Việt Hùng</v>
          </cell>
          <cell r="AF1779" t="str">
            <v>XE00812</v>
          </cell>
          <cell r="AH1779">
            <v>9.82</v>
          </cell>
          <cell r="AW1779" t="str">
            <v>Vũ Việt Hùng21</v>
          </cell>
          <cell r="AX1779" t="str">
            <v>Lương</v>
          </cell>
        </row>
        <row r="1780">
          <cell r="D1780" t="str">
            <v>Cù Xuân Duy</v>
          </cell>
          <cell r="AF1780" t="str">
            <v>XE00887</v>
          </cell>
          <cell r="AH1780">
            <v>9.82</v>
          </cell>
          <cell r="AW1780" t="str">
            <v>Cù Xuân Duy23</v>
          </cell>
          <cell r="AX1780" t="str">
            <v>Lương</v>
          </cell>
        </row>
        <row r="1781">
          <cell r="D1781" t="str">
            <v>Trần Đức Toản</v>
          </cell>
          <cell r="AF1781" t="str">
            <v>XE01314</v>
          </cell>
          <cell r="AH1781">
            <v>9.82</v>
          </cell>
          <cell r="AW1781" t="str">
            <v>Trần Đức Toản21</v>
          </cell>
          <cell r="AX1781" t="str">
            <v>Lương</v>
          </cell>
        </row>
        <row r="1782">
          <cell r="D1782" t="str">
            <v>Đặng Hồng Thuỷ</v>
          </cell>
          <cell r="AF1782" t="str">
            <v>XE01385</v>
          </cell>
          <cell r="AH1782">
            <v>8.84</v>
          </cell>
          <cell r="AW1782" t="str">
            <v>Đặng Hồng Thuỷ20</v>
          </cell>
          <cell r="AX1782" t="str">
            <v>Lương</v>
          </cell>
        </row>
        <row r="1783">
          <cell r="D1783" t="str">
            <v>Trần Nam</v>
          </cell>
          <cell r="AF1783" t="str">
            <v>XE00130</v>
          </cell>
          <cell r="AH1783">
            <v>7.24</v>
          </cell>
          <cell r="AW1783" t="str">
            <v>Trần Nam22</v>
          </cell>
          <cell r="AX1783" t="str">
            <v>Lương</v>
          </cell>
        </row>
        <row r="1784">
          <cell r="D1784" t="str">
            <v>Phạm Thế Anh</v>
          </cell>
          <cell r="AF1784" t="str">
            <v>XE00298</v>
          </cell>
          <cell r="AH1784">
            <v>9.42</v>
          </cell>
          <cell r="AW1784" t="str">
            <v>Phạm Thế Anh20</v>
          </cell>
          <cell r="AX1784" t="str">
            <v>Lương</v>
          </cell>
        </row>
        <row r="1785">
          <cell r="D1785" t="str">
            <v>Phạm Văn Đồng</v>
          </cell>
          <cell r="AF1785" t="str">
            <v>XE01479</v>
          </cell>
          <cell r="AH1785">
            <v>9.42</v>
          </cell>
          <cell r="AW1785" t="str">
            <v>Phạm Văn Đồng21</v>
          </cell>
          <cell r="AX1785" t="str">
            <v>Lương</v>
          </cell>
        </row>
        <row r="1786">
          <cell r="D1786" t="str">
            <v>Phạm Thanh Tùng</v>
          </cell>
          <cell r="AF1786" t="str">
            <v>XE01402</v>
          </cell>
          <cell r="AH1786">
            <v>9.42</v>
          </cell>
          <cell r="AW1786" t="str">
            <v>Phạm Thanh Tùng21</v>
          </cell>
          <cell r="AX1786" t="str">
            <v>Lương</v>
          </cell>
        </row>
        <row r="1787">
          <cell r="D1787" t="str">
            <v>Nguyễn Hải Nam</v>
          </cell>
          <cell r="AF1787" t="str">
            <v>XE01661</v>
          </cell>
          <cell r="AH1787">
            <v>8.44</v>
          </cell>
          <cell r="AW1787" t="str">
            <v>Nguyễn Hải Nam20</v>
          </cell>
          <cell r="AX1787" t="str">
            <v>Lương</v>
          </cell>
        </row>
        <row r="1788">
          <cell r="D1788" t="str">
            <v>Nguyễn Hải Nam</v>
          </cell>
          <cell r="AF1788" t="str">
            <v>XE01661</v>
          </cell>
          <cell r="AH1788">
            <v>9.82</v>
          </cell>
          <cell r="AW1788" t="str">
            <v>Nguyễn Hải Nam21</v>
          </cell>
          <cell r="AX1788" t="str">
            <v>Lương</v>
          </cell>
        </row>
        <row r="1789">
          <cell r="D1789" t="str">
            <v>Phạm Văn Tình</v>
          </cell>
          <cell r="AF1789" t="str">
            <v>XE01177</v>
          </cell>
          <cell r="AH1789">
            <v>9.6199999999999992</v>
          </cell>
          <cell r="AW1789" t="str">
            <v>Phạm Văn Tình20</v>
          </cell>
          <cell r="AX1789" t="str">
            <v>Lương</v>
          </cell>
        </row>
        <row r="1790">
          <cell r="D1790" t="str">
            <v>Phạm Văn Tình</v>
          </cell>
          <cell r="AF1790" t="str">
            <v>XE01177</v>
          </cell>
          <cell r="AH1790">
            <v>9.82</v>
          </cell>
          <cell r="AW1790" t="str">
            <v>Phạm Văn Tình21</v>
          </cell>
          <cell r="AX1790" t="str">
            <v>Lương</v>
          </cell>
        </row>
        <row r="1791">
          <cell r="D1791" t="str">
            <v>Phạm Văn Tình</v>
          </cell>
          <cell r="AF1791" t="str">
            <v>XE01177</v>
          </cell>
          <cell r="AH1791">
            <v>9.82</v>
          </cell>
          <cell r="AW1791" t="str">
            <v>Phạm Văn Tình22</v>
          </cell>
          <cell r="AX1791" t="str">
            <v>Lương</v>
          </cell>
        </row>
        <row r="1792">
          <cell r="D1792" t="str">
            <v>Hoàng Mạnh Tú</v>
          </cell>
          <cell r="AF1792" t="str">
            <v>XE00406</v>
          </cell>
          <cell r="AH1792">
            <v>9.42</v>
          </cell>
          <cell r="AW1792" t="str">
            <v>Hoàng Mạnh Tú22</v>
          </cell>
          <cell r="AX1792" t="str">
            <v>Lương</v>
          </cell>
        </row>
        <row r="1793">
          <cell r="D1793" t="str">
            <v>Hoàng Mạnh Tú</v>
          </cell>
          <cell r="AF1793" t="str">
            <v>XE00406</v>
          </cell>
          <cell r="AH1793">
            <v>9.82</v>
          </cell>
          <cell r="AW1793" t="str">
            <v>Hoàng Mạnh Tú23</v>
          </cell>
          <cell r="AX1793" t="str">
            <v>Lương</v>
          </cell>
        </row>
        <row r="1794">
          <cell r="D1794" t="str">
            <v>Phạm Văn Tuân</v>
          </cell>
          <cell r="AF1794" t="str">
            <v>XE01711</v>
          </cell>
          <cell r="AH1794">
            <v>9.6199999999999992</v>
          </cell>
          <cell r="AW1794" t="str">
            <v>Phạm Văn Tuân21</v>
          </cell>
          <cell r="AX1794" t="str">
            <v>Lương</v>
          </cell>
        </row>
        <row r="1795">
          <cell r="D1795" t="str">
            <v>Phạm Văn Tuân</v>
          </cell>
          <cell r="AF1795" t="str">
            <v>XE01711</v>
          </cell>
          <cell r="AH1795">
            <v>9.82</v>
          </cell>
          <cell r="AW1795" t="str">
            <v>Phạm Văn Tuân22</v>
          </cell>
          <cell r="AX1795" t="str">
            <v>Lương</v>
          </cell>
        </row>
        <row r="1796">
          <cell r="D1796" t="str">
            <v>Trần Hữu Nam 1972</v>
          </cell>
          <cell r="AF1796" t="str">
            <v>XE00033</v>
          </cell>
          <cell r="AH1796">
            <v>8.84</v>
          </cell>
          <cell r="AW1796" t="str">
            <v>Trần Hữu Nam 197224</v>
          </cell>
          <cell r="AX1796" t="str">
            <v>Lương</v>
          </cell>
        </row>
        <row r="1797">
          <cell r="D1797" t="str">
            <v>Bùi Quý Phúc</v>
          </cell>
          <cell r="AF1797" t="str">
            <v>XE00077</v>
          </cell>
          <cell r="AH1797">
            <v>9.82</v>
          </cell>
          <cell r="AW1797" t="str">
            <v>Bùi Quý Phúc24</v>
          </cell>
          <cell r="AX1797" t="str">
            <v>Lương</v>
          </cell>
        </row>
        <row r="1798">
          <cell r="D1798" t="str">
            <v>Bùi Quý Phúc</v>
          </cell>
          <cell r="AF1798" t="str">
            <v>XE00077</v>
          </cell>
          <cell r="AH1798">
            <v>9.42</v>
          </cell>
          <cell r="AW1798" t="str">
            <v>Bùi Quý Phúc25</v>
          </cell>
          <cell r="AX1798" t="str">
            <v>Lương</v>
          </cell>
        </row>
        <row r="1799">
          <cell r="D1799" t="str">
            <v>Vũ Ngọc Tâm</v>
          </cell>
          <cell r="AF1799" t="str">
            <v>XE01744</v>
          </cell>
          <cell r="AH1799">
            <v>9.82</v>
          </cell>
          <cell r="AW1799" t="str">
            <v>Vũ Ngọc Tâm1</v>
          </cell>
          <cell r="AX1799" t="str">
            <v>Lương</v>
          </cell>
        </row>
        <row r="1800">
          <cell r="D1800" t="str">
            <v>Lã Văn Dương</v>
          </cell>
          <cell r="AF1800" t="str">
            <v>XE01746</v>
          </cell>
          <cell r="AH1800">
            <v>9.42</v>
          </cell>
          <cell r="AW1800" t="str">
            <v>Lã Văn Dương1</v>
          </cell>
          <cell r="AX1800" t="str">
            <v>Lương</v>
          </cell>
        </row>
        <row r="1801">
          <cell r="D1801" t="str">
            <v>Lã Văn Chinh</v>
          </cell>
          <cell r="AF1801" t="str">
            <v>XE01743</v>
          </cell>
          <cell r="AH1801">
            <v>9.82</v>
          </cell>
          <cell r="AW1801" t="str">
            <v>Lã Văn Chinh1</v>
          </cell>
          <cell r="AX1801" t="str">
            <v>Lương</v>
          </cell>
        </row>
        <row r="1802">
          <cell r="D1802" t="str">
            <v>Trần Hữu Nam 1972</v>
          </cell>
          <cell r="AF1802" t="str">
            <v>XE00033</v>
          </cell>
          <cell r="AH1802">
            <v>9.42</v>
          </cell>
          <cell r="AW1802" t="str">
            <v>Trần Hữu Nam 197225</v>
          </cell>
          <cell r="AX1802" t="str">
            <v>Lương</v>
          </cell>
        </row>
        <row r="1803">
          <cell r="D1803" t="str">
            <v>Nguyễn Ngọc Trường</v>
          </cell>
          <cell r="AF1803" t="str">
            <v>XE00240</v>
          </cell>
          <cell r="AH1803">
            <v>9.82</v>
          </cell>
          <cell r="AW1803" t="str">
            <v>Nguyễn Ngọc Trường22</v>
          </cell>
          <cell r="AX1803" t="str">
            <v>Lương</v>
          </cell>
        </row>
        <row r="1804">
          <cell r="D1804" t="str">
            <v>Nguyễn Ngọc Trường</v>
          </cell>
          <cell r="AF1804" t="str">
            <v>XE00240</v>
          </cell>
          <cell r="AH1804">
            <v>9.24</v>
          </cell>
          <cell r="AW1804" t="str">
            <v>Nguyễn Ngọc Trường23</v>
          </cell>
          <cell r="AX1804" t="str">
            <v>Lương</v>
          </cell>
        </row>
        <row r="1805">
          <cell r="D1805" t="str">
            <v>Nguyễn Ngọc Trường</v>
          </cell>
          <cell r="AF1805" t="str">
            <v>XE00240</v>
          </cell>
          <cell r="AH1805">
            <v>9.82</v>
          </cell>
          <cell r="AW1805" t="str">
            <v>Nguyễn Ngọc Trường24</v>
          </cell>
          <cell r="AX1805" t="str">
            <v>Lương</v>
          </cell>
        </row>
        <row r="1806">
          <cell r="D1806" t="str">
            <v>Nguyễn Ngọc Trường</v>
          </cell>
          <cell r="AF1806" t="str">
            <v>XE00240</v>
          </cell>
          <cell r="AH1806">
            <v>9.42</v>
          </cell>
          <cell r="AW1806" t="str">
            <v>Nguyễn Ngọc Trường25</v>
          </cell>
          <cell r="AX1806" t="str">
            <v>Lương</v>
          </cell>
        </row>
        <row r="1807">
          <cell r="D1807" t="str">
            <v>Trần Thanh An</v>
          </cell>
          <cell r="AF1807" t="str">
            <v>XE00113</v>
          </cell>
          <cell r="AH1807">
            <v>9.82</v>
          </cell>
          <cell r="AW1807" t="str">
            <v>Trần Thanh An22</v>
          </cell>
          <cell r="AX1807" t="str">
            <v>Lương</v>
          </cell>
        </row>
        <row r="1808">
          <cell r="D1808" t="str">
            <v>Trần Đình Vượng</v>
          </cell>
          <cell r="AF1808" t="str">
            <v>XE01155</v>
          </cell>
          <cell r="AH1808">
            <v>9.82</v>
          </cell>
          <cell r="AW1808" t="str">
            <v>Trần Đình Vượng23</v>
          </cell>
          <cell r="AX1808" t="str">
            <v>Lương</v>
          </cell>
        </row>
        <row r="1809">
          <cell r="D1809" t="str">
            <v>Tống Văn Nam</v>
          </cell>
          <cell r="AF1809" t="str">
            <v>XE00019</v>
          </cell>
          <cell r="AH1809">
            <v>9.42</v>
          </cell>
          <cell r="AW1809" t="str">
            <v>Tống Văn Nam20</v>
          </cell>
          <cell r="AX1809" t="str">
            <v>Lương</v>
          </cell>
        </row>
        <row r="1810">
          <cell r="D1810" t="str">
            <v>Tống Văn Nam</v>
          </cell>
          <cell r="AF1810" t="str">
            <v>XE00019</v>
          </cell>
          <cell r="AH1810">
            <v>8.84</v>
          </cell>
          <cell r="AW1810" t="str">
            <v>Tống Văn Nam21</v>
          </cell>
          <cell r="AX1810" t="str">
            <v>Lương</v>
          </cell>
        </row>
        <row r="1811">
          <cell r="D1811" t="str">
            <v>Lê Hữu Bích</v>
          </cell>
          <cell r="AF1811" t="str">
            <v>XE00050</v>
          </cell>
          <cell r="AH1811">
            <v>8.24</v>
          </cell>
          <cell r="AW1811" t="str">
            <v>Lê Hữu Bích21</v>
          </cell>
          <cell r="AX1811" t="str">
            <v>Lương</v>
          </cell>
        </row>
        <row r="1812">
          <cell r="D1812" t="str">
            <v>Lê Hữu Bích</v>
          </cell>
          <cell r="AF1812" t="str">
            <v>XE00050</v>
          </cell>
          <cell r="AH1812">
            <v>9.02</v>
          </cell>
          <cell r="AW1812" t="str">
            <v>Lê Hữu Bích22</v>
          </cell>
          <cell r="AX1812" t="str">
            <v>Lương</v>
          </cell>
        </row>
        <row r="1813">
          <cell r="D1813" t="str">
            <v>Lê Trọng Giáp</v>
          </cell>
          <cell r="AF1813" t="str">
            <v>XE00020</v>
          </cell>
          <cell r="AH1813">
            <v>9.42</v>
          </cell>
          <cell r="AW1813" t="str">
            <v>Lê Trọng Giáp22</v>
          </cell>
          <cell r="AX1813" t="str">
            <v>Lương</v>
          </cell>
        </row>
        <row r="1814">
          <cell r="D1814" t="str">
            <v>Phan Đăng Quang</v>
          </cell>
          <cell r="AF1814" t="str">
            <v>XE00195</v>
          </cell>
          <cell r="AH1814">
            <v>9.42</v>
          </cell>
          <cell r="AW1814" t="str">
            <v>Phan Đăng Quang22</v>
          </cell>
          <cell r="AX1814" t="str">
            <v>Lương</v>
          </cell>
        </row>
        <row r="1815">
          <cell r="D1815" t="str">
            <v>Phan Đăng Quang</v>
          </cell>
          <cell r="AF1815" t="str">
            <v>XE00195</v>
          </cell>
          <cell r="AH1815">
            <v>9.82</v>
          </cell>
          <cell r="AW1815" t="str">
            <v>Phan Đăng Quang23</v>
          </cell>
          <cell r="AX1815" t="str">
            <v>Lương</v>
          </cell>
        </row>
        <row r="1816">
          <cell r="D1816" t="str">
            <v>Nguyễn Việt Trung</v>
          </cell>
          <cell r="AF1816" t="str">
            <v>XE00137</v>
          </cell>
          <cell r="AH1816">
            <v>9.42</v>
          </cell>
          <cell r="AW1816" t="str">
            <v>Nguyễn Việt Trung21</v>
          </cell>
          <cell r="AX1816" t="str">
            <v>Lương</v>
          </cell>
        </row>
        <row r="1817">
          <cell r="D1817" t="str">
            <v>Trịnh Xuân Đức</v>
          </cell>
          <cell r="AF1817" t="str">
            <v>XE00109</v>
          </cell>
          <cell r="AH1817">
            <v>9.82</v>
          </cell>
          <cell r="AW1817" t="str">
            <v>Trịnh Xuân Đức23</v>
          </cell>
          <cell r="AX1817" t="str">
            <v>Lương</v>
          </cell>
        </row>
        <row r="1818">
          <cell r="D1818" t="str">
            <v>Lê Văn Diện</v>
          </cell>
          <cell r="AF1818" t="str">
            <v>XE00098</v>
          </cell>
          <cell r="AH1818">
            <v>9.82</v>
          </cell>
          <cell r="AW1818" t="str">
            <v>Lê Văn Diện22</v>
          </cell>
          <cell r="AX1818" t="str">
            <v>Lương</v>
          </cell>
        </row>
        <row r="1819">
          <cell r="D1819" t="str">
            <v>Nguyễn Thành Đạt</v>
          </cell>
          <cell r="AF1819" t="str">
            <v>XE00256</v>
          </cell>
          <cell r="AH1819">
            <v>9.42</v>
          </cell>
          <cell r="AW1819" t="str">
            <v>Nguyễn Thành Đạt22</v>
          </cell>
          <cell r="AX1819" t="str">
            <v>Lương</v>
          </cell>
        </row>
        <row r="1820">
          <cell r="D1820" t="str">
            <v>Dương Văn Thọ</v>
          </cell>
          <cell r="AF1820" t="str">
            <v>XE00282</v>
          </cell>
          <cell r="AH1820">
            <v>10</v>
          </cell>
          <cell r="AW1820" t="str">
            <v>Dương Văn Thọ25</v>
          </cell>
          <cell r="AX1820" t="str">
            <v>Lương</v>
          </cell>
        </row>
        <row r="1821">
          <cell r="D1821" t="str">
            <v>Trần Văn Hạnh</v>
          </cell>
          <cell r="AF1821" t="str">
            <v>XE00290</v>
          </cell>
          <cell r="AH1821">
            <v>9.82</v>
          </cell>
          <cell r="AW1821" t="str">
            <v>Trần Văn Hạnh23</v>
          </cell>
          <cell r="AX1821" t="str">
            <v>Lương</v>
          </cell>
        </row>
        <row r="1822">
          <cell r="D1822" t="str">
            <v>Trần Văn Hạnh</v>
          </cell>
          <cell r="AF1822" t="str">
            <v>XE00290</v>
          </cell>
          <cell r="AH1822">
            <v>9.82</v>
          </cell>
          <cell r="AW1822" t="str">
            <v>Trần Văn Hạnh24</v>
          </cell>
          <cell r="AX1822" t="str">
            <v>Lương</v>
          </cell>
        </row>
        <row r="1823">
          <cell r="D1823" t="str">
            <v>Vũ Việt Hùng</v>
          </cell>
          <cell r="AF1823" t="str">
            <v>XE00812</v>
          </cell>
          <cell r="AH1823">
            <v>9.42</v>
          </cell>
          <cell r="AW1823" t="str">
            <v>Vũ Việt Hùng22</v>
          </cell>
          <cell r="AX1823" t="str">
            <v>Lương</v>
          </cell>
        </row>
        <row r="1824">
          <cell r="D1824" t="str">
            <v>Vũ Việt Hùng</v>
          </cell>
          <cell r="AF1824" t="str">
            <v>XE00812</v>
          </cell>
          <cell r="AH1824">
            <v>9.82</v>
          </cell>
          <cell r="AW1824" t="str">
            <v>Vũ Việt Hùng23</v>
          </cell>
          <cell r="AX1824" t="str">
            <v>Lương</v>
          </cell>
        </row>
        <row r="1825">
          <cell r="D1825" t="str">
            <v>Cù Xuân Duy</v>
          </cell>
          <cell r="AF1825" t="str">
            <v>XE00887</v>
          </cell>
          <cell r="AH1825">
            <v>9.2199999999999989</v>
          </cell>
          <cell r="AW1825" t="str">
            <v>Cù Xuân Duy24</v>
          </cell>
          <cell r="AX1825" t="str">
            <v>Lương</v>
          </cell>
        </row>
        <row r="1826">
          <cell r="D1826" t="str">
            <v>Cù Xuân Duy</v>
          </cell>
          <cell r="AF1826" t="str">
            <v>XE00887</v>
          </cell>
          <cell r="AH1826">
            <v>9.6199999999999992</v>
          </cell>
          <cell r="AW1826" t="str">
            <v>Cù Xuân Duy25</v>
          </cell>
          <cell r="AX1826" t="str">
            <v>Lương</v>
          </cell>
        </row>
        <row r="1827">
          <cell r="D1827" t="str">
            <v>Phạm Quốc Hội</v>
          </cell>
          <cell r="AF1827" t="str">
            <v>XE01229</v>
          </cell>
          <cell r="AH1827">
            <v>7.82</v>
          </cell>
          <cell r="AW1827" t="str">
            <v>Phạm Quốc Hội22</v>
          </cell>
          <cell r="AX1827" t="str">
            <v>Lương</v>
          </cell>
        </row>
        <row r="1828">
          <cell r="D1828" t="str">
            <v>Phạm Quốc Hội</v>
          </cell>
          <cell r="AF1828" t="str">
            <v>XE01229</v>
          </cell>
          <cell r="AH1828">
            <v>9.82</v>
          </cell>
          <cell r="AW1828" t="str">
            <v>Phạm Quốc Hội23</v>
          </cell>
          <cell r="AX1828" t="str">
            <v>Lương</v>
          </cell>
        </row>
        <row r="1829">
          <cell r="D1829" t="str">
            <v>Đặng Hồng Thuỷ</v>
          </cell>
          <cell r="AF1829" t="str">
            <v>XE01385</v>
          </cell>
          <cell r="AH1829">
            <v>9.82</v>
          </cell>
          <cell r="AW1829" t="str">
            <v>Đặng Hồng Thuỷ21</v>
          </cell>
          <cell r="AX1829" t="str">
            <v>Lương</v>
          </cell>
        </row>
        <row r="1830">
          <cell r="D1830" t="str">
            <v>Đặng Hồng Thuỷ</v>
          </cell>
          <cell r="AF1830" t="str">
            <v>XE01385</v>
          </cell>
          <cell r="AH1830">
            <v>9.82</v>
          </cell>
          <cell r="AW1830" t="str">
            <v>Đặng Hồng Thuỷ22</v>
          </cell>
          <cell r="AX1830" t="str">
            <v>Lương</v>
          </cell>
        </row>
        <row r="1831">
          <cell r="D1831" t="str">
            <v>Trần Nam</v>
          </cell>
          <cell r="AF1831" t="str">
            <v>XE00130</v>
          </cell>
          <cell r="AH1831">
            <v>9.02</v>
          </cell>
          <cell r="AW1831" t="str">
            <v>Trần Nam23</v>
          </cell>
          <cell r="AX1831" t="str">
            <v>Lương</v>
          </cell>
        </row>
        <row r="1832">
          <cell r="D1832" t="str">
            <v>Phạm Thế Anh</v>
          </cell>
          <cell r="AF1832" t="str">
            <v>XE00298</v>
          </cell>
          <cell r="AH1832">
            <v>9.82</v>
          </cell>
          <cell r="AW1832" t="str">
            <v>Phạm Thế Anh21</v>
          </cell>
          <cell r="AX1832" t="str">
            <v>Lương</v>
          </cell>
        </row>
        <row r="1833">
          <cell r="D1833" t="str">
            <v>Phạm Thế Anh</v>
          </cell>
          <cell r="AF1833" t="str">
            <v>XE00298</v>
          </cell>
          <cell r="AH1833">
            <v>9.82</v>
          </cell>
          <cell r="AW1833" t="str">
            <v>Phạm Thế Anh22</v>
          </cell>
          <cell r="AX1833" t="str">
            <v>Lương</v>
          </cell>
        </row>
        <row r="1834">
          <cell r="D1834" t="str">
            <v>Nguyễn Xuân Thắng</v>
          </cell>
          <cell r="AF1834" t="str">
            <v>XE00046</v>
          </cell>
          <cell r="AH1834">
            <v>9.82</v>
          </cell>
          <cell r="AW1834" t="str">
            <v>Nguyễn Xuân Thắng21</v>
          </cell>
          <cell r="AX1834" t="str">
            <v>Lương</v>
          </cell>
        </row>
        <row r="1835">
          <cell r="D1835" t="str">
            <v>Nguyễn Xuân Thắng</v>
          </cell>
          <cell r="AF1835" t="str">
            <v>XE00046</v>
          </cell>
          <cell r="AH1835">
            <v>9.42</v>
          </cell>
          <cell r="AW1835" t="str">
            <v>Nguyễn Xuân Thắng22</v>
          </cell>
          <cell r="AX1835" t="str">
            <v>Lương</v>
          </cell>
        </row>
        <row r="1836">
          <cell r="D1836" t="str">
            <v>Nguyễn Thanh Sơn</v>
          </cell>
          <cell r="AF1836" t="str">
            <v>XE01468</v>
          </cell>
          <cell r="AH1836">
            <v>9.82</v>
          </cell>
          <cell r="AW1836" t="str">
            <v>Nguyễn Thanh Sơn19</v>
          </cell>
          <cell r="AX1836" t="str">
            <v>Lương</v>
          </cell>
        </row>
        <row r="1837">
          <cell r="D1837" t="str">
            <v>Nguyễn Thanh Sơn</v>
          </cell>
          <cell r="AF1837" t="str">
            <v>XE01468</v>
          </cell>
          <cell r="AH1837">
            <v>8.620000000000001</v>
          </cell>
          <cell r="AW1837" t="str">
            <v>Nguyễn Thanh Sơn20</v>
          </cell>
          <cell r="AX1837" t="str">
            <v>Lương</v>
          </cell>
        </row>
        <row r="1838">
          <cell r="D1838" t="str">
            <v>Nguyễn Thanh Sơn</v>
          </cell>
          <cell r="AF1838" t="str">
            <v>XE01468</v>
          </cell>
          <cell r="AH1838">
            <v>9.24</v>
          </cell>
          <cell r="AW1838" t="str">
            <v>Nguyễn Thanh Sơn21</v>
          </cell>
          <cell r="AX1838" t="str">
            <v>Lương</v>
          </cell>
        </row>
        <row r="1839">
          <cell r="D1839" t="str">
            <v>Vũ Văn Chín</v>
          </cell>
          <cell r="AF1839" t="str">
            <v>XE01703</v>
          </cell>
          <cell r="AH1839">
            <v>9.42</v>
          </cell>
          <cell r="AW1839" t="str">
            <v>Vũ Văn Chín20</v>
          </cell>
          <cell r="AX1839" t="str">
            <v>Lương</v>
          </cell>
        </row>
        <row r="1840">
          <cell r="D1840" t="str">
            <v>Vũ Văn Chín</v>
          </cell>
          <cell r="AF1840" t="str">
            <v>XE01703</v>
          </cell>
          <cell r="AH1840">
            <v>9.82</v>
          </cell>
          <cell r="AW1840" t="str">
            <v>Vũ Văn Chín21</v>
          </cell>
          <cell r="AX1840" t="str">
            <v>Lương</v>
          </cell>
        </row>
        <row r="1841">
          <cell r="D1841" t="str">
            <v>Ngô Quốc Hùng</v>
          </cell>
          <cell r="AF1841" t="str">
            <v>XE00024</v>
          </cell>
          <cell r="AH1841">
            <v>9.02</v>
          </cell>
          <cell r="AW1841" t="str">
            <v>Ngô Quốc Hùng22</v>
          </cell>
          <cell r="AX1841" t="str">
            <v>Lương</v>
          </cell>
        </row>
        <row r="1842">
          <cell r="D1842" t="str">
            <v>Ngô Quốc Hùng</v>
          </cell>
          <cell r="AF1842" t="str">
            <v>XE00024</v>
          </cell>
          <cell r="AH1842">
            <v>9.82</v>
          </cell>
          <cell r="AW1842" t="str">
            <v>Ngô Quốc Hùng23</v>
          </cell>
          <cell r="AX1842" t="str">
            <v>Lương</v>
          </cell>
        </row>
        <row r="1843">
          <cell r="D1843" t="str">
            <v>Trần Thanh An</v>
          </cell>
          <cell r="AF1843" t="str">
            <v>XE00113</v>
          </cell>
          <cell r="AH1843">
            <v>9.64</v>
          </cell>
          <cell r="AW1843" t="str">
            <v>Trần Thanh An23</v>
          </cell>
          <cell r="AX1843" t="str">
            <v>Lương</v>
          </cell>
        </row>
        <row r="1844">
          <cell r="D1844" t="str">
            <v>Nguyễn Văn Thế</v>
          </cell>
          <cell r="AF1844" t="str">
            <v>XE00600</v>
          </cell>
          <cell r="AH1844">
            <v>9.42</v>
          </cell>
          <cell r="AW1844" t="str">
            <v>Nguyễn Văn Thế23</v>
          </cell>
          <cell r="AX1844" t="str">
            <v>Lương</v>
          </cell>
        </row>
        <row r="1845">
          <cell r="D1845" t="str">
            <v>Trần Đình Vượng</v>
          </cell>
          <cell r="AF1845" t="str">
            <v>XE01155</v>
          </cell>
          <cell r="AH1845">
            <v>9.02</v>
          </cell>
          <cell r="AW1845" t="str">
            <v>Trần Đình Vượng24</v>
          </cell>
          <cell r="AX1845" t="str">
            <v>Lương</v>
          </cell>
        </row>
        <row r="1846">
          <cell r="D1846" t="str">
            <v>Đặng Ngọc Toàn</v>
          </cell>
          <cell r="AF1846" t="str">
            <v>XE00138</v>
          </cell>
          <cell r="AH1846">
            <v>9.0399999999999991</v>
          </cell>
          <cell r="AW1846" t="str">
            <v>Đặng Ngọc Toàn20</v>
          </cell>
          <cell r="AX1846" t="str">
            <v>Lương</v>
          </cell>
        </row>
        <row r="1847">
          <cell r="D1847" t="str">
            <v>Đặng Ngọc Toàn</v>
          </cell>
          <cell r="AF1847" t="str">
            <v>XE00138</v>
          </cell>
          <cell r="AH1847">
            <v>9.82</v>
          </cell>
          <cell r="AW1847" t="str">
            <v>Đặng Ngọc Toàn21</v>
          </cell>
          <cell r="AX1847" t="str">
            <v>Lương</v>
          </cell>
        </row>
        <row r="1848">
          <cell r="D1848" t="str">
            <v>Đặng Ngọc Toàn</v>
          </cell>
          <cell r="AF1848" t="str">
            <v>XE00138</v>
          </cell>
          <cell r="AH1848">
            <v>9.42</v>
          </cell>
          <cell r="AW1848" t="str">
            <v>Đặng Ngọc Toàn22</v>
          </cell>
          <cell r="AX1848" t="str">
            <v>Lương</v>
          </cell>
        </row>
        <row r="1849">
          <cell r="D1849" t="str">
            <v>Tống Văn Nam</v>
          </cell>
          <cell r="AF1849" t="str">
            <v>XE00019</v>
          </cell>
          <cell r="AH1849">
            <v>9.82</v>
          </cell>
          <cell r="AW1849" t="str">
            <v>Tống Văn Nam22</v>
          </cell>
          <cell r="AX1849" t="str">
            <v>Lương</v>
          </cell>
        </row>
        <row r="1850">
          <cell r="D1850" t="str">
            <v>Tống Văn Nam</v>
          </cell>
          <cell r="AF1850" t="str">
            <v>XE00019</v>
          </cell>
          <cell r="AH1850">
            <v>9.82</v>
          </cell>
          <cell r="AW1850" t="str">
            <v>Tống Văn Nam23</v>
          </cell>
          <cell r="AX1850" t="str">
            <v>Lương</v>
          </cell>
        </row>
        <row r="1851">
          <cell r="D1851" t="str">
            <v>Tống Văn Nam</v>
          </cell>
          <cell r="AF1851" t="str">
            <v>XE00019</v>
          </cell>
          <cell r="AH1851">
            <v>9.42</v>
          </cell>
          <cell r="AW1851" t="str">
            <v>Tống Văn Nam24</v>
          </cell>
          <cell r="AX1851" t="str">
            <v>Lương</v>
          </cell>
        </row>
        <row r="1852">
          <cell r="D1852" t="str">
            <v>Lê Hữu Bích</v>
          </cell>
          <cell r="AF1852" t="str">
            <v>XE00050</v>
          </cell>
          <cell r="AH1852">
            <v>9.42</v>
          </cell>
          <cell r="AW1852" t="str">
            <v>Lê Hữu Bích23</v>
          </cell>
          <cell r="AX1852" t="str">
            <v>Lương</v>
          </cell>
        </row>
        <row r="1853">
          <cell r="D1853" t="str">
            <v>Lê Trọng Giáp</v>
          </cell>
          <cell r="AF1853" t="str">
            <v>XE00020</v>
          </cell>
          <cell r="AH1853">
            <v>9.82</v>
          </cell>
          <cell r="AW1853" t="str">
            <v>Lê Trọng Giáp23</v>
          </cell>
          <cell r="AX1853" t="str">
            <v>Lương</v>
          </cell>
        </row>
        <row r="1854">
          <cell r="D1854" t="str">
            <v>Lê Trọng Giáp</v>
          </cell>
          <cell r="AF1854" t="str">
            <v>XE00020</v>
          </cell>
          <cell r="AH1854">
            <v>9.82</v>
          </cell>
          <cell r="AW1854" t="str">
            <v>Lê Trọng Giáp24</v>
          </cell>
          <cell r="AX1854" t="str">
            <v>Lương</v>
          </cell>
        </row>
        <row r="1855">
          <cell r="D1855" t="str">
            <v>Phan Đăng Quang</v>
          </cell>
          <cell r="AF1855" t="str">
            <v>XE00195</v>
          </cell>
          <cell r="AH1855">
            <v>9.42</v>
          </cell>
          <cell r="AW1855" t="str">
            <v>Phan Đăng Quang24</v>
          </cell>
          <cell r="AX1855" t="str">
            <v>Lương</v>
          </cell>
        </row>
        <row r="1856">
          <cell r="D1856" t="str">
            <v>Phan Đăng Quang</v>
          </cell>
          <cell r="AF1856" t="str">
            <v>XE00195</v>
          </cell>
          <cell r="AH1856">
            <v>9.42</v>
          </cell>
          <cell r="AW1856" t="str">
            <v>Phan Đăng Quang25</v>
          </cell>
          <cell r="AX1856" t="str">
            <v>Lương</v>
          </cell>
        </row>
        <row r="1857">
          <cell r="D1857" t="str">
            <v>Nguyễn Việt Trung</v>
          </cell>
          <cell r="AF1857" t="str">
            <v>XE00137</v>
          </cell>
          <cell r="AH1857">
            <v>8.84</v>
          </cell>
          <cell r="AW1857" t="str">
            <v>Nguyễn Việt Trung22</v>
          </cell>
          <cell r="AX1857" t="str">
            <v>Lương</v>
          </cell>
        </row>
        <row r="1858">
          <cell r="D1858" t="str">
            <v>Nguyễn Việt Trung</v>
          </cell>
          <cell r="AF1858" t="str">
            <v>XE00137</v>
          </cell>
          <cell r="AH1858">
            <v>8.0399999999999991</v>
          </cell>
          <cell r="AW1858" t="str">
            <v>Nguyễn Việt Trung23</v>
          </cell>
          <cell r="AX1858" t="str">
            <v>Lương</v>
          </cell>
        </row>
        <row r="1859">
          <cell r="D1859" t="str">
            <v>Trịnh Xuân Đức</v>
          </cell>
          <cell r="AF1859" t="str">
            <v>XE00109</v>
          </cell>
          <cell r="AH1859">
            <v>9.82</v>
          </cell>
          <cell r="AW1859" t="str">
            <v>Trịnh Xuân Đức24</v>
          </cell>
          <cell r="AX1859" t="str">
            <v>Lương</v>
          </cell>
        </row>
        <row r="1860">
          <cell r="D1860" t="str">
            <v>Trịnh Xuân Đức</v>
          </cell>
          <cell r="AF1860" t="str">
            <v>XE00109</v>
          </cell>
          <cell r="AH1860">
            <v>9.82</v>
          </cell>
          <cell r="AW1860" t="str">
            <v>Trịnh Xuân Đức25</v>
          </cell>
          <cell r="AX1860" t="str">
            <v>Lương</v>
          </cell>
        </row>
        <row r="1861">
          <cell r="D1861" t="str">
            <v>Lê Văn Diện</v>
          </cell>
          <cell r="AF1861" t="str">
            <v>XE00098</v>
          </cell>
          <cell r="AH1861">
            <v>9.82</v>
          </cell>
          <cell r="AW1861" t="str">
            <v>Lê Văn Diện23</v>
          </cell>
          <cell r="AX1861" t="str">
            <v>Lương</v>
          </cell>
        </row>
        <row r="1862">
          <cell r="D1862" t="str">
            <v>Nguyễn Thành Đạt</v>
          </cell>
          <cell r="AF1862" t="str">
            <v>XE00256</v>
          </cell>
          <cell r="AH1862">
            <v>9.42</v>
          </cell>
          <cell r="AW1862" t="str">
            <v>Nguyễn Thành Đạt23</v>
          </cell>
          <cell r="AX1862" t="str">
            <v>Lương</v>
          </cell>
        </row>
        <row r="1863">
          <cell r="D1863" t="str">
            <v>Trần Văn Hạnh</v>
          </cell>
          <cell r="AF1863" t="str">
            <v>XE00290</v>
          </cell>
          <cell r="AH1863">
            <v>9.02</v>
          </cell>
          <cell r="AW1863" t="str">
            <v>Trần Văn Hạnh25</v>
          </cell>
          <cell r="AX1863" t="str">
            <v>Lương</v>
          </cell>
        </row>
        <row r="1864">
          <cell r="D1864" t="str">
            <v>Nguyễn Ngọc Hưng</v>
          </cell>
          <cell r="AF1864" t="str">
            <v>XE00559</v>
          </cell>
          <cell r="AH1864">
            <v>8.620000000000001</v>
          </cell>
          <cell r="AW1864" t="str">
            <v>Nguyễn Ngọc Hưng24</v>
          </cell>
          <cell r="AX1864" t="str">
            <v>Lương</v>
          </cell>
        </row>
        <row r="1865">
          <cell r="D1865" t="str">
            <v>Ngô Quốc Hùng</v>
          </cell>
          <cell r="AF1865" t="str">
            <v>XE00024</v>
          </cell>
          <cell r="AH1865">
            <v>9.42</v>
          </cell>
          <cell r="AW1865" t="str">
            <v>Ngô Quốc Hùng24</v>
          </cell>
          <cell r="AX1865" t="str">
            <v>Lương</v>
          </cell>
        </row>
        <row r="1866">
          <cell r="D1866" t="str">
            <v>Ngô Quốc Hùng</v>
          </cell>
          <cell r="AF1866" t="str">
            <v>XE00024</v>
          </cell>
          <cell r="AH1866">
            <v>9.82</v>
          </cell>
          <cell r="AW1866" t="str">
            <v>Ngô Quốc Hùng25</v>
          </cell>
          <cell r="AX1866" t="str">
            <v>Lương</v>
          </cell>
        </row>
        <row r="1867">
          <cell r="D1867" t="str">
            <v>Trần Thanh An</v>
          </cell>
          <cell r="AF1867" t="str">
            <v>XE00113</v>
          </cell>
          <cell r="AH1867">
            <v>9.42</v>
          </cell>
          <cell r="AW1867" t="str">
            <v>Trần Thanh An24</v>
          </cell>
          <cell r="AX1867" t="str">
            <v>Lương</v>
          </cell>
        </row>
        <row r="1868">
          <cell r="D1868" t="str">
            <v>Trần Thanh An</v>
          </cell>
          <cell r="AF1868" t="str">
            <v>XE00113</v>
          </cell>
          <cell r="AH1868">
            <v>9.42</v>
          </cell>
          <cell r="AW1868" t="str">
            <v>Trần Thanh An25</v>
          </cell>
          <cell r="AX1868" t="str">
            <v>Lương</v>
          </cell>
        </row>
        <row r="1869">
          <cell r="D1869" t="str">
            <v>Nguyễn Văn Thế</v>
          </cell>
          <cell r="AF1869" t="str">
            <v>XE00600</v>
          </cell>
          <cell r="AH1869">
            <v>9.64</v>
          </cell>
          <cell r="AW1869" t="str">
            <v>Nguyễn Văn Thế24</v>
          </cell>
          <cell r="AX1869" t="str">
            <v>Lương</v>
          </cell>
        </row>
        <row r="1870">
          <cell r="D1870" t="str">
            <v>Nguyễn Văn Thế</v>
          </cell>
          <cell r="AF1870" t="str">
            <v>XE00600</v>
          </cell>
          <cell r="AH1870">
            <v>9.42</v>
          </cell>
          <cell r="AW1870" t="str">
            <v>Nguyễn Văn Thế25</v>
          </cell>
          <cell r="AX1870" t="str">
            <v>Lương</v>
          </cell>
        </row>
        <row r="1871">
          <cell r="D1871" t="str">
            <v>Trần Đình Vượng</v>
          </cell>
          <cell r="AF1871" t="str">
            <v>XE01155</v>
          </cell>
          <cell r="AH1871">
            <v>9.82</v>
          </cell>
          <cell r="AW1871" t="str">
            <v>Trần Đình Vượng25</v>
          </cell>
          <cell r="AX1871" t="str">
            <v>Lương</v>
          </cell>
        </row>
        <row r="1872">
          <cell r="D1872" t="str">
            <v>Đặng Ngọc Toàn</v>
          </cell>
          <cell r="AF1872" t="str">
            <v>XE00138</v>
          </cell>
          <cell r="AH1872">
            <v>9.42</v>
          </cell>
          <cell r="AW1872" t="str">
            <v>Đặng Ngọc Toàn23</v>
          </cell>
          <cell r="AX1872" t="str">
            <v>Lương</v>
          </cell>
        </row>
        <row r="1873">
          <cell r="D1873" t="str">
            <v>Đặng Ngọc Toàn</v>
          </cell>
          <cell r="AF1873" t="str">
            <v>XE00138</v>
          </cell>
          <cell r="AH1873">
            <v>9.02</v>
          </cell>
          <cell r="AW1873" t="str">
            <v>Đặng Ngọc Toàn24</v>
          </cell>
          <cell r="AX1873" t="str">
            <v>Lương</v>
          </cell>
        </row>
        <row r="1874">
          <cell r="D1874" t="str">
            <v>Đặng Ngọc Toàn</v>
          </cell>
          <cell r="AF1874" t="str">
            <v>XE00138</v>
          </cell>
          <cell r="AH1874">
            <v>9.02</v>
          </cell>
          <cell r="AW1874" t="str">
            <v>Đặng Ngọc Toàn25</v>
          </cell>
          <cell r="AX1874" t="str">
            <v>Lương</v>
          </cell>
        </row>
        <row r="1875">
          <cell r="D1875" t="str">
            <v>Tống Văn Nam</v>
          </cell>
          <cell r="AF1875" t="str">
            <v>XE00019</v>
          </cell>
          <cell r="AH1875">
            <v>9.82</v>
          </cell>
          <cell r="AW1875" t="str">
            <v>Tống Văn Nam25</v>
          </cell>
          <cell r="AX1875" t="str">
            <v>Lương</v>
          </cell>
        </row>
        <row r="1876">
          <cell r="D1876" t="str">
            <v>Lê Hữu Bích</v>
          </cell>
          <cell r="AF1876" t="str">
            <v>XE00050</v>
          </cell>
          <cell r="AH1876">
            <v>9.42</v>
          </cell>
          <cell r="AW1876" t="str">
            <v>Lê Hữu Bích24</v>
          </cell>
          <cell r="AX1876" t="str">
            <v>Lương</v>
          </cell>
        </row>
        <row r="1877">
          <cell r="D1877" t="str">
            <v>Lê Hữu Bích</v>
          </cell>
          <cell r="AF1877" t="str">
            <v>XE00050</v>
          </cell>
          <cell r="AH1877">
            <v>9.2199999999999989</v>
          </cell>
          <cell r="AW1877" t="str">
            <v>Lê Hữu Bích25</v>
          </cell>
          <cell r="AX1877" t="str">
            <v>Lương</v>
          </cell>
        </row>
        <row r="1878">
          <cell r="D1878" t="str">
            <v>Lê Trọng Giáp</v>
          </cell>
          <cell r="AF1878" t="str">
            <v>XE00020</v>
          </cell>
          <cell r="AH1878">
            <v>9.42</v>
          </cell>
          <cell r="AW1878" t="str">
            <v>Lê Trọng Giáp25</v>
          </cell>
          <cell r="AX1878" t="str">
            <v>Lương</v>
          </cell>
        </row>
        <row r="1879">
          <cell r="D1879" t="str">
            <v>Nguyễn Việt Trung</v>
          </cell>
          <cell r="AF1879" t="str">
            <v>XE00137</v>
          </cell>
          <cell r="AH1879">
            <v>9.02</v>
          </cell>
          <cell r="AW1879" t="str">
            <v>Nguyễn Việt Trung24</v>
          </cell>
          <cell r="AX1879" t="str">
            <v>Lương</v>
          </cell>
        </row>
        <row r="1880">
          <cell r="D1880" t="str">
            <v>Nguyễn Việt Trung</v>
          </cell>
          <cell r="AF1880" t="str">
            <v>XE00137</v>
          </cell>
          <cell r="AH1880">
            <v>9.42</v>
          </cell>
          <cell r="AW1880" t="str">
            <v>Nguyễn Việt Trung25</v>
          </cell>
          <cell r="AX1880" t="str">
            <v>Lương</v>
          </cell>
        </row>
        <row r="1881">
          <cell r="D1881" t="str">
            <v>Nguyễn Thành Đạt</v>
          </cell>
          <cell r="AF1881" t="str">
            <v>XE00256</v>
          </cell>
          <cell r="AH1881">
            <v>9.82</v>
          </cell>
          <cell r="AW1881" t="str">
            <v>Nguyễn Thành Đạt24</v>
          </cell>
          <cell r="AX1881" t="str">
            <v>Lương</v>
          </cell>
        </row>
        <row r="1882">
          <cell r="D1882" t="str">
            <v>Nguyễn Thành Đạt</v>
          </cell>
          <cell r="AF1882" t="str">
            <v>XE00256</v>
          </cell>
          <cell r="AH1882">
            <v>9.82</v>
          </cell>
          <cell r="AW1882" t="str">
            <v>Nguyễn Thành Đạt25</v>
          </cell>
          <cell r="AX1882" t="str">
            <v>Lương</v>
          </cell>
        </row>
        <row r="1883">
          <cell r="D1883" t="str">
            <v>Nguyễn Ngọc Hưng</v>
          </cell>
          <cell r="AF1883" t="str">
            <v>XE00559</v>
          </cell>
          <cell r="AH1883">
            <v>9.42</v>
          </cell>
          <cell r="AW1883" t="str">
            <v>Nguyễn Ngọc Hưng25</v>
          </cell>
          <cell r="AX1883" t="str">
            <v>Lương</v>
          </cell>
        </row>
        <row r="1884">
          <cell r="D1884" t="str">
            <v>Nguyễn Đức Thanh</v>
          </cell>
          <cell r="AF1884" t="str">
            <v>XE00627</v>
          </cell>
          <cell r="AH1884">
            <v>9.02</v>
          </cell>
          <cell r="AW1884" t="str">
            <v>Nguyễn Đức Thanh24</v>
          </cell>
          <cell r="AX1884" t="str">
            <v>Lương</v>
          </cell>
        </row>
        <row r="1885">
          <cell r="D1885" t="str">
            <v>Nguyễn Đức Thanh</v>
          </cell>
          <cell r="AF1885" t="str">
            <v>XE00627</v>
          </cell>
          <cell r="AH1885">
            <v>9.82</v>
          </cell>
          <cell r="AW1885" t="str">
            <v>Nguyễn Đức Thanh25</v>
          </cell>
          <cell r="AX1885" t="str">
            <v>Lương</v>
          </cell>
        </row>
        <row r="1886">
          <cell r="D1886" t="str">
            <v>Vũ Việt Hùng</v>
          </cell>
          <cell r="AF1886" t="str">
            <v>XE00812</v>
          </cell>
          <cell r="AH1886">
            <v>9.6199999999999992</v>
          </cell>
          <cell r="AW1886" t="str">
            <v>Vũ Việt Hùng24</v>
          </cell>
          <cell r="AX1886" t="str">
            <v>Lương</v>
          </cell>
        </row>
        <row r="1887">
          <cell r="D1887" t="str">
            <v>Vũ Việt Hùng</v>
          </cell>
          <cell r="AF1887" t="str">
            <v>XE00812</v>
          </cell>
          <cell r="AH1887">
            <v>9.82</v>
          </cell>
          <cell r="AW1887" t="str">
            <v>Vũ Việt Hùng25</v>
          </cell>
          <cell r="AX1887" t="str">
            <v>Lương</v>
          </cell>
        </row>
        <row r="1888">
          <cell r="D1888" t="str">
            <v>Cù Xuân Duy</v>
          </cell>
          <cell r="AF1888" t="str">
            <v>XE00887</v>
          </cell>
          <cell r="AH1888">
            <v>9.82</v>
          </cell>
          <cell r="AW1888" t="str">
            <v>Cù Xuân Duy26</v>
          </cell>
          <cell r="AX1888" t="str">
            <v>Lương</v>
          </cell>
        </row>
        <row r="1889">
          <cell r="D1889" t="str">
            <v>Phạm Quốc Hội</v>
          </cell>
          <cell r="AF1889" t="str">
            <v>XE01229</v>
          </cell>
          <cell r="AH1889">
            <v>9.02</v>
          </cell>
          <cell r="AW1889" t="str">
            <v>Phạm Quốc Hội24</v>
          </cell>
          <cell r="AX1889" t="str">
            <v>Lương</v>
          </cell>
        </row>
        <row r="1890">
          <cell r="D1890" t="str">
            <v>Phạm Quốc Hội</v>
          </cell>
          <cell r="AF1890" t="str">
            <v>XE01229</v>
          </cell>
          <cell r="AH1890">
            <v>9.82</v>
          </cell>
          <cell r="AW1890" t="str">
            <v>Phạm Quốc Hội25</v>
          </cell>
          <cell r="AX1890" t="str">
            <v>Lương</v>
          </cell>
        </row>
        <row r="1891">
          <cell r="D1891" t="str">
            <v>Trần Đức Toản</v>
          </cell>
          <cell r="AF1891" t="str">
            <v>XE01314</v>
          </cell>
          <cell r="AH1891">
            <v>9.82</v>
          </cell>
          <cell r="AW1891" t="str">
            <v>Trần Đức Toản22</v>
          </cell>
          <cell r="AX1891" t="str">
            <v>Lương</v>
          </cell>
        </row>
        <row r="1892">
          <cell r="D1892" t="str">
            <v>Trần Đức Toản</v>
          </cell>
          <cell r="AF1892" t="str">
            <v>XE01314</v>
          </cell>
          <cell r="AH1892">
            <v>9.24</v>
          </cell>
          <cell r="AW1892" t="str">
            <v>Trần Đức Toản23</v>
          </cell>
          <cell r="AX1892" t="str">
            <v>Lương</v>
          </cell>
        </row>
        <row r="1893">
          <cell r="D1893" t="str">
            <v>Trần Đức Toản</v>
          </cell>
          <cell r="AF1893" t="str">
            <v>XE01314</v>
          </cell>
          <cell r="AH1893">
            <v>9.42</v>
          </cell>
          <cell r="AW1893" t="str">
            <v>Trần Đức Toản24</v>
          </cell>
          <cell r="AX1893" t="str">
            <v>Lương</v>
          </cell>
        </row>
        <row r="1894">
          <cell r="D1894" t="str">
            <v>Đặng Hồng Thuỷ</v>
          </cell>
          <cell r="AF1894" t="str">
            <v>XE01385</v>
          </cell>
          <cell r="AH1894">
            <v>9.82</v>
          </cell>
          <cell r="AW1894" t="str">
            <v>Đặng Hồng Thuỷ23</v>
          </cell>
          <cell r="AX1894" t="str">
            <v>Lương</v>
          </cell>
        </row>
        <row r="1895">
          <cell r="D1895" t="str">
            <v>Đặng Hồng Thuỷ</v>
          </cell>
          <cell r="AF1895" t="str">
            <v>XE01385</v>
          </cell>
          <cell r="AH1895">
            <v>9.42</v>
          </cell>
          <cell r="AW1895" t="str">
            <v>Đặng Hồng Thuỷ24</v>
          </cell>
          <cell r="AX1895" t="str">
            <v>Lương</v>
          </cell>
        </row>
        <row r="1896">
          <cell r="D1896" t="str">
            <v>Phạm Thế Anh</v>
          </cell>
          <cell r="AF1896" t="str">
            <v>XE00298</v>
          </cell>
          <cell r="AH1896">
            <v>9.82</v>
          </cell>
          <cell r="AW1896" t="str">
            <v>Phạm Thế Anh23</v>
          </cell>
          <cell r="AX1896" t="str">
            <v>Lương</v>
          </cell>
        </row>
        <row r="1897">
          <cell r="D1897" t="str">
            <v>Phạm Thế Anh</v>
          </cell>
          <cell r="AF1897" t="str">
            <v>XE00298</v>
          </cell>
          <cell r="AH1897">
            <v>9.6199999999999992</v>
          </cell>
          <cell r="AW1897" t="str">
            <v>Phạm Thế Anh24</v>
          </cell>
          <cell r="AX1897" t="str">
            <v>Lương</v>
          </cell>
        </row>
        <row r="1898">
          <cell r="D1898" t="str">
            <v>Nguyễn Xuân Thắng</v>
          </cell>
          <cell r="AF1898" t="str">
            <v>XE00046</v>
          </cell>
          <cell r="AH1898">
            <v>8.84</v>
          </cell>
          <cell r="AW1898" t="str">
            <v>Nguyễn Xuân Thắng23</v>
          </cell>
          <cell r="AX1898" t="str">
            <v>Lương</v>
          </cell>
        </row>
        <row r="1899">
          <cell r="D1899" t="str">
            <v>Nguyễn Xuân Thắng</v>
          </cell>
          <cell r="AF1899" t="str">
            <v>XE00046</v>
          </cell>
          <cell r="AH1899">
            <v>8.84</v>
          </cell>
          <cell r="AW1899" t="str">
            <v>Nguyễn Xuân Thắng24</v>
          </cell>
          <cell r="AX1899" t="str">
            <v>Lương</v>
          </cell>
        </row>
        <row r="1900">
          <cell r="D1900" t="str">
            <v>Nguyễn Thanh Sơn</v>
          </cell>
          <cell r="AF1900" t="str">
            <v>XE01468</v>
          </cell>
          <cell r="AH1900">
            <v>9.42</v>
          </cell>
          <cell r="AW1900" t="str">
            <v>Nguyễn Thanh Sơn22</v>
          </cell>
          <cell r="AX1900" t="str">
            <v>Lương</v>
          </cell>
        </row>
        <row r="1901">
          <cell r="D1901" t="str">
            <v>Nguyễn Thanh Sơn</v>
          </cell>
          <cell r="AF1901" t="str">
            <v>XE01468</v>
          </cell>
          <cell r="AH1901">
            <v>9.42</v>
          </cell>
          <cell r="AW1901" t="str">
            <v>Nguyễn Thanh Sơn23</v>
          </cell>
          <cell r="AX1901" t="str">
            <v>Lương</v>
          </cell>
        </row>
        <row r="1902">
          <cell r="D1902" t="str">
            <v>Phạm Văn Đồng</v>
          </cell>
          <cell r="AF1902" t="str">
            <v>XE01479</v>
          </cell>
          <cell r="AH1902">
            <v>9.82</v>
          </cell>
          <cell r="AW1902" t="str">
            <v>Phạm Văn Đồng22</v>
          </cell>
          <cell r="AX1902" t="str">
            <v>Lương</v>
          </cell>
        </row>
        <row r="1903">
          <cell r="D1903" t="str">
            <v>Phạm Văn Đồng</v>
          </cell>
          <cell r="AF1903" t="str">
            <v>XE01479</v>
          </cell>
          <cell r="AH1903">
            <v>9.42</v>
          </cell>
          <cell r="AW1903" t="str">
            <v>Phạm Văn Đồng23</v>
          </cell>
          <cell r="AX1903" t="str">
            <v>Lương</v>
          </cell>
        </row>
        <row r="1904">
          <cell r="D1904" t="str">
            <v>Vũ Văn Tuyến</v>
          </cell>
          <cell r="AF1904" t="str">
            <v>XE01502</v>
          </cell>
          <cell r="AH1904">
            <v>9.82</v>
          </cell>
          <cell r="AW1904" t="str">
            <v>Vũ Văn Tuyến21</v>
          </cell>
          <cell r="AX1904" t="str">
            <v>Lương</v>
          </cell>
        </row>
        <row r="1905">
          <cell r="D1905" t="str">
            <v>Vũ Văn Tuyến</v>
          </cell>
          <cell r="AF1905" t="str">
            <v>XE01502</v>
          </cell>
          <cell r="AH1905">
            <v>9.82</v>
          </cell>
          <cell r="AW1905" t="str">
            <v>Vũ Văn Tuyến22</v>
          </cell>
          <cell r="AX1905" t="str">
            <v>Lương</v>
          </cell>
        </row>
        <row r="1906">
          <cell r="D1906" t="str">
            <v>Lê Văn Diện</v>
          </cell>
          <cell r="AF1906" t="str">
            <v>XE00098</v>
          </cell>
          <cell r="AH1906">
            <v>9.42</v>
          </cell>
          <cell r="AW1906" t="str">
            <v>Lê Văn Diện24</v>
          </cell>
          <cell r="AX1906" t="str">
            <v>Lương</v>
          </cell>
        </row>
        <row r="1907">
          <cell r="D1907" t="str">
            <v>Lê Văn Diện</v>
          </cell>
          <cell r="AF1907" t="str">
            <v>XE00098</v>
          </cell>
          <cell r="AH1907">
            <v>9.42</v>
          </cell>
          <cell r="AW1907" t="str">
            <v>Lê Văn Diện25</v>
          </cell>
          <cell r="AX1907" t="str">
            <v>Lương</v>
          </cell>
        </row>
        <row r="1908">
          <cell r="D1908" t="str">
            <v>Trần Đức Toản</v>
          </cell>
          <cell r="AF1908" t="str">
            <v>XE01314</v>
          </cell>
          <cell r="AH1908">
            <v>9.82</v>
          </cell>
          <cell r="AW1908" t="str">
            <v>Trần Đức Toản25</v>
          </cell>
          <cell r="AX1908" t="str">
            <v>Lương</v>
          </cell>
        </row>
        <row r="1909">
          <cell r="D1909" t="str">
            <v>Đặng Hồng Thuỷ</v>
          </cell>
          <cell r="AF1909" t="str">
            <v>XE01385</v>
          </cell>
          <cell r="AH1909">
            <v>9.82</v>
          </cell>
          <cell r="AW1909" t="str">
            <v>Đặng Hồng Thuỷ25</v>
          </cell>
          <cell r="AX1909" t="str">
            <v>Lương</v>
          </cell>
        </row>
        <row r="1910">
          <cell r="D1910" t="str">
            <v>Trần Nam</v>
          </cell>
          <cell r="AF1910" t="str">
            <v>XE00130</v>
          </cell>
          <cell r="AH1910">
            <v>9.42</v>
          </cell>
          <cell r="AW1910" t="str">
            <v>Trần Nam24</v>
          </cell>
          <cell r="AX1910" t="str">
            <v>Lương</v>
          </cell>
        </row>
        <row r="1911">
          <cell r="D1911" t="str">
            <v>Trần Nam</v>
          </cell>
          <cell r="AF1911" t="str">
            <v>XE00130</v>
          </cell>
          <cell r="AH1911">
            <v>9.82</v>
          </cell>
          <cell r="AW1911" t="str">
            <v>Trần Nam25</v>
          </cell>
          <cell r="AX1911" t="str">
            <v>Lương</v>
          </cell>
        </row>
        <row r="1912">
          <cell r="D1912" t="str">
            <v>Phạm Thế Anh</v>
          </cell>
          <cell r="AF1912" t="str">
            <v>XE00298</v>
          </cell>
          <cell r="AH1912">
            <v>9.82</v>
          </cell>
          <cell r="AW1912" t="str">
            <v>Phạm Thế Anh25</v>
          </cell>
          <cell r="AX1912" t="str">
            <v>Lương</v>
          </cell>
        </row>
        <row r="1913">
          <cell r="D1913" t="str">
            <v>Nguyễn Xuân Thắng</v>
          </cell>
          <cell r="AF1913" t="str">
            <v>XE00046</v>
          </cell>
          <cell r="AH1913">
            <v>8.84</v>
          </cell>
          <cell r="AW1913" t="str">
            <v>Nguyễn Xuân Thắng25</v>
          </cell>
          <cell r="AX1913" t="str">
            <v>Lương</v>
          </cell>
        </row>
        <row r="1914">
          <cell r="D1914" t="str">
            <v>Nguyễn Thanh Sơn</v>
          </cell>
          <cell r="AF1914" t="str">
            <v>XE01468</v>
          </cell>
          <cell r="AH1914">
            <v>9.42</v>
          </cell>
          <cell r="AW1914" t="str">
            <v>Nguyễn Thanh Sơn24</v>
          </cell>
          <cell r="AX1914" t="str">
            <v>Lương</v>
          </cell>
        </row>
        <row r="1915">
          <cell r="D1915" t="str">
            <v>Nguyễn Thanh Sơn</v>
          </cell>
          <cell r="AF1915" t="str">
            <v>XE01468</v>
          </cell>
          <cell r="AH1915">
            <v>9.42</v>
          </cell>
          <cell r="AW1915" t="str">
            <v>Nguyễn Thanh Sơn25</v>
          </cell>
          <cell r="AX1915" t="str">
            <v>Lương</v>
          </cell>
        </row>
        <row r="1916">
          <cell r="D1916" t="str">
            <v>Phạm Văn Đồng</v>
          </cell>
          <cell r="AF1916" t="str">
            <v>XE01479</v>
          </cell>
          <cell r="AH1916">
            <v>9.82</v>
          </cell>
          <cell r="AW1916" t="str">
            <v>Phạm Văn Đồng24</v>
          </cell>
          <cell r="AX1916" t="str">
            <v>Lương</v>
          </cell>
        </row>
        <row r="1917">
          <cell r="D1917" t="str">
            <v>Phạm Văn Đồng</v>
          </cell>
          <cell r="AF1917" t="str">
            <v>XE01479</v>
          </cell>
          <cell r="AH1917">
            <v>7.82</v>
          </cell>
          <cell r="AW1917" t="str">
            <v>Phạm Văn Đồng25</v>
          </cell>
          <cell r="AX1917" t="str">
            <v>Lương</v>
          </cell>
        </row>
        <row r="1918">
          <cell r="D1918" t="str">
            <v>Vũ Văn Tuyến</v>
          </cell>
          <cell r="AF1918" t="str">
            <v>XE01502</v>
          </cell>
          <cell r="AH1918">
            <v>9.6</v>
          </cell>
          <cell r="AW1918" t="str">
            <v>Vũ Văn Tuyến23</v>
          </cell>
          <cell r="AX1918" t="str">
            <v>Lương</v>
          </cell>
        </row>
        <row r="1919">
          <cell r="D1919" t="str">
            <v>Vũ Văn Tuyến</v>
          </cell>
          <cell r="AF1919" t="str">
            <v>XE01502</v>
          </cell>
          <cell r="AH1919">
            <v>8.84</v>
          </cell>
          <cell r="AW1919" t="str">
            <v>Vũ Văn Tuyến24</v>
          </cell>
          <cell r="AX1919" t="str">
            <v>Lương</v>
          </cell>
        </row>
        <row r="1920">
          <cell r="D1920" t="str">
            <v>Vũ Văn Tuyến</v>
          </cell>
          <cell r="AF1920" t="str">
            <v>XE01502</v>
          </cell>
          <cell r="AH1920">
            <v>9.42</v>
          </cell>
          <cell r="AW1920" t="str">
            <v>Vũ Văn Tuyến25</v>
          </cell>
          <cell r="AX1920" t="str">
            <v>Lương</v>
          </cell>
        </row>
        <row r="1921">
          <cell r="D1921" t="str">
            <v>Phạm Viết Thắng</v>
          </cell>
          <cell r="AF1921" t="str">
            <v>XE01596</v>
          </cell>
          <cell r="AH1921">
            <v>9.2199999999999989</v>
          </cell>
          <cell r="AW1921" t="str">
            <v>Phạm Viết Thắng21</v>
          </cell>
          <cell r="AX1921" t="str">
            <v>Lương</v>
          </cell>
        </row>
        <row r="1922">
          <cell r="D1922" t="str">
            <v>Phạm Viết Thắng</v>
          </cell>
          <cell r="AF1922" t="str">
            <v>XE01596</v>
          </cell>
          <cell r="AH1922">
            <v>9.64</v>
          </cell>
          <cell r="AW1922" t="str">
            <v>Phạm Viết Thắng22</v>
          </cell>
          <cell r="AX1922" t="str">
            <v>Lương</v>
          </cell>
        </row>
        <row r="1923">
          <cell r="D1923" t="str">
            <v>Phạm Viết Thắng</v>
          </cell>
          <cell r="AF1923" t="str">
            <v>XE01596</v>
          </cell>
          <cell r="AH1923">
            <v>6.62</v>
          </cell>
          <cell r="AW1923" t="str">
            <v>Phạm Viết Thắng23</v>
          </cell>
          <cell r="AX1923" t="str">
            <v>Lương</v>
          </cell>
        </row>
        <row r="1924">
          <cell r="D1924" t="str">
            <v>Phạm Viết Thắng</v>
          </cell>
          <cell r="AF1924" t="str">
            <v>XE01596</v>
          </cell>
          <cell r="AH1924">
            <v>9.82</v>
          </cell>
          <cell r="AW1924" t="str">
            <v>Phạm Viết Thắng24</v>
          </cell>
          <cell r="AX1924" t="str">
            <v>Lương</v>
          </cell>
        </row>
        <row r="1925">
          <cell r="D1925" t="str">
            <v>Phạm Viết Thắng</v>
          </cell>
          <cell r="AF1925" t="str">
            <v>XE01596</v>
          </cell>
          <cell r="AH1925">
            <v>9.42</v>
          </cell>
          <cell r="AW1925" t="str">
            <v>Phạm Viết Thắng25</v>
          </cell>
          <cell r="AX1925" t="str">
            <v>Lương</v>
          </cell>
        </row>
        <row r="1926">
          <cell r="D1926" t="str">
            <v>Phạm Thanh Tùng</v>
          </cell>
          <cell r="AF1926" t="str">
            <v>XE01402</v>
          </cell>
          <cell r="AH1926">
            <v>9.82</v>
          </cell>
          <cell r="AW1926" t="str">
            <v>Phạm Thanh Tùng22</v>
          </cell>
          <cell r="AX1926" t="str">
            <v>Lương</v>
          </cell>
        </row>
        <row r="1927">
          <cell r="D1927" t="str">
            <v>Phạm Thanh Tùng</v>
          </cell>
          <cell r="AF1927" t="str">
            <v>XE01402</v>
          </cell>
          <cell r="AH1927">
            <v>9.82</v>
          </cell>
          <cell r="AW1927" t="str">
            <v>Phạm Thanh Tùng23</v>
          </cell>
          <cell r="AX1927" t="str">
            <v>Lương</v>
          </cell>
        </row>
        <row r="1928">
          <cell r="D1928" t="str">
            <v>Phạm Thanh Tùng</v>
          </cell>
          <cell r="AF1928" t="str">
            <v>XE01402</v>
          </cell>
          <cell r="AH1928">
            <v>9.42</v>
          </cell>
          <cell r="AW1928" t="str">
            <v>Phạm Thanh Tùng24</v>
          </cell>
          <cell r="AX1928" t="str">
            <v>Lương</v>
          </cell>
        </row>
        <row r="1929">
          <cell r="D1929" t="str">
            <v>Phạm Thanh Tùng</v>
          </cell>
          <cell r="AF1929" t="str">
            <v>XE01402</v>
          </cell>
          <cell r="AH1929">
            <v>7.6400000000000006</v>
          </cell>
          <cell r="AW1929" t="str">
            <v>Phạm Thanh Tùng25</v>
          </cell>
          <cell r="AX1929" t="str">
            <v>Lương</v>
          </cell>
        </row>
        <row r="1930">
          <cell r="D1930" t="str">
            <v>Vũ Văn Chín</v>
          </cell>
          <cell r="AF1930" t="str">
            <v>XE01703</v>
          </cell>
          <cell r="AH1930">
            <v>9.42</v>
          </cell>
          <cell r="AW1930" t="str">
            <v>Vũ Văn Chín22</v>
          </cell>
          <cell r="AX1930" t="str">
            <v>Lương</v>
          </cell>
        </row>
        <row r="1931">
          <cell r="D1931" t="str">
            <v>Vũ Văn Chín</v>
          </cell>
          <cell r="AF1931" t="str">
            <v>XE01703</v>
          </cell>
          <cell r="AH1931">
            <v>9.02</v>
          </cell>
          <cell r="AW1931" t="str">
            <v>Vũ Văn Chín23</v>
          </cell>
          <cell r="AX1931" t="str">
            <v>Lương</v>
          </cell>
        </row>
        <row r="1932">
          <cell r="D1932" t="str">
            <v>Vũ Văn Chín</v>
          </cell>
          <cell r="AF1932" t="str">
            <v>XE01703</v>
          </cell>
          <cell r="AH1932">
            <v>7.62</v>
          </cell>
          <cell r="AW1932" t="str">
            <v>Vũ Văn Chín24</v>
          </cell>
          <cell r="AX1932" t="str">
            <v>Lương</v>
          </cell>
        </row>
        <row r="1933">
          <cell r="D1933" t="str">
            <v>Vũ Văn Chín</v>
          </cell>
          <cell r="AF1933" t="str">
            <v>XE01703</v>
          </cell>
          <cell r="AH1933">
            <v>9.82</v>
          </cell>
          <cell r="AW1933" t="str">
            <v>Vũ Văn Chín25</v>
          </cell>
          <cell r="AX1933" t="str">
            <v>Lương</v>
          </cell>
        </row>
        <row r="1934">
          <cell r="D1934" t="str">
            <v>Phạm Văn Tình</v>
          </cell>
          <cell r="AF1934" t="str">
            <v>XE01177</v>
          </cell>
          <cell r="AH1934">
            <v>9.82</v>
          </cell>
          <cell r="AW1934" t="str">
            <v>Phạm Văn Tình23</v>
          </cell>
          <cell r="AX1934" t="str">
            <v>Lương</v>
          </cell>
        </row>
        <row r="1935">
          <cell r="D1935" t="str">
            <v>Phạm Văn Tình</v>
          </cell>
          <cell r="AF1935" t="str">
            <v>XE01177</v>
          </cell>
          <cell r="AH1935">
            <v>9.42</v>
          </cell>
          <cell r="AW1935" t="str">
            <v>Phạm Văn Tình24</v>
          </cell>
          <cell r="AX1935" t="str">
            <v>Lương</v>
          </cell>
        </row>
        <row r="1936">
          <cell r="D1936" t="str">
            <v>Phạm Văn Tình</v>
          </cell>
          <cell r="AF1936" t="str">
            <v>XE01177</v>
          </cell>
          <cell r="AH1936">
            <v>9.42</v>
          </cell>
          <cell r="AW1936" t="str">
            <v>Phạm Văn Tình25</v>
          </cell>
          <cell r="AX1936" t="str">
            <v>Lương</v>
          </cell>
        </row>
        <row r="1937">
          <cell r="D1937" t="str">
            <v>Hoàng Mạnh Tú</v>
          </cell>
          <cell r="AF1937" t="str">
            <v>XE00406</v>
          </cell>
          <cell r="AH1937">
            <v>9.02</v>
          </cell>
          <cell r="AW1937" t="str">
            <v>Hoàng Mạnh Tú24</v>
          </cell>
          <cell r="AX1937" t="str">
            <v>Lương</v>
          </cell>
        </row>
        <row r="1938">
          <cell r="D1938" t="str">
            <v>Hoàng Mạnh Tú</v>
          </cell>
          <cell r="AF1938" t="str">
            <v>XE00406</v>
          </cell>
          <cell r="AH1938">
            <v>9.82</v>
          </cell>
          <cell r="AW1938" t="str">
            <v>Hoàng Mạnh Tú25</v>
          </cell>
          <cell r="AX1938" t="str">
            <v>Lương</v>
          </cell>
        </row>
        <row r="1939">
          <cell r="D1939" t="str">
            <v>Phạm Văn Tuân</v>
          </cell>
          <cell r="AF1939" t="str">
            <v>XE01711</v>
          </cell>
          <cell r="AH1939">
            <v>9.02</v>
          </cell>
          <cell r="AW1939" t="str">
            <v>Phạm Văn Tuân23</v>
          </cell>
          <cell r="AX1939" t="str">
            <v>Lương</v>
          </cell>
        </row>
        <row r="1940">
          <cell r="D1940" t="str">
            <v>Phạm Văn Tuân</v>
          </cell>
          <cell r="AF1940" t="str">
            <v>XE01711</v>
          </cell>
          <cell r="AH1940">
            <v>9.42</v>
          </cell>
          <cell r="AW1940" t="str">
            <v>Phạm Văn Tuân24</v>
          </cell>
          <cell r="AX1940" t="str">
            <v>Lương</v>
          </cell>
        </row>
        <row r="1941">
          <cell r="D1941" t="str">
            <v>Phạm Văn Tuân</v>
          </cell>
          <cell r="AF1941" t="str">
            <v>XE01711</v>
          </cell>
          <cell r="AH1941">
            <v>9.42</v>
          </cell>
          <cell r="AW1941" t="str">
            <v>Phạm Văn Tuân25</v>
          </cell>
          <cell r="AX1941" t="str">
            <v>Lương</v>
          </cell>
        </row>
        <row r="1942">
          <cell r="D1942" t="str">
            <v>Vũ Ngọc Tâm</v>
          </cell>
          <cell r="AF1942" t="str">
            <v>XE01744</v>
          </cell>
          <cell r="AH1942">
            <v>9.24</v>
          </cell>
          <cell r="AW1942" t="str">
            <v>Vũ Ngọc Tâm2</v>
          </cell>
          <cell r="AX1942" t="str">
            <v>Lương</v>
          </cell>
        </row>
        <row r="1943">
          <cell r="D1943" t="str">
            <v>Lã Văn Chinh</v>
          </cell>
          <cell r="AF1943" t="str">
            <v>XE01743</v>
          </cell>
          <cell r="AH1943">
            <v>8.84</v>
          </cell>
          <cell r="AW1943" t="str">
            <v>Lã Văn Chinh2</v>
          </cell>
          <cell r="AX1943" t="str">
            <v>Lương</v>
          </cell>
        </row>
        <row r="1944">
          <cell r="D1944" t="str">
            <v>Lã Văn Dương</v>
          </cell>
          <cell r="AF1944" t="str">
            <v>XE01746</v>
          </cell>
          <cell r="AH1944">
            <v>9.42</v>
          </cell>
          <cell r="AW1944" t="str">
            <v>Lã Văn Dương2</v>
          </cell>
          <cell r="AX1944" t="str">
            <v>Lương</v>
          </cell>
        </row>
        <row r="1945">
          <cell r="D1945" t="str">
            <v>Phạm Văn Cương</v>
          </cell>
          <cell r="AF1945" t="str">
            <v>XE01755</v>
          </cell>
          <cell r="AH1945">
            <v>9.82</v>
          </cell>
          <cell r="AW1945" t="str">
            <v>Phạm Văn Cương1</v>
          </cell>
          <cell r="AX1945" t="str">
            <v>Lương</v>
          </cell>
        </row>
        <row r="1946">
          <cell r="D1946" t="str">
            <v>Phùng Đình Cường</v>
          </cell>
          <cell r="AF1946" t="str">
            <v>XE01757</v>
          </cell>
          <cell r="AH1946">
            <v>9.6199999999999992</v>
          </cell>
          <cell r="AW1946" t="str">
            <v>Phùng Đình Cường1</v>
          </cell>
          <cell r="AX1946" t="str">
            <v>Lương</v>
          </cell>
        </row>
        <row r="1947">
          <cell r="D1947" t="str">
            <v>Hoàng Tuấn Đạt</v>
          </cell>
          <cell r="AF1947" t="str">
            <v>XE00070</v>
          </cell>
          <cell r="AH1947">
            <v>9.42</v>
          </cell>
          <cell r="AW1947" t="str">
            <v>Hoàng Tuấn Đạt1</v>
          </cell>
          <cell r="AX1947" t="str">
            <v>Linh</v>
          </cell>
        </row>
        <row r="1948">
          <cell r="D1948" t="str">
            <v>Vũ Đình Sơn</v>
          </cell>
          <cell r="AF1948" t="str">
            <v>XE00152</v>
          </cell>
          <cell r="AH1948">
            <v>9.82</v>
          </cell>
          <cell r="AW1948" t="str">
            <v>Vũ Đình Sơn1</v>
          </cell>
          <cell r="AX1948" t="str">
            <v>Linh</v>
          </cell>
        </row>
        <row r="1949">
          <cell r="D1949" t="str">
            <v>Vũ Đình Sơn</v>
          </cell>
          <cell r="AF1949" t="str">
            <v>XE00152</v>
          </cell>
          <cell r="AH1949">
            <v>9.42</v>
          </cell>
          <cell r="AW1949" t="str">
            <v>Vũ Đình Sơn2</v>
          </cell>
          <cell r="AX1949" t="str">
            <v>Linh</v>
          </cell>
        </row>
        <row r="1950">
          <cell r="D1950" t="str">
            <v>Nguyễn Văn Chiến</v>
          </cell>
          <cell r="AF1950" t="str">
            <v>XE00095</v>
          </cell>
          <cell r="AH1950">
            <v>9.42</v>
          </cell>
          <cell r="AW1950" t="str">
            <v>Nguyễn Văn Chiến1</v>
          </cell>
          <cell r="AX1950" t="str">
            <v>Linh</v>
          </cell>
        </row>
        <row r="1951">
          <cell r="D1951" t="str">
            <v>Vũ Ngọc Hà</v>
          </cell>
          <cell r="AF1951" t="str">
            <v>XE00253</v>
          </cell>
          <cell r="AH1951">
            <v>9.42</v>
          </cell>
          <cell r="AW1951" t="str">
            <v>Vũ Ngọc Hà1</v>
          </cell>
          <cell r="AX1951" t="str">
            <v>Linh</v>
          </cell>
        </row>
        <row r="1952">
          <cell r="D1952" t="str">
            <v>Phạm Công Đại</v>
          </cell>
          <cell r="AF1952" t="str">
            <v>XE00301</v>
          </cell>
          <cell r="AH1952">
            <v>9.82</v>
          </cell>
          <cell r="AW1952" t="str">
            <v>Phạm Công Đại1</v>
          </cell>
          <cell r="AX1952" t="str">
            <v>Linh</v>
          </cell>
        </row>
        <row r="1953">
          <cell r="D1953" t="str">
            <v>Phạm Công Đại</v>
          </cell>
          <cell r="AF1953" t="str">
            <v>XE00301</v>
          </cell>
          <cell r="AH1953">
            <v>9.82</v>
          </cell>
          <cell r="AW1953" t="str">
            <v>Phạm Công Đại2</v>
          </cell>
          <cell r="AX1953" t="str">
            <v>Linh</v>
          </cell>
        </row>
        <row r="1954">
          <cell r="D1954" t="str">
            <v>Đỗ Văn Tỉnh</v>
          </cell>
          <cell r="AF1954" t="str">
            <v>XE00405</v>
          </cell>
          <cell r="AH1954">
            <v>9.02</v>
          </cell>
          <cell r="AW1954" t="str">
            <v>Đỗ Văn Tỉnh1</v>
          </cell>
          <cell r="AX1954" t="str">
            <v>Linh</v>
          </cell>
        </row>
        <row r="1955">
          <cell r="D1955" t="str">
            <v>Vũ Mạnh Hùng</v>
          </cell>
          <cell r="AF1955" t="str">
            <v>XE00511</v>
          </cell>
          <cell r="AH1955">
            <v>9.42</v>
          </cell>
          <cell r="AW1955" t="str">
            <v>Vũ Mạnh Hùng1</v>
          </cell>
          <cell r="AX1955" t="str">
            <v>Linh</v>
          </cell>
        </row>
        <row r="1956">
          <cell r="D1956" t="str">
            <v>Vũ Mạnh Hùng</v>
          </cell>
          <cell r="AF1956" t="str">
            <v>XE00511</v>
          </cell>
          <cell r="AH1956">
            <v>9.82</v>
          </cell>
          <cell r="AW1956" t="str">
            <v>Vũ Mạnh Hùng2</v>
          </cell>
          <cell r="AX1956" t="str">
            <v>Linh</v>
          </cell>
        </row>
        <row r="1957">
          <cell r="D1957" t="str">
            <v>Đỗ Tuấn Anh</v>
          </cell>
          <cell r="AF1957" t="str">
            <v>XE00962</v>
          </cell>
          <cell r="AH1957">
            <v>9.82</v>
          </cell>
          <cell r="AW1957" t="str">
            <v>Đỗ Tuấn Anh1</v>
          </cell>
          <cell r="AX1957" t="str">
            <v>Linh</v>
          </cell>
        </row>
        <row r="1958">
          <cell r="D1958" t="str">
            <v>Đỗ Tuấn Anh</v>
          </cell>
          <cell r="AF1958" t="str">
            <v>XE00962</v>
          </cell>
          <cell r="AH1958">
            <v>9.82</v>
          </cell>
          <cell r="AW1958" t="str">
            <v>Đỗ Tuấn Anh2</v>
          </cell>
          <cell r="AX1958" t="str">
            <v>Linh</v>
          </cell>
        </row>
        <row r="1959">
          <cell r="D1959" t="str">
            <v>Đoàn Văn Kiều</v>
          </cell>
          <cell r="AF1959" t="str">
            <v>XE01009</v>
          </cell>
          <cell r="AH1959">
            <v>8.2200000000000006</v>
          </cell>
          <cell r="AW1959" t="str">
            <v>Đoàn Văn Kiều1</v>
          </cell>
          <cell r="AX1959" t="str">
            <v>Linh</v>
          </cell>
        </row>
        <row r="1960">
          <cell r="D1960" t="str">
            <v>Đoàn Văn Kiều</v>
          </cell>
          <cell r="AF1960" t="str">
            <v>XE01009</v>
          </cell>
          <cell r="AH1960">
            <v>7.22</v>
          </cell>
          <cell r="AW1960" t="str">
            <v>Đoàn Văn Kiều2</v>
          </cell>
          <cell r="AX1960" t="str">
            <v>Linh</v>
          </cell>
        </row>
        <row r="1961">
          <cell r="D1961" t="str">
            <v>Phạm Thanh Bình</v>
          </cell>
          <cell r="AF1961" t="str">
            <v>XE01117</v>
          </cell>
          <cell r="AH1961">
            <v>9.42</v>
          </cell>
          <cell r="AW1961" t="str">
            <v>Phạm Thanh Bình1</v>
          </cell>
          <cell r="AX1961" t="str">
            <v>Linh</v>
          </cell>
        </row>
        <row r="1962">
          <cell r="D1962" t="str">
            <v>Phạm Thanh Bình</v>
          </cell>
          <cell r="AF1962" t="str">
            <v>XE01117</v>
          </cell>
          <cell r="AH1962">
            <v>7.6199999999999992</v>
          </cell>
          <cell r="AW1962" t="str">
            <v>Phạm Thanh Bình2</v>
          </cell>
          <cell r="AX1962" t="str">
            <v>Linh</v>
          </cell>
        </row>
        <row r="1963">
          <cell r="D1963" t="str">
            <v>Phạm Quang Trung</v>
          </cell>
          <cell r="AF1963" t="str">
            <v>XE00041</v>
          </cell>
          <cell r="AH1963">
            <v>9.6199999999999992</v>
          </cell>
          <cell r="AW1963" t="str">
            <v>Phạm Quang Trung1</v>
          </cell>
          <cell r="AX1963" t="str">
            <v>Linh</v>
          </cell>
        </row>
        <row r="1964">
          <cell r="D1964" t="str">
            <v>Phạm Quang Trung</v>
          </cell>
          <cell r="AF1964" t="str">
            <v>XE00041</v>
          </cell>
          <cell r="AH1964">
            <v>7.6400000000000006</v>
          </cell>
          <cell r="AW1964" t="str">
            <v>Phạm Quang Trung2</v>
          </cell>
          <cell r="AX1964" t="str">
            <v>Linh</v>
          </cell>
        </row>
        <row r="1965">
          <cell r="D1965" t="str">
            <v>Nguyễn Văn Hùng</v>
          </cell>
          <cell r="AF1965" t="str">
            <v>XE00083</v>
          </cell>
          <cell r="AH1965">
            <v>8.2200000000000006</v>
          </cell>
          <cell r="AW1965" t="str">
            <v>Nguyễn Văn Hùng1</v>
          </cell>
          <cell r="AX1965" t="str">
            <v>Linh</v>
          </cell>
        </row>
        <row r="1966">
          <cell r="D1966" t="str">
            <v>Phạm Văn Vũ</v>
          </cell>
          <cell r="AF1966" t="str">
            <v>XE00042</v>
          </cell>
          <cell r="AH1966">
            <v>9.42</v>
          </cell>
          <cell r="AW1966" t="str">
            <v>Phạm Văn Vũ1</v>
          </cell>
          <cell r="AX1966" t="str">
            <v>Linh</v>
          </cell>
        </row>
        <row r="1967">
          <cell r="D1967" t="str">
            <v>Hoàng Trọng Nam</v>
          </cell>
          <cell r="AF1967" t="str">
            <v>XE00043</v>
          </cell>
          <cell r="AH1967">
            <v>9.82</v>
          </cell>
          <cell r="AW1967" t="str">
            <v>Hoàng Trọng Nam1</v>
          </cell>
          <cell r="AX1967" t="str">
            <v>Linh</v>
          </cell>
        </row>
        <row r="1968">
          <cell r="D1968" t="str">
            <v>Đinh Văn Sỹ</v>
          </cell>
          <cell r="AF1968" t="str">
            <v>XE00194</v>
          </cell>
          <cell r="AH1968">
            <v>8.44</v>
          </cell>
          <cell r="AW1968" t="str">
            <v>Đinh Văn Sỹ1</v>
          </cell>
          <cell r="AX1968" t="str">
            <v>Linh</v>
          </cell>
        </row>
        <row r="1969">
          <cell r="D1969" t="str">
            <v>Nguyễn Văn Khuyến</v>
          </cell>
          <cell r="AF1969" t="str">
            <v>XE00139</v>
          </cell>
          <cell r="AH1969">
            <v>9.82</v>
          </cell>
          <cell r="AW1969" t="str">
            <v>Nguyễn Văn Khuyến1</v>
          </cell>
          <cell r="AX1969" t="str">
            <v>Linh</v>
          </cell>
        </row>
        <row r="1970">
          <cell r="D1970" t="str">
            <v>Phạm Hồng Chính</v>
          </cell>
          <cell r="AF1970" t="str">
            <v>XE00032</v>
          </cell>
          <cell r="AH1970">
            <v>9.42</v>
          </cell>
          <cell r="AW1970" t="str">
            <v>Phạm Hồng Chính1</v>
          </cell>
          <cell r="AX1970" t="str">
            <v>Linh</v>
          </cell>
        </row>
        <row r="1971">
          <cell r="D1971" t="str">
            <v>Nguyễn Anh Hùng</v>
          </cell>
          <cell r="AF1971" t="str">
            <v>XE00013</v>
          </cell>
          <cell r="AH1971">
            <v>9.42</v>
          </cell>
          <cell r="AW1971" t="str">
            <v>Nguyễn Anh Hùng1</v>
          </cell>
          <cell r="AX1971" t="str">
            <v>Linh</v>
          </cell>
        </row>
        <row r="1972">
          <cell r="D1972" t="str">
            <v>Trần Quốc Toản</v>
          </cell>
          <cell r="AF1972" t="str">
            <v>XE00291</v>
          </cell>
          <cell r="AH1972">
            <v>9.42</v>
          </cell>
          <cell r="AW1972" t="str">
            <v>Trần Quốc Toản1</v>
          </cell>
          <cell r="AX1972" t="str">
            <v>Linh</v>
          </cell>
        </row>
        <row r="1973">
          <cell r="D1973" t="str">
            <v>Trần Quốc Toản</v>
          </cell>
          <cell r="AF1973" t="str">
            <v>XE00291</v>
          </cell>
          <cell r="AH1973">
            <v>9.82</v>
          </cell>
          <cell r="AW1973" t="str">
            <v>Trần Quốc Toản2</v>
          </cell>
          <cell r="AX1973" t="str">
            <v>Linh</v>
          </cell>
        </row>
        <row r="1974">
          <cell r="D1974" t="str">
            <v>Trần Quốc Toản</v>
          </cell>
          <cell r="AF1974" t="str">
            <v>XE00291</v>
          </cell>
          <cell r="AH1974">
            <v>9.82</v>
          </cell>
          <cell r="AW1974" t="str">
            <v>Trần Quốc Toản3</v>
          </cell>
          <cell r="AX1974" t="str">
            <v>Linh</v>
          </cell>
        </row>
        <row r="1975">
          <cell r="D1975" t="str">
            <v>Trần Quốc Toản</v>
          </cell>
          <cell r="AF1975" t="str">
            <v>XE00291</v>
          </cell>
          <cell r="AH1975">
            <v>9.82</v>
          </cell>
          <cell r="AW1975" t="str">
            <v>Trần Quốc Toản4</v>
          </cell>
          <cell r="AX1975" t="str">
            <v>Linh</v>
          </cell>
        </row>
        <row r="1976">
          <cell r="D1976" t="str">
            <v>Nguyễn Mạnh Trung</v>
          </cell>
          <cell r="AF1976" t="str">
            <v>XE00304</v>
          </cell>
          <cell r="AH1976">
            <v>9.82</v>
          </cell>
          <cell r="AW1976" t="str">
            <v>Nguyễn Mạnh Trung1</v>
          </cell>
          <cell r="AX1976" t="str">
            <v>Linh</v>
          </cell>
        </row>
        <row r="1977">
          <cell r="D1977" t="str">
            <v>Nguyễn Trung Trọng</v>
          </cell>
          <cell r="AF1977" t="str">
            <v>XE00334</v>
          </cell>
          <cell r="AH1977">
            <v>9.24</v>
          </cell>
          <cell r="AW1977" t="str">
            <v>Nguyễn Trung Trọng1</v>
          </cell>
          <cell r="AX1977" t="str">
            <v>Linh</v>
          </cell>
        </row>
        <row r="1978">
          <cell r="D1978" t="str">
            <v>Trần Văn Thanh</v>
          </cell>
          <cell r="AF1978" t="str">
            <v>XE00376</v>
          </cell>
          <cell r="AH1978">
            <v>9.82</v>
          </cell>
          <cell r="AW1978" t="str">
            <v>Trần Văn Thanh1</v>
          </cell>
          <cell r="AX1978" t="str">
            <v>Linh</v>
          </cell>
        </row>
        <row r="1979">
          <cell r="D1979" t="str">
            <v>Trần Hữu Nam 1978</v>
          </cell>
          <cell r="AF1979" t="str">
            <v>XE00373</v>
          </cell>
          <cell r="AH1979">
            <v>9.42</v>
          </cell>
          <cell r="AW1979" t="str">
            <v>Trần Hữu Nam 19781</v>
          </cell>
          <cell r="AX1979" t="str">
            <v>Linh</v>
          </cell>
        </row>
        <row r="1980">
          <cell r="D1980" t="str">
            <v>Trần Đình Thắng</v>
          </cell>
          <cell r="AF1980" t="str">
            <v>XE00513</v>
          </cell>
          <cell r="AH1980">
            <v>9.02</v>
          </cell>
          <cell r="AW1980" t="str">
            <v>Trần Đình Thắng1</v>
          </cell>
          <cell r="AX1980" t="str">
            <v>Linh</v>
          </cell>
        </row>
        <row r="1981">
          <cell r="D1981" t="str">
            <v>Ngô Mạnh Tùng</v>
          </cell>
          <cell r="AF1981" t="str">
            <v>XE00108</v>
          </cell>
          <cell r="AH1981">
            <v>9.82</v>
          </cell>
          <cell r="AW1981" t="str">
            <v>Ngô Mạnh Tùng1</v>
          </cell>
          <cell r="AX1981" t="str">
            <v>Linh</v>
          </cell>
        </row>
        <row r="1982">
          <cell r="D1982" t="str">
            <v>Trần Quyết Thắng</v>
          </cell>
          <cell r="AF1982" t="str">
            <v>XE00634</v>
          </cell>
          <cell r="AH1982">
            <v>9.02</v>
          </cell>
          <cell r="AW1982" t="str">
            <v>Trần Quyết Thắng1</v>
          </cell>
          <cell r="AX1982" t="str">
            <v>Linh</v>
          </cell>
        </row>
        <row r="1983">
          <cell r="D1983" t="str">
            <v>Phạm Văn Chính</v>
          </cell>
          <cell r="AF1983" t="str">
            <v>XE00690</v>
          </cell>
          <cell r="AH1983">
            <v>9.82</v>
          </cell>
          <cell r="AW1983" t="str">
            <v>Phạm Văn Chính1</v>
          </cell>
          <cell r="AX1983" t="str">
            <v>Linh</v>
          </cell>
        </row>
        <row r="1984">
          <cell r="D1984" t="str">
            <v>Phùng Văn Hải</v>
          </cell>
          <cell r="AF1984" t="str">
            <v>XE00776</v>
          </cell>
          <cell r="AH1984">
            <v>8.84</v>
          </cell>
          <cell r="AW1984" t="str">
            <v>Phùng Văn Hải1</v>
          </cell>
          <cell r="AX1984" t="str">
            <v>Linh</v>
          </cell>
        </row>
        <row r="1985">
          <cell r="D1985" t="str">
            <v>Trần Mạnh Thắng</v>
          </cell>
          <cell r="AF1985" t="str">
            <v>XE00870</v>
          </cell>
          <cell r="AH1985">
            <v>9.42</v>
          </cell>
          <cell r="AW1985" t="str">
            <v>Trần Mạnh Thắng1</v>
          </cell>
          <cell r="AX1985" t="str">
            <v>Linh</v>
          </cell>
        </row>
        <row r="1986">
          <cell r="D1986" t="str">
            <v>Trần Quốc Phong</v>
          </cell>
          <cell r="AF1986" t="str">
            <v>XE00949</v>
          </cell>
          <cell r="AH1986">
            <v>9.42</v>
          </cell>
          <cell r="AW1986" t="str">
            <v>Trần Quốc Phong1</v>
          </cell>
          <cell r="AX1986" t="str">
            <v>Linh</v>
          </cell>
        </row>
        <row r="1987">
          <cell r="D1987" t="str">
            <v>Trần Đức Triều</v>
          </cell>
          <cell r="AF1987" t="str">
            <v>XE00080</v>
          </cell>
          <cell r="AH1987">
            <v>8.84</v>
          </cell>
          <cell r="AW1987" t="str">
            <v>Trần Đức Triều1</v>
          </cell>
          <cell r="AX1987" t="str">
            <v>Linh</v>
          </cell>
        </row>
        <row r="1988">
          <cell r="D1988" t="str">
            <v>Trần Anh Tuấn</v>
          </cell>
          <cell r="AF1988" t="str">
            <v>XE01429</v>
          </cell>
          <cell r="AH1988">
            <v>9.42</v>
          </cell>
          <cell r="AW1988" t="str">
            <v>Trần Anh Tuấn1</v>
          </cell>
          <cell r="AX1988" t="str">
            <v>Linh</v>
          </cell>
        </row>
        <row r="1989">
          <cell r="D1989" t="str">
            <v>Trần Anh Tuấn</v>
          </cell>
          <cell r="AF1989" t="str">
            <v>XE01429</v>
          </cell>
          <cell r="AH1989">
            <v>7.82</v>
          </cell>
          <cell r="AW1989" t="str">
            <v>Trần Anh Tuấn2</v>
          </cell>
          <cell r="AX1989" t="str">
            <v>Linh</v>
          </cell>
        </row>
        <row r="1990">
          <cell r="D1990" t="str">
            <v>Đinh Trung Dũng</v>
          </cell>
          <cell r="AF1990" t="str">
            <v>XE01380</v>
          </cell>
          <cell r="AH1990">
            <v>9.42</v>
          </cell>
          <cell r="AW1990" t="str">
            <v>Đinh Trung Dũng1</v>
          </cell>
          <cell r="AX1990" t="str">
            <v>Linh</v>
          </cell>
        </row>
        <row r="1991">
          <cell r="D1991" t="str">
            <v>Cồ Văn Tiển</v>
          </cell>
          <cell r="AF1991" t="str">
            <v>XE01243</v>
          </cell>
          <cell r="AH1991">
            <v>9.02</v>
          </cell>
          <cell r="AW1991" t="str">
            <v>Cồ Văn Tiển1</v>
          </cell>
          <cell r="AX1991" t="str">
            <v>Linh</v>
          </cell>
        </row>
        <row r="1992">
          <cell r="D1992" t="str">
            <v>Phạm Văn Sớm</v>
          </cell>
          <cell r="AF1992" t="str">
            <v>XE01221</v>
          </cell>
          <cell r="AH1992">
            <v>9.42</v>
          </cell>
          <cell r="AW1992" t="str">
            <v>Phạm Văn Sớm1</v>
          </cell>
          <cell r="AX1992" t="str">
            <v>Linh</v>
          </cell>
        </row>
        <row r="1993">
          <cell r="D1993" t="str">
            <v>Phạm Văn Sớm</v>
          </cell>
          <cell r="AF1993" t="str">
            <v>XE01221</v>
          </cell>
          <cell r="AH1993">
            <v>9.42</v>
          </cell>
          <cell r="AW1993" t="str">
            <v>Phạm Văn Sớm2</v>
          </cell>
          <cell r="AX1993" t="str">
            <v>Linh</v>
          </cell>
        </row>
        <row r="1994">
          <cell r="D1994" t="str">
            <v>Bùi Xuân Bắc</v>
          </cell>
          <cell r="AF1994" t="str">
            <v>XE01166</v>
          </cell>
          <cell r="AH1994">
            <v>9.82</v>
          </cell>
          <cell r="AW1994" t="str">
            <v>Bùi Xuân Bắc1</v>
          </cell>
          <cell r="AX1994" t="str">
            <v>Linh</v>
          </cell>
        </row>
        <row r="1995">
          <cell r="D1995" t="str">
            <v>Bùi Xuân Bắc</v>
          </cell>
          <cell r="AF1995" t="str">
            <v>XE01166</v>
          </cell>
          <cell r="AH1995">
            <v>9.42</v>
          </cell>
          <cell r="AW1995" t="str">
            <v>Bùi Xuân Bắc2</v>
          </cell>
          <cell r="AX1995" t="str">
            <v>Linh</v>
          </cell>
        </row>
        <row r="1996">
          <cell r="D1996" t="str">
            <v>Phạm Hùng Sơn</v>
          </cell>
          <cell r="AF1996" t="str">
            <v>XE01157</v>
          </cell>
          <cell r="AH1996">
            <v>9.82</v>
          </cell>
          <cell r="AW1996" t="str">
            <v>Phạm Hùng Sơn1</v>
          </cell>
          <cell r="AX1996" t="str">
            <v>Linh</v>
          </cell>
        </row>
        <row r="1997">
          <cell r="D1997" t="str">
            <v>Phạm Hùng Sơn</v>
          </cell>
          <cell r="AF1997" t="str">
            <v>XE01157</v>
          </cell>
          <cell r="AH1997">
            <v>8.84</v>
          </cell>
          <cell r="AW1997" t="str">
            <v>Phạm Hùng Sơn2</v>
          </cell>
          <cell r="AX1997" t="str">
            <v>Linh</v>
          </cell>
        </row>
        <row r="1998">
          <cell r="D1998" t="str">
            <v>Trần Quốc Phong</v>
          </cell>
          <cell r="AF1998" t="str">
            <v>XE00949</v>
          </cell>
          <cell r="AH1998">
            <v>8.84</v>
          </cell>
          <cell r="AW1998" t="str">
            <v>Trần Quốc Phong2</v>
          </cell>
          <cell r="AX1998" t="str">
            <v>Linh</v>
          </cell>
        </row>
        <row r="1999">
          <cell r="D1999" t="str">
            <v>Trần Quốc Phong</v>
          </cell>
          <cell r="AF1999" t="str">
            <v>XE00949</v>
          </cell>
          <cell r="AH1999">
            <v>9.42</v>
          </cell>
          <cell r="AW1999" t="str">
            <v>Trần Quốc Phong3</v>
          </cell>
          <cell r="AX1999" t="str">
            <v>Linh</v>
          </cell>
        </row>
        <row r="2000">
          <cell r="D2000" t="str">
            <v>Triệu Tuấn Tú</v>
          </cell>
          <cell r="AF2000" t="str">
            <v>XE00937</v>
          </cell>
          <cell r="AH2000">
            <v>9.6199999999999992</v>
          </cell>
          <cell r="AW2000" t="str">
            <v>Triệu Tuấn Tú1</v>
          </cell>
          <cell r="AX2000" t="str">
            <v>Linh</v>
          </cell>
        </row>
        <row r="2001">
          <cell r="D2001" t="str">
            <v>Triệu Tuấn Tú</v>
          </cell>
          <cell r="AF2001" t="str">
            <v>XE00937</v>
          </cell>
          <cell r="AH2001">
            <v>9.82</v>
          </cell>
          <cell r="AW2001" t="str">
            <v>Triệu Tuấn Tú2</v>
          </cell>
          <cell r="AX2001" t="str">
            <v>Linh</v>
          </cell>
        </row>
        <row r="2002">
          <cell r="D2002" t="str">
            <v>Trần Mạnh Thắng</v>
          </cell>
          <cell r="AF2002" t="str">
            <v>XE00870</v>
          </cell>
          <cell r="AH2002">
            <v>9.82</v>
          </cell>
          <cell r="AW2002" t="str">
            <v>Trần Mạnh Thắng2</v>
          </cell>
          <cell r="AX2002" t="str">
            <v>Linh</v>
          </cell>
        </row>
        <row r="2003">
          <cell r="D2003" t="str">
            <v>Ngô Mạnh Tùng</v>
          </cell>
          <cell r="AF2003" t="str">
            <v>XE00108</v>
          </cell>
          <cell r="AH2003">
            <v>9.82</v>
          </cell>
          <cell r="AW2003" t="str">
            <v>Ngô Mạnh Tùng2</v>
          </cell>
          <cell r="AX2003" t="str">
            <v>Linh</v>
          </cell>
        </row>
        <row r="2004">
          <cell r="D2004" t="str">
            <v>Trần Đình Thắng</v>
          </cell>
          <cell r="AF2004" t="str">
            <v>XE00513</v>
          </cell>
          <cell r="AH2004">
            <v>9.82</v>
          </cell>
          <cell r="AW2004" t="str">
            <v>Trần Đình Thắng2</v>
          </cell>
          <cell r="AX2004" t="str">
            <v>Linh</v>
          </cell>
        </row>
        <row r="2005">
          <cell r="D2005" t="str">
            <v>Hồ Nam Phong</v>
          </cell>
          <cell r="AF2005" t="str">
            <v>XE00384</v>
          </cell>
          <cell r="AH2005">
            <v>9.02</v>
          </cell>
          <cell r="AW2005" t="str">
            <v>Hồ Nam Phong1</v>
          </cell>
          <cell r="AX2005" t="str">
            <v>Linh</v>
          </cell>
        </row>
        <row r="2006">
          <cell r="D2006" t="str">
            <v>Hồ Nam Phong</v>
          </cell>
          <cell r="AF2006" t="str">
            <v>XE00384</v>
          </cell>
          <cell r="AH2006">
            <v>8.84</v>
          </cell>
          <cell r="AW2006" t="str">
            <v>Hồ Nam Phong2</v>
          </cell>
          <cell r="AX2006" t="str">
            <v>Linh</v>
          </cell>
        </row>
        <row r="2007">
          <cell r="D2007" t="str">
            <v>Trần Hữu Nam 1978</v>
          </cell>
          <cell r="AF2007" t="str">
            <v>XE00373</v>
          </cell>
          <cell r="AH2007">
            <v>9.02</v>
          </cell>
          <cell r="AW2007" t="str">
            <v>Trần Hữu Nam 19782</v>
          </cell>
          <cell r="AX2007" t="str">
            <v>Linh</v>
          </cell>
        </row>
        <row r="2008">
          <cell r="D2008" t="str">
            <v>Hoàng Trọng Nam</v>
          </cell>
          <cell r="AF2008" t="str">
            <v>XE00043</v>
          </cell>
          <cell r="AH2008">
            <v>9.82</v>
          </cell>
          <cell r="AW2008" t="str">
            <v>Hoàng Trọng Nam2</v>
          </cell>
          <cell r="AX2008" t="str">
            <v>Linh</v>
          </cell>
        </row>
        <row r="2009">
          <cell r="D2009" t="str">
            <v>Hoàng Trọng Nam</v>
          </cell>
          <cell r="AF2009" t="str">
            <v>XE00043</v>
          </cell>
          <cell r="AH2009">
            <v>9.42</v>
          </cell>
          <cell r="AW2009" t="str">
            <v>Hoàng Trọng Nam3</v>
          </cell>
          <cell r="AX2009" t="str">
            <v>Linh</v>
          </cell>
        </row>
        <row r="2010">
          <cell r="D2010" t="str">
            <v>Đinh Văn Sỹ</v>
          </cell>
          <cell r="AF2010" t="str">
            <v>XE00194</v>
          </cell>
          <cell r="AH2010">
            <v>9.82</v>
          </cell>
          <cell r="AW2010" t="str">
            <v>Đinh Văn Sỹ2</v>
          </cell>
          <cell r="AX2010" t="str">
            <v>Linh</v>
          </cell>
        </row>
        <row r="2011">
          <cell r="D2011" t="str">
            <v>Đinh Văn Sỹ</v>
          </cell>
          <cell r="AF2011" t="str">
            <v>XE00194</v>
          </cell>
          <cell r="AH2011">
            <v>9.82</v>
          </cell>
          <cell r="AW2011" t="str">
            <v>Đinh Văn Sỹ3</v>
          </cell>
          <cell r="AX2011" t="str">
            <v>Linh</v>
          </cell>
        </row>
        <row r="2012">
          <cell r="D2012" t="str">
            <v>Nguyễn Văn Khuyến</v>
          </cell>
          <cell r="AF2012" t="str">
            <v>XE00139</v>
          </cell>
          <cell r="AH2012">
            <v>9.42</v>
          </cell>
          <cell r="AW2012" t="str">
            <v>Nguyễn Văn Khuyến2</v>
          </cell>
          <cell r="AX2012" t="str">
            <v>Linh</v>
          </cell>
        </row>
        <row r="2013">
          <cell r="D2013" t="str">
            <v>Phạm Hồng Chính</v>
          </cell>
          <cell r="AF2013" t="str">
            <v>XE00032</v>
          </cell>
          <cell r="AH2013">
            <v>9.82</v>
          </cell>
          <cell r="AW2013" t="str">
            <v>Phạm Hồng Chính2</v>
          </cell>
          <cell r="AX2013" t="str">
            <v>Linh</v>
          </cell>
        </row>
        <row r="2014">
          <cell r="D2014" t="str">
            <v>Phạm Hồng Chính</v>
          </cell>
          <cell r="AF2014" t="str">
            <v>XE00032</v>
          </cell>
          <cell r="AH2014">
            <v>8.84</v>
          </cell>
          <cell r="AW2014" t="str">
            <v>Phạm Hồng Chính3</v>
          </cell>
          <cell r="AX2014" t="str">
            <v>Linh</v>
          </cell>
        </row>
        <row r="2015">
          <cell r="D2015" t="str">
            <v>Nguyễn Anh Hùng</v>
          </cell>
          <cell r="AF2015" t="str">
            <v>XE00013</v>
          </cell>
          <cell r="AH2015">
            <v>9.82</v>
          </cell>
          <cell r="AW2015" t="str">
            <v>Nguyễn Anh Hùng2</v>
          </cell>
          <cell r="AX2015" t="str">
            <v>Linh</v>
          </cell>
        </row>
        <row r="2016">
          <cell r="D2016" t="str">
            <v>Nguyễn Anh Hùng</v>
          </cell>
          <cell r="AF2016" t="str">
            <v>XE00013</v>
          </cell>
          <cell r="AH2016">
            <v>9.42</v>
          </cell>
          <cell r="AW2016" t="str">
            <v>Nguyễn Anh Hùng3</v>
          </cell>
          <cell r="AX2016" t="str">
            <v>Linh</v>
          </cell>
        </row>
        <row r="2017">
          <cell r="D2017" t="str">
            <v>Trần Quốc Toản</v>
          </cell>
          <cell r="AF2017" t="str">
            <v>XE00291</v>
          </cell>
          <cell r="AH2017">
            <v>9.42</v>
          </cell>
          <cell r="AW2017" t="str">
            <v>Trần Quốc Toản5</v>
          </cell>
          <cell r="AX2017" t="str">
            <v>Linh</v>
          </cell>
        </row>
        <row r="2018">
          <cell r="D2018" t="str">
            <v>Nguyễn Mạnh Trung</v>
          </cell>
          <cell r="AF2018" t="str">
            <v>XE00304</v>
          </cell>
          <cell r="AH2018">
            <v>9.82</v>
          </cell>
          <cell r="AW2018" t="str">
            <v>Nguyễn Mạnh Trung2</v>
          </cell>
          <cell r="AX2018" t="str">
            <v>Linh</v>
          </cell>
        </row>
        <row r="2019">
          <cell r="D2019" t="str">
            <v>Nguyễn Trung Trọng</v>
          </cell>
          <cell r="AF2019" t="str">
            <v>XE00334</v>
          </cell>
          <cell r="AH2019">
            <v>9.42</v>
          </cell>
          <cell r="AW2019" t="str">
            <v>Nguyễn Trung Trọng2</v>
          </cell>
          <cell r="AX2019" t="str">
            <v>Linh</v>
          </cell>
        </row>
        <row r="2020">
          <cell r="D2020" t="str">
            <v>Trần Văn Thanh</v>
          </cell>
          <cell r="AF2020" t="str">
            <v>XE00376</v>
          </cell>
          <cell r="AH2020">
            <v>9.82</v>
          </cell>
          <cell r="AW2020" t="str">
            <v>Trần Văn Thanh2</v>
          </cell>
          <cell r="AX2020" t="str">
            <v>Linh</v>
          </cell>
        </row>
        <row r="2021">
          <cell r="D2021" t="str">
            <v>Phạm Văn Vũ</v>
          </cell>
          <cell r="AF2021" t="str">
            <v>XE00042</v>
          </cell>
          <cell r="AH2021">
            <v>9.0399999999999991</v>
          </cell>
          <cell r="AW2021" t="str">
            <v>Phạm Văn Vũ2</v>
          </cell>
          <cell r="AX2021" t="str">
            <v>Linh</v>
          </cell>
        </row>
        <row r="2022">
          <cell r="D2022" t="str">
            <v>Phạm Văn Vũ</v>
          </cell>
          <cell r="AF2022" t="str">
            <v>XE00042</v>
          </cell>
          <cell r="AH2022">
            <v>9.42</v>
          </cell>
          <cell r="AW2022" t="str">
            <v>Phạm Văn Vũ3</v>
          </cell>
          <cell r="AX2022" t="str">
            <v>Linh</v>
          </cell>
        </row>
        <row r="2023">
          <cell r="D2023" t="str">
            <v>Phạm Quang Trung</v>
          </cell>
          <cell r="AF2023" t="str">
            <v>XE00041</v>
          </cell>
          <cell r="AH2023">
            <v>9.24</v>
          </cell>
          <cell r="AW2023" t="str">
            <v>Phạm Quang Trung3</v>
          </cell>
          <cell r="AX2023" t="str">
            <v>Linh</v>
          </cell>
        </row>
        <row r="2024">
          <cell r="D2024" t="str">
            <v>Phạm Quang Trung</v>
          </cell>
          <cell r="AF2024" t="str">
            <v>XE00041</v>
          </cell>
          <cell r="AH2024">
            <v>9.6199999999999992</v>
          </cell>
          <cell r="AW2024" t="str">
            <v>Phạm Quang Trung4</v>
          </cell>
          <cell r="AX2024" t="str">
            <v>Linh</v>
          </cell>
        </row>
        <row r="2025">
          <cell r="D2025" t="str">
            <v>Phạm Văn Vũ</v>
          </cell>
          <cell r="AF2025" t="str">
            <v>XE00042</v>
          </cell>
          <cell r="AH2025">
            <v>9.42</v>
          </cell>
          <cell r="AW2025" t="str">
            <v>Phạm Văn Vũ4</v>
          </cell>
          <cell r="AX2025" t="str">
            <v>Linh</v>
          </cell>
        </row>
        <row r="2026">
          <cell r="D2026" t="str">
            <v>Phạm Văn Vũ</v>
          </cell>
          <cell r="AF2026" t="str">
            <v>XE00042</v>
          </cell>
          <cell r="AH2026">
            <v>9.82</v>
          </cell>
          <cell r="AW2026" t="str">
            <v>Phạm Văn Vũ5</v>
          </cell>
          <cell r="AX2026" t="str">
            <v>Linh</v>
          </cell>
        </row>
        <row r="2027">
          <cell r="D2027" t="str">
            <v>Phạm Hồng Chính</v>
          </cell>
          <cell r="AF2027" t="str">
            <v>XE00032</v>
          </cell>
          <cell r="AH2027">
            <v>7.24</v>
          </cell>
          <cell r="AW2027" t="str">
            <v>Phạm Hồng Chính4</v>
          </cell>
          <cell r="AX2027" t="str">
            <v>Linh</v>
          </cell>
        </row>
        <row r="2028">
          <cell r="D2028" t="str">
            <v>Nguyễn Anh Hùng</v>
          </cell>
          <cell r="AF2028" t="str">
            <v>XE00013</v>
          </cell>
          <cell r="AH2028">
            <v>9.02</v>
          </cell>
          <cell r="AW2028" t="str">
            <v>Nguyễn Anh Hùng4</v>
          </cell>
          <cell r="AX2028" t="str">
            <v>Linh</v>
          </cell>
        </row>
        <row r="2029">
          <cell r="D2029" t="str">
            <v>Nguyễn Anh Hùng</v>
          </cell>
          <cell r="AF2029" t="str">
            <v>XE00013</v>
          </cell>
          <cell r="AH2029">
            <v>9.42</v>
          </cell>
          <cell r="AW2029" t="str">
            <v>Nguyễn Anh Hùng5</v>
          </cell>
          <cell r="AX2029" t="str">
            <v>Linh</v>
          </cell>
        </row>
        <row r="2030">
          <cell r="D2030" t="str">
            <v>Trần Quốc Toản</v>
          </cell>
          <cell r="AF2030" t="str">
            <v>XE00291</v>
          </cell>
          <cell r="AH2030">
            <v>9.82</v>
          </cell>
          <cell r="AW2030" t="str">
            <v>Trần Quốc Toản6</v>
          </cell>
          <cell r="AX2030" t="str">
            <v>Linh</v>
          </cell>
        </row>
        <row r="2031">
          <cell r="D2031" t="str">
            <v>Trần Quốc Toản</v>
          </cell>
          <cell r="AF2031" t="str">
            <v>XE00291</v>
          </cell>
          <cell r="AH2031">
            <v>9.42</v>
          </cell>
          <cell r="AW2031" t="str">
            <v>Trần Quốc Toản7</v>
          </cell>
          <cell r="AX2031" t="str">
            <v>Linh</v>
          </cell>
        </row>
        <row r="2032">
          <cell r="D2032" t="str">
            <v>Nguyễn Mạnh Trung</v>
          </cell>
          <cell r="AF2032" t="str">
            <v>XE00304</v>
          </cell>
          <cell r="AH2032">
            <v>9.02</v>
          </cell>
          <cell r="AW2032" t="str">
            <v>Nguyễn Mạnh Trung3</v>
          </cell>
          <cell r="AX2032" t="str">
            <v>Linh</v>
          </cell>
        </row>
        <row r="2033">
          <cell r="D2033" t="str">
            <v>Nguyễn Mạnh Trung</v>
          </cell>
          <cell r="AF2033" t="str">
            <v>XE00304</v>
          </cell>
          <cell r="AH2033">
            <v>10</v>
          </cell>
          <cell r="AW2033" t="str">
            <v>Nguyễn Mạnh Trung4</v>
          </cell>
          <cell r="AX2033" t="str">
            <v>Linh</v>
          </cell>
        </row>
        <row r="2034">
          <cell r="D2034" t="str">
            <v>Nguyễn Trung Trọng</v>
          </cell>
          <cell r="AF2034" t="str">
            <v>XE00334</v>
          </cell>
          <cell r="AH2034">
            <v>9.82</v>
          </cell>
          <cell r="AW2034" t="str">
            <v>Nguyễn Trung Trọng3</v>
          </cell>
          <cell r="AX2034" t="str">
            <v>Linh</v>
          </cell>
        </row>
        <row r="2035">
          <cell r="D2035" t="str">
            <v>Nguyễn Trung Trọng</v>
          </cell>
          <cell r="AF2035" t="str">
            <v>XE00334</v>
          </cell>
          <cell r="AH2035">
            <v>9.42</v>
          </cell>
          <cell r="AW2035" t="str">
            <v>Nguyễn Trung Trọng4</v>
          </cell>
          <cell r="AX2035" t="str">
            <v>Linh</v>
          </cell>
        </row>
        <row r="2036">
          <cell r="D2036" t="str">
            <v>Trần Văn Thanh</v>
          </cell>
          <cell r="AF2036" t="str">
            <v>XE00376</v>
          </cell>
          <cell r="AH2036">
            <v>9.6199999999999992</v>
          </cell>
          <cell r="AW2036" t="str">
            <v>Trần Văn Thanh3</v>
          </cell>
          <cell r="AX2036" t="str">
            <v>Linh</v>
          </cell>
        </row>
        <row r="2037">
          <cell r="D2037" t="str">
            <v>Trần Văn Thanh</v>
          </cell>
          <cell r="AF2037" t="str">
            <v>XE00376</v>
          </cell>
          <cell r="AH2037">
            <v>9.82</v>
          </cell>
          <cell r="AW2037" t="str">
            <v>Trần Văn Thanh4</v>
          </cell>
          <cell r="AX2037" t="str">
            <v>Linh</v>
          </cell>
        </row>
        <row r="2038">
          <cell r="D2038" t="str">
            <v>Trần Hữu Nam 1978</v>
          </cell>
          <cell r="AF2038" t="str">
            <v>XE00373</v>
          </cell>
          <cell r="AH2038">
            <v>10</v>
          </cell>
          <cell r="AW2038" t="str">
            <v>Trần Hữu Nam 19783</v>
          </cell>
          <cell r="AX2038" t="str">
            <v>Linh</v>
          </cell>
        </row>
        <row r="2039">
          <cell r="D2039" t="str">
            <v>Trần Hữu Nam 1978</v>
          </cell>
          <cell r="AF2039" t="str">
            <v>XE00373</v>
          </cell>
          <cell r="AH2039">
            <v>9.82</v>
          </cell>
          <cell r="AW2039" t="str">
            <v>Trần Hữu Nam 19784</v>
          </cell>
          <cell r="AX2039" t="str">
            <v>Linh</v>
          </cell>
        </row>
        <row r="2040">
          <cell r="D2040" t="str">
            <v>Hồ Nam Phong</v>
          </cell>
          <cell r="AF2040" t="str">
            <v>XE00384</v>
          </cell>
          <cell r="AH2040">
            <v>8.84</v>
          </cell>
          <cell r="AW2040" t="str">
            <v>Hồ Nam Phong3</v>
          </cell>
          <cell r="AX2040" t="str">
            <v>Linh</v>
          </cell>
        </row>
        <row r="2041">
          <cell r="D2041" t="str">
            <v>Hồ Nam Phong</v>
          </cell>
          <cell r="AF2041" t="str">
            <v>XE00384</v>
          </cell>
          <cell r="AH2041">
            <v>9.82</v>
          </cell>
          <cell r="AW2041" t="str">
            <v>Hồ Nam Phong4</v>
          </cell>
          <cell r="AX2041" t="str">
            <v>Linh</v>
          </cell>
        </row>
        <row r="2042">
          <cell r="D2042" t="str">
            <v>Trần Đình Thắng</v>
          </cell>
          <cell r="AF2042" t="str">
            <v>XE00513</v>
          </cell>
          <cell r="AH2042">
            <v>9.82</v>
          </cell>
          <cell r="AW2042" t="str">
            <v>Trần Đình Thắng3</v>
          </cell>
          <cell r="AX2042" t="str">
            <v>Linh</v>
          </cell>
        </row>
        <row r="2043">
          <cell r="D2043" t="str">
            <v>Trần Đình Thắng</v>
          </cell>
          <cell r="AF2043" t="str">
            <v>XE00513</v>
          </cell>
          <cell r="AH2043">
            <v>9.6199999999999992</v>
          </cell>
          <cell r="AW2043" t="str">
            <v>Trần Đình Thắng4</v>
          </cell>
          <cell r="AX2043" t="str">
            <v>Linh</v>
          </cell>
        </row>
        <row r="2044">
          <cell r="D2044" t="str">
            <v>Ngô Phong Thái</v>
          </cell>
          <cell r="AF2044" t="str">
            <v>XE00588</v>
          </cell>
          <cell r="AH2044">
            <v>9.42</v>
          </cell>
          <cell r="AW2044" t="str">
            <v>Ngô Phong Thái1</v>
          </cell>
          <cell r="AX2044" t="str">
            <v>Linh</v>
          </cell>
        </row>
        <row r="2045">
          <cell r="D2045" t="str">
            <v>Ngô Phong Thái</v>
          </cell>
          <cell r="AF2045" t="str">
            <v>XE00588</v>
          </cell>
          <cell r="AH2045">
            <v>9.42</v>
          </cell>
          <cell r="AW2045" t="str">
            <v>Ngô Phong Thái2</v>
          </cell>
          <cell r="AX2045" t="str">
            <v>Linh</v>
          </cell>
        </row>
        <row r="2046">
          <cell r="D2046" t="str">
            <v>Ngô Mạnh Tùng</v>
          </cell>
          <cell r="AF2046" t="str">
            <v>XE00108</v>
          </cell>
          <cell r="AH2046">
            <v>9.42</v>
          </cell>
          <cell r="AW2046" t="str">
            <v>Ngô Mạnh Tùng3</v>
          </cell>
          <cell r="AX2046" t="str">
            <v>Linh</v>
          </cell>
        </row>
        <row r="2047">
          <cell r="D2047" t="str">
            <v>Ngô Mạnh Tùng</v>
          </cell>
          <cell r="AF2047" t="str">
            <v>XE00108</v>
          </cell>
          <cell r="AH2047">
            <v>9.6199999999999992</v>
          </cell>
          <cell r="AW2047" t="str">
            <v>Ngô Mạnh Tùng4</v>
          </cell>
          <cell r="AX2047" t="str">
            <v>Linh</v>
          </cell>
        </row>
        <row r="2048">
          <cell r="D2048" t="str">
            <v>Trần Anh Tuấn</v>
          </cell>
          <cell r="AF2048" t="str">
            <v>XE01429</v>
          </cell>
          <cell r="AH2048">
            <v>9.82</v>
          </cell>
          <cell r="AW2048" t="str">
            <v>Trần Anh Tuấn3</v>
          </cell>
          <cell r="AX2048" t="str">
            <v>Linh</v>
          </cell>
        </row>
        <row r="2049">
          <cell r="D2049" t="str">
            <v>Trần Anh Tuấn</v>
          </cell>
          <cell r="AF2049" t="str">
            <v>XE01429</v>
          </cell>
          <cell r="AH2049">
            <v>9.82</v>
          </cell>
          <cell r="AW2049" t="str">
            <v>Trần Anh Tuấn4</v>
          </cell>
          <cell r="AX2049" t="str">
            <v>Linh</v>
          </cell>
        </row>
        <row r="2050">
          <cell r="D2050" t="str">
            <v>Cồ Văn Tiển</v>
          </cell>
          <cell r="AF2050" t="str">
            <v>XE01243</v>
          </cell>
          <cell r="AH2050">
            <v>9.42</v>
          </cell>
          <cell r="AW2050" t="str">
            <v>Cồ Văn Tiển2</v>
          </cell>
          <cell r="AX2050" t="str">
            <v>Linh</v>
          </cell>
        </row>
        <row r="2051">
          <cell r="D2051" t="str">
            <v>Cồ Văn Tiển</v>
          </cell>
          <cell r="AF2051" t="str">
            <v>XE01243</v>
          </cell>
          <cell r="AH2051">
            <v>9.02</v>
          </cell>
          <cell r="AW2051" t="str">
            <v>Cồ Văn Tiển3</v>
          </cell>
          <cell r="AX2051" t="str">
            <v>Linh</v>
          </cell>
        </row>
        <row r="2052">
          <cell r="D2052" t="str">
            <v>Bùi Xuân Bắc</v>
          </cell>
          <cell r="AF2052" t="str">
            <v>XE01166</v>
          </cell>
          <cell r="AH2052">
            <v>9.82</v>
          </cell>
          <cell r="AW2052" t="str">
            <v>Bùi Xuân Bắc3</v>
          </cell>
          <cell r="AX2052" t="str">
            <v>Linh</v>
          </cell>
        </row>
        <row r="2053">
          <cell r="D2053" t="str">
            <v>Bùi Xuân Bắc</v>
          </cell>
          <cell r="AF2053" t="str">
            <v>XE01166</v>
          </cell>
          <cell r="AH2053">
            <v>8.84</v>
          </cell>
          <cell r="AW2053" t="str">
            <v>Bùi Xuân Bắc4</v>
          </cell>
          <cell r="AX2053" t="str">
            <v>Linh</v>
          </cell>
        </row>
        <row r="2054">
          <cell r="D2054" t="str">
            <v>Phạm Hùng Sơn</v>
          </cell>
          <cell r="AF2054" t="str">
            <v>XE01157</v>
          </cell>
          <cell r="AH2054">
            <v>9.82</v>
          </cell>
          <cell r="AW2054" t="str">
            <v>Phạm Hùng Sơn3</v>
          </cell>
          <cell r="AX2054" t="str">
            <v>Linh</v>
          </cell>
        </row>
        <row r="2055">
          <cell r="D2055" t="str">
            <v>Phạm Hùng Sơn</v>
          </cell>
          <cell r="AF2055" t="str">
            <v>XE01157</v>
          </cell>
          <cell r="AH2055">
            <v>10</v>
          </cell>
          <cell r="AW2055" t="str">
            <v>Phạm Hùng Sơn4</v>
          </cell>
          <cell r="AX2055" t="str">
            <v>Linh</v>
          </cell>
        </row>
        <row r="2056">
          <cell r="D2056" t="str">
            <v>Trần Quốc Phong</v>
          </cell>
          <cell r="AF2056" t="str">
            <v>XE00949</v>
          </cell>
          <cell r="AH2056">
            <v>8.84</v>
          </cell>
          <cell r="AW2056" t="str">
            <v>Trần Quốc Phong4</v>
          </cell>
          <cell r="AX2056" t="str">
            <v>Linh</v>
          </cell>
        </row>
        <row r="2057">
          <cell r="D2057" t="str">
            <v>Trần Quốc Phong</v>
          </cell>
          <cell r="AF2057" t="str">
            <v>XE00949</v>
          </cell>
          <cell r="AH2057">
            <v>9.82</v>
          </cell>
          <cell r="AW2057" t="str">
            <v>Trần Quốc Phong5</v>
          </cell>
          <cell r="AX2057" t="str">
            <v>Linh</v>
          </cell>
        </row>
        <row r="2058">
          <cell r="D2058" t="str">
            <v>Triệu Tuấn Tú</v>
          </cell>
          <cell r="AF2058" t="str">
            <v>XE00937</v>
          </cell>
          <cell r="AH2058">
            <v>9.82</v>
          </cell>
          <cell r="AW2058" t="str">
            <v>Triệu Tuấn Tú3</v>
          </cell>
          <cell r="AX2058" t="str">
            <v>Linh</v>
          </cell>
        </row>
        <row r="2059">
          <cell r="D2059" t="str">
            <v>Triệu Tuấn Tú</v>
          </cell>
          <cell r="AF2059" t="str">
            <v>XE00937</v>
          </cell>
          <cell r="AH2059">
            <v>9.82</v>
          </cell>
          <cell r="AW2059" t="str">
            <v>Triệu Tuấn Tú4</v>
          </cell>
          <cell r="AX2059" t="str">
            <v>Linh</v>
          </cell>
        </row>
        <row r="2060">
          <cell r="D2060" t="str">
            <v>Trần Mạnh Thắng</v>
          </cell>
          <cell r="AF2060" t="str">
            <v>XE00870</v>
          </cell>
          <cell r="AH2060">
            <v>9.42</v>
          </cell>
          <cell r="AW2060" t="str">
            <v>Trần Mạnh Thắng3</v>
          </cell>
          <cell r="AX2060" t="str">
            <v>Linh</v>
          </cell>
        </row>
        <row r="2061">
          <cell r="D2061" t="str">
            <v>Trần Mạnh Thắng</v>
          </cell>
          <cell r="AF2061" t="str">
            <v>XE00870</v>
          </cell>
          <cell r="AH2061">
            <v>9.82</v>
          </cell>
          <cell r="AW2061" t="str">
            <v>Trần Mạnh Thắng4</v>
          </cell>
          <cell r="AX2061" t="str">
            <v>Linh</v>
          </cell>
        </row>
        <row r="2062">
          <cell r="D2062" t="str">
            <v>Phùng Văn Hải</v>
          </cell>
          <cell r="AF2062" t="str">
            <v>XE00776</v>
          </cell>
          <cell r="AH2062">
            <v>9.82</v>
          </cell>
          <cell r="AW2062" t="str">
            <v>Phùng Văn Hải2</v>
          </cell>
          <cell r="AX2062" t="str">
            <v>Linh</v>
          </cell>
        </row>
        <row r="2063">
          <cell r="D2063" t="str">
            <v>Phùng Văn Hải</v>
          </cell>
          <cell r="AF2063" t="str">
            <v>XE00776</v>
          </cell>
          <cell r="AH2063">
            <v>9.82</v>
          </cell>
          <cell r="AW2063" t="str">
            <v>Phùng Văn Hải3</v>
          </cell>
          <cell r="AX2063" t="str">
            <v>Linh</v>
          </cell>
        </row>
        <row r="2064">
          <cell r="D2064" t="str">
            <v>Phạm Văn Chính</v>
          </cell>
          <cell r="AF2064" t="str">
            <v>XE00690</v>
          </cell>
          <cell r="AH2064">
            <v>9.82</v>
          </cell>
          <cell r="AW2064" t="str">
            <v>Phạm Văn Chính2</v>
          </cell>
          <cell r="AX2064" t="str">
            <v>Linh</v>
          </cell>
        </row>
        <row r="2065">
          <cell r="D2065" t="str">
            <v>Phạm Văn Chính</v>
          </cell>
          <cell r="AF2065" t="str">
            <v>XE00690</v>
          </cell>
          <cell r="AH2065">
            <v>7.82</v>
          </cell>
          <cell r="AW2065" t="str">
            <v>Phạm Văn Chính3</v>
          </cell>
          <cell r="AX2065" t="str">
            <v>Linh</v>
          </cell>
        </row>
        <row r="2066">
          <cell r="D2066" t="str">
            <v>Phạm Quang Trung</v>
          </cell>
          <cell r="AF2066" t="str">
            <v>XE00041</v>
          </cell>
          <cell r="AH2066">
            <v>9.42</v>
          </cell>
          <cell r="AW2066" t="str">
            <v>Phạm Quang Trung5</v>
          </cell>
          <cell r="AX2066" t="str">
            <v>Linh</v>
          </cell>
        </row>
        <row r="2067">
          <cell r="D2067" t="str">
            <v>Phạm Văn Vũ</v>
          </cell>
          <cell r="AF2067" t="str">
            <v>XE00042</v>
          </cell>
          <cell r="AH2067">
            <v>9.82</v>
          </cell>
          <cell r="AW2067" t="str">
            <v>Phạm Văn Vũ6</v>
          </cell>
          <cell r="AX2067" t="str">
            <v>Linh</v>
          </cell>
        </row>
        <row r="2068">
          <cell r="D2068" t="str">
            <v>Hoàng Tuấn Đạt</v>
          </cell>
          <cell r="AF2068" t="str">
            <v>XE00070</v>
          </cell>
          <cell r="AH2068">
            <v>9.42</v>
          </cell>
          <cell r="AW2068" t="str">
            <v>Hoàng Tuấn Đạt2</v>
          </cell>
          <cell r="AX2068" t="str">
            <v>Linh</v>
          </cell>
        </row>
        <row r="2069">
          <cell r="D2069" t="str">
            <v>Hoàng Tuấn Đạt</v>
          </cell>
          <cell r="AF2069" t="str">
            <v>XE00070</v>
          </cell>
          <cell r="AH2069">
            <v>9.02</v>
          </cell>
          <cell r="AW2069" t="str">
            <v>Hoàng Tuấn Đạt3</v>
          </cell>
          <cell r="AX2069" t="str">
            <v>Linh</v>
          </cell>
        </row>
        <row r="2070">
          <cell r="D2070" t="str">
            <v>Vũ Đình Sơn</v>
          </cell>
          <cell r="AF2070" t="str">
            <v>XE00152</v>
          </cell>
          <cell r="AH2070">
            <v>9.42</v>
          </cell>
          <cell r="AW2070" t="str">
            <v>Vũ Đình Sơn3</v>
          </cell>
          <cell r="AX2070" t="str">
            <v>Linh</v>
          </cell>
        </row>
        <row r="2071">
          <cell r="D2071" t="str">
            <v>Vũ Đình Sơn</v>
          </cell>
          <cell r="AF2071" t="str">
            <v>XE00152</v>
          </cell>
          <cell r="AH2071">
            <v>9.82</v>
          </cell>
          <cell r="AW2071" t="str">
            <v>Vũ Đình Sơn4</v>
          </cell>
          <cell r="AX2071" t="str">
            <v>Linh</v>
          </cell>
        </row>
        <row r="2072">
          <cell r="D2072" t="str">
            <v>Hoàng Trọng Nam</v>
          </cell>
          <cell r="AF2072" t="str">
            <v>XE00043</v>
          </cell>
          <cell r="AH2072">
            <v>9.82</v>
          </cell>
          <cell r="AW2072" t="str">
            <v>Hoàng Trọng Nam4</v>
          </cell>
          <cell r="AX2072" t="str">
            <v>Linh</v>
          </cell>
        </row>
        <row r="2073">
          <cell r="D2073" t="str">
            <v>Vũ Ngọc Hà</v>
          </cell>
          <cell r="AF2073" t="str">
            <v>XE00253</v>
          </cell>
          <cell r="AH2073">
            <v>9.42</v>
          </cell>
          <cell r="AW2073" t="str">
            <v>Vũ Ngọc Hà2</v>
          </cell>
          <cell r="AX2073" t="str">
            <v>Linh</v>
          </cell>
        </row>
        <row r="2074">
          <cell r="D2074" t="str">
            <v>Vũ Ngọc Hà</v>
          </cell>
          <cell r="AF2074" t="str">
            <v>XE00253</v>
          </cell>
          <cell r="AH2074">
            <v>9.42</v>
          </cell>
          <cell r="AW2074" t="str">
            <v>Vũ Ngọc Hà3</v>
          </cell>
          <cell r="AX2074" t="str">
            <v>Linh</v>
          </cell>
        </row>
        <row r="2075">
          <cell r="D2075" t="str">
            <v>Nguyễn Anh Hùng</v>
          </cell>
          <cell r="AF2075" t="str">
            <v>XE00013</v>
          </cell>
          <cell r="AH2075">
            <v>8.44</v>
          </cell>
          <cell r="AW2075" t="str">
            <v>Nguyễn Anh Hùng6</v>
          </cell>
          <cell r="AX2075" t="str">
            <v>Linh</v>
          </cell>
        </row>
        <row r="2076">
          <cell r="D2076" t="str">
            <v>Trần Quốc Toản</v>
          </cell>
          <cell r="AF2076" t="str">
            <v>XE00291</v>
          </cell>
          <cell r="AH2076">
            <v>9.42</v>
          </cell>
          <cell r="AW2076" t="str">
            <v>Trần Quốc Toản8</v>
          </cell>
          <cell r="AX2076" t="str">
            <v>Linh</v>
          </cell>
        </row>
        <row r="2077">
          <cell r="D2077" t="str">
            <v>Phạm Công Đại</v>
          </cell>
          <cell r="AF2077" t="str">
            <v>XE00301</v>
          </cell>
          <cell r="AH2077">
            <v>9.82</v>
          </cell>
          <cell r="AW2077" t="str">
            <v>Phạm Công Đại3</v>
          </cell>
          <cell r="AX2077" t="str">
            <v>Linh</v>
          </cell>
        </row>
        <row r="2078">
          <cell r="D2078" t="str">
            <v>Phạm Công Đại</v>
          </cell>
          <cell r="AF2078" t="str">
            <v>XE00301</v>
          </cell>
          <cell r="AH2078">
            <v>9.42</v>
          </cell>
          <cell r="AW2078" t="str">
            <v>Phạm Công Đại4</v>
          </cell>
          <cell r="AX2078" t="str">
            <v>Linh</v>
          </cell>
        </row>
        <row r="2079">
          <cell r="D2079" t="str">
            <v>Nguyễn Mạnh Trung</v>
          </cell>
          <cell r="AF2079" t="str">
            <v>XE00304</v>
          </cell>
          <cell r="AH2079">
            <v>9.82</v>
          </cell>
          <cell r="AW2079" t="str">
            <v>Nguyễn Mạnh Trung5</v>
          </cell>
          <cell r="AX2079" t="str">
            <v>Linh</v>
          </cell>
        </row>
        <row r="2080">
          <cell r="D2080" t="str">
            <v>Đỗ Văn Tỉnh</v>
          </cell>
          <cell r="AF2080" t="str">
            <v>XE00405</v>
          </cell>
          <cell r="AH2080">
            <v>9.82</v>
          </cell>
          <cell r="AW2080" t="str">
            <v>Đỗ Văn Tỉnh2</v>
          </cell>
          <cell r="AX2080" t="str">
            <v>Linh</v>
          </cell>
        </row>
        <row r="2081">
          <cell r="D2081" t="str">
            <v>Đỗ Văn Tỉnh</v>
          </cell>
          <cell r="AF2081" t="str">
            <v>XE00405</v>
          </cell>
          <cell r="AH2081">
            <v>9.82</v>
          </cell>
          <cell r="AW2081" t="str">
            <v>Đỗ Văn Tỉnh3</v>
          </cell>
          <cell r="AX2081" t="str">
            <v>Linh</v>
          </cell>
        </row>
        <row r="2082">
          <cell r="D2082" t="str">
            <v>Ngô Phong Thái</v>
          </cell>
          <cell r="AF2082" t="str">
            <v>XE00588</v>
          </cell>
          <cell r="AH2082">
            <v>9.42</v>
          </cell>
          <cell r="AW2082" t="str">
            <v>Ngô Phong Thái3</v>
          </cell>
          <cell r="AX2082" t="str">
            <v>Linh</v>
          </cell>
        </row>
        <row r="2083">
          <cell r="D2083" t="str">
            <v>Ngô Phong Thái</v>
          </cell>
          <cell r="AF2083" t="str">
            <v>XE00588</v>
          </cell>
          <cell r="AH2083">
            <v>9.42</v>
          </cell>
          <cell r="AW2083" t="str">
            <v>Ngô Phong Thái4</v>
          </cell>
          <cell r="AX2083" t="str">
            <v>Linh</v>
          </cell>
        </row>
        <row r="2084">
          <cell r="D2084" t="str">
            <v>Trần Quyết Thắng</v>
          </cell>
          <cell r="AF2084" t="str">
            <v>XE00634</v>
          </cell>
          <cell r="AH2084">
            <v>10</v>
          </cell>
          <cell r="AW2084" t="str">
            <v>Trần Quyết Thắng2</v>
          </cell>
          <cell r="AX2084" t="str">
            <v>Linh</v>
          </cell>
        </row>
        <row r="2085">
          <cell r="D2085" t="str">
            <v>Trần Quyết Thắng</v>
          </cell>
          <cell r="AF2085" t="str">
            <v>XE00634</v>
          </cell>
          <cell r="AH2085">
            <v>9.42</v>
          </cell>
          <cell r="AW2085" t="str">
            <v>Trần Quyết Thắng3</v>
          </cell>
          <cell r="AX2085" t="str">
            <v>Linh</v>
          </cell>
        </row>
        <row r="2086">
          <cell r="D2086" t="str">
            <v>Phạm Văn Chính</v>
          </cell>
          <cell r="AF2086" t="str">
            <v>XE00690</v>
          </cell>
          <cell r="AH2086">
            <v>9.82</v>
          </cell>
          <cell r="AW2086" t="str">
            <v>Phạm Văn Chính4</v>
          </cell>
          <cell r="AX2086" t="str">
            <v>Linh</v>
          </cell>
        </row>
        <row r="2087">
          <cell r="D2087" t="str">
            <v>Phùng Văn Hải</v>
          </cell>
          <cell r="AF2087" t="str">
            <v>XE00776</v>
          </cell>
          <cell r="AH2087">
            <v>9.02</v>
          </cell>
          <cell r="AW2087" t="str">
            <v>Phùng Văn Hải4</v>
          </cell>
          <cell r="AX2087" t="str">
            <v>Linh</v>
          </cell>
        </row>
        <row r="2088">
          <cell r="D2088" t="str">
            <v>Phùng Văn Hải</v>
          </cell>
          <cell r="AF2088" t="str">
            <v>XE00776</v>
          </cell>
          <cell r="AH2088">
            <v>9.02</v>
          </cell>
          <cell r="AW2088" t="str">
            <v>Phùng Văn Hải5</v>
          </cell>
          <cell r="AX2088" t="str">
            <v>Linh</v>
          </cell>
        </row>
        <row r="2089">
          <cell r="D2089" t="str">
            <v>Đỗ Tuấn Anh</v>
          </cell>
          <cell r="AF2089" t="str">
            <v>XE00962</v>
          </cell>
          <cell r="AH2089">
            <v>9.42</v>
          </cell>
          <cell r="AW2089" t="str">
            <v>Đỗ Tuấn Anh3</v>
          </cell>
          <cell r="AX2089" t="str">
            <v>Linh</v>
          </cell>
        </row>
        <row r="2090">
          <cell r="D2090" t="str">
            <v>Đỗ Tuấn Anh</v>
          </cell>
          <cell r="AF2090" t="str">
            <v>XE00962</v>
          </cell>
          <cell r="AH2090">
            <v>9.42</v>
          </cell>
          <cell r="AW2090" t="str">
            <v>Đỗ Tuấn Anh4</v>
          </cell>
          <cell r="AX2090" t="str">
            <v>Linh</v>
          </cell>
        </row>
        <row r="2091">
          <cell r="D2091" t="str">
            <v>Phạm Thanh Bình</v>
          </cell>
          <cell r="AF2091" t="str">
            <v>XE01117</v>
          </cell>
          <cell r="AH2091">
            <v>9.42</v>
          </cell>
          <cell r="AW2091" t="str">
            <v>Phạm Thanh Bình3</v>
          </cell>
          <cell r="AX2091" t="str">
            <v>Linh</v>
          </cell>
        </row>
        <row r="2092">
          <cell r="D2092" t="str">
            <v>Phạm Thanh Bình</v>
          </cell>
          <cell r="AF2092" t="str">
            <v>XE01117</v>
          </cell>
          <cell r="AH2092">
            <v>9.82</v>
          </cell>
          <cell r="AW2092" t="str">
            <v>Phạm Thanh Bình4</v>
          </cell>
          <cell r="AX2092" t="str">
            <v>Linh</v>
          </cell>
        </row>
        <row r="2093">
          <cell r="D2093" t="str">
            <v>Cồ Văn Tiển</v>
          </cell>
          <cell r="AF2093" t="str">
            <v>XE01243</v>
          </cell>
          <cell r="AH2093">
            <v>9.42</v>
          </cell>
          <cell r="AW2093" t="str">
            <v>Cồ Văn Tiển4</v>
          </cell>
          <cell r="AX2093" t="str">
            <v>Linh</v>
          </cell>
        </row>
        <row r="2094">
          <cell r="D2094" t="str">
            <v>Trần Anh Tuấn</v>
          </cell>
          <cell r="AF2094" t="str">
            <v>XE01429</v>
          </cell>
          <cell r="AH2094">
            <v>9.82</v>
          </cell>
          <cell r="AW2094" t="str">
            <v>Trần Anh Tuấn5</v>
          </cell>
          <cell r="AX2094" t="str">
            <v>Linh</v>
          </cell>
        </row>
        <row r="2095">
          <cell r="D2095" t="str">
            <v>Trần Văn Thanh</v>
          </cell>
          <cell r="AF2095" t="str">
            <v>XE00376</v>
          </cell>
          <cell r="AH2095">
            <v>9.42</v>
          </cell>
          <cell r="AW2095" t="str">
            <v>Trần Văn Thanh5</v>
          </cell>
          <cell r="AX2095" t="str">
            <v>Linh</v>
          </cell>
        </row>
        <row r="2096">
          <cell r="D2096" t="str">
            <v>Trần Hữu Nam 1978</v>
          </cell>
          <cell r="AF2096" t="str">
            <v>XE00373</v>
          </cell>
          <cell r="AH2096">
            <v>9.82</v>
          </cell>
          <cell r="AW2096" t="str">
            <v>Trần Hữu Nam 19785</v>
          </cell>
          <cell r="AX2096" t="str">
            <v>Linh</v>
          </cell>
        </row>
        <row r="2097">
          <cell r="D2097" t="str">
            <v>Hồ Nam Phong</v>
          </cell>
          <cell r="AF2097" t="str">
            <v>XE00384</v>
          </cell>
          <cell r="AH2097">
            <v>9.42</v>
          </cell>
          <cell r="AW2097" t="str">
            <v>Hồ Nam Phong5</v>
          </cell>
          <cell r="AX2097" t="str">
            <v>Linh</v>
          </cell>
        </row>
        <row r="2098">
          <cell r="D2098" t="str">
            <v>Trần Đình Thắng</v>
          </cell>
          <cell r="AF2098" t="str">
            <v>XE00513</v>
          </cell>
          <cell r="AH2098">
            <v>9.02</v>
          </cell>
          <cell r="AW2098" t="str">
            <v>Trần Đình Thắng5</v>
          </cell>
          <cell r="AX2098" t="str">
            <v>Linh</v>
          </cell>
        </row>
        <row r="2099">
          <cell r="D2099" t="str">
            <v>Ngô Mạnh Tùng</v>
          </cell>
          <cell r="AF2099" t="str">
            <v>XE00108</v>
          </cell>
          <cell r="AH2099">
            <v>9.82</v>
          </cell>
          <cell r="AW2099" t="str">
            <v>Ngô Mạnh Tùng5</v>
          </cell>
          <cell r="AX2099" t="str">
            <v>Linh</v>
          </cell>
        </row>
        <row r="2100">
          <cell r="D2100" t="str">
            <v>Trần Mạnh Thắng</v>
          </cell>
          <cell r="AF2100" t="str">
            <v>XE00870</v>
          </cell>
          <cell r="AH2100">
            <v>9.82</v>
          </cell>
          <cell r="AW2100" t="str">
            <v>Trần Mạnh Thắng5</v>
          </cell>
          <cell r="AX2100" t="str">
            <v>Linh</v>
          </cell>
        </row>
        <row r="2101">
          <cell r="D2101" t="str">
            <v>Triệu Tuấn Tú</v>
          </cell>
          <cell r="AF2101" t="str">
            <v>XE00937</v>
          </cell>
          <cell r="AH2101">
            <v>9.82</v>
          </cell>
          <cell r="AW2101" t="str">
            <v>Triệu Tuấn Tú5</v>
          </cell>
          <cell r="AX2101" t="str">
            <v>Linh</v>
          </cell>
        </row>
        <row r="2102">
          <cell r="D2102" t="str">
            <v>Trần Quốc Phong</v>
          </cell>
          <cell r="AF2102" t="str">
            <v>XE00949</v>
          </cell>
          <cell r="AH2102">
            <v>9.82</v>
          </cell>
          <cell r="AW2102" t="str">
            <v>Trần Quốc Phong6</v>
          </cell>
          <cell r="AX2102" t="str">
            <v>Linh</v>
          </cell>
        </row>
        <row r="2103">
          <cell r="D2103" t="str">
            <v>Phạm Hùng Sơn</v>
          </cell>
          <cell r="AF2103" t="str">
            <v>XE01157</v>
          </cell>
          <cell r="AH2103">
            <v>9.6199999999999992</v>
          </cell>
          <cell r="AW2103" t="str">
            <v>Phạm Hùng Sơn5</v>
          </cell>
          <cell r="AX2103" t="str">
            <v>Linh</v>
          </cell>
        </row>
        <row r="2104">
          <cell r="D2104" t="str">
            <v>Bùi Xuân Bắc</v>
          </cell>
          <cell r="AF2104" t="str">
            <v>XE01166</v>
          </cell>
          <cell r="AH2104">
            <v>9.82</v>
          </cell>
          <cell r="AW2104" t="str">
            <v>Bùi Xuân Bắc5</v>
          </cell>
          <cell r="AX2104" t="str">
            <v>Linh</v>
          </cell>
        </row>
        <row r="2105">
          <cell r="D2105" t="str">
            <v>Hoàng Trọng Nam</v>
          </cell>
          <cell r="AF2105" t="str">
            <v>XE00043</v>
          </cell>
          <cell r="AH2105">
            <v>9.82</v>
          </cell>
          <cell r="AW2105" t="str">
            <v>Hoàng Trọng Nam5</v>
          </cell>
          <cell r="AX2105" t="str">
            <v>Linh</v>
          </cell>
        </row>
        <row r="2106">
          <cell r="D2106" t="str">
            <v>Trần Đức Triều</v>
          </cell>
          <cell r="AF2106" t="str">
            <v>XE00080</v>
          </cell>
          <cell r="AH2106">
            <v>9.42</v>
          </cell>
          <cell r="AW2106" t="str">
            <v>Trần Đức Triều2</v>
          </cell>
          <cell r="AX2106" t="str">
            <v>Linh</v>
          </cell>
        </row>
        <row r="2107">
          <cell r="D2107" t="str">
            <v>Trần Đức Triều</v>
          </cell>
          <cell r="AF2107" t="str">
            <v>XE00080</v>
          </cell>
          <cell r="AH2107">
            <v>9.82</v>
          </cell>
          <cell r="AW2107" t="str">
            <v>Trần Đức Triều3</v>
          </cell>
          <cell r="AX2107" t="str">
            <v>Linh</v>
          </cell>
        </row>
        <row r="2108">
          <cell r="D2108" t="str">
            <v>Phạm Quang Trung</v>
          </cell>
          <cell r="AF2108" t="str">
            <v>XE00041</v>
          </cell>
          <cell r="AH2108">
            <v>8.84</v>
          </cell>
          <cell r="AW2108" t="str">
            <v>Phạm Quang Trung6</v>
          </cell>
          <cell r="AX2108" t="str">
            <v>Linh</v>
          </cell>
        </row>
        <row r="2109">
          <cell r="D2109" t="str">
            <v>Nguyễn Văn Hùng</v>
          </cell>
          <cell r="AF2109" t="str">
            <v>XE00083</v>
          </cell>
          <cell r="AH2109">
            <v>7.24</v>
          </cell>
          <cell r="AW2109" t="str">
            <v>Nguyễn Văn Hùng2</v>
          </cell>
          <cell r="AX2109" t="str">
            <v>Linh</v>
          </cell>
        </row>
        <row r="2110">
          <cell r="D2110" t="str">
            <v>Nguyễn Văn Hùng</v>
          </cell>
          <cell r="AF2110" t="str">
            <v>XE00083</v>
          </cell>
          <cell r="AH2110">
            <v>9.82</v>
          </cell>
          <cell r="AW2110" t="str">
            <v>Nguyễn Văn Hùng3</v>
          </cell>
          <cell r="AX2110" t="str">
            <v>Linh</v>
          </cell>
        </row>
        <row r="2111">
          <cell r="D2111" t="str">
            <v>Phạm Văn Vũ</v>
          </cell>
          <cell r="AF2111" t="str">
            <v>XE00042</v>
          </cell>
          <cell r="AH2111">
            <v>9.82</v>
          </cell>
          <cell r="AW2111" t="str">
            <v>Phạm Văn Vũ7</v>
          </cell>
          <cell r="AX2111" t="str">
            <v>Linh</v>
          </cell>
        </row>
        <row r="2112">
          <cell r="D2112" t="str">
            <v>Hoàng Tuấn Đạt</v>
          </cell>
          <cell r="AF2112" t="str">
            <v>XE00070</v>
          </cell>
          <cell r="AH2112">
            <v>9.82</v>
          </cell>
          <cell r="AW2112" t="str">
            <v>Hoàng Tuấn Đạt4</v>
          </cell>
          <cell r="AX2112" t="str">
            <v>Linh</v>
          </cell>
        </row>
        <row r="2113">
          <cell r="D2113" t="str">
            <v>Vũ Đình Sơn</v>
          </cell>
          <cell r="AF2113" t="str">
            <v>XE00152</v>
          </cell>
          <cell r="AH2113">
            <v>9.42</v>
          </cell>
          <cell r="AW2113" t="str">
            <v>Vũ Đình Sơn5</v>
          </cell>
          <cell r="AX2113" t="str">
            <v>Linh</v>
          </cell>
        </row>
        <row r="2114">
          <cell r="D2114" t="str">
            <v>Hoàng Trọng Nam</v>
          </cell>
          <cell r="AF2114" t="str">
            <v>XE00043</v>
          </cell>
          <cell r="AH2114">
            <v>9.64</v>
          </cell>
          <cell r="AW2114" t="str">
            <v>Hoàng Trọng Nam6</v>
          </cell>
          <cell r="AX2114" t="str">
            <v>Linh</v>
          </cell>
        </row>
        <row r="2115">
          <cell r="D2115" t="str">
            <v>Đinh Văn Sỹ</v>
          </cell>
          <cell r="AF2115" t="str">
            <v>XE00194</v>
          </cell>
          <cell r="AH2115">
            <v>9.82</v>
          </cell>
          <cell r="AW2115" t="str">
            <v>Đinh Văn Sỹ4</v>
          </cell>
          <cell r="AX2115" t="str">
            <v>Linh</v>
          </cell>
        </row>
        <row r="2116">
          <cell r="D2116" t="str">
            <v>Nguyễn Văn Khuyến</v>
          </cell>
          <cell r="AF2116" t="str">
            <v>XE00139</v>
          </cell>
          <cell r="AH2116">
            <v>9.82</v>
          </cell>
          <cell r="AW2116" t="str">
            <v>Nguyễn Văn Khuyến3</v>
          </cell>
          <cell r="AX2116" t="str">
            <v>Linh</v>
          </cell>
        </row>
        <row r="2117">
          <cell r="D2117" t="str">
            <v>Nguyễn Văn Khuyến</v>
          </cell>
          <cell r="AF2117" t="str">
            <v>XE00139</v>
          </cell>
          <cell r="AH2117">
            <v>9.82</v>
          </cell>
          <cell r="AW2117" t="str">
            <v>Nguyễn Văn Khuyến4</v>
          </cell>
          <cell r="AX2117" t="str">
            <v>Linh</v>
          </cell>
        </row>
        <row r="2118">
          <cell r="D2118" t="str">
            <v>Phạm Hồng Chính</v>
          </cell>
          <cell r="AF2118" t="str">
            <v>XE00032</v>
          </cell>
          <cell r="AH2118">
            <v>9.42</v>
          </cell>
          <cell r="AW2118" t="str">
            <v>Phạm Hồng Chính5</v>
          </cell>
          <cell r="AX2118" t="str">
            <v>Linh</v>
          </cell>
        </row>
        <row r="2119">
          <cell r="D2119" t="str">
            <v>Nguyễn Văn Chiến</v>
          </cell>
          <cell r="AF2119" t="str">
            <v>XE00095</v>
          </cell>
          <cell r="AH2119">
            <v>8.84</v>
          </cell>
          <cell r="AW2119" t="str">
            <v>Nguyễn Văn Chiến2</v>
          </cell>
          <cell r="AX2119" t="str">
            <v>Linh</v>
          </cell>
        </row>
        <row r="2120">
          <cell r="D2120" t="str">
            <v>Nguyễn Văn Chiến</v>
          </cell>
          <cell r="AF2120" t="str">
            <v>XE00095</v>
          </cell>
          <cell r="AH2120">
            <v>9.42</v>
          </cell>
          <cell r="AW2120" t="str">
            <v>Nguyễn Văn Chiến3</v>
          </cell>
          <cell r="AX2120" t="str">
            <v>Linh</v>
          </cell>
        </row>
        <row r="2121">
          <cell r="D2121" t="str">
            <v>Vũ Ngọc Hà</v>
          </cell>
          <cell r="AF2121" t="str">
            <v>XE00253</v>
          </cell>
          <cell r="AH2121">
            <v>9.82</v>
          </cell>
          <cell r="AW2121" t="str">
            <v>Vũ Ngọc Hà4</v>
          </cell>
          <cell r="AX2121" t="str">
            <v>Linh</v>
          </cell>
        </row>
        <row r="2122">
          <cell r="D2122" t="str">
            <v>Nguyễn Anh Hùng</v>
          </cell>
          <cell r="AF2122" t="str">
            <v>XE00013</v>
          </cell>
          <cell r="AH2122">
            <v>8.84</v>
          </cell>
          <cell r="AW2122" t="str">
            <v>Nguyễn Anh Hùng7</v>
          </cell>
          <cell r="AX2122" t="str">
            <v>Linh</v>
          </cell>
        </row>
        <row r="2123">
          <cell r="D2123" t="str">
            <v>Phạm Công Đại</v>
          </cell>
          <cell r="AF2123" t="str">
            <v>XE00301</v>
          </cell>
          <cell r="AH2123">
            <v>9.42</v>
          </cell>
          <cell r="AW2123" t="str">
            <v>Phạm Công Đại5</v>
          </cell>
          <cell r="AX2123" t="str">
            <v>Linh</v>
          </cell>
        </row>
        <row r="2124">
          <cell r="D2124" t="str">
            <v>Nguyễn Mạnh Trung</v>
          </cell>
          <cell r="AF2124" t="str">
            <v>XE00304</v>
          </cell>
          <cell r="AH2124">
            <v>7.6400000000000006</v>
          </cell>
          <cell r="AW2124" t="str">
            <v>Nguyễn Mạnh Trung6</v>
          </cell>
          <cell r="AX2124" t="str">
            <v>Linh</v>
          </cell>
        </row>
        <row r="2125">
          <cell r="D2125" t="str">
            <v>Nguyễn Trung Trọng</v>
          </cell>
          <cell r="AF2125" t="str">
            <v>XE00334</v>
          </cell>
          <cell r="AH2125">
            <v>9.82</v>
          </cell>
          <cell r="AW2125" t="str">
            <v>Nguyễn Trung Trọng5</v>
          </cell>
          <cell r="AX2125" t="str">
            <v>Linh</v>
          </cell>
        </row>
        <row r="2126">
          <cell r="D2126" t="str">
            <v>Trần Văn Thanh</v>
          </cell>
          <cell r="AF2126" t="str">
            <v>XE00376</v>
          </cell>
          <cell r="AH2126">
            <v>9.42</v>
          </cell>
          <cell r="AW2126" t="str">
            <v>Trần Văn Thanh6</v>
          </cell>
          <cell r="AX2126" t="str">
            <v>Linh</v>
          </cell>
        </row>
        <row r="2127">
          <cell r="D2127" t="str">
            <v>Trần Hữu Nam 1978</v>
          </cell>
          <cell r="AF2127" t="str">
            <v>XE00373</v>
          </cell>
          <cell r="AH2127">
            <v>9.02</v>
          </cell>
          <cell r="AW2127" t="str">
            <v>Trần Hữu Nam 19786</v>
          </cell>
          <cell r="AX2127" t="str">
            <v>Linh</v>
          </cell>
        </row>
        <row r="2128">
          <cell r="D2128" t="str">
            <v>Hồ Nam Phong</v>
          </cell>
          <cell r="AF2128" t="str">
            <v>XE00384</v>
          </cell>
          <cell r="AH2128">
            <v>9.82</v>
          </cell>
          <cell r="AW2128" t="str">
            <v>Hồ Nam Phong6</v>
          </cell>
          <cell r="AX2128" t="str">
            <v>Linh</v>
          </cell>
        </row>
        <row r="2129">
          <cell r="D2129" t="str">
            <v>Đỗ Văn Tỉnh</v>
          </cell>
          <cell r="AF2129" t="str">
            <v>XE00405</v>
          </cell>
          <cell r="AH2129">
            <v>9.42</v>
          </cell>
          <cell r="AW2129" t="str">
            <v>Đỗ Văn Tỉnh4</v>
          </cell>
          <cell r="AX2129" t="str">
            <v>Linh</v>
          </cell>
        </row>
        <row r="2130">
          <cell r="D2130" t="str">
            <v>Vũ Mạnh Hùng</v>
          </cell>
          <cell r="AF2130" t="str">
            <v>XE00511</v>
          </cell>
          <cell r="AH2130">
            <v>9.82</v>
          </cell>
          <cell r="AW2130" t="str">
            <v>Vũ Mạnh Hùng3</v>
          </cell>
          <cell r="AX2130" t="str">
            <v>Linh</v>
          </cell>
        </row>
        <row r="2131">
          <cell r="D2131" t="str">
            <v>Vũ Mạnh Hùng</v>
          </cell>
          <cell r="AF2131" t="str">
            <v>XE00511</v>
          </cell>
          <cell r="AH2131">
            <v>8.2200000000000006</v>
          </cell>
          <cell r="AW2131" t="str">
            <v>Vũ Mạnh Hùng4</v>
          </cell>
          <cell r="AX2131" t="str">
            <v>Linh</v>
          </cell>
        </row>
        <row r="2132">
          <cell r="D2132" t="str">
            <v>Trần Đình Thắng</v>
          </cell>
          <cell r="AF2132" t="str">
            <v>XE00513</v>
          </cell>
          <cell r="AH2132">
            <v>9.82</v>
          </cell>
          <cell r="AW2132" t="str">
            <v>Trần Đình Thắng6</v>
          </cell>
          <cell r="AX2132" t="str">
            <v>Linh</v>
          </cell>
        </row>
        <row r="2133">
          <cell r="D2133" t="str">
            <v>Ngô Phong Thái</v>
          </cell>
          <cell r="AF2133" t="str">
            <v>XE00588</v>
          </cell>
          <cell r="AH2133">
            <v>8.84</v>
          </cell>
          <cell r="AW2133" t="str">
            <v>Ngô Phong Thái5</v>
          </cell>
          <cell r="AX2133" t="str">
            <v>Linh</v>
          </cell>
        </row>
        <row r="2134">
          <cell r="D2134" t="str">
            <v>Ngô Mạnh Tùng</v>
          </cell>
          <cell r="AF2134" t="str">
            <v>XE00108</v>
          </cell>
          <cell r="AH2134">
            <v>9.02</v>
          </cell>
          <cell r="AW2134" t="str">
            <v>Ngô Mạnh Tùng6</v>
          </cell>
          <cell r="AX2134" t="str">
            <v>Linh</v>
          </cell>
        </row>
        <row r="2135">
          <cell r="D2135" t="str">
            <v>Trần Quyết Thắng</v>
          </cell>
          <cell r="AF2135" t="str">
            <v>XE00634</v>
          </cell>
          <cell r="AH2135">
            <v>9.82</v>
          </cell>
          <cell r="AW2135" t="str">
            <v>Trần Quyết Thắng4</v>
          </cell>
          <cell r="AX2135" t="str">
            <v>Linh</v>
          </cell>
        </row>
        <row r="2136">
          <cell r="D2136" t="str">
            <v>Phạm Văn Chính</v>
          </cell>
          <cell r="AF2136" t="str">
            <v>XE00690</v>
          </cell>
          <cell r="AH2136">
            <v>9.02</v>
          </cell>
          <cell r="AW2136" t="str">
            <v>Phạm Văn Chính5</v>
          </cell>
          <cell r="AX2136" t="str">
            <v>Linh</v>
          </cell>
        </row>
        <row r="2137">
          <cell r="D2137" t="str">
            <v>Phạm Văn Sớm</v>
          </cell>
          <cell r="AF2137" t="str">
            <v>XE01221</v>
          </cell>
          <cell r="AH2137">
            <v>9.82</v>
          </cell>
          <cell r="AW2137" t="str">
            <v>Phạm Văn Sớm3</v>
          </cell>
          <cell r="AX2137" t="str">
            <v>Linh</v>
          </cell>
        </row>
        <row r="2138">
          <cell r="D2138" t="str">
            <v>Phạm Văn Sớm</v>
          </cell>
          <cell r="AF2138" t="str">
            <v>XE01221</v>
          </cell>
          <cell r="AH2138">
            <v>9.2199999999999989</v>
          </cell>
          <cell r="AW2138" t="str">
            <v>Phạm Văn Sớm4</v>
          </cell>
          <cell r="AX2138" t="str">
            <v>Linh</v>
          </cell>
        </row>
        <row r="2139">
          <cell r="D2139" t="str">
            <v>Đinh Trung Dũng</v>
          </cell>
          <cell r="AF2139" t="str">
            <v>XE01380</v>
          </cell>
          <cell r="AH2139">
            <v>9.82</v>
          </cell>
          <cell r="AW2139" t="str">
            <v>Đinh Trung Dũng2</v>
          </cell>
          <cell r="AX2139" t="str">
            <v>Linh</v>
          </cell>
        </row>
        <row r="2140">
          <cell r="D2140" t="str">
            <v>Đỗ Tuấn Anh</v>
          </cell>
          <cell r="AF2140" t="str">
            <v>XE00962</v>
          </cell>
          <cell r="AH2140">
            <v>9.82</v>
          </cell>
          <cell r="AW2140" t="str">
            <v>Đỗ Tuấn Anh5</v>
          </cell>
          <cell r="AX2140" t="str">
            <v>Linh</v>
          </cell>
        </row>
        <row r="2141">
          <cell r="D2141" t="str">
            <v>Cồ Văn Tiển</v>
          </cell>
          <cell r="AF2141" t="str">
            <v>XE01243</v>
          </cell>
          <cell r="AH2141">
            <v>9.02</v>
          </cell>
          <cell r="AW2141" t="str">
            <v>Cồ Văn Tiển5</v>
          </cell>
          <cell r="AX2141" t="str">
            <v>Linh</v>
          </cell>
        </row>
        <row r="2142">
          <cell r="D2142" t="str">
            <v>Phạm Thanh Bình</v>
          </cell>
          <cell r="AF2142" t="str">
            <v>XE01117</v>
          </cell>
          <cell r="AH2142">
            <v>9.42</v>
          </cell>
          <cell r="AW2142" t="str">
            <v>Phạm Thanh Bình5</v>
          </cell>
          <cell r="AX2142" t="str">
            <v>Linh</v>
          </cell>
        </row>
        <row r="2143">
          <cell r="D2143" t="str">
            <v>Phùng Văn Hải</v>
          </cell>
          <cell r="AF2143" t="str">
            <v>XE00776</v>
          </cell>
          <cell r="AH2143">
            <v>8.2200000000000006</v>
          </cell>
          <cell r="AW2143" t="str">
            <v>Phùng Văn Hải6</v>
          </cell>
          <cell r="AX2143" t="str">
            <v>Linh</v>
          </cell>
        </row>
        <row r="2144">
          <cell r="D2144" t="str">
            <v>Trần Mạnh Thắng</v>
          </cell>
          <cell r="AF2144" t="str">
            <v>XE00870</v>
          </cell>
          <cell r="AH2144">
            <v>9.42</v>
          </cell>
          <cell r="AW2144" t="str">
            <v>Trần Mạnh Thắng6</v>
          </cell>
          <cell r="AX2144" t="str">
            <v>Linh</v>
          </cell>
        </row>
        <row r="2145">
          <cell r="D2145" t="str">
            <v>Triệu Tuấn Tú</v>
          </cell>
          <cell r="AF2145" t="str">
            <v>XE00937</v>
          </cell>
          <cell r="AH2145">
            <v>9.82</v>
          </cell>
          <cell r="AW2145" t="str">
            <v>Triệu Tuấn Tú6</v>
          </cell>
          <cell r="AX2145" t="str">
            <v>Linh</v>
          </cell>
        </row>
        <row r="2146">
          <cell r="D2146" t="str">
            <v>Trần Đức Triều</v>
          </cell>
          <cell r="AF2146" t="str">
            <v>XE00080</v>
          </cell>
          <cell r="AH2146">
            <v>9.82</v>
          </cell>
          <cell r="AW2146" t="str">
            <v>Trần Đức Triều4</v>
          </cell>
          <cell r="AX2146" t="str">
            <v>Linh</v>
          </cell>
        </row>
        <row r="2147">
          <cell r="D2147" t="str">
            <v>Trần Đức Triều</v>
          </cell>
          <cell r="AF2147" t="str">
            <v>XE00080</v>
          </cell>
          <cell r="AH2147">
            <v>9.02</v>
          </cell>
          <cell r="AW2147" t="str">
            <v>Trần Đức Triều5</v>
          </cell>
          <cell r="AX2147" t="str">
            <v>Linh</v>
          </cell>
        </row>
        <row r="2148">
          <cell r="D2148" t="str">
            <v>Phạm Quang Trung</v>
          </cell>
          <cell r="AF2148" t="str">
            <v>XE00041</v>
          </cell>
          <cell r="AH2148">
            <v>9.82</v>
          </cell>
          <cell r="AW2148" t="str">
            <v>Phạm Quang Trung7</v>
          </cell>
          <cell r="AX2148" t="str">
            <v>Linh</v>
          </cell>
        </row>
        <row r="2149">
          <cell r="D2149" t="str">
            <v>Nguyễn Văn Hùng</v>
          </cell>
          <cell r="AF2149" t="str">
            <v>XE00083</v>
          </cell>
          <cell r="AH2149">
            <v>9.82</v>
          </cell>
          <cell r="AW2149" t="str">
            <v>Nguyễn Văn Hùng4</v>
          </cell>
          <cell r="AX2149" t="str">
            <v>Linh</v>
          </cell>
        </row>
        <row r="2150">
          <cell r="D2150" t="str">
            <v>Phạm Văn Vũ</v>
          </cell>
          <cell r="AF2150" t="str">
            <v>XE00042</v>
          </cell>
          <cell r="AH2150">
            <v>6.8400000000000007</v>
          </cell>
          <cell r="AW2150" t="str">
            <v>Phạm Văn Vũ8</v>
          </cell>
          <cell r="AX2150" t="str">
            <v>Linh</v>
          </cell>
        </row>
        <row r="2151">
          <cell r="D2151" t="str">
            <v>Hoàng Tuấn Đạt</v>
          </cell>
          <cell r="AF2151" t="str">
            <v>XE00070</v>
          </cell>
          <cell r="AH2151">
            <v>9.6199999999999992</v>
          </cell>
          <cell r="AW2151" t="str">
            <v>Hoàng Tuấn Đạt5</v>
          </cell>
          <cell r="AX2151" t="str">
            <v>Linh</v>
          </cell>
        </row>
        <row r="2152">
          <cell r="D2152" t="str">
            <v>Hoàng Tuấn Đạt</v>
          </cell>
          <cell r="AF2152" t="str">
            <v>XE00070</v>
          </cell>
          <cell r="AH2152">
            <v>8.0400000000000009</v>
          </cell>
          <cell r="AW2152" t="str">
            <v>Hoàng Tuấn Đạt6</v>
          </cell>
          <cell r="AX2152" t="str">
            <v>Linh</v>
          </cell>
        </row>
        <row r="2153">
          <cell r="D2153" t="str">
            <v>Vũ Đình Sơn</v>
          </cell>
          <cell r="AF2153" t="str">
            <v>XE00152</v>
          </cell>
          <cell r="AH2153">
            <v>9.42</v>
          </cell>
          <cell r="AW2153" t="str">
            <v>Vũ Đình Sơn6</v>
          </cell>
          <cell r="AX2153" t="str">
            <v>Linh</v>
          </cell>
        </row>
        <row r="2154">
          <cell r="D2154" t="str">
            <v>Hoàng Trọng Nam</v>
          </cell>
          <cell r="AF2154" t="str">
            <v>XE00043</v>
          </cell>
          <cell r="AH2154">
            <v>9.82</v>
          </cell>
          <cell r="AW2154" t="str">
            <v>Hoàng Trọng Nam7</v>
          </cell>
          <cell r="AX2154" t="str">
            <v>Linh</v>
          </cell>
        </row>
        <row r="2155">
          <cell r="D2155" t="str">
            <v>Đinh Văn Sỹ</v>
          </cell>
          <cell r="AF2155" t="str">
            <v>XE00194</v>
          </cell>
          <cell r="AH2155">
            <v>9.42</v>
          </cell>
          <cell r="AW2155" t="str">
            <v>Đinh Văn Sỹ5</v>
          </cell>
          <cell r="AX2155" t="str">
            <v>Linh</v>
          </cell>
        </row>
        <row r="2156">
          <cell r="D2156" t="str">
            <v>Đinh Văn Sỹ</v>
          </cell>
          <cell r="AF2156" t="str">
            <v>XE00194</v>
          </cell>
          <cell r="AH2156">
            <v>9.42</v>
          </cell>
          <cell r="AW2156" t="str">
            <v>Đinh Văn Sỹ6</v>
          </cell>
          <cell r="AX2156" t="str">
            <v>Linh</v>
          </cell>
        </row>
        <row r="2157">
          <cell r="D2157" t="str">
            <v>Nguyễn Văn Khuyến</v>
          </cell>
          <cell r="AF2157" t="str">
            <v>XE00139</v>
          </cell>
          <cell r="AH2157">
            <v>9.42</v>
          </cell>
          <cell r="AW2157" t="str">
            <v>Nguyễn Văn Khuyến5</v>
          </cell>
          <cell r="AX2157" t="str">
            <v>Linh</v>
          </cell>
        </row>
        <row r="2158">
          <cell r="D2158" t="str">
            <v>Nguyễn Văn Khuyến</v>
          </cell>
          <cell r="AF2158" t="str">
            <v>XE00139</v>
          </cell>
          <cell r="AH2158">
            <v>9.02</v>
          </cell>
          <cell r="AW2158" t="str">
            <v>Nguyễn Văn Khuyến6</v>
          </cell>
          <cell r="AX2158" t="str">
            <v>Linh</v>
          </cell>
        </row>
        <row r="2159">
          <cell r="D2159" t="str">
            <v>Phạm Hồng Chính</v>
          </cell>
          <cell r="AF2159" t="str">
            <v>XE00032</v>
          </cell>
          <cell r="AH2159">
            <v>9.82</v>
          </cell>
          <cell r="AW2159" t="str">
            <v>Phạm Hồng Chính6</v>
          </cell>
          <cell r="AX2159" t="str">
            <v>Linh</v>
          </cell>
        </row>
        <row r="2160">
          <cell r="D2160" t="str">
            <v>Nguyễn Văn Chiến</v>
          </cell>
          <cell r="AF2160" t="str">
            <v>XE00095</v>
          </cell>
          <cell r="AH2160">
            <v>9.82</v>
          </cell>
          <cell r="AW2160" t="str">
            <v>Nguyễn Văn Chiến4</v>
          </cell>
          <cell r="AX2160" t="str">
            <v>Linh</v>
          </cell>
        </row>
        <row r="2161">
          <cell r="D2161" t="str">
            <v>Nguyễn Văn Chiến</v>
          </cell>
          <cell r="AF2161" t="str">
            <v>XE00095</v>
          </cell>
          <cell r="AH2161">
            <v>9.42</v>
          </cell>
          <cell r="AW2161" t="str">
            <v>Nguyễn Văn Chiến5</v>
          </cell>
          <cell r="AX2161" t="str">
            <v>Linh</v>
          </cell>
        </row>
        <row r="2162">
          <cell r="D2162" t="str">
            <v>Vũ Ngọc Hà</v>
          </cell>
          <cell r="AF2162" t="str">
            <v>XE00253</v>
          </cell>
          <cell r="AH2162">
            <v>8.44</v>
          </cell>
          <cell r="AW2162" t="str">
            <v>Vũ Ngọc Hà5</v>
          </cell>
          <cell r="AX2162" t="str">
            <v>Linh</v>
          </cell>
        </row>
        <row r="2163">
          <cell r="D2163" t="str">
            <v>Vũ Ngọc Hà</v>
          </cell>
          <cell r="AF2163" t="str">
            <v>XE00253</v>
          </cell>
          <cell r="AH2163">
            <v>9.82</v>
          </cell>
          <cell r="AW2163" t="str">
            <v>Vũ Ngọc Hà6</v>
          </cell>
          <cell r="AX2163" t="str">
            <v>Linh</v>
          </cell>
        </row>
        <row r="2164">
          <cell r="D2164" t="str">
            <v>Nguyễn Anh Hùng</v>
          </cell>
          <cell r="AF2164" t="str">
            <v>XE00013</v>
          </cell>
          <cell r="AH2164">
            <v>9.82</v>
          </cell>
          <cell r="AW2164" t="str">
            <v>Nguyễn Anh Hùng8</v>
          </cell>
          <cell r="AX2164" t="str">
            <v>Linh</v>
          </cell>
        </row>
        <row r="2165">
          <cell r="D2165" t="str">
            <v>Phạm Công Đại</v>
          </cell>
          <cell r="AF2165" t="str">
            <v>XE00301</v>
          </cell>
          <cell r="AH2165">
            <v>9.42</v>
          </cell>
          <cell r="AW2165" t="str">
            <v>Phạm Công Đại6</v>
          </cell>
          <cell r="AX2165" t="str">
            <v>Linh</v>
          </cell>
        </row>
        <row r="2166">
          <cell r="D2166" t="str">
            <v>Phạm Công Đại</v>
          </cell>
          <cell r="AF2166" t="str">
            <v>XE00301</v>
          </cell>
          <cell r="AH2166">
            <v>9.82</v>
          </cell>
          <cell r="AW2166" t="str">
            <v>Phạm Công Đại7</v>
          </cell>
          <cell r="AX2166" t="str">
            <v>Linh</v>
          </cell>
        </row>
        <row r="2167">
          <cell r="D2167" t="str">
            <v>Nguyễn Mạnh Trung</v>
          </cell>
          <cell r="AF2167" t="str">
            <v>XE00304</v>
          </cell>
          <cell r="AH2167">
            <v>9.82</v>
          </cell>
          <cell r="AW2167" t="str">
            <v>Nguyễn Mạnh Trung7</v>
          </cell>
          <cell r="AX2167" t="str">
            <v>Linh</v>
          </cell>
        </row>
        <row r="2168">
          <cell r="D2168" t="str">
            <v>Nguyễn Trung Trọng</v>
          </cell>
          <cell r="AF2168" t="str">
            <v>XE00334</v>
          </cell>
          <cell r="AH2168">
            <v>8.84</v>
          </cell>
          <cell r="AW2168" t="str">
            <v>Nguyễn Trung Trọng6</v>
          </cell>
          <cell r="AX2168" t="str">
            <v>Linh</v>
          </cell>
        </row>
        <row r="2169">
          <cell r="D2169" t="str">
            <v>Trần Văn Thanh</v>
          </cell>
          <cell r="AF2169" t="str">
            <v>XE00376</v>
          </cell>
          <cell r="AH2169">
            <v>9.82</v>
          </cell>
          <cell r="AW2169" t="str">
            <v>Trần Văn Thanh7</v>
          </cell>
          <cell r="AX2169" t="str">
            <v>Linh</v>
          </cell>
        </row>
        <row r="2170">
          <cell r="D2170" t="str">
            <v>Trần Hữu Nam 1978</v>
          </cell>
          <cell r="AF2170" t="str">
            <v>XE00373</v>
          </cell>
          <cell r="AH2170">
            <v>9.02</v>
          </cell>
          <cell r="AW2170" t="str">
            <v>Trần Hữu Nam 19787</v>
          </cell>
          <cell r="AX2170" t="str">
            <v>Linh</v>
          </cell>
        </row>
        <row r="2171">
          <cell r="D2171" t="str">
            <v>Hồ Nam Phong</v>
          </cell>
          <cell r="AF2171" t="str">
            <v>XE00384</v>
          </cell>
          <cell r="AH2171">
            <v>9.42</v>
          </cell>
          <cell r="AW2171" t="str">
            <v>Hồ Nam Phong7</v>
          </cell>
          <cell r="AX2171" t="str">
            <v>Linh</v>
          </cell>
        </row>
        <row r="2172">
          <cell r="D2172" t="str">
            <v>Đỗ Văn Tỉnh</v>
          </cell>
          <cell r="AF2172" t="str">
            <v>XE00405</v>
          </cell>
          <cell r="AH2172">
            <v>9.82</v>
          </cell>
          <cell r="AW2172" t="str">
            <v>Đỗ Văn Tỉnh5</v>
          </cell>
          <cell r="AX2172" t="str">
            <v>Linh</v>
          </cell>
        </row>
        <row r="2173">
          <cell r="D2173" t="str">
            <v>Vũ Mạnh Hùng</v>
          </cell>
          <cell r="AF2173" t="str">
            <v>XE00511</v>
          </cell>
          <cell r="AH2173">
            <v>9.7199999999999989</v>
          </cell>
          <cell r="AW2173" t="str">
            <v>Vũ Mạnh Hùng5</v>
          </cell>
          <cell r="AX2173" t="str">
            <v>Linh</v>
          </cell>
        </row>
        <row r="2174">
          <cell r="D2174" t="str">
            <v>Trần Đình Thắng</v>
          </cell>
          <cell r="AF2174" t="str">
            <v>XE00513</v>
          </cell>
          <cell r="AH2174">
            <v>9.2199999999999989</v>
          </cell>
          <cell r="AW2174" t="str">
            <v>Trần Đình Thắng7</v>
          </cell>
          <cell r="AX2174" t="str">
            <v>Linh</v>
          </cell>
        </row>
        <row r="2175">
          <cell r="D2175" t="str">
            <v>Ngô Phong Thái</v>
          </cell>
          <cell r="AF2175" t="str">
            <v>XE00588</v>
          </cell>
          <cell r="AH2175">
            <v>9.82</v>
          </cell>
          <cell r="AW2175" t="str">
            <v>Ngô Phong Thái6</v>
          </cell>
          <cell r="AX2175" t="str">
            <v>Linh</v>
          </cell>
        </row>
        <row r="2176">
          <cell r="D2176" t="str">
            <v>Ngô Mạnh Tùng</v>
          </cell>
          <cell r="AF2176" t="str">
            <v>XE00108</v>
          </cell>
          <cell r="AH2176">
            <v>9.82</v>
          </cell>
          <cell r="AW2176" t="str">
            <v>Ngô Mạnh Tùng7</v>
          </cell>
          <cell r="AX2176" t="str">
            <v>Linh</v>
          </cell>
        </row>
        <row r="2177">
          <cell r="D2177" t="str">
            <v>Trần Quyết Thắng</v>
          </cell>
          <cell r="AF2177" t="str">
            <v>XE00634</v>
          </cell>
          <cell r="AH2177">
            <v>9.82</v>
          </cell>
          <cell r="AW2177" t="str">
            <v>Trần Quyết Thắng5</v>
          </cell>
          <cell r="AX2177" t="str">
            <v>Linh</v>
          </cell>
        </row>
        <row r="2178">
          <cell r="D2178" t="str">
            <v>Phạm Văn Chính</v>
          </cell>
          <cell r="AF2178" t="str">
            <v>XE00690</v>
          </cell>
          <cell r="AH2178">
            <v>9.02</v>
          </cell>
          <cell r="AW2178" t="str">
            <v>Phạm Văn Chính6</v>
          </cell>
          <cell r="AX2178" t="str">
            <v>Linh</v>
          </cell>
        </row>
        <row r="2179">
          <cell r="D2179" t="str">
            <v>Phùng Văn Hải</v>
          </cell>
          <cell r="AF2179" t="str">
            <v>XE00776</v>
          </cell>
          <cell r="AH2179">
            <v>8.84</v>
          </cell>
          <cell r="AW2179" t="str">
            <v>Phùng Văn Hải7</v>
          </cell>
          <cell r="AX2179" t="str">
            <v>Linh</v>
          </cell>
        </row>
        <row r="2180">
          <cell r="D2180" t="str">
            <v>Trần Mạnh Thắng</v>
          </cell>
          <cell r="AF2180" t="str">
            <v>XE00870</v>
          </cell>
          <cell r="AH2180">
            <v>9.82</v>
          </cell>
          <cell r="AW2180" t="str">
            <v>Trần Mạnh Thắng7</v>
          </cell>
          <cell r="AX2180" t="str">
            <v>Linh</v>
          </cell>
        </row>
        <row r="2181">
          <cell r="D2181" t="str">
            <v>Triệu Tuấn Tú</v>
          </cell>
          <cell r="AF2181" t="str">
            <v>XE00937</v>
          </cell>
          <cell r="AH2181">
            <v>9.42</v>
          </cell>
          <cell r="AW2181" t="str">
            <v>Triệu Tuấn Tú7</v>
          </cell>
          <cell r="AX2181" t="str">
            <v>Linh</v>
          </cell>
        </row>
        <row r="2182">
          <cell r="D2182" t="str">
            <v>Trần Quốc Phong</v>
          </cell>
          <cell r="AF2182" t="str">
            <v>XE00949</v>
          </cell>
          <cell r="AH2182">
            <v>9.42</v>
          </cell>
          <cell r="AW2182" t="str">
            <v>Trần Quốc Phong7</v>
          </cell>
          <cell r="AX2182" t="str">
            <v>Linh</v>
          </cell>
        </row>
        <row r="2183">
          <cell r="D2183" t="str">
            <v>Đỗ Tuấn Anh</v>
          </cell>
          <cell r="AF2183" t="str">
            <v>XE00962</v>
          </cell>
          <cell r="AH2183">
            <v>9.42</v>
          </cell>
          <cell r="AW2183" t="str">
            <v>Đỗ Tuấn Anh6</v>
          </cell>
          <cell r="AX2183" t="str">
            <v>Linh</v>
          </cell>
        </row>
        <row r="2184">
          <cell r="D2184" t="str">
            <v>Phạm Thanh Bình</v>
          </cell>
          <cell r="AF2184" t="str">
            <v>XE01117</v>
          </cell>
          <cell r="AH2184">
            <v>9.82</v>
          </cell>
          <cell r="AW2184" t="str">
            <v>Phạm Thanh Bình6</v>
          </cell>
          <cell r="AX2184" t="str">
            <v>Linh</v>
          </cell>
        </row>
        <row r="2185">
          <cell r="D2185" t="str">
            <v>Phạm Hùng Sơn</v>
          </cell>
          <cell r="AF2185" t="str">
            <v>XE01157</v>
          </cell>
          <cell r="AH2185">
            <v>9.82</v>
          </cell>
          <cell r="AW2185" t="str">
            <v>Phạm Hùng Sơn6</v>
          </cell>
          <cell r="AX2185" t="str">
            <v>Linh</v>
          </cell>
        </row>
        <row r="2186">
          <cell r="D2186" t="str">
            <v>Bùi Xuân Bắc</v>
          </cell>
          <cell r="AF2186" t="str">
            <v>XE01166</v>
          </cell>
          <cell r="AH2186">
            <v>9.42</v>
          </cell>
          <cell r="AW2186" t="str">
            <v>Bùi Xuân Bắc6</v>
          </cell>
          <cell r="AX2186" t="str">
            <v>Linh</v>
          </cell>
        </row>
        <row r="2187">
          <cell r="D2187" t="str">
            <v>Phạm Văn Sớm</v>
          </cell>
          <cell r="AF2187" t="str">
            <v>XE01221</v>
          </cell>
          <cell r="AH2187">
            <v>9.42</v>
          </cell>
          <cell r="AW2187" t="str">
            <v>Phạm Văn Sớm5</v>
          </cell>
          <cell r="AX2187" t="str">
            <v>Linh</v>
          </cell>
        </row>
        <row r="2188">
          <cell r="D2188" t="str">
            <v>Cồ Văn Tiển</v>
          </cell>
          <cell r="AF2188" t="str">
            <v>XE01243</v>
          </cell>
          <cell r="AH2188">
            <v>9.42</v>
          </cell>
          <cell r="AW2188" t="str">
            <v>Cồ Văn Tiển6</v>
          </cell>
          <cell r="AX2188" t="str">
            <v>Linh</v>
          </cell>
        </row>
        <row r="2189">
          <cell r="D2189" t="str">
            <v>Đinh Trung Dũng</v>
          </cell>
          <cell r="AF2189" t="str">
            <v>XE01380</v>
          </cell>
          <cell r="AH2189">
            <v>9.02</v>
          </cell>
          <cell r="AW2189" t="str">
            <v>Đinh Trung Dũng3</v>
          </cell>
          <cell r="AX2189" t="str">
            <v>Linh</v>
          </cell>
        </row>
        <row r="2190">
          <cell r="D2190" t="str">
            <v>Đinh Trung Dũng</v>
          </cell>
          <cell r="AF2190" t="str">
            <v>XE01380</v>
          </cell>
          <cell r="AH2190">
            <v>7.82</v>
          </cell>
          <cell r="AW2190" t="str">
            <v>Đinh Trung Dũng4</v>
          </cell>
          <cell r="AX2190" t="str">
            <v>Linh</v>
          </cell>
        </row>
        <row r="2191">
          <cell r="D2191" t="str">
            <v>Trần Anh Tuấn</v>
          </cell>
          <cell r="AF2191" t="str">
            <v>XE01429</v>
          </cell>
          <cell r="AH2191">
            <v>9.82</v>
          </cell>
          <cell r="AW2191" t="str">
            <v>Trần Anh Tuấn6</v>
          </cell>
          <cell r="AX2191" t="str">
            <v>Linh</v>
          </cell>
        </row>
        <row r="2192">
          <cell r="D2192" t="str">
            <v>Trần Đức Triều</v>
          </cell>
          <cell r="AF2192" t="str">
            <v>XE00080</v>
          </cell>
          <cell r="AH2192">
            <v>9.82</v>
          </cell>
          <cell r="AW2192" t="str">
            <v>Trần Đức Triều6</v>
          </cell>
          <cell r="AX2192" t="str">
            <v>Linh</v>
          </cell>
        </row>
        <row r="2193">
          <cell r="D2193" t="str">
            <v>Phạm Quang Trung</v>
          </cell>
          <cell r="AF2193" t="str">
            <v>XE00041</v>
          </cell>
          <cell r="AH2193">
            <v>9.42</v>
          </cell>
          <cell r="AW2193" t="str">
            <v>Phạm Quang Trung8</v>
          </cell>
          <cell r="AX2193" t="str">
            <v>Linh</v>
          </cell>
        </row>
        <row r="2194">
          <cell r="D2194" t="str">
            <v>Nguyễn Văn Hùng</v>
          </cell>
          <cell r="AF2194" t="str">
            <v>XE00083</v>
          </cell>
          <cell r="AH2194">
            <v>9.82</v>
          </cell>
          <cell r="AW2194" t="str">
            <v>Nguyễn Văn Hùng5</v>
          </cell>
          <cell r="AX2194" t="str">
            <v>Linh</v>
          </cell>
        </row>
        <row r="2195">
          <cell r="D2195" t="str">
            <v>Phạm Văn Vũ</v>
          </cell>
          <cell r="AF2195" t="str">
            <v>XE00042</v>
          </cell>
          <cell r="AH2195">
            <v>9.82</v>
          </cell>
          <cell r="AW2195" t="str">
            <v>Phạm Văn Vũ9</v>
          </cell>
          <cell r="AX2195" t="str">
            <v>Linh</v>
          </cell>
        </row>
        <row r="2196">
          <cell r="D2196" t="str">
            <v>Hoàng Tuấn Đạt</v>
          </cell>
          <cell r="AF2196" t="str">
            <v>XE00070</v>
          </cell>
          <cell r="AH2196">
            <v>9.42</v>
          </cell>
          <cell r="AW2196" t="str">
            <v>Hoàng Tuấn Đạt7</v>
          </cell>
          <cell r="AX2196" t="str">
            <v>Linh</v>
          </cell>
        </row>
        <row r="2197">
          <cell r="D2197" t="str">
            <v>Vũ Đình Sơn</v>
          </cell>
          <cell r="AF2197" t="str">
            <v>XE00152</v>
          </cell>
          <cell r="AH2197">
            <v>9.82</v>
          </cell>
          <cell r="AW2197" t="str">
            <v>Vũ Đình Sơn7</v>
          </cell>
          <cell r="AX2197" t="str">
            <v>Linh</v>
          </cell>
        </row>
        <row r="2198">
          <cell r="D2198" t="str">
            <v>Hoàng Trọng Nam</v>
          </cell>
          <cell r="AF2198" t="str">
            <v>XE00043</v>
          </cell>
          <cell r="AH2198">
            <v>9.42</v>
          </cell>
          <cell r="AW2198" t="str">
            <v>Hoàng Trọng Nam8</v>
          </cell>
          <cell r="AX2198" t="str">
            <v>Linh</v>
          </cell>
        </row>
        <row r="2199">
          <cell r="D2199" t="str">
            <v>Đinh Văn Sỹ</v>
          </cell>
          <cell r="AF2199" t="str">
            <v>XE00194</v>
          </cell>
          <cell r="AH2199">
            <v>9.42</v>
          </cell>
          <cell r="AW2199" t="str">
            <v>Đinh Văn Sỹ7</v>
          </cell>
          <cell r="AX2199" t="str">
            <v>Linh</v>
          </cell>
        </row>
        <row r="2200">
          <cell r="D2200" t="str">
            <v>Nguyễn Văn Khuyến</v>
          </cell>
          <cell r="AF2200" t="str">
            <v>XE00139</v>
          </cell>
          <cell r="AH2200">
            <v>9.42</v>
          </cell>
          <cell r="AW2200" t="str">
            <v>Nguyễn Văn Khuyến7</v>
          </cell>
          <cell r="AX2200" t="str">
            <v>Linh</v>
          </cell>
        </row>
        <row r="2201">
          <cell r="D2201" t="str">
            <v>Phạm Hồng Chính</v>
          </cell>
          <cell r="AF2201" t="str">
            <v>XE00032</v>
          </cell>
          <cell r="AH2201">
            <v>9.82</v>
          </cell>
          <cell r="AW2201" t="str">
            <v>Phạm Hồng Chính7</v>
          </cell>
          <cell r="AX2201" t="str">
            <v>Linh</v>
          </cell>
        </row>
        <row r="2202">
          <cell r="D2202" t="str">
            <v>Nguyễn Văn Chiến</v>
          </cell>
          <cell r="AF2202" t="str">
            <v>XE00095</v>
          </cell>
          <cell r="AH2202">
            <v>9.82</v>
          </cell>
          <cell r="AW2202" t="str">
            <v>Nguyễn Văn Chiến6</v>
          </cell>
          <cell r="AX2202" t="str">
            <v>Linh</v>
          </cell>
        </row>
        <row r="2203">
          <cell r="D2203" t="str">
            <v>Nguyễn Văn Chiến</v>
          </cell>
          <cell r="AF2203" t="str">
            <v>XE00095</v>
          </cell>
          <cell r="AH2203">
            <v>9.82</v>
          </cell>
          <cell r="AW2203" t="str">
            <v>Nguyễn Văn Chiến7</v>
          </cell>
          <cell r="AX2203" t="str">
            <v>Linh</v>
          </cell>
        </row>
        <row r="2204">
          <cell r="D2204" t="str">
            <v>Vũ Ngọc Hà</v>
          </cell>
          <cell r="AF2204" t="str">
            <v>XE00253</v>
          </cell>
          <cell r="AH2204">
            <v>8.84</v>
          </cell>
          <cell r="AW2204" t="str">
            <v>Vũ Ngọc Hà7</v>
          </cell>
          <cell r="AX2204" t="str">
            <v>Linh</v>
          </cell>
        </row>
        <row r="2205">
          <cell r="D2205" t="str">
            <v>Nguyễn Anh Hùng</v>
          </cell>
          <cell r="AF2205" t="str">
            <v>XE00013</v>
          </cell>
          <cell r="AH2205">
            <v>9.42</v>
          </cell>
          <cell r="AW2205" t="str">
            <v>Nguyễn Anh Hùng9</v>
          </cell>
          <cell r="AX2205" t="str">
            <v>Linh</v>
          </cell>
        </row>
        <row r="2206">
          <cell r="D2206" t="str">
            <v>Trần Quốc Toản</v>
          </cell>
          <cell r="AF2206" t="str">
            <v>XE00291</v>
          </cell>
          <cell r="AH2206">
            <v>9.42</v>
          </cell>
          <cell r="AW2206" t="str">
            <v>Trần Quốc Toản9</v>
          </cell>
          <cell r="AX2206" t="str">
            <v>Linh</v>
          </cell>
        </row>
        <row r="2207">
          <cell r="D2207" t="str">
            <v>Phạm Công Đại</v>
          </cell>
          <cell r="AF2207" t="str">
            <v>XE00301</v>
          </cell>
          <cell r="AH2207">
            <v>9.82</v>
          </cell>
          <cell r="AW2207" t="str">
            <v>Phạm Công Đại8</v>
          </cell>
          <cell r="AX2207" t="str">
            <v>Linh</v>
          </cell>
        </row>
        <row r="2208">
          <cell r="D2208" t="str">
            <v>Lê Huy Hoàng</v>
          </cell>
          <cell r="AF2208" t="str">
            <v>XE01526</v>
          </cell>
          <cell r="AH2208">
            <v>9.82</v>
          </cell>
          <cell r="AW2208" t="str">
            <v>Lê Huy Hoàng1</v>
          </cell>
          <cell r="AX2208" t="str">
            <v>Linh</v>
          </cell>
        </row>
        <row r="2209">
          <cell r="D2209" t="str">
            <v>Trần Anh Tuấn</v>
          </cell>
          <cell r="AF2209" t="str">
            <v>XE01429</v>
          </cell>
          <cell r="AH2209">
            <v>7.82</v>
          </cell>
          <cell r="AW2209" t="str">
            <v>Trần Anh Tuấn7</v>
          </cell>
          <cell r="AX2209" t="str">
            <v>Linh</v>
          </cell>
        </row>
        <row r="2210">
          <cell r="D2210" t="str">
            <v>Đinh Trung Dũng</v>
          </cell>
          <cell r="AF2210" t="str">
            <v>XE01380</v>
          </cell>
          <cell r="AH2210">
            <v>9.42</v>
          </cell>
          <cell r="AW2210" t="str">
            <v>Đinh Trung Dũng5</v>
          </cell>
          <cell r="AX2210" t="str">
            <v>Linh</v>
          </cell>
        </row>
        <row r="2211">
          <cell r="D2211" t="str">
            <v>Đinh Trung Dũng</v>
          </cell>
          <cell r="AF2211" t="str">
            <v>XE01380</v>
          </cell>
          <cell r="AH2211">
            <v>7.6400000000000006</v>
          </cell>
          <cell r="AW2211" t="str">
            <v>Đinh Trung Dũng6</v>
          </cell>
          <cell r="AX2211" t="str">
            <v>Linh</v>
          </cell>
        </row>
        <row r="2212">
          <cell r="D2212" t="str">
            <v>Cồ Văn Tiển</v>
          </cell>
          <cell r="AF2212" t="str">
            <v>XE01243</v>
          </cell>
          <cell r="AH2212">
            <v>10</v>
          </cell>
          <cell r="AW2212" t="str">
            <v>Cồ Văn Tiển7</v>
          </cell>
          <cell r="AX2212" t="str">
            <v>Linh</v>
          </cell>
        </row>
        <row r="2213">
          <cell r="D2213" t="str">
            <v>Phạm Văn Sớm</v>
          </cell>
          <cell r="AF2213" t="str">
            <v>XE01221</v>
          </cell>
          <cell r="AH2213">
            <v>9.42</v>
          </cell>
          <cell r="AW2213" t="str">
            <v>Phạm Văn Sớm6</v>
          </cell>
          <cell r="AX2213" t="str">
            <v>Linh</v>
          </cell>
        </row>
        <row r="2214">
          <cell r="D2214" t="str">
            <v>Bùi Xuân Bắc</v>
          </cell>
          <cell r="AF2214" t="str">
            <v>XE01166</v>
          </cell>
          <cell r="AH2214">
            <v>9.82</v>
          </cell>
          <cell r="AW2214" t="str">
            <v>Bùi Xuân Bắc7</v>
          </cell>
          <cell r="AX2214" t="str">
            <v>Linh</v>
          </cell>
        </row>
        <row r="2215">
          <cell r="D2215" t="str">
            <v>Phạm Hùng Sơn</v>
          </cell>
          <cell r="AF2215" t="str">
            <v>XE01157</v>
          </cell>
          <cell r="AH2215">
            <v>9.82</v>
          </cell>
          <cell r="AW2215" t="str">
            <v>Phạm Hùng Sơn7</v>
          </cell>
          <cell r="AX2215" t="str">
            <v>Linh</v>
          </cell>
        </row>
        <row r="2216">
          <cell r="D2216" t="str">
            <v>Đỗ Tuấn Anh</v>
          </cell>
          <cell r="AF2216" t="str">
            <v>XE00962</v>
          </cell>
          <cell r="AH2216">
            <v>9.42</v>
          </cell>
          <cell r="AW2216" t="str">
            <v>Đỗ Tuấn Anh7</v>
          </cell>
          <cell r="AX2216" t="str">
            <v>Linh</v>
          </cell>
        </row>
        <row r="2217">
          <cell r="D2217" t="str">
            <v>Trần Quốc Phong</v>
          </cell>
          <cell r="AF2217" t="str">
            <v>XE00949</v>
          </cell>
          <cell r="AH2217">
            <v>7.42</v>
          </cell>
          <cell r="AW2217" t="str">
            <v>Trần Quốc Phong8</v>
          </cell>
          <cell r="AX2217" t="str">
            <v>Linh</v>
          </cell>
        </row>
        <row r="2218">
          <cell r="D2218" t="str">
            <v>Trần Văn Thanh</v>
          </cell>
          <cell r="AF2218" t="str">
            <v>XE00376</v>
          </cell>
          <cell r="AH2218">
            <v>9.82</v>
          </cell>
          <cell r="AW2218" t="str">
            <v>Trần Văn Thanh8</v>
          </cell>
          <cell r="AX2218" t="str">
            <v>Linh</v>
          </cell>
        </row>
        <row r="2219">
          <cell r="D2219" t="str">
            <v>Trần Hữu Nam 1978</v>
          </cell>
          <cell r="AF2219" t="str">
            <v>XE00373</v>
          </cell>
          <cell r="AH2219">
            <v>9.82</v>
          </cell>
          <cell r="AW2219" t="str">
            <v>Trần Hữu Nam 19788</v>
          </cell>
          <cell r="AX2219" t="str">
            <v>Linh</v>
          </cell>
        </row>
        <row r="2220">
          <cell r="D2220" t="str">
            <v>Hồ Nam Phong</v>
          </cell>
          <cell r="AF2220" t="str">
            <v>XE00384</v>
          </cell>
          <cell r="AH2220">
            <v>9.42</v>
          </cell>
          <cell r="AW2220" t="str">
            <v>Hồ Nam Phong8</v>
          </cell>
          <cell r="AX2220" t="str">
            <v>Linh</v>
          </cell>
        </row>
        <row r="2221">
          <cell r="D2221" t="str">
            <v>Đỗ Văn Tỉnh</v>
          </cell>
          <cell r="AF2221" t="str">
            <v>XE00405</v>
          </cell>
          <cell r="AH2221">
            <v>9.42</v>
          </cell>
          <cell r="AW2221" t="str">
            <v>Đỗ Văn Tỉnh6</v>
          </cell>
          <cell r="AX2221" t="str">
            <v>Linh</v>
          </cell>
        </row>
        <row r="2222">
          <cell r="D2222" t="str">
            <v>Đỗ Văn Tỉnh</v>
          </cell>
          <cell r="AF2222" t="str">
            <v>XE00405</v>
          </cell>
          <cell r="AH2222">
            <v>9.42</v>
          </cell>
          <cell r="AW2222" t="str">
            <v>Đỗ Văn Tỉnh7</v>
          </cell>
          <cell r="AX2222" t="str">
            <v>Linh</v>
          </cell>
        </row>
        <row r="2223">
          <cell r="D2223" t="str">
            <v>Triệu Tuấn Tú</v>
          </cell>
          <cell r="AF2223" t="str">
            <v>XE00937</v>
          </cell>
          <cell r="AH2223">
            <v>9.82</v>
          </cell>
          <cell r="AW2223" t="str">
            <v>Triệu Tuấn Tú8</v>
          </cell>
          <cell r="AX2223" t="str">
            <v>Linh</v>
          </cell>
        </row>
        <row r="2224">
          <cell r="D2224" t="str">
            <v>Vũ Mạnh Hùng</v>
          </cell>
          <cell r="AF2224" t="str">
            <v>XE00511</v>
          </cell>
          <cell r="AH2224">
            <v>9.42</v>
          </cell>
          <cell r="AW2224" t="str">
            <v>Vũ Mạnh Hùng6</v>
          </cell>
          <cell r="AX2224" t="str">
            <v>Linh</v>
          </cell>
        </row>
        <row r="2225">
          <cell r="D2225" t="str">
            <v>Vũ Mạnh Hùng</v>
          </cell>
          <cell r="AF2225" t="str">
            <v>XE00511</v>
          </cell>
          <cell r="AH2225">
            <v>9.02</v>
          </cell>
          <cell r="AW2225" t="str">
            <v>Vũ Mạnh Hùng7</v>
          </cell>
          <cell r="AX2225" t="str">
            <v>Linh</v>
          </cell>
        </row>
        <row r="2226">
          <cell r="D2226" t="str">
            <v>Trần Đình Thắng</v>
          </cell>
          <cell r="AF2226" t="str">
            <v>XE00513</v>
          </cell>
          <cell r="AH2226">
            <v>8.2200000000000006</v>
          </cell>
          <cell r="AW2226" t="str">
            <v>Trần Đình Thắng8</v>
          </cell>
          <cell r="AX2226" t="str">
            <v>Linh</v>
          </cell>
        </row>
        <row r="2227">
          <cell r="D2227" t="str">
            <v>Ngô Phong Thái</v>
          </cell>
          <cell r="AF2227" t="str">
            <v>XE00588</v>
          </cell>
          <cell r="AH2227">
            <v>9.82</v>
          </cell>
          <cell r="AW2227" t="str">
            <v>Ngô Phong Thái7</v>
          </cell>
          <cell r="AX2227" t="str">
            <v>Linh</v>
          </cell>
        </row>
        <row r="2228">
          <cell r="D2228" t="str">
            <v>Ngô Mạnh Tùng</v>
          </cell>
          <cell r="AF2228" t="str">
            <v>XE00108</v>
          </cell>
          <cell r="AH2228">
            <v>9.82</v>
          </cell>
          <cell r="AW2228" t="str">
            <v>Ngô Mạnh Tùng8</v>
          </cell>
          <cell r="AX2228" t="str">
            <v>Linh</v>
          </cell>
        </row>
        <row r="2229">
          <cell r="D2229" t="str">
            <v>Ngô Mạnh Tùng</v>
          </cell>
          <cell r="AF2229" t="str">
            <v>XE00108</v>
          </cell>
          <cell r="AH2229">
            <v>9.42</v>
          </cell>
          <cell r="AW2229" t="str">
            <v>Ngô Mạnh Tùng9</v>
          </cell>
          <cell r="AX2229" t="str">
            <v>Linh</v>
          </cell>
        </row>
        <row r="2230">
          <cell r="D2230" t="str">
            <v>Trần Quyết Thắng</v>
          </cell>
          <cell r="AF2230" t="str">
            <v>XE00634</v>
          </cell>
          <cell r="AH2230">
            <v>9.42</v>
          </cell>
          <cell r="AW2230" t="str">
            <v>Trần Quyết Thắng6</v>
          </cell>
          <cell r="AX2230" t="str">
            <v>Linh</v>
          </cell>
        </row>
        <row r="2231">
          <cell r="D2231" t="str">
            <v>Trần Quyết Thắng</v>
          </cell>
          <cell r="AF2231" t="str">
            <v>XE00634</v>
          </cell>
          <cell r="AH2231">
            <v>9.82</v>
          </cell>
          <cell r="AW2231" t="str">
            <v>Trần Quyết Thắng7</v>
          </cell>
          <cell r="AX2231" t="str">
            <v>Linh</v>
          </cell>
        </row>
        <row r="2232">
          <cell r="D2232" t="str">
            <v>Phùng Văn Hải</v>
          </cell>
          <cell r="AF2232" t="str">
            <v>XE00776</v>
          </cell>
          <cell r="AH2232">
            <v>9.42</v>
          </cell>
          <cell r="AW2232" t="str">
            <v>Phùng Văn Hải8</v>
          </cell>
          <cell r="AX2232" t="str">
            <v>Linh</v>
          </cell>
        </row>
        <row r="2233">
          <cell r="D2233" t="str">
            <v>Phùng Văn Hải</v>
          </cell>
          <cell r="AF2233" t="str">
            <v>XE00776</v>
          </cell>
          <cell r="AH2233">
            <v>9.82</v>
          </cell>
          <cell r="AW2233" t="str">
            <v>Phùng Văn Hải9</v>
          </cell>
          <cell r="AX2233" t="str">
            <v>Linh</v>
          </cell>
        </row>
        <row r="2234">
          <cell r="D2234" t="str">
            <v>Trần Mạnh Thắng</v>
          </cell>
          <cell r="AF2234" t="str">
            <v>XE00870</v>
          </cell>
          <cell r="AH2234">
            <v>9.64</v>
          </cell>
          <cell r="AW2234" t="str">
            <v>Trần Mạnh Thắng8</v>
          </cell>
          <cell r="AX2234" t="str">
            <v>Linh</v>
          </cell>
        </row>
        <row r="2235">
          <cell r="D2235" t="str">
            <v>Trần Mạnh Thắng</v>
          </cell>
          <cell r="AF2235" t="str">
            <v>XE00870</v>
          </cell>
          <cell r="AH2235">
            <v>9.82</v>
          </cell>
          <cell r="AW2235" t="str">
            <v>Trần Mạnh Thắng9</v>
          </cell>
          <cell r="AX2235" t="str">
            <v>Linh</v>
          </cell>
        </row>
        <row r="2236">
          <cell r="D2236" t="str">
            <v>Phạm Thanh Bình</v>
          </cell>
          <cell r="AF2236" t="str">
            <v>XE01117</v>
          </cell>
          <cell r="AH2236">
            <v>9.6199999999999992</v>
          </cell>
          <cell r="AW2236" t="str">
            <v>Phạm Thanh Bình7</v>
          </cell>
          <cell r="AX2236" t="str">
            <v>Linh</v>
          </cell>
        </row>
        <row r="2237">
          <cell r="D2237" t="str">
            <v>Nguyễn Văn Hùng</v>
          </cell>
          <cell r="AF2237" t="str">
            <v>XE00083</v>
          </cell>
          <cell r="AH2237">
            <v>8.84</v>
          </cell>
          <cell r="AW2237" t="str">
            <v>Nguyễn Văn Hùng6</v>
          </cell>
          <cell r="AX2237" t="str">
            <v>Linh</v>
          </cell>
        </row>
        <row r="2238">
          <cell r="D2238" t="str">
            <v>Hoàng Tuấn Đạt</v>
          </cell>
          <cell r="AF2238" t="str">
            <v>XE00070</v>
          </cell>
          <cell r="AH2238">
            <v>8.84</v>
          </cell>
          <cell r="AW2238" t="str">
            <v>Hoàng Tuấn Đạt8</v>
          </cell>
          <cell r="AX2238" t="str">
            <v>Linh</v>
          </cell>
        </row>
        <row r="2239">
          <cell r="D2239" t="str">
            <v>Hoàng Tuấn Đạt</v>
          </cell>
          <cell r="AF2239" t="str">
            <v>XE00070</v>
          </cell>
          <cell r="AH2239">
            <v>8.84</v>
          </cell>
          <cell r="AW2239" t="str">
            <v>Hoàng Tuấn Đạt9</v>
          </cell>
          <cell r="AX2239" t="str">
            <v>Linh</v>
          </cell>
        </row>
        <row r="2240">
          <cell r="D2240" t="str">
            <v>Vũ Đình Sơn</v>
          </cell>
          <cell r="AF2240" t="str">
            <v>XE00152</v>
          </cell>
          <cell r="AH2240">
            <v>8.84</v>
          </cell>
          <cell r="AW2240" t="str">
            <v>Vũ Đình Sơn8</v>
          </cell>
          <cell r="AX2240" t="str">
            <v>Linh</v>
          </cell>
        </row>
        <row r="2241">
          <cell r="D2241" t="str">
            <v>Hoàng Trọng Nam</v>
          </cell>
          <cell r="AF2241" t="str">
            <v>XE00043</v>
          </cell>
          <cell r="AH2241">
            <v>9.82</v>
          </cell>
          <cell r="AW2241" t="str">
            <v>Hoàng Trọng Nam9</v>
          </cell>
          <cell r="AX2241" t="str">
            <v>Linh</v>
          </cell>
        </row>
        <row r="2242">
          <cell r="D2242" t="str">
            <v>Đinh Văn Sỹ</v>
          </cell>
          <cell r="AF2242" t="str">
            <v>XE00194</v>
          </cell>
          <cell r="AH2242">
            <v>9.2199999999999989</v>
          </cell>
          <cell r="AW2242" t="str">
            <v>Đinh Văn Sỹ8</v>
          </cell>
          <cell r="AX2242" t="str">
            <v>Linh</v>
          </cell>
        </row>
        <row r="2243">
          <cell r="D2243" t="str">
            <v>Nguyễn Văn Khuyến</v>
          </cell>
          <cell r="AF2243" t="str">
            <v>XE00139</v>
          </cell>
          <cell r="AH2243">
            <v>9.42</v>
          </cell>
          <cell r="AW2243" t="str">
            <v>Nguyễn Văn Khuyến8</v>
          </cell>
          <cell r="AX2243" t="str">
            <v>Linh</v>
          </cell>
        </row>
        <row r="2244">
          <cell r="D2244" t="str">
            <v>Phạm Hồng Chính</v>
          </cell>
          <cell r="AF2244" t="str">
            <v>XE00032</v>
          </cell>
          <cell r="AH2244">
            <v>9.82</v>
          </cell>
          <cell r="AW2244" t="str">
            <v>Phạm Hồng Chính8</v>
          </cell>
          <cell r="AX2244" t="str">
            <v>Linh</v>
          </cell>
        </row>
        <row r="2245">
          <cell r="D2245" t="str">
            <v>Nguyễn Anh Hùng</v>
          </cell>
          <cell r="AF2245" t="str">
            <v>XE00013</v>
          </cell>
          <cell r="AH2245">
            <v>7.6400000000000006</v>
          </cell>
          <cell r="AW2245" t="str">
            <v>Nguyễn Anh Hùng10</v>
          </cell>
          <cell r="AX2245" t="str">
            <v>Linh</v>
          </cell>
        </row>
        <row r="2246">
          <cell r="D2246" t="str">
            <v>Phạm Công Đại</v>
          </cell>
          <cell r="AF2246" t="str">
            <v>XE00301</v>
          </cell>
          <cell r="AH2246">
            <v>9.24</v>
          </cell>
          <cell r="AW2246" t="str">
            <v>Phạm Công Đại9</v>
          </cell>
          <cell r="AX2246" t="str">
            <v>Linh</v>
          </cell>
        </row>
        <row r="2247">
          <cell r="D2247" t="str">
            <v>Phạm Công Đại</v>
          </cell>
          <cell r="AF2247" t="str">
            <v>XE00301</v>
          </cell>
          <cell r="AH2247">
            <v>9.82</v>
          </cell>
          <cell r="AW2247" t="str">
            <v>Phạm Công Đại10</v>
          </cell>
          <cell r="AX2247" t="str">
            <v>Linh</v>
          </cell>
        </row>
        <row r="2248">
          <cell r="D2248" t="str">
            <v>Trần Hữu Nam 1978</v>
          </cell>
          <cell r="AF2248" t="str">
            <v>XE00373</v>
          </cell>
          <cell r="AH2248">
            <v>9.82</v>
          </cell>
          <cell r="AW2248" t="str">
            <v>Trần Hữu Nam 19789</v>
          </cell>
          <cell r="AX2248" t="str">
            <v>Linh</v>
          </cell>
        </row>
        <row r="2249">
          <cell r="D2249" t="str">
            <v>Hồ Nam Phong</v>
          </cell>
          <cell r="AF2249" t="str">
            <v>XE00384</v>
          </cell>
          <cell r="AH2249">
            <v>9.82</v>
          </cell>
          <cell r="AW2249" t="str">
            <v>Hồ Nam Phong9</v>
          </cell>
          <cell r="AX2249" t="str">
            <v>Linh</v>
          </cell>
        </row>
        <row r="2250">
          <cell r="D2250" t="str">
            <v>Hồ Nam Phong</v>
          </cell>
          <cell r="AF2250" t="str">
            <v>XE00384</v>
          </cell>
          <cell r="AH2250">
            <v>9.82</v>
          </cell>
          <cell r="AW2250" t="str">
            <v>Hồ Nam Phong10</v>
          </cell>
          <cell r="AX2250" t="str">
            <v>Linh</v>
          </cell>
        </row>
        <row r="2251">
          <cell r="D2251" t="str">
            <v>Đỗ Văn Tỉnh</v>
          </cell>
          <cell r="AF2251" t="str">
            <v>XE00405</v>
          </cell>
          <cell r="AH2251">
            <v>9.82</v>
          </cell>
          <cell r="AW2251" t="str">
            <v>Đỗ Văn Tỉnh8</v>
          </cell>
          <cell r="AX2251" t="str">
            <v>Linh</v>
          </cell>
        </row>
        <row r="2252">
          <cell r="D2252" t="str">
            <v>Đỗ Văn Tỉnh</v>
          </cell>
          <cell r="AF2252" t="str">
            <v>XE00405</v>
          </cell>
          <cell r="AH2252">
            <v>8.44</v>
          </cell>
          <cell r="AW2252" t="str">
            <v>Đỗ Văn Tỉnh9</v>
          </cell>
          <cell r="AX2252" t="str">
            <v>Linh</v>
          </cell>
        </row>
        <row r="2253">
          <cell r="D2253" t="str">
            <v>Vũ Mạnh Hùng</v>
          </cell>
          <cell r="AF2253" t="str">
            <v>XE00511</v>
          </cell>
          <cell r="AH2253">
            <v>9.02</v>
          </cell>
          <cell r="AW2253" t="str">
            <v>Vũ Mạnh Hùng8</v>
          </cell>
          <cell r="AX2253" t="str">
            <v>Linh</v>
          </cell>
        </row>
        <row r="2254">
          <cell r="D2254" t="str">
            <v>Trần Đình Thắng</v>
          </cell>
          <cell r="AF2254" t="str">
            <v>XE00513</v>
          </cell>
          <cell r="AH2254">
            <v>9.6199999999999992</v>
          </cell>
          <cell r="AW2254" t="str">
            <v>Trần Đình Thắng9</v>
          </cell>
          <cell r="AX2254" t="str">
            <v>Linh</v>
          </cell>
        </row>
        <row r="2255">
          <cell r="D2255" t="str">
            <v>Phùng Văn Hải</v>
          </cell>
          <cell r="AF2255" t="str">
            <v>XE00776</v>
          </cell>
          <cell r="AH2255">
            <v>9.02</v>
          </cell>
          <cell r="AW2255" t="str">
            <v>Phùng Văn Hải10</v>
          </cell>
          <cell r="AX2255" t="str">
            <v>Linh</v>
          </cell>
        </row>
        <row r="2256">
          <cell r="D2256" t="str">
            <v>Phùng Văn Hải</v>
          </cell>
          <cell r="AF2256" t="str">
            <v>XE00776</v>
          </cell>
          <cell r="AH2256">
            <v>8.84</v>
          </cell>
          <cell r="AW2256" t="str">
            <v>Phùng Văn Hải11</v>
          </cell>
          <cell r="AX2256" t="str">
            <v>Linh</v>
          </cell>
        </row>
        <row r="2257">
          <cell r="D2257" t="str">
            <v>Trần Mạnh Thắng</v>
          </cell>
          <cell r="AF2257" t="str">
            <v>XE00870</v>
          </cell>
          <cell r="AH2257">
            <v>9.6199999999999992</v>
          </cell>
          <cell r="AW2257" t="str">
            <v>Trần Mạnh Thắng10</v>
          </cell>
          <cell r="AX2257" t="str">
            <v>Linh</v>
          </cell>
        </row>
        <row r="2258">
          <cell r="D2258" t="str">
            <v>Trần Mạnh Thắng</v>
          </cell>
          <cell r="AF2258" t="str">
            <v>XE00870</v>
          </cell>
          <cell r="AH2258">
            <v>9.42</v>
          </cell>
          <cell r="AW2258" t="str">
            <v>Trần Mạnh Thắng11</v>
          </cell>
          <cell r="AX2258" t="str">
            <v>Linh</v>
          </cell>
        </row>
        <row r="2259">
          <cell r="D2259" t="str">
            <v>Triệu Tuấn Tú</v>
          </cell>
          <cell r="AF2259" t="str">
            <v>XE00937</v>
          </cell>
          <cell r="AH2259">
            <v>9.42</v>
          </cell>
          <cell r="AW2259" t="str">
            <v>Triệu Tuấn Tú9</v>
          </cell>
          <cell r="AX2259" t="str">
            <v>Linh</v>
          </cell>
        </row>
        <row r="2260">
          <cell r="D2260" t="str">
            <v>Phạm Thanh Bình</v>
          </cell>
          <cell r="AF2260" t="str">
            <v>XE01117</v>
          </cell>
          <cell r="AH2260">
            <v>9.42</v>
          </cell>
          <cell r="AW2260" t="str">
            <v>Phạm Thanh Bình8</v>
          </cell>
          <cell r="AX2260" t="str">
            <v>Linh</v>
          </cell>
        </row>
        <row r="2261">
          <cell r="D2261" t="str">
            <v>Phạm Thanh Bình</v>
          </cell>
          <cell r="AF2261" t="str">
            <v>XE01117</v>
          </cell>
          <cell r="AH2261">
            <v>8.2200000000000006</v>
          </cell>
          <cell r="AW2261" t="str">
            <v>Phạm Thanh Bình9</v>
          </cell>
          <cell r="AX2261" t="str">
            <v>Linh</v>
          </cell>
        </row>
        <row r="2262">
          <cell r="D2262" t="str">
            <v>Phạm Hùng Sơn</v>
          </cell>
          <cell r="AF2262" t="str">
            <v>XE01157</v>
          </cell>
          <cell r="AH2262">
            <v>9.42</v>
          </cell>
          <cell r="AW2262" t="str">
            <v>Phạm Hùng Sơn8</v>
          </cell>
          <cell r="AX2262" t="str">
            <v>Linh</v>
          </cell>
        </row>
        <row r="2263">
          <cell r="D2263" t="str">
            <v>Phạm Hùng Sơn</v>
          </cell>
          <cell r="AF2263" t="str">
            <v>XE01157</v>
          </cell>
          <cell r="AH2263">
            <v>9.82</v>
          </cell>
          <cell r="AW2263" t="str">
            <v>Phạm Hùng Sơn9</v>
          </cell>
          <cell r="AX2263" t="str">
            <v>Linh</v>
          </cell>
        </row>
        <row r="2264">
          <cell r="D2264" t="str">
            <v>Bùi Xuân Bắc</v>
          </cell>
          <cell r="AF2264" t="str">
            <v>XE01166</v>
          </cell>
          <cell r="AH2264">
            <v>9.82</v>
          </cell>
          <cell r="AW2264" t="str">
            <v>Bùi Xuân Bắc8</v>
          </cell>
          <cell r="AX2264" t="str">
            <v>Linh</v>
          </cell>
        </row>
        <row r="2265">
          <cell r="D2265" t="str">
            <v>Bùi Xuân Bắc</v>
          </cell>
          <cell r="AF2265" t="str">
            <v>XE01166</v>
          </cell>
          <cell r="AH2265">
            <v>9.82</v>
          </cell>
          <cell r="AW2265" t="str">
            <v>Bùi Xuân Bắc9</v>
          </cell>
          <cell r="AX2265" t="str">
            <v>Linh</v>
          </cell>
        </row>
        <row r="2266">
          <cell r="D2266" t="str">
            <v>Phạm Văn Sớm</v>
          </cell>
          <cell r="AF2266" t="str">
            <v>XE01221</v>
          </cell>
          <cell r="AH2266">
            <v>9.42</v>
          </cell>
          <cell r="AW2266" t="str">
            <v>Phạm Văn Sớm7</v>
          </cell>
          <cell r="AX2266" t="str">
            <v>Linh</v>
          </cell>
        </row>
        <row r="2267">
          <cell r="D2267" t="str">
            <v>Phạm Văn Sớm</v>
          </cell>
          <cell r="AF2267" t="str">
            <v>XE01221</v>
          </cell>
          <cell r="AH2267">
            <v>9.82</v>
          </cell>
          <cell r="AW2267" t="str">
            <v>Phạm Văn Sớm8</v>
          </cell>
          <cell r="AX2267" t="str">
            <v>Linh</v>
          </cell>
        </row>
        <row r="2268">
          <cell r="D2268" t="str">
            <v>Cồ Văn Tiển</v>
          </cell>
          <cell r="AF2268" t="str">
            <v>XE01243</v>
          </cell>
          <cell r="AH2268">
            <v>9.42</v>
          </cell>
          <cell r="AW2268" t="str">
            <v>Cồ Văn Tiển8</v>
          </cell>
          <cell r="AX2268" t="str">
            <v>Linh</v>
          </cell>
        </row>
        <row r="2269">
          <cell r="D2269" t="str">
            <v>Lê Huy Hoàng</v>
          </cell>
          <cell r="AF2269" t="str">
            <v>XE01526</v>
          </cell>
          <cell r="AH2269">
            <v>8.620000000000001</v>
          </cell>
          <cell r="AW2269" t="str">
            <v>Lê Huy Hoàng2</v>
          </cell>
          <cell r="AX2269" t="str">
            <v>Linh</v>
          </cell>
        </row>
        <row r="2270">
          <cell r="D2270" t="str">
            <v>Lê Huy Hoàng</v>
          </cell>
          <cell r="AF2270" t="str">
            <v>XE01526</v>
          </cell>
          <cell r="AH2270">
            <v>9.42</v>
          </cell>
          <cell r="AW2270" t="str">
            <v>Lê Huy Hoàng3</v>
          </cell>
          <cell r="AX2270" t="str">
            <v>Linh</v>
          </cell>
        </row>
        <row r="2271">
          <cell r="D2271" t="str">
            <v>Trần Anh Tuấn</v>
          </cell>
          <cell r="AF2271" t="str">
            <v>XE01429</v>
          </cell>
          <cell r="AH2271">
            <v>9.6199999999999992</v>
          </cell>
          <cell r="AW2271" t="str">
            <v>Trần Anh Tuấn8</v>
          </cell>
          <cell r="AX2271" t="str">
            <v>Linh</v>
          </cell>
        </row>
        <row r="2272">
          <cell r="D2272" t="str">
            <v>Trần Anh Tuấn</v>
          </cell>
          <cell r="AF2272" t="str">
            <v>XE01429</v>
          </cell>
          <cell r="AH2272">
            <v>9.82</v>
          </cell>
          <cell r="AW2272" t="str">
            <v>Trần Anh Tuấn9</v>
          </cell>
          <cell r="AX2272" t="str">
            <v>Linh</v>
          </cell>
        </row>
        <row r="2273">
          <cell r="D2273" t="str">
            <v>Đinh Trung Dũng</v>
          </cell>
          <cell r="AF2273" t="str">
            <v>XE01380</v>
          </cell>
          <cell r="AH2273">
            <v>9.42</v>
          </cell>
          <cell r="AW2273" t="str">
            <v>Đinh Trung Dũng7</v>
          </cell>
          <cell r="AX2273" t="str">
            <v>Linh</v>
          </cell>
        </row>
        <row r="2274">
          <cell r="D2274" t="str">
            <v>Đinh Trung Dũng</v>
          </cell>
          <cell r="AF2274" t="str">
            <v>XE01380</v>
          </cell>
          <cell r="AH2274">
            <v>9.82</v>
          </cell>
          <cell r="AW2274" t="str">
            <v>Đinh Trung Dũng8</v>
          </cell>
          <cell r="AX2274" t="str">
            <v>Linh</v>
          </cell>
        </row>
        <row r="2275">
          <cell r="D2275" t="str">
            <v>Nguyễn Trung Trọng</v>
          </cell>
          <cell r="AF2275" t="str">
            <v>XE00334</v>
          </cell>
          <cell r="AH2275">
            <v>9.02</v>
          </cell>
          <cell r="AW2275" t="str">
            <v>Nguyễn Trung Trọng7</v>
          </cell>
          <cell r="AX2275" t="str">
            <v>Linh</v>
          </cell>
        </row>
        <row r="2276">
          <cell r="D2276" t="str">
            <v>Nguyễn Văn Chiến</v>
          </cell>
          <cell r="AF2276" t="str">
            <v>XE00095</v>
          </cell>
          <cell r="AH2276">
            <v>8.2200000000000006</v>
          </cell>
          <cell r="AW2276" t="str">
            <v>Nguyễn Văn Chiến8</v>
          </cell>
          <cell r="AX2276" t="str">
            <v>Linh</v>
          </cell>
        </row>
        <row r="2277">
          <cell r="D2277" t="str">
            <v>Trần Đức Triều</v>
          </cell>
          <cell r="AF2277" t="str">
            <v>XE00080</v>
          </cell>
          <cell r="AH2277">
            <v>9.42</v>
          </cell>
          <cell r="AW2277" t="str">
            <v>Trần Đức Triều7</v>
          </cell>
          <cell r="AX2277" t="str">
            <v>Linh</v>
          </cell>
        </row>
        <row r="2278">
          <cell r="D2278" t="str">
            <v>Hoàng Tuấn Đạt</v>
          </cell>
          <cell r="AF2278" t="str">
            <v>XE00070</v>
          </cell>
          <cell r="AH2278">
            <v>9.82</v>
          </cell>
          <cell r="AW2278" t="str">
            <v>Hoàng Tuấn Đạt10</v>
          </cell>
          <cell r="AX2278" t="str">
            <v>Linh</v>
          </cell>
        </row>
        <row r="2279">
          <cell r="D2279" t="str">
            <v>Vũ Đình Sơn</v>
          </cell>
          <cell r="AF2279" t="str">
            <v>XE00152</v>
          </cell>
          <cell r="AH2279">
            <v>9.82</v>
          </cell>
          <cell r="AW2279" t="str">
            <v>Vũ Đình Sơn9</v>
          </cell>
          <cell r="AX2279" t="str">
            <v>Linh</v>
          </cell>
        </row>
        <row r="2280">
          <cell r="D2280" t="str">
            <v>Hoàng Trọng Nam</v>
          </cell>
          <cell r="AF2280" t="str">
            <v>XE00043</v>
          </cell>
          <cell r="AH2280">
            <v>9.82</v>
          </cell>
          <cell r="AW2280" t="str">
            <v>Hoàng Trọng Nam10</v>
          </cell>
          <cell r="AX2280" t="str">
            <v>Linh</v>
          </cell>
        </row>
        <row r="2281">
          <cell r="D2281" t="str">
            <v>Đinh Văn Sỹ</v>
          </cell>
          <cell r="AF2281" t="str">
            <v>XE00194</v>
          </cell>
          <cell r="AH2281">
            <v>9.02</v>
          </cell>
          <cell r="AW2281" t="str">
            <v>Đinh Văn Sỹ9</v>
          </cell>
          <cell r="AX2281" t="str">
            <v>Linh</v>
          </cell>
        </row>
        <row r="2282">
          <cell r="D2282" t="str">
            <v>Nguyễn Văn Khuyến</v>
          </cell>
          <cell r="AF2282" t="str">
            <v>XE00139</v>
          </cell>
          <cell r="AH2282">
            <v>9.02</v>
          </cell>
          <cell r="AW2282" t="str">
            <v>Nguyễn Văn Khuyến9</v>
          </cell>
          <cell r="AX2282" t="str">
            <v>Linh</v>
          </cell>
        </row>
        <row r="2283">
          <cell r="D2283" t="str">
            <v>Phạm Hồng Chính</v>
          </cell>
          <cell r="AF2283" t="str">
            <v>XE00032</v>
          </cell>
          <cell r="AH2283">
            <v>8.84</v>
          </cell>
          <cell r="AW2283" t="str">
            <v>Phạm Hồng Chính9</v>
          </cell>
          <cell r="AX2283" t="str">
            <v>Linh</v>
          </cell>
        </row>
        <row r="2284">
          <cell r="D2284" t="str">
            <v>Nguyễn Văn Chiến</v>
          </cell>
          <cell r="AF2284" t="str">
            <v>XE00095</v>
          </cell>
          <cell r="AH2284">
            <v>9.82</v>
          </cell>
          <cell r="AW2284" t="str">
            <v>Nguyễn Văn Chiến9</v>
          </cell>
          <cell r="AX2284" t="str">
            <v>Linh</v>
          </cell>
        </row>
        <row r="2285">
          <cell r="D2285" t="str">
            <v>Nguyễn Anh Hùng</v>
          </cell>
          <cell r="AF2285" t="str">
            <v>XE00013</v>
          </cell>
          <cell r="AH2285">
            <v>9.42</v>
          </cell>
          <cell r="AW2285" t="str">
            <v>Nguyễn Anh Hùng11</v>
          </cell>
          <cell r="AX2285" t="str">
            <v>Linh</v>
          </cell>
        </row>
        <row r="2286">
          <cell r="D2286" t="str">
            <v>Phạm Công Đại</v>
          </cell>
          <cell r="AF2286" t="str">
            <v>XE00301</v>
          </cell>
          <cell r="AH2286">
            <v>9.82</v>
          </cell>
          <cell r="AW2286" t="str">
            <v>Phạm Công Đại11</v>
          </cell>
          <cell r="AX2286" t="str">
            <v>Linh</v>
          </cell>
        </row>
        <row r="2287">
          <cell r="D2287" t="str">
            <v>Nguyễn Trung Trọng</v>
          </cell>
          <cell r="AF2287" t="str">
            <v>XE00334</v>
          </cell>
          <cell r="AH2287">
            <v>9.82</v>
          </cell>
          <cell r="AW2287" t="str">
            <v>Nguyễn Trung Trọng8</v>
          </cell>
          <cell r="AX2287" t="str">
            <v>Linh</v>
          </cell>
        </row>
        <row r="2288">
          <cell r="D2288" t="str">
            <v>Trần Hữu Nam 1978</v>
          </cell>
          <cell r="AF2288" t="str">
            <v>XE00373</v>
          </cell>
          <cell r="AH2288">
            <v>9.82</v>
          </cell>
          <cell r="AW2288" t="str">
            <v>Trần Hữu Nam 197810</v>
          </cell>
          <cell r="AX2288" t="str">
            <v>Linh</v>
          </cell>
        </row>
        <row r="2289">
          <cell r="D2289" t="str">
            <v>Hồ Nam Phong</v>
          </cell>
          <cell r="AF2289" t="str">
            <v>XE00384</v>
          </cell>
          <cell r="AH2289">
            <v>9.02</v>
          </cell>
          <cell r="AW2289" t="str">
            <v>Hồ Nam Phong11</v>
          </cell>
          <cell r="AX2289" t="str">
            <v>Linh</v>
          </cell>
        </row>
        <row r="2290">
          <cell r="D2290" t="str">
            <v>Đỗ Văn Tỉnh</v>
          </cell>
          <cell r="AF2290" t="str">
            <v>XE00405</v>
          </cell>
          <cell r="AH2290">
            <v>9.42</v>
          </cell>
          <cell r="AW2290" t="str">
            <v>Đỗ Văn Tỉnh10</v>
          </cell>
          <cell r="AX2290" t="str">
            <v>Linh</v>
          </cell>
        </row>
        <row r="2291">
          <cell r="D2291" t="str">
            <v>Vũ Mạnh Hùng</v>
          </cell>
          <cell r="AF2291" t="str">
            <v>XE00511</v>
          </cell>
          <cell r="AH2291">
            <v>9.42</v>
          </cell>
          <cell r="AW2291" t="str">
            <v>Vũ Mạnh Hùng9</v>
          </cell>
          <cell r="AX2291" t="str">
            <v>Linh</v>
          </cell>
        </row>
        <row r="2292">
          <cell r="D2292" t="str">
            <v>Trần Đình Thắng</v>
          </cell>
          <cell r="AF2292" t="str">
            <v>XE00513</v>
          </cell>
          <cell r="AH2292">
            <v>9.02</v>
          </cell>
          <cell r="AW2292" t="str">
            <v>Trần Đình Thắng10</v>
          </cell>
          <cell r="AX2292" t="str">
            <v>Linh</v>
          </cell>
        </row>
        <row r="2293">
          <cell r="D2293" t="str">
            <v>Trần Quyết Thắng</v>
          </cell>
          <cell r="AF2293" t="str">
            <v>XE00634</v>
          </cell>
          <cell r="AH2293">
            <v>9.82</v>
          </cell>
          <cell r="AW2293" t="str">
            <v>Trần Quyết Thắng8</v>
          </cell>
          <cell r="AX2293" t="str">
            <v>Linh</v>
          </cell>
        </row>
        <row r="2294">
          <cell r="D2294" t="str">
            <v>Triệu Tuấn Tú</v>
          </cell>
          <cell r="AF2294" t="str">
            <v>XE00937</v>
          </cell>
          <cell r="AH2294">
            <v>9.42</v>
          </cell>
          <cell r="AW2294" t="str">
            <v>Triệu Tuấn Tú10</v>
          </cell>
          <cell r="AX2294" t="str">
            <v>Linh</v>
          </cell>
        </row>
        <row r="2295">
          <cell r="D2295" t="str">
            <v>Phạm Thanh Bình</v>
          </cell>
          <cell r="AF2295" t="str">
            <v>XE01117</v>
          </cell>
          <cell r="AH2295">
            <v>7.42</v>
          </cell>
          <cell r="AW2295" t="str">
            <v>Phạm Thanh Bình10</v>
          </cell>
          <cell r="AX2295" t="str">
            <v>Linh</v>
          </cell>
        </row>
        <row r="2296">
          <cell r="D2296" t="str">
            <v>Phạm Hùng Sơn</v>
          </cell>
          <cell r="AF2296" t="str">
            <v>XE01157</v>
          </cell>
          <cell r="AH2296">
            <v>9.42</v>
          </cell>
          <cell r="AW2296" t="str">
            <v>Phạm Hùng Sơn10</v>
          </cell>
          <cell r="AX2296" t="str">
            <v>Linh</v>
          </cell>
        </row>
        <row r="2297">
          <cell r="D2297" t="str">
            <v>Bùi Xuân Bắc</v>
          </cell>
          <cell r="AF2297" t="str">
            <v>XE01166</v>
          </cell>
          <cell r="AH2297">
            <v>9.02</v>
          </cell>
          <cell r="AW2297" t="str">
            <v>Bùi Xuân Bắc10</v>
          </cell>
          <cell r="AX2297" t="str">
            <v>Linh</v>
          </cell>
        </row>
        <row r="2298">
          <cell r="D2298" t="str">
            <v>Phạm Văn Sớm</v>
          </cell>
          <cell r="AF2298" t="str">
            <v>XE01221</v>
          </cell>
          <cell r="AH2298">
            <v>9.82</v>
          </cell>
          <cell r="AW2298" t="str">
            <v>Phạm Văn Sớm9</v>
          </cell>
          <cell r="AX2298" t="str">
            <v>Linh</v>
          </cell>
        </row>
        <row r="2299">
          <cell r="D2299" t="str">
            <v>Cồ Văn Tiển</v>
          </cell>
          <cell r="AF2299" t="str">
            <v>XE01243</v>
          </cell>
          <cell r="AH2299">
            <v>9.42</v>
          </cell>
          <cell r="AW2299" t="str">
            <v>Cồ Văn Tiển9</v>
          </cell>
          <cell r="AX2299" t="str">
            <v>Linh</v>
          </cell>
        </row>
        <row r="2300">
          <cell r="D2300" t="str">
            <v>Đinh Trung Dũng</v>
          </cell>
          <cell r="AF2300" t="str">
            <v>XE01380</v>
          </cell>
          <cell r="AH2300">
            <v>9.42</v>
          </cell>
          <cell r="AW2300" t="str">
            <v>Đinh Trung Dũng9</v>
          </cell>
          <cell r="AX2300" t="str">
            <v>Linh</v>
          </cell>
        </row>
        <row r="2301">
          <cell r="D2301" t="str">
            <v>Lê Huy Hoàng</v>
          </cell>
          <cell r="AF2301" t="str">
            <v>XE01526</v>
          </cell>
          <cell r="AH2301">
            <v>9.82</v>
          </cell>
          <cell r="AW2301" t="str">
            <v>Lê Huy Hoàng4</v>
          </cell>
          <cell r="AX2301" t="str">
            <v>Linh</v>
          </cell>
        </row>
        <row r="2302">
          <cell r="D2302" t="str">
            <v>Trần Đức Triều</v>
          </cell>
          <cell r="AF2302" t="str">
            <v>XE00080</v>
          </cell>
          <cell r="AH2302">
            <v>9.82</v>
          </cell>
          <cell r="AW2302" t="str">
            <v>Trần Đức Triều8</v>
          </cell>
          <cell r="AX2302" t="str">
            <v>Linh</v>
          </cell>
        </row>
        <row r="2303">
          <cell r="D2303" t="str">
            <v>Trần Đức Triều</v>
          </cell>
          <cell r="AF2303" t="str">
            <v>XE00080</v>
          </cell>
          <cell r="AH2303">
            <v>8.84</v>
          </cell>
          <cell r="AW2303" t="str">
            <v>Trần Đức Triều9</v>
          </cell>
          <cell r="AX2303" t="str">
            <v>Linh</v>
          </cell>
        </row>
        <row r="2304">
          <cell r="D2304" t="str">
            <v>Phạm Quang Trung</v>
          </cell>
          <cell r="AF2304" t="str">
            <v>XE00041</v>
          </cell>
          <cell r="AH2304">
            <v>9.82</v>
          </cell>
          <cell r="AW2304" t="str">
            <v>Phạm Quang Trung9</v>
          </cell>
          <cell r="AX2304" t="str">
            <v>Linh</v>
          </cell>
        </row>
        <row r="2305">
          <cell r="D2305" t="str">
            <v>Nguyễn Văn Hùng</v>
          </cell>
          <cell r="AF2305" t="str">
            <v>XE00083</v>
          </cell>
          <cell r="AH2305">
            <v>9.42</v>
          </cell>
          <cell r="AW2305" t="str">
            <v>Nguyễn Văn Hùng7</v>
          </cell>
          <cell r="AX2305" t="str">
            <v>Linh</v>
          </cell>
        </row>
        <row r="2306">
          <cell r="D2306" t="str">
            <v>Phạm Văn Vũ</v>
          </cell>
          <cell r="AF2306" t="str">
            <v>XE00042</v>
          </cell>
          <cell r="AH2306">
            <v>9.82</v>
          </cell>
          <cell r="AW2306" t="str">
            <v>Phạm Văn Vũ10</v>
          </cell>
          <cell r="AX2306" t="str">
            <v>Linh</v>
          </cell>
        </row>
        <row r="2307">
          <cell r="D2307" t="str">
            <v>Hoàng Tuấn Đạt</v>
          </cell>
          <cell r="AF2307" t="str">
            <v>XE00070</v>
          </cell>
          <cell r="AH2307">
            <v>9.82</v>
          </cell>
          <cell r="AW2307" t="str">
            <v>Hoàng Tuấn Đạt11</v>
          </cell>
          <cell r="AX2307" t="str">
            <v>Linh</v>
          </cell>
        </row>
        <row r="2308">
          <cell r="D2308" t="str">
            <v>Vũ Đình Sơn</v>
          </cell>
          <cell r="AF2308" t="str">
            <v>XE00152</v>
          </cell>
          <cell r="AH2308">
            <v>9.82</v>
          </cell>
          <cell r="AW2308" t="str">
            <v>Vũ Đình Sơn10</v>
          </cell>
          <cell r="AX2308" t="str">
            <v>Linh</v>
          </cell>
        </row>
        <row r="2309">
          <cell r="D2309" t="str">
            <v>Vũ Đình Sơn</v>
          </cell>
          <cell r="AF2309" t="str">
            <v>XE00152</v>
          </cell>
          <cell r="AH2309">
            <v>9.82</v>
          </cell>
          <cell r="AW2309" t="str">
            <v>Vũ Đình Sơn11</v>
          </cell>
          <cell r="AX2309" t="str">
            <v>Linh</v>
          </cell>
        </row>
        <row r="2310">
          <cell r="D2310" t="str">
            <v>Hoàng Trọng Nam</v>
          </cell>
          <cell r="AF2310" t="str">
            <v>XE00043</v>
          </cell>
          <cell r="AH2310">
            <v>9.82</v>
          </cell>
          <cell r="AW2310" t="str">
            <v>Hoàng Trọng Nam11</v>
          </cell>
          <cell r="AX2310" t="str">
            <v>Linh</v>
          </cell>
        </row>
        <row r="2311">
          <cell r="D2311" t="str">
            <v>Đinh Văn Sỹ</v>
          </cell>
          <cell r="AF2311" t="str">
            <v>XE00194</v>
          </cell>
          <cell r="AH2311">
            <v>9.42</v>
          </cell>
          <cell r="AW2311" t="str">
            <v>Đinh Văn Sỹ10</v>
          </cell>
          <cell r="AX2311" t="str">
            <v>Linh</v>
          </cell>
        </row>
        <row r="2312">
          <cell r="D2312" t="str">
            <v>Đinh Văn Sỹ</v>
          </cell>
          <cell r="AF2312" t="str">
            <v>XE00194</v>
          </cell>
          <cell r="AH2312">
            <v>9.42</v>
          </cell>
          <cell r="AW2312" t="str">
            <v>Đinh Văn Sỹ11</v>
          </cell>
          <cell r="AX2312" t="str">
            <v>Linh</v>
          </cell>
        </row>
        <row r="2313">
          <cell r="D2313" t="str">
            <v>Nguyễn Văn Khuyến</v>
          </cell>
          <cell r="AF2313" t="str">
            <v>XE00139</v>
          </cell>
          <cell r="AH2313">
            <v>9.82</v>
          </cell>
          <cell r="AW2313" t="str">
            <v>Nguyễn Văn Khuyến10</v>
          </cell>
          <cell r="AX2313" t="str">
            <v>Linh</v>
          </cell>
        </row>
        <row r="2314">
          <cell r="D2314" t="str">
            <v>Nguyễn Văn Chiến</v>
          </cell>
          <cell r="AF2314" t="str">
            <v>XE00095</v>
          </cell>
          <cell r="AH2314">
            <v>9.82</v>
          </cell>
          <cell r="AW2314" t="str">
            <v>Nguyễn Văn Chiến10</v>
          </cell>
          <cell r="AX2314" t="str">
            <v>Linh</v>
          </cell>
        </row>
        <row r="2315">
          <cell r="D2315" t="str">
            <v>Nguyễn Văn Chiến</v>
          </cell>
          <cell r="AF2315" t="str">
            <v>XE00095</v>
          </cell>
          <cell r="AH2315">
            <v>8.44</v>
          </cell>
          <cell r="AW2315" t="str">
            <v>Nguyễn Văn Chiến11</v>
          </cell>
          <cell r="AX2315" t="str">
            <v>Linh</v>
          </cell>
        </row>
        <row r="2316">
          <cell r="D2316" t="str">
            <v>Vũ Ngọc Hà</v>
          </cell>
          <cell r="AF2316" t="str">
            <v>XE00253</v>
          </cell>
          <cell r="AH2316">
            <v>9.6199999999999992</v>
          </cell>
          <cell r="AW2316" t="str">
            <v>Vũ Ngọc Hà8</v>
          </cell>
          <cell r="AX2316" t="str">
            <v>Linh</v>
          </cell>
        </row>
        <row r="2317">
          <cell r="D2317" t="str">
            <v>Vũ Ngọc Hà</v>
          </cell>
          <cell r="AF2317" t="str">
            <v>XE00253</v>
          </cell>
          <cell r="AH2317">
            <v>9.82</v>
          </cell>
          <cell r="AW2317" t="str">
            <v>Vũ Ngọc Hà9</v>
          </cell>
          <cell r="AX2317" t="str">
            <v>Linh</v>
          </cell>
        </row>
        <row r="2318">
          <cell r="D2318" t="str">
            <v>Lê Huy Hoàng</v>
          </cell>
          <cell r="AF2318" t="str">
            <v>XE01526</v>
          </cell>
          <cell r="AH2318">
            <v>9.02</v>
          </cell>
          <cell r="AW2318" t="str">
            <v>Lê Huy Hoàng5</v>
          </cell>
          <cell r="AX2318" t="str">
            <v>Linh</v>
          </cell>
        </row>
        <row r="2319">
          <cell r="D2319" t="str">
            <v>Đinh Trung Dũng</v>
          </cell>
          <cell r="AF2319" t="str">
            <v>XE01380</v>
          </cell>
          <cell r="AH2319">
            <v>9.02</v>
          </cell>
          <cell r="AW2319" t="str">
            <v>Đinh Trung Dũng10</v>
          </cell>
          <cell r="AX2319" t="str">
            <v>Linh</v>
          </cell>
        </row>
        <row r="2320">
          <cell r="D2320" t="str">
            <v>Đinh Trung Dũng</v>
          </cell>
          <cell r="AF2320" t="str">
            <v>XE01380</v>
          </cell>
          <cell r="AH2320">
            <v>9.42</v>
          </cell>
          <cell r="AW2320" t="str">
            <v>Đinh Trung Dũng11</v>
          </cell>
          <cell r="AX2320" t="str">
            <v>Linh</v>
          </cell>
        </row>
        <row r="2321">
          <cell r="D2321" t="str">
            <v>Phạm Văn Sớm</v>
          </cell>
          <cell r="AF2321" t="str">
            <v>XE01221</v>
          </cell>
          <cell r="AH2321">
            <v>8.44</v>
          </cell>
          <cell r="AW2321" t="str">
            <v>Phạm Văn Sớm10</v>
          </cell>
          <cell r="AX2321" t="str">
            <v>Linh</v>
          </cell>
        </row>
        <row r="2322">
          <cell r="D2322" t="str">
            <v>Bùi Xuân Bắc</v>
          </cell>
          <cell r="AF2322" t="str">
            <v>XE01166</v>
          </cell>
          <cell r="AH2322">
            <v>9.02</v>
          </cell>
          <cell r="AW2322" t="str">
            <v>Bùi Xuân Bắc11</v>
          </cell>
          <cell r="AX2322" t="str">
            <v>Linh</v>
          </cell>
        </row>
        <row r="2323">
          <cell r="D2323" t="str">
            <v>Phạm Hùng Sơn</v>
          </cell>
          <cell r="AF2323" t="str">
            <v>XE01157</v>
          </cell>
          <cell r="AH2323">
            <v>9.82</v>
          </cell>
          <cell r="AW2323" t="str">
            <v>Phạm Hùng Sơn11</v>
          </cell>
          <cell r="AX2323" t="str">
            <v>Linh</v>
          </cell>
        </row>
        <row r="2324">
          <cell r="D2324" t="str">
            <v>Trần Quốc Toản</v>
          </cell>
          <cell r="AF2324" t="str">
            <v>XE00291</v>
          </cell>
          <cell r="AH2324">
            <v>7.24</v>
          </cell>
          <cell r="AW2324" t="str">
            <v>Trần Quốc Toản10</v>
          </cell>
          <cell r="AX2324" t="str">
            <v>Linh</v>
          </cell>
        </row>
        <row r="2325">
          <cell r="D2325" t="str">
            <v>Phạm Công Đại</v>
          </cell>
          <cell r="AF2325" t="str">
            <v>XE00301</v>
          </cell>
          <cell r="AH2325">
            <v>9.42</v>
          </cell>
          <cell r="AW2325" t="str">
            <v>Phạm Công Đại12</v>
          </cell>
          <cell r="AX2325" t="str">
            <v>Linh</v>
          </cell>
        </row>
        <row r="2326">
          <cell r="D2326" t="str">
            <v>Nguyễn Trung Trọng</v>
          </cell>
          <cell r="AF2326" t="str">
            <v>XE00334</v>
          </cell>
          <cell r="AH2326">
            <v>9.82</v>
          </cell>
          <cell r="AW2326" t="str">
            <v>Nguyễn Trung Trọng9</v>
          </cell>
          <cell r="AX2326" t="str">
            <v>Linh</v>
          </cell>
        </row>
        <row r="2327">
          <cell r="D2327" t="str">
            <v>Nguyễn Trung Trọng</v>
          </cell>
          <cell r="AF2327" t="str">
            <v>XE00334</v>
          </cell>
          <cell r="AH2327">
            <v>9.82</v>
          </cell>
          <cell r="AW2327" t="str">
            <v>Nguyễn Trung Trọng10</v>
          </cell>
          <cell r="AX2327" t="str">
            <v>Linh</v>
          </cell>
        </row>
        <row r="2328">
          <cell r="D2328" t="str">
            <v>Trần Văn Thanh</v>
          </cell>
          <cell r="AF2328" t="str">
            <v>XE00376</v>
          </cell>
          <cell r="AH2328">
            <v>9.82</v>
          </cell>
          <cell r="AW2328" t="str">
            <v>Trần Văn Thanh9</v>
          </cell>
          <cell r="AX2328" t="str">
            <v>Linh</v>
          </cell>
        </row>
        <row r="2329">
          <cell r="D2329" t="str">
            <v>Nguyễn Anh Hùng</v>
          </cell>
          <cell r="AF2329" t="str">
            <v>XE00013</v>
          </cell>
          <cell r="AH2329">
            <v>9.42</v>
          </cell>
          <cell r="AW2329" t="str">
            <v>Nguyễn Anh Hùng12</v>
          </cell>
          <cell r="AX2329" t="str">
            <v>Linh</v>
          </cell>
        </row>
        <row r="2330">
          <cell r="D2330" t="str">
            <v>Trần Hữu Nam 1978</v>
          </cell>
          <cell r="AF2330" t="str">
            <v>XE00373</v>
          </cell>
          <cell r="AH2330">
            <v>9.42</v>
          </cell>
          <cell r="AW2330" t="str">
            <v>Trần Hữu Nam 197811</v>
          </cell>
          <cell r="AX2330" t="str">
            <v>Linh</v>
          </cell>
        </row>
        <row r="2331">
          <cell r="D2331" t="str">
            <v>Trần Hữu Nam 1978</v>
          </cell>
          <cell r="AF2331" t="str">
            <v>XE00373</v>
          </cell>
          <cell r="AH2331">
            <v>9.42</v>
          </cell>
          <cell r="AW2331" t="str">
            <v>Trần Hữu Nam 197812</v>
          </cell>
          <cell r="AX2331" t="str">
            <v>Linh</v>
          </cell>
        </row>
        <row r="2332">
          <cell r="D2332" t="str">
            <v>Hồ Nam Phong</v>
          </cell>
          <cell r="AF2332" t="str">
            <v>XE00384</v>
          </cell>
          <cell r="AH2332">
            <v>9.02</v>
          </cell>
          <cell r="AW2332" t="str">
            <v>Hồ Nam Phong12</v>
          </cell>
          <cell r="AX2332" t="str">
            <v>Linh</v>
          </cell>
        </row>
        <row r="2333">
          <cell r="D2333" t="str">
            <v>Đỗ Văn Tỉnh</v>
          </cell>
          <cell r="AF2333" t="str">
            <v>XE00405</v>
          </cell>
          <cell r="AH2333">
            <v>9.42</v>
          </cell>
          <cell r="AW2333" t="str">
            <v>Đỗ Văn Tỉnh11</v>
          </cell>
          <cell r="AX2333" t="str">
            <v>Linh</v>
          </cell>
        </row>
        <row r="2334">
          <cell r="D2334" t="str">
            <v>Trần Đình Thắng</v>
          </cell>
          <cell r="AF2334" t="str">
            <v>XE00513</v>
          </cell>
          <cell r="AH2334">
            <v>9.42</v>
          </cell>
          <cell r="AW2334" t="str">
            <v>Trần Đình Thắng11</v>
          </cell>
          <cell r="AX2334" t="str">
            <v>Linh</v>
          </cell>
        </row>
        <row r="2335">
          <cell r="D2335" t="str">
            <v>Trần Quyết Thắng</v>
          </cell>
          <cell r="AF2335" t="str">
            <v>XE00634</v>
          </cell>
          <cell r="AH2335">
            <v>9.82</v>
          </cell>
          <cell r="AW2335" t="str">
            <v>Trần Quyết Thắng9</v>
          </cell>
          <cell r="AX2335" t="str">
            <v>Linh</v>
          </cell>
        </row>
        <row r="2336">
          <cell r="D2336" t="str">
            <v>Phùng Văn Hải</v>
          </cell>
          <cell r="AF2336" t="str">
            <v>XE00776</v>
          </cell>
          <cell r="AH2336">
            <v>9.82</v>
          </cell>
          <cell r="AW2336" t="str">
            <v>Phùng Văn Hải12</v>
          </cell>
          <cell r="AX2336" t="str">
            <v>Linh</v>
          </cell>
        </row>
        <row r="2337">
          <cell r="D2337" t="str">
            <v>Trần Mạnh Thắng</v>
          </cell>
          <cell r="AF2337" t="str">
            <v>XE00870</v>
          </cell>
          <cell r="AH2337">
            <v>9.82</v>
          </cell>
          <cell r="AW2337" t="str">
            <v>Trần Mạnh Thắng12</v>
          </cell>
          <cell r="AX2337" t="str">
            <v>Linh</v>
          </cell>
        </row>
        <row r="2338">
          <cell r="D2338" t="str">
            <v>Trần Quốc Phong</v>
          </cell>
          <cell r="AF2338" t="str">
            <v>XE00949</v>
          </cell>
          <cell r="AH2338">
            <v>9.42</v>
          </cell>
          <cell r="AW2338" t="str">
            <v>Trần Quốc Phong9</v>
          </cell>
          <cell r="AX2338" t="str">
            <v>Linh</v>
          </cell>
        </row>
        <row r="2339">
          <cell r="D2339" t="str">
            <v>Trần Quốc Phong</v>
          </cell>
          <cell r="AF2339" t="str">
            <v>XE00949</v>
          </cell>
          <cell r="AH2339">
            <v>9.6199999999999992</v>
          </cell>
          <cell r="AW2339" t="str">
            <v>Trần Quốc Phong10</v>
          </cell>
          <cell r="AX2339" t="str">
            <v>Linh</v>
          </cell>
        </row>
        <row r="2340">
          <cell r="D2340" t="str">
            <v>Đỗ Tuấn Anh</v>
          </cell>
          <cell r="AF2340" t="str">
            <v>XE00962</v>
          </cell>
          <cell r="AH2340">
            <v>9.42</v>
          </cell>
          <cell r="AW2340" t="str">
            <v>Đỗ Tuấn Anh8</v>
          </cell>
          <cell r="AX2340" t="str">
            <v>Linh</v>
          </cell>
        </row>
        <row r="2341">
          <cell r="D2341" t="str">
            <v>Phạm Văn Sớm</v>
          </cell>
          <cell r="AF2341" t="str">
            <v>XE01221</v>
          </cell>
          <cell r="AH2341">
            <v>8.84</v>
          </cell>
          <cell r="AW2341" t="str">
            <v>Phạm Văn Sớm11</v>
          </cell>
          <cell r="AX2341" t="str">
            <v>Linh</v>
          </cell>
        </row>
        <row r="2342">
          <cell r="D2342" t="str">
            <v>Trần Đức Triều</v>
          </cell>
          <cell r="AF2342" t="str">
            <v>XE00080</v>
          </cell>
          <cell r="AH2342">
            <v>9.82</v>
          </cell>
          <cell r="AW2342" t="str">
            <v>Trần Đức Triều10</v>
          </cell>
          <cell r="AX2342" t="str">
            <v>Linh</v>
          </cell>
        </row>
        <row r="2343">
          <cell r="D2343" t="str">
            <v>Trần Đức Triều</v>
          </cell>
          <cell r="AF2343" t="str">
            <v>XE00080</v>
          </cell>
          <cell r="AH2343">
            <v>9.42</v>
          </cell>
          <cell r="AW2343" t="str">
            <v>Trần Đức Triều11</v>
          </cell>
          <cell r="AX2343" t="str">
            <v>Linh</v>
          </cell>
        </row>
        <row r="2344">
          <cell r="D2344" t="str">
            <v>Phạm Quang Trung</v>
          </cell>
          <cell r="AF2344" t="str">
            <v>XE00041</v>
          </cell>
          <cell r="AH2344">
            <v>9.42</v>
          </cell>
          <cell r="AW2344" t="str">
            <v>Phạm Quang Trung10</v>
          </cell>
          <cell r="AX2344" t="str">
            <v>Linh</v>
          </cell>
        </row>
        <row r="2345">
          <cell r="D2345" t="str">
            <v>Nguyễn Văn Hùng</v>
          </cell>
          <cell r="AF2345" t="str">
            <v>XE00083</v>
          </cell>
          <cell r="AH2345">
            <v>9.42</v>
          </cell>
          <cell r="AW2345" t="str">
            <v>Nguyễn Văn Hùng8</v>
          </cell>
          <cell r="AX2345" t="str">
            <v>Linh</v>
          </cell>
        </row>
        <row r="2346">
          <cell r="D2346" t="str">
            <v>Phạm Văn Vũ</v>
          </cell>
          <cell r="AF2346" t="str">
            <v>XE00042</v>
          </cell>
          <cell r="AH2346">
            <v>9.6199999999999992</v>
          </cell>
          <cell r="AW2346" t="str">
            <v>Phạm Văn Vũ11</v>
          </cell>
          <cell r="AX2346" t="str">
            <v>Linh</v>
          </cell>
        </row>
        <row r="2347">
          <cell r="D2347" t="str">
            <v>Hoàng Tuấn Đạt</v>
          </cell>
          <cell r="AF2347" t="str">
            <v>XE00070</v>
          </cell>
          <cell r="AH2347">
            <v>9.82</v>
          </cell>
          <cell r="AW2347" t="str">
            <v>Hoàng Tuấn Đạt12</v>
          </cell>
          <cell r="AX2347" t="str">
            <v>Linh</v>
          </cell>
        </row>
        <row r="2348">
          <cell r="D2348" t="str">
            <v>Vũ Đình Sơn</v>
          </cell>
          <cell r="AF2348" t="str">
            <v>XE00152</v>
          </cell>
          <cell r="AH2348">
            <v>9.82</v>
          </cell>
          <cell r="AW2348" t="str">
            <v>Vũ Đình Sơn12</v>
          </cell>
          <cell r="AX2348" t="str">
            <v>Linh</v>
          </cell>
        </row>
        <row r="2349">
          <cell r="D2349" t="str">
            <v>Hoàng Trọng Nam</v>
          </cell>
          <cell r="AF2349" t="str">
            <v>XE00043</v>
          </cell>
          <cell r="AH2349">
            <v>9.82</v>
          </cell>
          <cell r="AW2349" t="str">
            <v>Hoàng Trọng Nam12</v>
          </cell>
          <cell r="AX2349" t="str">
            <v>Linh</v>
          </cell>
        </row>
        <row r="2350">
          <cell r="D2350" t="str">
            <v>Đinh Văn Sỹ</v>
          </cell>
          <cell r="AF2350" t="str">
            <v>XE00194</v>
          </cell>
          <cell r="AH2350">
            <v>9.02</v>
          </cell>
          <cell r="AW2350" t="str">
            <v>Đinh Văn Sỹ12</v>
          </cell>
          <cell r="AX2350" t="str">
            <v>Linh</v>
          </cell>
        </row>
        <row r="2351">
          <cell r="D2351" t="str">
            <v>Nguyễn Văn Khuyến</v>
          </cell>
          <cell r="AF2351" t="str">
            <v>XE00139</v>
          </cell>
          <cell r="AH2351">
            <v>9.42</v>
          </cell>
          <cell r="AW2351" t="str">
            <v>Nguyễn Văn Khuyến11</v>
          </cell>
          <cell r="AX2351" t="str">
            <v>Linh</v>
          </cell>
        </row>
        <row r="2352">
          <cell r="D2352" t="str">
            <v>Phạm Hồng Chính</v>
          </cell>
          <cell r="AF2352" t="str">
            <v>XE00032</v>
          </cell>
          <cell r="AH2352">
            <v>9.82</v>
          </cell>
          <cell r="AW2352" t="str">
            <v>Phạm Hồng Chính10</v>
          </cell>
          <cell r="AX2352" t="str">
            <v>Linh</v>
          </cell>
        </row>
        <row r="2353">
          <cell r="D2353" t="str">
            <v>Nguyễn Văn Chiến</v>
          </cell>
          <cell r="AF2353" t="str">
            <v>XE00095</v>
          </cell>
          <cell r="AH2353">
            <v>9.02</v>
          </cell>
          <cell r="AW2353" t="str">
            <v>Nguyễn Văn Chiến12</v>
          </cell>
          <cell r="AX2353" t="str">
            <v>Linh</v>
          </cell>
        </row>
        <row r="2354">
          <cell r="D2354" t="str">
            <v>Nguyễn Anh Hùng</v>
          </cell>
          <cell r="AF2354" t="str">
            <v>XE00013</v>
          </cell>
          <cell r="AH2354">
            <v>8.44</v>
          </cell>
          <cell r="AW2354" t="str">
            <v>Nguyễn Anh Hùng13</v>
          </cell>
          <cell r="AX2354" t="str">
            <v>Linh</v>
          </cell>
        </row>
        <row r="2355">
          <cell r="D2355" t="str">
            <v>Trần Quốc Toản</v>
          </cell>
          <cell r="AF2355" t="str">
            <v>XE00291</v>
          </cell>
          <cell r="AH2355">
            <v>9.42</v>
          </cell>
          <cell r="AW2355" t="str">
            <v>Trần Quốc Toản11</v>
          </cell>
          <cell r="AX2355" t="str">
            <v>Linh</v>
          </cell>
        </row>
        <row r="2356">
          <cell r="D2356" t="str">
            <v>Phạm Công Đại</v>
          </cell>
          <cell r="AF2356" t="str">
            <v>XE00301</v>
          </cell>
          <cell r="AH2356">
            <v>9.82</v>
          </cell>
          <cell r="AW2356" t="str">
            <v>Phạm Công Đại13</v>
          </cell>
          <cell r="AX2356" t="str">
            <v>Linh</v>
          </cell>
        </row>
        <row r="2357">
          <cell r="D2357" t="str">
            <v>Nguyễn Mạnh Trung</v>
          </cell>
          <cell r="AF2357" t="str">
            <v>XE00304</v>
          </cell>
          <cell r="AH2357">
            <v>9.02</v>
          </cell>
          <cell r="AW2357" t="str">
            <v>Nguyễn Mạnh Trung8</v>
          </cell>
          <cell r="AX2357" t="str">
            <v>Linh</v>
          </cell>
        </row>
        <row r="2358">
          <cell r="D2358" t="str">
            <v>Nguyễn Mạnh Trung</v>
          </cell>
          <cell r="AF2358" t="str">
            <v>XE00304</v>
          </cell>
          <cell r="AH2358">
            <v>9.82</v>
          </cell>
          <cell r="AW2358" t="str">
            <v>Nguyễn Mạnh Trung9</v>
          </cell>
          <cell r="AX2358" t="str">
            <v>Linh</v>
          </cell>
        </row>
        <row r="2359">
          <cell r="D2359" t="str">
            <v>Nguyễn Trung Trọng</v>
          </cell>
          <cell r="AF2359" t="str">
            <v>XE00334</v>
          </cell>
          <cell r="AH2359">
            <v>9.82</v>
          </cell>
          <cell r="AW2359" t="str">
            <v>Nguyễn Trung Trọng11</v>
          </cell>
          <cell r="AX2359" t="str">
            <v>Linh</v>
          </cell>
        </row>
        <row r="2360">
          <cell r="D2360" t="str">
            <v>Trần Văn Thanh</v>
          </cell>
          <cell r="AF2360" t="str">
            <v>XE00376</v>
          </cell>
          <cell r="AH2360">
            <v>9.82</v>
          </cell>
          <cell r="AW2360" t="str">
            <v>Trần Văn Thanh10</v>
          </cell>
          <cell r="AX2360" t="str">
            <v>Linh</v>
          </cell>
        </row>
        <row r="2361">
          <cell r="D2361" t="str">
            <v>Trần Văn Thanh</v>
          </cell>
          <cell r="AF2361" t="str">
            <v>XE00376</v>
          </cell>
          <cell r="AH2361">
            <v>9.02</v>
          </cell>
          <cell r="AW2361" t="str">
            <v>Trần Văn Thanh11</v>
          </cell>
          <cell r="AX2361" t="str">
            <v>Linh</v>
          </cell>
        </row>
        <row r="2362">
          <cell r="D2362" t="str">
            <v>Trần Hữu Nam 1978</v>
          </cell>
          <cell r="AF2362" t="str">
            <v>XE00373</v>
          </cell>
          <cell r="AH2362">
            <v>9.42</v>
          </cell>
          <cell r="AW2362" t="str">
            <v>Trần Hữu Nam 197813</v>
          </cell>
          <cell r="AX2362" t="str">
            <v>Linh</v>
          </cell>
        </row>
        <row r="2363">
          <cell r="D2363" t="str">
            <v>Hồ Nam Phong</v>
          </cell>
          <cell r="AF2363" t="str">
            <v>XE00384</v>
          </cell>
          <cell r="AH2363">
            <v>9.42</v>
          </cell>
          <cell r="AW2363" t="str">
            <v>Hồ Nam Phong13</v>
          </cell>
          <cell r="AX2363" t="str">
            <v>Linh</v>
          </cell>
        </row>
        <row r="2364">
          <cell r="D2364" t="str">
            <v>Đỗ Văn Tỉnh</v>
          </cell>
          <cell r="AF2364" t="str">
            <v>XE00405</v>
          </cell>
          <cell r="AH2364">
            <v>9.02</v>
          </cell>
          <cell r="AW2364" t="str">
            <v>Đỗ Văn Tỉnh12</v>
          </cell>
          <cell r="AX2364" t="str">
            <v>Linh</v>
          </cell>
        </row>
        <row r="2365">
          <cell r="D2365" t="str">
            <v>Vũ Mạnh Hùng</v>
          </cell>
          <cell r="AF2365" t="str">
            <v>XE00511</v>
          </cell>
          <cell r="AH2365">
            <v>9.6199999999999992</v>
          </cell>
          <cell r="AW2365" t="str">
            <v>Vũ Mạnh Hùng10</v>
          </cell>
          <cell r="AX2365" t="str">
            <v>Linh</v>
          </cell>
        </row>
        <row r="2366">
          <cell r="D2366" t="str">
            <v>Trần Đình Thắng</v>
          </cell>
          <cell r="AF2366" t="str">
            <v>XE00513</v>
          </cell>
          <cell r="AH2366">
            <v>9.42</v>
          </cell>
          <cell r="AW2366" t="str">
            <v>Trần Đình Thắng12</v>
          </cell>
          <cell r="AX2366" t="str">
            <v>Linh</v>
          </cell>
        </row>
        <row r="2367">
          <cell r="D2367" t="str">
            <v>Ngô Phong Thái</v>
          </cell>
          <cell r="AF2367" t="str">
            <v>XE00588</v>
          </cell>
          <cell r="AH2367">
            <v>9.42</v>
          </cell>
          <cell r="AW2367" t="str">
            <v>Ngô Phong Thái8</v>
          </cell>
          <cell r="AX2367" t="str">
            <v>Linh</v>
          </cell>
        </row>
        <row r="2368">
          <cell r="D2368" t="str">
            <v>Ngô Phong Thái</v>
          </cell>
          <cell r="AF2368" t="str">
            <v>XE00588</v>
          </cell>
          <cell r="AH2368">
            <v>8.42</v>
          </cell>
          <cell r="AW2368" t="str">
            <v>Ngô Phong Thái9</v>
          </cell>
          <cell r="AX2368" t="str">
            <v>Linh</v>
          </cell>
        </row>
        <row r="2369">
          <cell r="D2369" t="str">
            <v>Ngô Mạnh Tùng</v>
          </cell>
          <cell r="AF2369" t="str">
            <v>XE00108</v>
          </cell>
          <cell r="AH2369">
            <v>9.82</v>
          </cell>
          <cell r="AW2369" t="str">
            <v>Ngô Mạnh Tùng10</v>
          </cell>
          <cell r="AX2369" t="str">
            <v>Linh</v>
          </cell>
        </row>
        <row r="2370">
          <cell r="D2370" t="str">
            <v>Trần Quyết Thắng</v>
          </cell>
          <cell r="AF2370" t="str">
            <v>XE00634</v>
          </cell>
          <cell r="AH2370">
            <v>9.82</v>
          </cell>
          <cell r="AW2370" t="str">
            <v>Trần Quyết Thắng10</v>
          </cell>
          <cell r="AX2370" t="str">
            <v>Linh</v>
          </cell>
        </row>
        <row r="2371">
          <cell r="D2371" t="str">
            <v>Trần Quyết Thắng</v>
          </cell>
          <cell r="AF2371" t="str">
            <v>XE00634</v>
          </cell>
          <cell r="AH2371">
            <v>7.82</v>
          </cell>
          <cell r="AW2371" t="str">
            <v>Trần Quyết Thắng11</v>
          </cell>
          <cell r="AX2371" t="str">
            <v>Linh</v>
          </cell>
        </row>
        <row r="2372">
          <cell r="D2372" t="str">
            <v>Phạm Văn Chính</v>
          </cell>
          <cell r="AF2372" t="str">
            <v>XE00690</v>
          </cell>
          <cell r="AH2372">
            <v>9.42</v>
          </cell>
          <cell r="AW2372" t="str">
            <v>Phạm Văn Chính7</v>
          </cell>
          <cell r="AX2372" t="str">
            <v>Linh</v>
          </cell>
        </row>
        <row r="2373">
          <cell r="D2373" t="str">
            <v>Phạm Văn Chính</v>
          </cell>
          <cell r="AF2373" t="str">
            <v>XE00690</v>
          </cell>
          <cell r="AH2373">
            <v>7.22</v>
          </cell>
          <cell r="AW2373" t="str">
            <v>Phạm Văn Chính8</v>
          </cell>
          <cell r="AX2373" t="str">
            <v>Linh</v>
          </cell>
        </row>
        <row r="2374">
          <cell r="D2374" t="str">
            <v>Phùng Văn Hải</v>
          </cell>
          <cell r="AF2374" t="str">
            <v>XE00776</v>
          </cell>
          <cell r="AH2374">
            <v>9.82</v>
          </cell>
          <cell r="AW2374" t="str">
            <v>Phùng Văn Hải13</v>
          </cell>
          <cell r="AX2374" t="str">
            <v>Linh</v>
          </cell>
        </row>
        <row r="2375">
          <cell r="D2375" t="str">
            <v>Trần Mạnh Thắng</v>
          </cell>
          <cell r="AF2375" t="str">
            <v>XE00870</v>
          </cell>
          <cell r="AH2375">
            <v>9.82</v>
          </cell>
          <cell r="AW2375" t="str">
            <v>Trần Mạnh Thắng13</v>
          </cell>
          <cell r="AX2375" t="str">
            <v>Linh</v>
          </cell>
        </row>
        <row r="2376">
          <cell r="D2376" t="str">
            <v>Triệu Tuấn Tú</v>
          </cell>
          <cell r="AF2376" t="str">
            <v>XE00937</v>
          </cell>
          <cell r="AH2376">
            <v>8.2200000000000006</v>
          </cell>
          <cell r="AW2376" t="str">
            <v>Triệu Tuấn Tú11</v>
          </cell>
          <cell r="AX2376" t="str">
            <v>Linh</v>
          </cell>
        </row>
        <row r="2377">
          <cell r="D2377" t="str">
            <v>Trần Quốc Phong</v>
          </cell>
          <cell r="AF2377" t="str">
            <v>XE00949</v>
          </cell>
          <cell r="AH2377">
            <v>9.82</v>
          </cell>
          <cell r="AW2377" t="str">
            <v>Trần Quốc Phong11</v>
          </cell>
          <cell r="AX2377" t="str">
            <v>Linh</v>
          </cell>
        </row>
        <row r="2378">
          <cell r="D2378" t="str">
            <v>Đỗ Tuấn Anh</v>
          </cell>
          <cell r="AF2378" t="str">
            <v>XE00962</v>
          </cell>
          <cell r="AH2378">
            <v>9.24</v>
          </cell>
          <cell r="AW2378" t="str">
            <v>Đỗ Tuấn Anh9</v>
          </cell>
          <cell r="AX2378" t="str">
            <v>Linh</v>
          </cell>
        </row>
        <row r="2379">
          <cell r="D2379" t="str">
            <v>Phạm Thanh Bình</v>
          </cell>
          <cell r="AF2379" t="str">
            <v>XE01117</v>
          </cell>
          <cell r="AH2379">
            <v>9.82</v>
          </cell>
          <cell r="AW2379" t="str">
            <v>Phạm Thanh Bình11</v>
          </cell>
          <cell r="AX2379" t="str">
            <v>Linh</v>
          </cell>
        </row>
        <row r="2380">
          <cell r="D2380" t="str">
            <v>Phạm Hùng Sơn</v>
          </cell>
          <cell r="AF2380" t="str">
            <v>XE01157</v>
          </cell>
          <cell r="AH2380">
            <v>7.28</v>
          </cell>
          <cell r="AW2380" t="str">
            <v>Phạm Hùng Sơn</v>
          </cell>
          <cell r="AX2380" t="str">
            <v>Linh</v>
          </cell>
        </row>
        <row r="2381">
          <cell r="D2381" t="str">
            <v>Bùi Xuân Bắc</v>
          </cell>
          <cell r="AF2381" t="str">
            <v>XE01166</v>
          </cell>
          <cell r="AH2381">
            <v>9.82</v>
          </cell>
          <cell r="AW2381" t="str">
            <v>Bùi Xuân Bắc12</v>
          </cell>
          <cell r="AX2381" t="str">
            <v>Linh</v>
          </cell>
        </row>
        <row r="2382">
          <cell r="D2382" t="str">
            <v>Cồ Văn Tiển</v>
          </cell>
          <cell r="AF2382" t="str">
            <v>XE01243</v>
          </cell>
          <cell r="AH2382">
            <v>9.42</v>
          </cell>
          <cell r="AW2382" t="str">
            <v>Cồ Văn Tiển10</v>
          </cell>
          <cell r="AX2382" t="str">
            <v>Linh</v>
          </cell>
        </row>
        <row r="2383">
          <cell r="D2383" t="str">
            <v>Cồ Văn Tiển</v>
          </cell>
          <cell r="AF2383" t="str">
            <v>XE01243</v>
          </cell>
          <cell r="AH2383">
            <v>9.82</v>
          </cell>
          <cell r="AW2383" t="str">
            <v>Cồ Văn Tiển11</v>
          </cell>
          <cell r="AX2383" t="str">
            <v>Linh</v>
          </cell>
        </row>
        <row r="2384">
          <cell r="D2384" t="str">
            <v>Phạm Văn Sớm</v>
          </cell>
          <cell r="AF2384" t="str">
            <v>XE01221</v>
          </cell>
          <cell r="AH2384">
            <v>9.82</v>
          </cell>
          <cell r="AW2384" t="str">
            <v>Phạm Văn Sớm12</v>
          </cell>
          <cell r="AX2384" t="str">
            <v>Linh</v>
          </cell>
        </row>
        <row r="2385">
          <cell r="D2385" t="str">
            <v>Đinh Trung Dũng</v>
          </cell>
          <cell r="AF2385" t="str">
            <v>XE01380</v>
          </cell>
          <cell r="AH2385">
            <v>8.84</v>
          </cell>
          <cell r="AW2385" t="str">
            <v>Đinh Trung Dũng12</v>
          </cell>
          <cell r="AX2385" t="str">
            <v>Linh</v>
          </cell>
        </row>
        <row r="2386">
          <cell r="D2386" t="str">
            <v>Trần Anh Tuấn</v>
          </cell>
          <cell r="AF2386" t="str">
            <v>XE01429</v>
          </cell>
          <cell r="AH2386">
            <v>9.42</v>
          </cell>
          <cell r="AW2386" t="str">
            <v>Trần Anh Tuấn10</v>
          </cell>
          <cell r="AX2386" t="str">
            <v>Linh</v>
          </cell>
        </row>
        <row r="2387">
          <cell r="D2387" t="str">
            <v>Lê Huy Hoàng</v>
          </cell>
          <cell r="AF2387" t="str">
            <v>XE01526</v>
          </cell>
          <cell r="AH2387">
            <v>8.44</v>
          </cell>
          <cell r="AW2387" t="str">
            <v>Lê Huy Hoàng6</v>
          </cell>
          <cell r="AX2387" t="str">
            <v>Linh</v>
          </cell>
        </row>
        <row r="2388">
          <cell r="D2388" t="str">
            <v>Trần Đức Triều</v>
          </cell>
          <cell r="AF2388" t="str">
            <v>XE00080</v>
          </cell>
          <cell r="AH2388">
            <v>9.02</v>
          </cell>
          <cell r="AW2388" t="str">
            <v>Trần Đức Triều12</v>
          </cell>
          <cell r="AX2388" t="str">
            <v>Linh</v>
          </cell>
        </row>
        <row r="2389">
          <cell r="D2389" t="str">
            <v>Phạm Quang Trung</v>
          </cell>
          <cell r="AF2389" t="str">
            <v>XE00041</v>
          </cell>
          <cell r="AH2389">
            <v>9.42</v>
          </cell>
          <cell r="AW2389" t="str">
            <v>Phạm Quang Trung11</v>
          </cell>
          <cell r="AX2389" t="str">
            <v>Linh</v>
          </cell>
        </row>
        <row r="2390">
          <cell r="D2390" t="str">
            <v>Nguyễn Văn Hùng</v>
          </cell>
          <cell r="AF2390" t="str">
            <v>XE00083</v>
          </cell>
          <cell r="AH2390">
            <v>9.82</v>
          </cell>
          <cell r="AW2390" t="str">
            <v>Nguyễn Văn Hùng9</v>
          </cell>
          <cell r="AX2390" t="str">
            <v>Linh</v>
          </cell>
        </row>
        <row r="2391">
          <cell r="D2391" t="str">
            <v>Nguyễn Văn Hùng</v>
          </cell>
          <cell r="AF2391" t="str">
            <v>XE00083</v>
          </cell>
          <cell r="AH2391">
            <v>9.42</v>
          </cell>
          <cell r="AW2391" t="str">
            <v>Nguyễn Văn Hùng10</v>
          </cell>
          <cell r="AX2391" t="str">
            <v>Linh</v>
          </cell>
        </row>
        <row r="2392">
          <cell r="D2392" t="str">
            <v>Phạm Văn Vũ</v>
          </cell>
          <cell r="AF2392" t="str">
            <v>XE00042</v>
          </cell>
          <cell r="AH2392">
            <v>9.82</v>
          </cell>
          <cell r="AW2392" t="str">
            <v>Phạm Văn Vũ12</v>
          </cell>
          <cell r="AX2392" t="str">
            <v>Linh</v>
          </cell>
        </row>
        <row r="2393">
          <cell r="D2393" t="str">
            <v>Hoàng Tuấn Đạt</v>
          </cell>
          <cell r="AF2393" t="str">
            <v>XE00070</v>
          </cell>
          <cell r="AH2393">
            <v>9.42</v>
          </cell>
          <cell r="AW2393" t="str">
            <v>Hoàng Tuấn Đạt13</v>
          </cell>
          <cell r="AX2393" t="str">
            <v>Linh</v>
          </cell>
        </row>
        <row r="2394">
          <cell r="D2394" t="str">
            <v>Vũ Đình Sơn</v>
          </cell>
          <cell r="AF2394" t="str">
            <v>XE00152</v>
          </cell>
          <cell r="AH2394">
            <v>9.82</v>
          </cell>
          <cell r="AW2394" t="str">
            <v>Vũ Đình Sơn13</v>
          </cell>
          <cell r="AX2394" t="str">
            <v>Linh</v>
          </cell>
        </row>
        <row r="2395">
          <cell r="D2395" t="str">
            <v>Hoàng Trọng Nam</v>
          </cell>
          <cell r="AF2395" t="str">
            <v>XE00043</v>
          </cell>
          <cell r="AH2395">
            <v>9.0399999999999991</v>
          </cell>
          <cell r="AW2395" t="str">
            <v>Hoàng Trọng Nam13</v>
          </cell>
          <cell r="AX2395" t="str">
            <v>Linh</v>
          </cell>
        </row>
        <row r="2396">
          <cell r="D2396" t="str">
            <v>Đinh Văn Sỹ</v>
          </cell>
          <cell r="AF2396" t="str">
            <v>XE00194</v>
          </cell>
          <cell r="AH2396">
            <v>8.84</v>
          </cell>
          <cell r="AW2396" t="str">
            <v>Đinh Văn Sỹ13</v>
          </cell>
          <cell r="AX2396" t="str">
            <v>Linh</v>
          </cell>
        </row>
        <row r="2397">
          <cell r="D2397" t="str">
            <v>Nguyễn Văn Khuyến</v>
          </cell>
          <cell r="AF2397" t="str">
            <v>XE00139</v>
          </cell>
          <cell r="AH2397">
            <v>9.82</v>
          </cell>
          <cell r="AW2397" t="str">
            <v>Nguyễn Văn Khuyến12</v>
          </cell>
          <cell r="AX2397" t="str">
            <v>Linh</v>
          </cell>
        </row>
        <row r="2398">
          <cell r="D2398" t="str">
            <v>Phạm Hồng Chính</v>
          </cell>
          <cell r="AF2398" t="str">
            <v>XE00032</v>
          </cell>
          <cell r="AH2398">
            <v>8.84</v>
          </cell>
          <cell r="AW2398" t="str">
            <v>Phạm Hồng Chính11</v>
          </cell>
          <cell r="AX2398" t="str">
            <v>Linh</v>
          </cell>
        </row>
        <row r="2399">
          <cell r="D2399" t="str">
            <v>Nguyễn Văn Chiến</v>
          </cell>
          <cell r="AF2399" t="str">
            <v>XE00095</v>
          </cell>
          <cell r="AH2399">
            <v>10</v>
          </cell>
          <cell r="AW2399" t="str">
            <v>Nguyễn Văn Chiến13</v>
          </cell>
          <cell r="AX2399" t="str">
            <v>Linh</v>
          </cell>
        </row>
        <row r="2400">
          <cell r="D2400" t="str">
            <v>Vũ Ngọc Hà</v>
          </cell>
          <cell r="AF2400" t="str">
            <v>XE00253</v>
          </cell>
          <cell r="AH2400">
            <v>7.24</v>
          </cell>
          <cell r="AW2400" t="str">
            <v>Vũ Ngọc Hà10</v>
          </cell>
          <cell r="AX2400" t="str">
            <v>Linh</v>
          </cell>
        </row>
        <row r="2401">
          <cell r="D2401" t="str">
            <v>Nguyễn Anh Hùng</v>
          </cell>
          <cell r="AF2401" t="str">
            <v>XE00013</v>
          </cell>
          <cell r="AH2401">
            <v>8.84</v>
          </cell>
          <cell r="AW2401" t="str">
            <v>Nguyễn Anh Hùng14</v>
          </cell>
          <cell r="AX2401" t="str">
            <v>Linh</v>
          </cell>
        </row>
        <row r="2402">
          <cell r="D2402" t="str">
            <v>Trần Quốc Toản</v>
          </cell>
          <cell r="AF2402" t="str">
            <v>XE00291</v>
          </cell>
          <cell r="AH2402">
            <v>7.82</v>
          </cell>
          <cell r="AW2402" t="str">
            <v>Trần Quốc Toản12</v>
          </cell>
          <cell r="AX2402" t="str">
            <v>Linh</v>
          </cell>
        </row>
        <row r="2403">
          <cell r="D2403" t="str">
            <v>Phạm Công Đại</v>
          </cell>
          <cell r="AF2403" t="str">
            <v>XE00301</v>
          </cell>
          <cell r="AH2403">
            <v>9.82</v>
          </cell>
          <cell r="AW2403" t="str">
            <v>Phạm Công Đại14</v>
          </cell>
          <cell r="AX2403" t="str">
            <v>Linh</v>
          </cell>
        </row>
        <row r="2404">
          <cell r="D2404" t="str">
            <v>Nguyễn Mạnh Trung</v>
          </cell>
          <cell r="AF2404" t="str">
            <v>XE00304</v>
          </cell>
          <cell r="AH2404">
            <v>9.82</v>
          </cell>
          <cell r="AW2404" t="str">
            <v>Nguyễn Mạnh Trung10</v>
          </cell>
          <cell r="AX2404" t="str">
            <v>Linh</v>
          </cell>
        </row>
        <row r="2405">
          <cell r="D2405" t="str">
            <v>Nguyễn Mạnh Trung</v>
          </cell>
          <cell r="AF2405" t="str">
            <v>XE00304</v>
          </cell>
          <cell r="AH2405">
            <v>9.42</v>
          </cell>
          <cell r="AW2405" t="str">
            <v>Nguyễn Mạnh Trung11</v>
          </cell>
          <cell r="AX2405" t="str">
            <v>Linh</v>
          </cell>
        </row>
        <row r="2406">
          <cell r="D2406" t="str">
            <v>Nguyễn Trung Trọng</v>
          </cell>
          <cell r="AF2406" t="str">
            <v>XE00334</v>
          </cell>
          <cell r="AH2406">
            <v>9.02</v>
          </cell>
          <cell r="AW2406" t="str">
            <v>Nguyễn Trung Trọng12</v>
          </cell>
          <cell r="AX2406" t="str">
            <v>Linh</v>
          </cell>
        </row>
        <row r="2407">
          <cell r="D2407" t="str">
            <v>Trần Văn Thanh</v>
          </cell>
          <cell r="AF2407" t="str">
            <v>XE00376</v>
          </cell>
          <cell r="AH2407">
            <v>9.42</v>
          </cell>
          <cell r="AW2407" t="str">
            <v>Trần Văn Thanh12</v>
          </cell>
          <cell r="AX2407" t="str">
            <v>Linh</v>
          </cell>
        </row>
        <row r="2408">
          <cell r="D2408" t="str">
            <v>Trần Hữu Nam 1978</v>
          </cell>
          <cell r="AF2408" t="str">
            <v>XE00373</v>
          </cell>
          <cell r="AH2408">
            <v>9.82</v>
          </cell>
          <cell r="AW2408" t="str">
            <v>Trần Hữu Nam 197814</v>
          </cell>
          <cell r="AX2408" t="str">
            <v>Linh</v>
          </cell>
        </row>
        <row r="2409">
          <cell r="D2409" t="str">
            <v>Hồ Nam Phong</v>
          </cell>
          <cell r="AF2409" t="str">
            <v>XE00384</v>
          </cell>
          <cell r="AH2409">
            <v>8.84</v>
          </cell>
          <cell r="AW2409" t="str">
            <v>Hồ Nam Phong14</v>
          </cell>
          <cell r="AX2409" t="str">
            <v>Linh</v>
          </cell>
        </row>
        <row r="2410">
          <cell r="D2410" t="str">
            <v>Đỗ Văn Tỉnh</v>
          </cell>
          <cell r="AF2410" t="str">
            <v>XE00405</v>
          </cell>
          <cell r="AH2410">
            <v>9.82</v>
          </cell>
          <cell r="AW2410" t="str">
            <v>Đỗ Văn Tỉnh13</v>
          </cell>
          <cell r="AX2410" t="str">
            <v>Linh</v>
          </cell>
        </row>
        <row r="2411">
          <cell r="D2411" t="str">
            <v>Vũ Mạnh Hùng</v>
          </cell>
          <cell r="AF2411" t="str">
            <v>XE00511</v>
          </cell>
          <cell r="AH2411">
            <v>9.42</v>
          </cell>
          <cell r="AW2411" t="str">
            <v>Vũ Mạnh Hùng11</v>
          </cell>
          <cell r="AX2411" t="str">
            <v>Linh</v>
          </cell>
        </row>
        <row r="2412">
          <cell r="D2412" t="str">
            <v>Trần Đình Thắng</v>
          </cell>
          <cell r="AF2412" t="str">
            <v>XE00513</v>
          </cell>
          <cell r="AH2412">
            <v>9.42</v>
          </cell>
          <cell r="AW2412" t="str">
            <v>Trần Đình Thắng13</v>
          </cell>
          <cell r="AX2412" t="str">
            <v>Linh</v>
          </cell>
        </row>
        <row r="2413">
          <cell r="D2413" t="str">
            <v>Ngô Phong Thái</v>
          </cell>
          <cell r="AF2413" t="str">
            <v>XE00588</v>
          </cell>
          <cell r="AH2413">
            <v>9.82</v>
          </cell>
          <cell r="AW2413" t="str">
            <v>Ngô Phong Thái10</v>
          </cell>
          <cell r="AX2413" t="str">
            <v>Linh</v>
          </cell>
        </row>
        <row r="2414">
          <cell r="D2414" t="str">
            <v>Ngô Phong Thái</v>
          </cell>
          <cell r="AF2414" t="str">
            <v>XE00588</v>
          </cell>
          <cell r="AH2414">
            <v>9.42</v>
          </cell>
          <cell r="AW2414" t="str">
            <v>Ngô Phong Thái11</v>
          </cell>
          <cell r="AX2414" t="str">
            <v>Linh</v>
          </cell>
        </row>
        <row r="2415">
          <cell r="D2415" t="str">
            <v>Ngô Mạnh Tùng</v>
          </cell>
          <cell r="AF2415" t="str">
            <v>XE00108</v>
          </cell>
          <cell r="AH2415">
            <v>9.42</v>
          </cell>
          <cell r="AW2415" t="str">
            <v>Ngô Mạnh Tùng11</v>
          </cell>
          <cell r="AX2415" t="str">
            <v>Linh</v>
          </cell>
        </row>
        <row r="2416">
          <cell r="D2416" t="str">
            <v>Ngô Mạnh Tùng</v>
          </cell>
          <cell r="AF2416" t="str">
            <v>XE00108</v>
          </cell>
          <cell r="AH2416">
            <v>9.82</v>
          </cell>
          <cell r="AW2416" t="str">
            <v>Ngô Mạnh Tùng12</v>
          </cell>
          <cell r="AX2416" t="str">
            <v>Linh</v>
          </cell>
        </row>
        <row r="2417">
          <cell r="D2417" t="str">
            <v>Phùng Văn Hải</v>
          </cell>
          <cell r="AF2417" t="str">
            <v>XE00776</v>
          </cell>
          <cell r="AH2417">
            <v>9.42</v>
          </cell>
          <cell r="AW2417" t="str">
            <v>Phùng Văn Hải14</v>
          </cell>
          <cell r="AX2417" t="str">
            <v>Linh</v>
          </cell>
        </row>
        <row r="2418">
          <cell r="D2418" t="str">
            <v>Trần Mạnh Thắng</v>
          </cell>
          <cell r="AF2418" t="str">
            <v>XE00870</v>
          </cell>
          <cell r="AH2418">
            <v>9.6199999999999992</v>
          </cell>
          <cell r="AW2418" t="str">
            <v>Trần Mạnh Thắng14</v>
          </cell>
          <cell r="AX2418" t="str">
            <v>Linh</v>
          </cell>
        </row>
        <row r="2419">
          <cell r="D2419" t="str">
            <v>Triệu Tuấn Tú</v>
          </cell>
          <cell r="AF2419" t="str">
            <v>XE00937</v>
          </cell>
          <cell r="AH2419">
            <v>9.42</v>
          </cell>
          <cell r="AW2419" t="str">
            <v>Triệu Tuấn Tú12</v>
          </cell>
          <cell r="AX2419" t="str">
            <v>Linh</v>
          </cell>
        </row>
        <row r="2420">
          <cell r="D2420" t="str">
            <v>Trần Quốc Phong</v>
          </cell>
          <cell r="AF2420" t="str">
            <v>XE00949</v>
          </cell>
          <cell r="AH2420">
            <v>9.82</v>
          </cell>
          <cell r="AW2420" t="str">
            <v>Trần Quốc Phong12</v>
          </cell>
          <cell r="AX2420" t="str">
            <v>Linh</v>
          </cell>
        </row>
        <row r="2421">
          <cell r="D2421" t="str">
            <v>Đỗ Tuấn Anh</v>
          </cell>
          <cell r="AF2421" t="str">
            <v>XE00962</v>
          </cell>
          <cell r="AH2421">
            <v>8.6199999999999992</v>
          </cell>
          <cell r="AW2421" t="str">
            <v>Đỗ Tuấn Anh10</v>
          </cell>
          <cell r="AX2421" t="str">
            <v>Linh</v>
          </cell>
        </row>
        <row r="2422">
          <cell r="D2422" t="str">
            <v>Đoàn Văn Kiều</v>
          </cell>
          <cell r="AF2422" t="str">
            <v>XE01009</v>
          </cell>
          <cell r="AH2422">
            <v>9.82</v>
          </cell>
          <cell r="AW2422" t="str">
            <v>Đoàn Văn Kiều3</v>
          </cell>
          <cell r="AX2422" t="str">
            <v>Linh</v>
          </cell>
        </row>
        <row r="2423">
          <cell r="D2423" t="str">
            <v>Đoàn Văn Kiều</v>
          </cell>
          <cell r="AF2423" t="str">
            <v>XE01009</v>
          </cell>
          <cell r="AH2423">
            <v>7.6400000000000006</v>
          </cell>
          <cell r="AW2423" t="str">
            <v>Đoàn Văn Kiều4</v>
          </cell>
          <cell r="AX2423" t="str">
            <v>Linh</v>
          </cell>
        </row>
        <row r="2424">
          <cell r="D2424" t="str">
            <v>Phạm Thanh Bình</v>
          </cell>
          <cell r="AF2424" t="str">
            <v>XE01117</v>
          </cell>
          <cell r="AH2424">
            <v>9.82</v>
          </cell>
          <cell r="AW2424" t="str">
            <v>Phạm Thanh Bình12</v>
          </cell>
          <cell r="AX2424" t="str">
            <v>Linh</v>
          </cell>
        </row>
        <row r="2425">
          <cell r="D2425" t="str">
            <v>Phạm Thanh Bình</v>
          </cell>
          <cell r="AF2425" t="str">
            <v>XE01117</v>
          </cell>
          <cell r="AH2425">
            <v>9.02</v>
          </cell>
          <cell r="AW2425" t="str">
            <v>Phạm Thanh Bình13</v>
          </cell>
          <cell r="AX2425" t="str">
            <v>Linh</v>
          </cell>
        </row>
        <row r="2426">
          <cell r="D2426" t="str">
            <v>Phạm Hùng Sơn</v>
          </cell>
          <cell r="AF2426" t="str">
            <v>XE01157</v>
          </cell>
          <cell r="AH2426">
            <v>9.82</v>
          </cell>
          <cell r="AW2426" t="str">
            <v>Phạm Hùng Sơn13</v>
          </cell>
          <cell r="AX2426" t="str">
            <v>Linh</v>
          </cell>
        </row>
        <row r="2427">
          <cell r="D2427" t="str">
            <v>Bùi Xuân Bắc</v>
          </cell>
          <cell r="AF2427" t="str">
            <v>XE01166</v>
          </cell>
          <cell r="AH2427">
            <v>9.42</v>
          </cell>
          <cell r="AW2427" t="str">
            <v>Bùi Xuân Bắc13</v>
          </cell>
          <cell r="AX2427" t="str">
            <v>Linh</v>
          </cell>
        </row>
        <row r="2428">
          <cell r="D2428" t="str">
            <v>Phạm Văn Sớm</v>
          </cell>
          <cell r="AF2428" t="str">
            <v>XE01221</v>
          </cell>
          <cell r="AH2428">
            <v>9.82</v>
          </cell>
          <cell r="AW2428" t="str">
            <v>Phạm Văn Sớm13</v>
          </cell>
          <cell r="AX2428" t="str">
            <v>Linh</v>
          </cell>
        </row>
        <row r="2429">
          <cell r="D2429" t="str">
            <v>Cồ Văn Tiển</v>
          </cell>
          <cell r="AF2429" t="str">
            <v>XE01243</v>
          </cell>
          <cell r="AH2429">
            <v>9.42</v>
          </cell>
          <cell r="AW2429" t="str">
            <v>Cồ Văn Tiển12</v>
          </cell>
          <cell r="AX2429" t="str">
            <v>Linh</v>
          </cell>
        </row>
        <row r="2430">
          <cell r="D2430" t="str">
            <v>Cồ Văn Tiển</v>
          </cell>
          <cell r="AF2430" t="str">
            <v>XE01243</v>
          </cell>
          <cell r="AH2430">
            <v>9.42</v>
          </cell>
          <cell r="AW2430" t="str">
            <v>Cồ Văn Tiển13</v>
          </cell>
          <cell r="AX2430" t="str">
            <v>Linh</v>
          </cell>
        </row>
        <row r="2431">
          <cell r="D2431" t="str">
            <v>Đinh Trung Dũng</v>
          </cell>
          <cell r="AF2431" t="str">
            <v>XE01380</v>
          </cell>
          <cell r="AH2431">
            <v>9.82</v>
          </cell>
          <cell r="AW2431" t="str">
            <v>Đinh Trung Dũng13</v>
          </cell>
          <cell r="AX2431" t="str">
            <v>Linh</v>
          </cell>
        </row>
        <row r="2432">
          <cell r="D2432" t="str">
            <v>Trần Anh Tuấn</v>
          </cell>
          <cell r="AF2432" t="str">
            <v>XE01429</v>
          </cell>
          <cell r="AH2432">
            <v>9.82</v>
          </cell>
          <cell r="AW2432" t="str">
            <v>Trần Anh Tuấn11</v>
          </cell>
          <cell r="AX2432" t="str">
            <v>Linh</v>
          </cell>
        </row>
        <row r="2433">
          <cell r="D2433" t="str">
            <v>Lê Huy Hoàng</v>
          </cell>
          <cell r="AF2433" t="str">
            <v>XE01526</v>
          </cell>
          <cell r="AH2433">
            <v>6.6400000000000006</v>
          </cell>
          <cell r="AW2433" t="str">
            <v>Lê Huy Hoàng7</v>
          </cell>
          <cell r="AX2433" t="str">
            <v>Linh</v>
          </cell>
        </row>
        <row r="2434">
          <cell r="D2434" t="str">
            <v>Đoàn Văn Kiều</v>
          </cell>
          <cell r="AF2434" t="str">
            <v>XE01009</v>
          </cell>
          <cell r="AH2434">
            <v>10</v>
          </cell>
          <cell r="AW2434" t="str">
            <v>Đoàn Văn Kiều5</v>
          </cell>
          <cell r="AX2434" t="str">
            <v>Linh</v>
          </cell>
        </row>
        <row r="2435">
          <cell r="D2435" t="str">
            <v>Nguyễn Văn Hùng</v>
          </cell>
          <cell r="AF2435" t="str">
            <v>XE00083</v>
          </cell>
          <cell r="AH2435">
            <v>9.82</v>
          </cell>
          <cell r="AW2435" t="str">
            <v>Nguyễn Văn Hùng11</v>
          </cell>
          <cell r="AX2435" t="str">
            <v>Linh</v>
          </cell>
        </row>
        <row r="2436">
          <cell r="D2436" t="str">
            <v>Phạm Văn Vũ</v>
          </cell>
          <cell r="AF2436" t="str">
            <v>XE00042</v>
          </cell>
          <cell r="AH2436">
            <v>9.82</v>
          </cell>
          <cell r="AW2436" t="str">
            <v>Phạm Văn Vũ13</v>
          </cell>
          <cell r="AX2436" t="str">
            <v>Linh</v>
          </cell>
        </row>
        <row r="2437">
          <cell r="D2437" t="str">
            <v>Nguyễn Văn Khuyến</v>
          </cell>
          <cell r="AF2437" t="str">
            <v>XE00139</v>
          </cell>
          <cell r="AH2437">
            <v>8.84</v>
          </cell>
          <cell r="AW2437" t="str">
            <v>Nguyễn Văn Khuyến13</v>
          </cell>
          <cell r="AX2437" t="str">
            <v>Linh</v>
          </cell>
        </row>
        <row r="2438">
          <cell r="D2438" t="str">
            <v>Phạm Hồng Chính</v>
          </cell>
          <cell r="AF2438" t="str">
            <v>XE00032</v>
          </cell>
          <cell r="AH2438">
            <v>9.42</v>
          </cell>
          <cell r="AW2438" t="str">
            <v>Phạm Hồng Chính12</v>
          </cell>
          <cell r="AX2438" t="str">
            <v>Linh</v>
          </cell>
        </row>
        <row r="2439">
          <cell r="D2439" t="str">
            <v>Vũ Ngọc Hà</v>
          </cell>
          <cell r="AF2439" t="str">
            <v>XE00253</v>
          </cell>
          <cell r="AH2439">
            <v>9.82</v>
          </cell>
          <cell r="AW2439" t="str">
            <v>Vũ Ngọc Hà11</v>
          </cell>
          <cell r="AX2439" t="str">
            <v>Linh</v>
          </cell>
        </row>
        <row r="2440">
          <cell r="D2440" t="str">
            <v>Trần Quốc Toản</v>
          </cell>
          <cell r="AF2440" t="str">
            <v>XE00291</v>
          </cell>
          <cell r="AH2440">
            <v>8.84</v>
          </cell>
          <cell r="AW2440" t="str">
            <v>Trần Quốc Toản13</v>
          </cell>
          <cell r="AX2440" t="str">
            <v>Linh</v>
          </cell>
        </row>
        <row r="2441">
          <cell r="D2441" t="str">
            <v>Nguyễn Mạnh Trung</v>
          </cell>
          <cell r="AF2441" t="str">
            <v>XE00304</v>
          </cell>
          <cell r="AH2441">
            <v>9.82</v>
          </cell>
          <cell r="AW2441" t="str">
            <v>Nguyễn Mạnh Trung12</v>
          </cell>
          <cell r="AX2441" t="str">
            <v>Linh</v>
          </cell>
        </row>
        <row r="2442">
          <cell r="D2442" t="str">
            <v>Nguyễn Trung Trọng</v>
          </cell>
          <cell r="AF2442" t="str">
            <v>XE00334</v>
          </cell>
          <cell r="AH2442">
            <v>8.84</v>
          </cell>
          <cell r="AW2442" t="str">
            <v>Nguyễn Trung Trọng13</v>
          </cell>
          <cell r="AX2442" t="str">
            <v>Linh</v>
          </cell>
        </row>
        <row r="2443">
          <cell r="D2443" t="str">
            <v>Trần Văn Thanh</v>
          </cell>
          <cell r="AF2443" t="str">
            <v>XE00376</v>
          </cell>
          <cell r="AH2443">
            <v>9.02</v>
          </cell>
          <cell r="AW2443" t="str">
            <v>Trần Văn Thanh13</v>
          </cell>
          <cell r="AX2443" t="str">
            <v>Linh</v>
          </cell>
        </row>
        <row r="2444">
          <cell r="D2444" t="str">
            <v>Đỗ Văn Tỉnh</v>
          </cell>
          <cell r="AF2444" t="str">
            <v>XE00405</v>
          </cell>
          <cell r="AH2444">
            <v>9.82</v>
          </cell>
          <cell r="AW2444" t="str">
            <v>Đỗ Văn Tỉnh14</v>
          </cell>
          <cell r="AX2444" t="str">
            <v>Linh</v>
          </cell>
        </row>
        <row r="2445">
          <cell r="D2445" t="str">
            <v>Vũ Mạnh Hùng</v>
          </cell>
          <cell r="AF2445" t="str">
            <v>XE00511</v>
          </cell>
          <cell r="AH2445">
            <v>9.82</v>
          </cell>
          <cell r="AW2445" t="str">
            <v>Vũ Mạnh Hùng12</v>
          </cell>
          <cell r="AX2445" t="str">
            <v>Linh</v>
          </cell>
        </row>
        <row r="2446">
          <cell r="D2446" t="str">
            <v>Trần Đình Thắng</v>
          </cell>
          <cell r="AF2446" t="str">
            <v>XE00513</v>
          </cell>
          <cell r="AH2446">
            <v>8.84</v>
          </cell>
          <cell r="AW2446" t="str">
            <v>Trần Đình Thắng14</v>
          </cell>
          <cell r="AX2446" t="str">
            <v>Linh</v>
          </cell>
        </row>
        <row r="2447">
          <cell r="D2447" t="str">
            <v>Ngô Phong Thái</v>
          </cell>
          <cell r="AF2447" t="str">
            <v>XE00588</v>
          </cell>
          <cell r="AH2447">
            <v>9.82</v>
          </cell>
          <cell r="AW2447" t="str">
            <v>Ngô Phong Thái12</v>
          </cell>
          <cell r="AX2447" t="str">
            <v>Linh</v>
          </cell>
        </row>
        <row r="2448">
          <cell r="D2448" t="str">
            <v>Ngô Mạnh Tùng</v>
          </cell>
          <cell r="AF2448" t="str">
            <v>XE00108</v>
          </cell>
          <cell r="AH2448">
            <v>9.6199999999999992</v>
          </cell>
          <cell r="AW2448" t="str">
            <v>Ngô Mạnh Tùng13</v>
          </cell>
          <cell r="AX2448" t="str">
            <v>Linh</v>
          </cell>
        </row>
        <row r="2449">
          <cell r="D2449" t="str">
            <v>Triệu Tuấn Tú</v>
          </cell>
          <cell r="AF2449" t="str">
            <v>XE00937</v>
          </cell>
          <cell r="AH2449">
            <v>8.44</v>
          </cell>
          <cell r="AW2449" t="str">
            <v>Triệu Tuấn Tú13</v>
          </cell>
          <cell r="AX2449" t="str">
            <v>Linh</v>
          </cell>
        </row>
        <row r="2450">
          <cell r="D2450" t="str">
            <v>Trần Quốc Phong</v>
          </cell>
          <cell r="AF2450" t="str">
            <v>XE00949</v>
          </cell>
          <cell r="AH2450">
            <v>9.02</v>
          </cell>
          <cell r="AW2450" t="str">
            <v>Trần Quốc Phong13</v>
          </cell>
          <cell r="AX2450" t="str">
            <v>Linh</v>
          </cell>
        </row>
        <row r="2451">
          <cell r="D2451" t="str">
            <v>Phạm Văn Chính</v>
          </cell>
          <cell r="AF2451" t="str">
            <v>XE00690</v>
          </cell>
          <cell r="AH2451">
            <v>9.02</v>
          </cell>
          <cell r="AW2451" t="str">
            <v>Phạm Văn Chính9</v>
          </cell>
          <cell r="AX2451" t="str">
            <v>Linh</v>
          </cell>
        </row>
        <row r="2452">
          <cell r="D2452" t="str">
            <v>Trần Anh Tuấn</v>
          </cell>
          <cell r="AF2452" t="str">
            <v>XE01429</v>
          </cell>
          <cell r="AH2452">
            <v>9.42</v>
          </cell>
          <cell r="AW2452" t="str">
            <v>Trần Anh Tuấn12</v>
          </cell>
          <cell r="AX2452" t="str">
            <v>Linh</v>
          </cell>
        </row>
        <row r="2453">
          <cell r="D2453" t="str">
            <v>Lê Huy Hoàng</v>
          </cell>
          <cell r="AF2453" t="str">
            <v>XE01526</v>
          </cell>
          <cell r="AH2453">
            <v>9.42</v>
          </cell>
          <cell r="AW2453" t="str">
            <v>Lê Huy Hoàng8</v>
          </cell>
          <cell r="AX2453" t="str">
            <v>Linh</v>
          </cell>
        </row>
        <row r="2454">
          <cell r="D2454" t="str">
            <v>Lê Đình Huỳnh</v>
          </cell>
          <cell r="AF2454" t="str">
            <v>XE01735</v>
          </cell>
          <cell r="AH2454">
            <v>9.42</v>
          </cell>
          <cell r="AW2454" t="str">
            <v>Lê Đình Huỳnh1</v>
          </cell>
          <cell r="AX2454" t="str">
            <v>Linh</v>
          </cell>
        </row>
        <row r="2455">
          <cell r="D2455" t="str">
            <v>Trần Đức Triều</v>
          </cell>
          <cell r="AF2455" t="str">
            <v>XE00080</v>
          </cell>
          <cell r="AH2455">
            <v>9.82</v>
          </cell>
          <cell r="AW2455" t="str">
            <v>Trần Đức Triều13</v>
          </cell>
          <cell r="AX2455" t="str">
            <v>Linh</v>
          </cell>
        </row>
        <row r="2456">
          <cell r="D2456" t="str">
            <v>Hoàng Tuấn Đạt</v>
          </cell>
          <cell r="AF2456" t="str">
            <v>XE00070</v>
          </cell>
          <cell r="AH2456">
            <v>9.42</v>
          </cell>
          <cell r="AW2456" t="str">
            <v>Hoàng Tuấn Đạt14</v>
          </cell>
          <cell r="AX2456" t="str">
            <v>Linh</v>
          </cell>
        </row>
        <row r="2457">
          <cell r="D2457" t="str">
            <v>Hoàng Trọng Nam</v>
          </cell>
          <cell r="AF2457" t="str">
            <v>XE00043</v>
          </cell>
          <cell r="AH2457">
            <v>9.42</v>
          </cell>
          <cell r="AW2457" t="str">
            <v>Hoàng Trọng Nam14</v>
          </cell>
          <cell r="AX2457" t="str">
            <v>Linh</v>
          </cell>
        </row>
        <row r="2458">
          <cell r="D2458" t="str">
            <v>Đinh Văn Sỹ</v>
          </cell>
          <cell r="AF2458" t="str">
            <v>XE00194</v>
          </cell>
          <cell r="AH2458">
            <v>9.42</v>
          </cell>
          <cell r="AW2458" t="str">
            <v>Đinh Văn Sỹ14</v>
          </cell>
          <cell r="AX2458" t="str">
            <v>Linh</v>
          </cell>
        </row>
        <row r="2459">
          <cell r="D2459" t="str">
            <v>Nguyễn Văn Chiến</v>
          </cell>
          <cell r="AF2459" t="str">
            <v>XE00095</v>
          </cell>
          <cell r="AH2459">
            <v>9.6199999999999992</v>
          </cell>
          <cell r="AW2459" t="str">
            <v>Nguyễn Văn Chiến14</v>
          </cell>
          <cell r="AX2459" t="str">
            <v>Linh</v>
          </cell>
        </row>
        <row r="2460">
          <cell r="D2460" t="str">
            <v>Phạm Thanh Bình</v>
          </cell>
          <cell r="AF2460" t="str">
            <v>XE01117</v>
          </cell>
          <cell r="AH2460">
            <v>9.82</v>
          </cell>
          <cell r="AW2460" t="str">
            <v>Phạm Thanh Bình14</v>
          </cell>
          <cell r="AX2460" t="str">
            <v>Linh</v>
          </cell>
        </row>
        <row r="2461">
          <cell r="D2461" t="str">
            <v>Phạm Hùng Sơn</v>
          </cell>
          <cell r="AF2461" t="str">
            <v>XE01157</v>
          </cell>
          <cell r="AH2461">
            <v>9.82</v>
          </cell>
          <cell r="AW2461" t="str">
            <v>Phạm Hùng Sơn14</v>
          </cell>
          <cell r="AX2461" t="str">
            <v>Linh</v>
          </cell>
        </row>
        <row r="2462">
          <cell r="D2462" t="str">
            <v>Trần Đức Triều</v>
          </cell>
          <cell r="AF2462" t="str">
            <v>XE00080</v>
          </cell>
          <cell r="AH2462">
            <v>9.82</v>
          </cell>
          <cell r="AW2462" t="str">
            <v>Trần Đức Triều14</v>
          </cell>
          <cell r="AX2462" t="str">
            <v>Linh</v>
          </cell>
        </row>
        <row r="2463">
          <cell r="D2463" t="str">
            <v>Nguyễn Văn Hùng</v>
          </cell>
          <cell r="AF2463" t="str">
            <v>XE00083</v>
          </cell>
          <cell r="AH2463">
            <v>9.6199999999999992</v>
          </cell>
          <cell r="AW2463" t="str">
            <v>Nguyễn Văn Hùng12</v>
          </cell>
          <cell r="AX2463" t="str">
            <v>Linh</v>
          </cell>
        </row>
        <row r="2464">
          <cell r="D2464" t="str">
            <v>Hoàng Tuấn Đạt</v>
          </cell>
          <cell r="AF2464" t="str">
            <v>XE00070</v>
          </cell>
          <cell r="AH2464">
            <v>9.82</v>
          </cell>
          <cell r="AW2464" t="str">
            <v>Hoàng Tuấn Đạt15</v>
          </cell>
          <cell r="AX2464" t="str">
            <v>Linh</v>
          </cell>
        </row>
        <row r="2465">
          <cell r="D2465" t="str">
            <v>Vũ Đình Sơn</v>
          </cell>
          <cell r="AF2465" t="str">
            <v>XE00152</v>
          </cell>
          <cell r="AH2465">
            <v>9.82</v>
          </cell>
          <cell r="AW2465" t="str">
            <v>Vũ Đình Sơn14</v>
          </cell>
          <cell r="AX2465" t="str">
            <v>Linh</v>
          </cell>
        </row>
        <row r="2466">
          <cell r="D2466" t="str">
            <v>Đinh Văn Sỹ</v>
          </cell>
          <cell r="AF2466" t="str">
            <v>XE00194</v>
          </cell>
          <cell r="AH2466">
            <v>9.82</v>
          </cell>
          <cell r="AW2466" t="str">
            <v>Đinh Văn Sỹ15</v>
          </cell>
          <cell r="AX2466" t="str">
            <v>Linh</v>
          </cell>
        </row>
        <row r="2467">
          <cell r="D2467" t="str">
            <v>Nguyễn Văn Khuyến</v>
          </cell>
          <cell r="AF2467" t="str">
            <v>XE00139</v>
          </cell>
          <cell r="AH2467">
            <v>9.42</v>
          </cell>
          <cell r="AW2467" t="str">
            <v>Nguyễn Văn Khuyến14</v>
          </cell>
          <cell r="AX2467" t="str">
            <v>Linh</v>
          </cell>
        </row>
        <row r="2468">
          <cell r="D2468" t="str">
            <v>Phạm Hồng Chính</v>
          </cell>
          <cell r="AF2468" t="str">
            <v>XE00032</v>
          </cell>
          <cell r="AH2468">
            <v>9.82</v>
          </cell>
          <cell r="AW2468" t="str">
            <v>Phạm Hồng Chính13</v>
          </cell>
          <cell r="AX2468" t="str">
            <v>Linh</v>
          </cell>
        </row>
        <row r="2469">
          <cell r="D2469" t="str">
            <v>Phạm Hồng Chính</v>
          </cell>
          <cell r="AF2469" t="str">
            <v>XE00032</v>
          </cell>
          <cell r="AH2469">
            <v>9.82</v>
          </cell>
          <cell r="AW2469" t="str">
            <v>Phạm Hồng Chính14</v>
          </cell>
          <cell r="AX2469" t="str">
            <v>Linh</v>
          </cell>
        </row>
        <row r="2470">
          <cell r="D2470" t="str">
            <v>Nguyễn Văn Chiến</v>
          </cell>
          <cell r="AF2470" t="str">
            <v>XE00095</v>
          </cell>
          <cell r="AH2470">
            <v>9.82</v>
          </cell>
          <cell r="AW2470" t="str">
            <v>Nguyễn Văn Chiến15</v>
          </cell>
          <cell r="AX2470" t="str">
            <v>Linh</v>
          </cell>
        </row>
        <row r="2471">
          <cell r="D2471" t="str">
            <v>Vũ Ngọc Hà</v>
          </cell>
          <cell r="AF2471" t="str">
            <v>XE00253</v>
          </cell>
          <cell r="AH2471">
            <v>9.42</v>
          </cell>
          <cell r="AW2471" t="str">
            <v>Vũ Ngọc Hà12</v>
          </cell>
          <cell r="AX2471" t="str">
            <v>Linh</v>
          </cell>
        </row>
        <row r="2472">
          <cell r="D2472" t="str">
            <v>Vũ Ngọc Hà</v>
          </cell>
          <cell r="AF2472" t="str">
            <v>XE00253</v>
          </cell>
          <cell r="AH2472">
            <v>9.82</v>
          </cell>
          <cell r="AW2472" t="str">
            <v>Vũ Ngọc Hà13</v>
          </cell>
          <cell r="AX2472" t="str">
            <v>Linh</v>
          </cell>
        </row>
        <row r="2473">
          <cell r="D2473" t="str">
            <v>Nguyễn Anh Hùng</v>
          </cell>
          <cell r="AF2473" t="str">
            <v>XE00013</v>
          </cell>
          <cell r="AH2473">
            <v>9.24</v>
          </cell>
          <cell r="AW2473" t="str">
            <v>Nguyễn Anh Hùng15</v>
          </cell>
          <cell r="AX2473" t="str">
            <v>Linh</v>
          </cell>
        </row>
        <row r="2474">
          <cell r="D2474" t="str">
            <v>Nguyễn Anh Hùng</v>
          </cell>
          <cell r="AF2474" t="str">
            <v>XE00013</v>
          </cell>
          <cell r="AH2474">
            <v>9.82</v>
          </cell>
          <cell r="AW2474" t="str">
            <v>Nguyễn Anh Hùng16</v>
          </cell>
          <cell r="AX2474" t="str">
            <v>Linh</v>
          </cell>
        </row>
        <row r="2475">
          <cell r="D2475" t="str">
            <v>Trần Quốc Toản</v>
          </cell>
          <cell r="AF2475" t="str">
            <v>XE00291</v>
          </cell>
          <cell r="AH2475">
            <v>9.82</v>
          </cell>
          <cell r="AW2475" t="str">
            <v>Trần Quốc Toản14</v>
          </cell>
          <cell r="AX2475" t="str">
            <v>Linh</v>
          </cell>
        </row>
        <row r="2476">
          <cell r="D2476" t="str">
            <v>Phạm Công Đại</v>
          </cell>
          <cell r="AF2476" t="str">
            <v>XE00301</v>
          </cell>
          <cell r="AH2476">
            <v>9.82</v>
          </cell>
          <cell r="AW2476" t="str">
            <v>Phạm Công Đại15</v>
          </cell>
          <cell r="AX2476" t="str">
            <v>Linh</v>
          </cell>
        </row>
        <row r="2477">
          <cell r="D2477" t="str">
            <v>Phạm Công Đại</v>
          </cell>
          <cell r="AF2477" t="str">
            <v>XE00301</v>
          </cell>
          <cell r="AH2477">
            <v>9.82</v>
          </cell>
          <cell r="AW2477" t="str">
            <v>Phạm Công Đại16</v>
          </cell>
          <cell r="AX2477" t="str">
            <v>Linh</v>
          </cell>
        </row>
        <row r="2478">
          <cell r="D2478" t="str">
            <v>Trần Văn Thanh</v>
          </cell>
          <cell r="AF2478" t="str">
            <v>XE00376</v>
          </cell>
          <cell r="AH2478">
            <v>9.82</v>
          </cell>
          <cell r="AW2478" t="str">
            <v>Trần Văn Thanh14</v>
          </cell>
          <cell r="AX2478" t="str">
            <v>Linh</v>
          </cell>
        </row>
        <row r="2479">
          <cell r="D2479" t="str">
            <v>Trần Văn Thanh</v>
          </cell>
          <cell r="AF2479" t="str">
            <v>XE00376</v>
          </cell>
          <cell r="AH2479">
            <v>9.42</v>
          </cell>
          <cell r="AW2479" t="str">
            <v>Trần Văn Thanh15</v>
          </cell>
          <cell r="AX2479" t="str">
            <v>Linh</v>
          </cell>
        </row>
        <row r="2480">
          <cell r="D2480" t="str">
            <v>Hồ Nam Phong</v>
          </cell>
          <cell r="AF2480" t="str">
            <v>XE00384</v>
          </cell>
          <cell r="AH2480">
            <v>9.82</v>
          </cell>
          <cell r="AW2480" t="str">
            <v>Hồ Nam Phong15</v>
          </cell>
          <cell r="AX2480" t="str">
            <v>Linh</v>
          </cell>
        </row>
        <row r="2481">
          <cell r="D2481" t="str">
            <v>Vũ Mạnh Hùng</v>
          </cell>
          <cell r="AF2481" t="str">
            <v>XE00511</v>
          </cell>
          <cell r="AH2481">
            <v>9.02</v>
          </cell>
          <cell r="AW2481" t="str">
            <v>Vũ Mạnh Hùng13</v>
          </cell>
          <cell r="AX2481" t="str">
            <v>Linh</v>
          </cell>
        </row>
        <row r="2482">
          <cell r="D2482" t="str">
            <v>Ngô Phong Thái</v>
          </cell>
          <cell r="AF2482" t="str">
            <v>XE00588</v>
          </cell>
          <cell r="AH2482">
            <v>9.82</v>
          </cell>
          <cell r="AW2482" t="str">
            <v>Ngô Phong Thái13</v>
          </cell>
          <cell r="AX2482" t="str">
            <v>Linh</v>
          </cell>
        </row>
        <row r="2483">
          <cell r="D2483" t="str">
            <v>Ngô Mạnh Tùng</v>
          </cell>
          <cell r="AF2483" t="str">
            <v>XE00108</v>
          </cell>
          <cell r="AH2483">
            <v>9.82</v>
          </cell>
          <cell r="AW2483" t="str">
            <v>Ngô Mạnh Tùng14</v>
          </cell>
          <cell r="AX2483" t="str">
            <v>Linh</v>
          </cell>
        </row>
        <row r="2484">
          <cell r="D2484" t="str">
            <v>Phạm Văn Chính</v>
          </cell>
          <cell r="AF2484" t="str">
            <v>XE00690</v>
          </cell>
          <cell r="AH2484">
            <v>9.82</v>
          </cell>
          <cell r="AW2484" t="str">
            <v>Phạm Văn Chính10</v>
          </cell>
          <cell r="AX2484" t="str">
            <v>Linh</v>
          </cell>
        </row>
        <row r="2485">
          <cell r="D2485" t="str">
            <v>Phạm Văn Chính</v>
          </cell>
          <cell r="AF2485" t="str">
            <v>XE00690</v>
          </cell>
          <cell r="AH2485">
            <v>9.82</v>
          </cell>
          <cell r="AW2485" t="str">
            <v>Phạm Văn Chính11</v>
          </cell>
          <cell r="AX2485" t="str">
            <v>Linh</v>
          </cell>
        </row>
        <row r="2486">
          <cell r="D2486" t="str">
            <v>Trần Mạnh Thắng</v>
          </cell>
          <cell r="AF2486" t="str">
            <v>XE00870</v>
          </cell>
          <cell r="AH2486">
            <v>10</v>
          </cell>
          <cell r="AW2486" t="str">
            <v>Trần Mạnh Thắng15</v>
          </cell>
          <cell r="AX2486" t="str">
            <v>Linh</v>
          </cell>
        </row>
        <row r="2487">
          <cell r="D2487" t="str">
            <v>Triệu Tuấn Tú</v>
          </cell>
          <cell r="AF2487" t="str">
            <v>XE00937</v>
          </cell>
          <cell r="AH2487">
            <v>9.42</v>
          </cell>
          <cell r="AW2487" t="str">
            <v>Triệu Tuấn Tú14</v>
          </cell>
          <cell r="AX2487" t="str">
            <v>Linh</v>
          </cell>
        </row>
        <row r="2488">
          <cell r="D2488" t="str">
            <v>Trần Quốc Phong</v>
          </cell>
          <cell r="AF2488" t="str">
            <v>XE00949</v>
          </cell>
          <cell r="AH2488">
            <v>9.82</v>
          </cell>
          <cell r="AW2488" t="str">
            <v>Trần Quốc Phong14</v>
          </cell>
          <cell r="AX2488" t="str">
            <v>Linh</v>
          </cell>
        </row>
        <row r="2489">
          <cell r="D2489" t="str">
            <v>Đoàn Văn Kiều</v>
          </cell>
          <cell r="AF2489" t="str">
            <v>XE01009</v>
          </cell>
          <cell r="AH2489">
            <v>9.82</v>
          </cell>
          <cell r="AW2489" t="str">
            <v>Đoàn Văn Kiều6</v>
          </cell>
          <cell r="AX2489" t="str">
            <v>Linh</v>
          </cell>
        </row>
        <row r="2490">
          <cell r="D2490" t="str">
            <v>Phạm Thanh Bình</v>
          </cell>
          <cell r="AF2490" t="str">
            <v>XE01117</v>
          </cell>
          <cell r="AH2490">
            <v>9.82</v>
          </cell>
          <cell r="AW2490" t="str">
            <v>Phạm Thanh Bình15</v>
          </cell>
          <cell r="AX2490" t="str">
            <v>Linh</v>
          </cell>
        </row>
        <row r="2491">
          <cell r="D2491" t="str">
            <v>Phạm Hùng Sơn</v>
          </cell>
          <cell r="AF2491" t="str">
            <v>XE01157</v>
          </cell>
          <cell r="AH2491">
            <v>9.6199999999999992</v>
          </cell>
          <cell r="AW2491" t="str">
            <v>Phạm Hùng Sơn15</v>
          </cell>
          <cell r="AX2491" t="str">
            <v>Linh</v>
          </cell>
        </row>
        <row r="2492">
          <cell r="D2492" t="str">
            <v>Phạm Văn Sớm</v>
          </cell>
          <cell r="AF2492" t="str">
            <v>XE01221</v>
          </cell>
          <cell r="AH2492">
            <v>6.6400000000000006</v>
          </cell>
          <cell r="AW2492" t="str">
            <v>Phạm Văn Sớm14</v>
          </cell>
          <cell r="AX2492" t="str">
            <v>Linh</v>
          </cell>
        </row>
        <row r="2493">
          <cell r="D2493" t="str">
            <v>Cồ Văn Tiển</v>
          </cell>
          <cell r="AF2493" t="str">
            <v>XE01243</v>
          </cell>
          <cell r="AH2493">
            <v>8.84</v>
          </cell>
          <cell r="AW2493" t="str">
            <v>Cồ Văn Tiển14</v>
          </cell>
          <cell r="AX2493" t="str">
            <v>Linh</v>
          </cell>
        </row>
        <row r="2494">
          <cell r="D2494" t="str">
            <v>Trần Anh Tuấn</v>
          </cell>
          <cell r="AF2494" t="str">
            <v>XE01429</v>
          </cell>
          <cell r="AH2494">
            <v>9.82</v>
          </cell>
          <cell r="AW2494" t="str">
            <v>Trần Anh Tuấn13</v>
          </cell>
          <cell r="AX2494" t="str">
            <v>Linh</v>
          </cell>
        </row>
        <row r="2495">
          <cell r="D2495" t="str">
            <v>Phạm Quang Trung</v>
          </cell>
          <cell r="AF2495" t="str">
            <v>XE00041</v>
          </cell>
          <cell r="AH2495">
            <v>9.42</v>
          </cell>
          <cell r="AW2495" t="str">
            <v>Phạm Quang Trung12</v>
          </cell>
          <cell r="AX2495" t="str">
            <v>Linh</v>
          </cell>
        </row>
        <row r="2496">
          <cell r="D2496" t="str">
            <v>Phạm Quang Trung</v>
          </cell>
          <cell r="AF2496" t="str">
            <v>XE00041</v>
          </cell>
          <cell r="AH2496">
            <v>9.42</v>
          </cell>
          <cell r="AW2496" t="str">
            <v>Phạm Quang Trung13</v>
          </cell>
          <cell r="AX2496" t="str">
            <v>Linh</v>
          </cell>
        </row>
        <row r="2497">
          <cell r="D2497" t="str">
            <v>Hoàng Tuấn Đạt</v>
          </cell>
          <cell r="AF2497" t="str">
            <v>XE00070</v>
          </cell>
          <cell r="AH2497">
            <v>9.02</v>
          </cell>
          <cell r="AW2497" t="str">
            <v>Hoàng Tuấn Đạt16</v>
          </cell>
          <cell r="AX2497" t="str">
            <v>Linh</v>
          </cell>
        </row>
        <row r="2498">
          <cell r="D2498" t="str">
            <v>Nguyễn Văn Khuyến</v>
          </cell>
          <cell r="AF2498" t="str">
            <v>XE00139</v>
          </cell>
          <cell r="AH2498">
            <v>9.82</v>
          </cell>
          <cell r="AW2498" t="str">
            <v>Nguyễn Văn Khuyến15</v>
          </cell>
          <cell r="AX2498" t="str">
            <v>Linh</v>
          </cell>
        </row>
        <row r="2499">
          <cell r="D2499" t="str">
            <v>Phạm Hồng Chính</v>
          </cell>
          <cell r="AF2499" t="str">
            <v>XE00032</v>
          </cell>
          <cell r="AH2499">
            <v>9.42</v>
          </cell>
          <cell r="AW2499" t="str">
            <v>Phạm Hồng Chính15</v>
          </cell>
          <cell r="AX2499" t="str">
            <v>Linh</v>
          </cell>
        </row>
        <row r="2500">
          <cell r="D2500" t="str">
            <v>Phạm Hồng Chính</v>
          </cell>
          <cell r="AF2500" t="str">
            <v>XE00032</v>
          </cell>
          <cell r="AH2500">
            <v>9.42</v>
          </cell>
          <cell r="AW2500" t="str">
            <v>Phạm Hồng Chính16</v>
          </cell>
          <cell r="AX2500" t="str">
            <v>Linh</v>
          </cell>
        </row>
        <row r="2501">
          <cell r="D2501" t="str">
            <v>Nguyễn Văn Chiến</v>
          </cell>
          <cell r="AF2501" t="str">
            <v>XE00095</v>
          </cell>
          <cell r="AH2501">
            <v>9.6199999999999992</v>
          </cell>
          <cell r="AW2501" t="str">
            <v>Nguyễn Văn Chiến16</v>
          </cell>
          <cell r="AX2501" t="str">
            <v>Linh</v>
          </cell>
        </row>
        <row r="2502">
          <cell r="D2502" t="str">
            <v>Vũ Ngọc Hà</v>
          </cell>
          <cell r="AF2502" t="str">
            <v>XE00253</v>
          </cell>
          <cell r="AH2502">
            <v>9.02</v>
          </cell>
          <cell r="AW2502" t="str">
            <v>Vũ Ngọc Hà14</v>
          </cell>
          <cell r="AX2502" t="str">
            <v>Linh</v>
          </cell>
        </row>
        <row r="2503">
          <cell r="D2503" t="str">
            <v>Vũ Ngọc Hà</v>
          </cell>
          <cell r="AF2503" t="str">
            <v>XE00253</v>
          </cell>
          <cell r="AH2503">
            <v>9.82</v>
          </cell>
          <cell r="AW2503" t="str">
            <v>Vũ Ngọc Hà15</v>
          </cell>
          <cell r="AX2503" t="str">
            <v>Linh</v>
          </cell>
        </row>
        <row r="2504">
          <cell r="D2504" t="str">
            <v>Trần Quốc Toản</v>
          </cell>
          <cell r="AF2504" t="str">
            <v>XE00291</v>
          </cell>
          <cell r="AH2504">
            <v>9.82</v>
          </cell>
          <cell r="AW2504" t="str">
            <v>Trần Quốc Toản15</v>
          </cell>
          <cell r="AX2504" t="str">
            <v>Linh</v>
          </cell>
        </row>
        <row r="2505">
          <cell r="D2505" t="str">
            <v>Trần Quốc Toản</v>
          </cell>
          <cell r="AF2505" t="str">
            <v>XE00291</v>
          </cell>
          <cell r="AH2505">
            <v>9.42</v>
          </cell>
          <cell r="AW2505" t="str">
            <v>Trần Quốc Toản16</v>
          </cell>
          <cell r="AX2505" t="str">
            <v>Linh</v>
          </cell>
        </row>
        <row r="2506">
          <cell r="D2506" t="str">
            <v>Phạm Công Đại</v>
          </cell>
          <cell r="AF2506" t="str">
            <v>XE00301</v>
          </cell>
          <cell r="AH2506">
            <v>9.42</v>
          </cell>
          <cell r="AW2506" t="str">
            <v>Phạm Công Đại17</v>
          </cell>
          <cell r="AX2506" t="str">
            <v>Linh</v>
          </cell>
        </row>
        <row r="2507">
          <cell r="D2507" t="str">
            <v>Nguyễn Mạnh Trung</v>
          </cell>
          <cell r="AF2507" t="str">
            <v>XE00304</v>
          </cell>
          <cell r="AH2507">
            <v>9.02</v>
          </cell>
          <cell r="AW2507" t="str">
            <v>Nguyễn Mạnh Trung13</v>
          </cell>
          <cell r="AX2507" t="str">
            <v>Linh</v>
          </cell>
        </row>
        <row r="2508">
          <cell r="D2508" t="str">
            <v>Nguyễn Mạnh Trung</v>
          </cell>
          <cell r="AF2508" t="str">
            <v>XE00304</v>
          </cell>
          <cell r="AH2508">
            <v>9.82</v>
          </cell>
          <cell r="AW2508" t="str">
            <v>Nguyễn Mạnh Trung14</v>
          </cell>
          <cell r="AX2508" t="str">
            <v>Linh</v>
          </cell>
        </row>
        <row r="2509">
          <cell r="D2509" t="str">
            <v>Trần Văn Thanh</v>
          </cell>
          <cell r="AF2509" t="str">
            <v>XE00376</v>
          </cell>
          <cell r="AH2509">
            <v>9.82</v>
          </cell>
          <cell r="AW2509" t="str">
            <v>Trần Văn Thanh16</v>
          </cell>
          <cell r="AX2509" t="str">
            <v>Linh</v>
          </cell>
        </row>
        <row r="2510">
          <cell r="D2510" t="str">
            <v>Hồ Nam Phong</v>
          </cell>
          <cell r="AF2510" t="str">
            <v>XE00384</v>
          </cell>
          <cell r="AH2510">
            <v>8.44</v>
          </cell>
          <cell r="AW2510" t="str">
            <v>Hồ Nam Phong16</v>
          </cell>
          <cell r="AX2510" t="str">
            <v>Linh</v>
          </cell>
        </row>
        <row r="2511">
          <cell r="D2511" t="str">
            <v>Vũ Mạnh Hùng</v>
          </cell>
          <cell r="AF2511" t="str">
            <v>XE00511</v>
          </cell>
          <cell r="AH2511">
            <v>9.82</v>
          </cell>
          <cell r="AW2511" t="str">
            <v>Vũ Mạnh Hùng14</v>
          </cell>
          <cell r="AX2511" t="str">
            <v>Linh</v>
          </cell>
        </row>
        <row r="2512">
          <cell r="D2512" t="str">
            <v>Vũ Mạnh Hùng</v>
          </cell>
          <cell r="AF2512" t="str">
            <v>XE00511</v>
          </cell>
          <cell r="AH2512">
            <v>9.82</v>
          </cell>
          <cell r="AW2512" t="str">
            <v>Vũ Mạnh Hùng15</v>
          </cell>
          <cell r="AX2512" t="str">
            <v>Linh</v>
          </cell>
        </row>
        <row r="2513">
          <cell r="D2513" t="str">
            <v>Ngô Phong Thái</v>
          </cell>
          <cell r="AF2513" t="str">
            <v>XE00588</v>
          </cell>
          <cell r="AH2513">
            <v>9.42</v>
          </cell>
          <cell r="AW2513" t="str">
            <v>Ngô Phong Thái14</v>
          </cell>
          <cell r="AX2513" t="str">
            <v>Linh</v>
          </cell>
        </row>
        <row r="2514">
          <cell r="D2514" t="str">
            <v>Ngô Mạnh Tùng</v>
          </cell>
          <cell r="AF2514" t="str">
            <v>XE00108</v>
          </cell>
          <cell r="AH2514">
            <v>8.64</v>
          </cell>
          <cell r="AW2514" t="str">
            <v>Ngô Mạnh Tùng15</v>
          </cell>
          <cell r="AX2514" t="str">
            <v>Linh</v>
          </cell>
        </row>
        <row r="2515">
          <cell r="D2515" t="str">
            <v>Ngô Mạnh Tùng</v>
          </cell>
          <cell r="AF2515" t="str">
            <v>XE00108</v>
          </cell>
          <cell r="AH2515">
            <v>9.82</v>
          </cell>
          <cell r="AW2515" t="str">
            <v>Ngô Mạnh Tùng16</v>
          </cell>
          <cell r="AX2515" t="str">
            <v>Linh</v>
          </cell>
        </row>
        <row r="2516">
          <cell r="D2516" t="str">
            <v>Phạm Văn Chính</v>
          </cell>
          <cell r="AF2516" t="str">
            <v>XE00690</v>
          </cell>
          <cell r="AH2516">
            <v>8.2200000000000006</v>
          </cell>
          <cell r="AW2516" t="str">
            <v>Phạm Văn Chính12</v>
          </cell>
          <cell r="AX2516" t="str">
            <v>Linh</v>
          </cell>
        </row>
        <row r="2517">
          <cell r="D2517" t="str">
            <v>Phạm Văn Chính</v>
          </cell>
          <cell r="AF2517" t="str">
            <v>XE00690</v>
          </cell>
          <cell r="AH2517">
            <v>9.42</v>
          </cell>
          <cell r="AW2517" t="str">
            <v>Phạm Văn Chính13</v>
          </cell>
          <cell r="AX2517" t="str">
            <v>Linh</v>
          </cell>
        </row>
        <row r="2518">
          <cell r="D2518" t="str">
            <v>Trần Mạnh Thắng</v>
          </cell>
          <cell r="AF2518" t="str">
            <v>XE00870</v>
          </cell>
          <cell r="AH2518">
            <v>7.6199999999999992</v>
          </cell>
          <cell r="AW2518" t="str">
            <v>Trần Mạnh Thắng16</v>
          </cell>
          <cell r="AX2518" t="str">
            <v>Linh</v>
          </cell>
        </row>
        <row r="2519">
          <cell r="D2519" t="str">
            <v>Triệu Tuấn Tú</v>
          </cell>
          <cell r="AF2519" t="str">
            <v>XE00937</v>
          </cell>
          <cell r="AH2519">
            <v>8.84</v>
          </cell>
          <cell r="AW2519" t="str">
            <v>Triệu Tuấn Tú15</v>
          </cell>
          <cell r="AX2519" t="str">
            <v>Linh</v>
          </cell>
        </row>
        <row r="2520">
          <cell r="D2520" t="str">
            <v>Triệu Tuấn Tú</v>
          </cell>
          <cell r="AF2520" t="str">
            <v>XE00937</v>
          </cell>
          <cell r="AH2520">
            <v>9.42</v>
          </cell>
          <cell r="AW2520" t="str">
            <v>Triệu Tuấn Tú16</v>
          </cell>
          <cell r="AX2520" t="str">
            <v>Linh</v>
          </cell>
        </row>
        <row r="2521">
          <cell r="D2521" t="str">
            <v>Trần Quốc Phong</v>
          </cell>
          <cell r="AF2521" t="str">
            <v>XE00949</v>
          </cell>
          <cell r="AH2521">
            <v>9.42</v>
          </cell>
          <cell r="AW2521" t="str">
            <v>Trần Quốc Phong15</v>
          </cell>
          <cell r="AX2521" t="str">
            <v>Linh</v>
          </cell>
        </row>
        <row r="2522">
          <cell r="D2522" t="str">
            <v>Trần Quốc Phong</v>
          </cell>
          <cell r="AF2522" t="str">
            <v>XE00949</v>
          </cell>
          <cell r="AH2522">
            <v>9.7799999999999994</v>
          </cell>
          <cell r="AW2522" t="str">
            <v>Trần Quốc Phong16</v>
          </cell>
          <cell r="AX2522" t="str">
            <v>Linh</v>
          </cell>
        </row>
        <row r="2523">
          <cell r="D2523" t="str">
            <v>Đoàn Văn Kiều</v>
          </cell>
          <cell r="AF2523" t="str">
            <v>XE01009</v>
          </cell>
          <cell r="AH2523">
            <v>9.82</v>
          </cell>
          <cell r="AW2523" t="str">
            <v>Đoàn Văn Kiều7</v>
          </cell>
          <cell r="AX2523" t="str">
            <v>Linh</v>
          </cell>
        </row>
        <row r="2524">
          <cell r="D2524" t="str">
            <v>Đoàn Văn Kiều</v>
          </cell>
          <cell r="AF2524" t="str">
            <v>XE01009</v>
          </cell>
          <cell r="AH2524">
            <v>9.82</v>
          </cell>
          <cell r="AW2524" t="str">
            <v>Đoàn Văn Kiều8</v>
          </cell>
          <cell r="AX2524" t="str">
            <v>Linh</v>
          </cell>
        </row>
        <row r="2525">
          <cell r="D2525" t="str">
            <v>Phạm Thanh Bình</v>
          </cell>
          <cell r="AF2525" t="str">
            <v>XE01117</v>
          </cell>
          <cell r="AH2525">
            <v>7.6400000000000006</v>
          </cell>
          <cell r="AW2525" t="str">
            <v>Phạm Thanh Bình16</v>
          </cell>
          <cell r="AX2525" t="str">
            <v>Linh</v>
          </cell>
        </row>
        <row r="2526">
          <cell r="D2526" t="str">
            <v>Phạm Thanh Bình</v>
          </cell>
          <cell r="AF2526" t="str">
            <v>XE01117</v>
          </cell>
          <cell r="AH2526">
            <v>6.84</v>
          </cell>
          <cell r="AW2526" t="str">
            <v>Phạm Thanh Bình17</v>
          </cell>
          <cell r="AX2526" t="str">
            <v>Linh</v>
          </cell>
        </row>
        <row r="2527">
          <cell r="D2527" t="str">
            <v>Phạm Hùng Sơn</v>
          </cell>
          <cell r="AF2527" t="str">
            <v>XE01157</v>
          </cell>
          <cell r="AH2527">
            <v>9.42</v>
          </cell>
          <cell r="AW2527" t="str">
            <v>Phạm Hùng Sơn16</v>
          </cell>
          <cell r="AX2527" t="str">
            <v>Linh</v>
          </cell>
        </row>
        <row r="2528">
          <cell r="D2528" t="str">
            <v>Phạm Hùng Sơn</v>
          </cell>
          <cell r="AF2528" t="str">
            <v>XE01157</v>
          </cell>
          <cell r="AH2528">
            <v>9.42</v>
          </cell>
          <cell r="AW2528" t="str">
            <v>Phạm Hùng Sơn17</v>
          </cell>
          <cell r="AX2528" t="str">
            <v>Linh</v>
          </cell>
        </row>
        <row r="2529">
          <cell r="D2529" t="str">
            <v>Phạm Văn Sớm</v>
          </cell>
          <cell r="AF2529" t="str">
            <v>XE01221</v>
          </cell>
          <cell r="AH2529">
            <v>9.82</v>
          </cell>
          <cell r="AW2529" t="str">
            <v>Phạm Văn Sớm15</v>
          </cell>
          <cell r="AX2529" t="str">
            <v>Linh</v>
          </cell>
        </row>
        <row r="2530">
          <cell r="D2530" t="str">
            <v>Phạm Văn Sớm</v>
          </cell>
          <cell r="AF2530" t="str">
            <v>XE01221</v>
          </cell>
          <cell r="AH2530">
            <v>9.8000000000000007</v>
          </cell>
          <cell r="AW2530" t="str">
            <v>Phạm Văn Sớm16</v>
          </cell>
          <cell r="AX2530" t="str">
            <v>Linh</v>
          </cell>
        </row>
        <row r="2531">
          <cell r="D2531" t="str">
            <v>Đinh Trung Dũng</v>
          </cell>
          <cell r="AF2531" t="str">
            <v>XE01380</v>
          </cell>
          <cell r="AH2531">
            <v>9.82</v>
          </cell>
          <cell r="AW2531" t="str">
            <v>Đinh Trung Dũng14</v>
          </cell>
          <cell r="AX2531" t="str">
            <v>Linh</v>
          </cell>
        </row>
        <row r="2532">
          <cell r="D2532" t="str">
            <v>Đinh Trung Dũng</v>
          </cell>
          <cell r="AF2532" t="str">
            <v>XE01380</v>
          </cell>
          <cell r="AH2532">
            <v>9.82</v>
          </cell>
          <cell r="AW2532" t="str">
            <v>Đinh Trung Dũng15</v>
          </cell>
          <cell r="AX2532" t="str">
            <v>Linh</v>
          </cell>
        </row>
        <row r="2533">
          <cell r="D2533" t="str">
            <v>Trần Anh Tuấn</v>
          </cell>
          <cell r="AF2533" t="str">
            <v>XE01429</v>
          </cell>
          <cell r="AH2533">
            <v>9.42</v>
          </cell>
          <cell r="AW2533" t="str">
            <v>Trần Anh Tuấn14</v>
          </cell>
          <cell r="AX2533" t="str">
            <v>Linh</v>
          </cell>
        </row>
        <row r="2534">
          <cell r="D2534" t="str">
            <v>Trần Anh Tuấn</v>
          </cell>
          <cell r="AF2534" t="str">
            <v>XE01429</v>
          </cell>
          <cell r="AH2534">
            <v>9.02</v>
          </cell>
          <cell r="AW2534" t="str">
            <v>Trần Anh Tuấn15</v>
          </cell>
          <cell r="AX2534" t="str">
            <v>Linh</v>
          </cell>
        </row>
        <row r="2535">
          <cell r="D2535" t="str">
            <v>Lê Đình Huỳnh</v>
          </cell>
          <cell r="AF2535" t="str">
            <v>XE01735</v>
          </cell>
          <cell r="AH2535">
            <v>9.42</v>
          </cell>
          <cell r="AW2535" t="str">
            <v>Lê Đình Huỳnh2</v>
          </cell>
          <cell r="AX2535" t="str">
            <v>Linh</v>
          </cell>
        </row>
        <row r="2536">
          <cell r="D2536" t="str">
            <v>Lê Đình Huỳnh</v>
          </cell>
          <cell r="AF2536" t="str">
            <v>XE01735</v>
          </cell>
          <cell r="AH2536">
            <v>9.42</v>
          </cell>
          <cell r="AW2536" t="str">
            <v>Lê Đình Huỳnh3</v>
          </cell>
          <cell r="AX2536" t="str">
            <v>Linh</v>
          </cell>
        </row>
        <row r="2537">
          <cell r="D2537" t="str">
            <v>Trần Đức Triều</v>
          </cell>
          <cell r="AF2537" t="str">
            <v>XE00080</v>
          </cell>
          <cell r="AH2537">
            <v>8.2200000000000006</v>
          </cell>
          <cell r="AW2537" t="str">
            <v>Trần Đức Triều15</v>
          </cell>
          <cell r="AX2537" t="str">
            <v>Linh</v>
          </cell>
        </row>
        <row r="2538">
          <cell r="D2538" t="str">
            <v>Phạm Quang Trung</v>
          </cell>
          <cell r="AF2538" t="str">
            <v>XE00041</v>
          </cell>
          <cell r="AH2538">
            <v>9.82</v>
          </cell>
          <cell r="AW2538" t="str">
            <v>Phạm Quang Trung14</v>
          </cell>
          <cell r="AX2538" t="str">
            <v>Linh</v>
          </cell>
        </row>
        <row r="2539">
          <cell r="D2539" t="str">
            <v>Phạm Quang Trung</v>
          </cell>
          <cell r="AF2539" t="str">
            <v>XE00041</v>
          </cell>
          <cell r="AH2539">
            <v>9.82</v>
          </cell>
          <cell r="AW2539" t="str">
            <v>Phạm Quang Trung15</v>
          </cell>
          <cell r="AX2539" t="str">
            <v>Linh</v>
          </cell>
        </row>
        <row r="2540">
          <cell r="D2540" t="str">
            <v>Nguyễn Văn Hùng</v>
          </cell>
          <cell r="AF2540" t="str">
            <v>XE00083</v>
          </cell>
          <cell r="AH2540">
            <v>9.82</v>
          </cell>
          <cell r="AW2540" t="str">
            <v>Nguyễn Văn Hùng13</v>
          </cell>
          <cell r="AX2540" t="str">
            <v>Linh</v>
          </cell>
        </row>
        <row r="2541">
          <cell r="D2541" t="str">
            <v>Nguyễn Văn Hùng</v>
          </cell>
          <cell r="AF2541" t="str">
            <v>XE00083</v>
          </cell>
          <cell r="AH2541">
            <v>9.82</v>
          </cell>
          <cell r="AW2541" t="str">
            <v>Nguyễn Văn Hùng14</v>
          </cell>
          <cell r="AX2541" t="str">
            <v>Linh</v>
          </cell>
        </row>
        <row r="2542">
          <cell r="D2542" t="str">
            <v>Phạm Văn Vũ</v>
          </cell>
          <cell r="AF2542" t="str">
            <v>XE00042</v>
          </cell>
          <cell r="AH2542">
            <v>9.6199999999999992</v>
          </cell>
          <cell r="AW2542" t="str">
            <v>Phạm Văn Vũ14</v>
          </cell>
          <cell r="AX2542" t="str">
            <v>Linh</v>
          </cell>
        </row>
        <row r="2543">
          <cell r="D2543" t="str">
            <v>Phạm Văn Vũ</v>
          </cell>
          <cell r="AF2543" t="str">
            <v>XE00042</v>
          </cell>
          <cell r="AH2543">
            <v>9.82</v>
          </cell>
          <cell r="AW2543" t="str">
            <v>Phạm Văn Vũ15</v>
          </cell>
          <cell r="AX2543" t="str">
            <v>Linh</v>
          </cell>
        </row>
        <row r="2544">
          <cell r="D2544" t="str">
            <v>Nguyễn Văn Khuyến</v>
          </cell>
          <cell r="AF2544" t="str">
            <v>XE00139</v>
          </cell>
          <cell r="AH2544">
            <v>8.2200000000000006</v>
          </cell>
          <cell r="AW2544" t="str">
            <v>Nguyễn Văn Khuyến16</v>
          </cell>
          <cell r="AX2544" t="str">
            <v>Linh</v>
          </cell>
        </row>
        <row r="2545">
          <cell r="D2545" t="str">
            <v>Nguyễn Văn Chiến</v>
          </cell>
          <cell r="AF2545" t="str">
            <v>XE00095</v>
          </cell>
          <cell r="AH2545">
            <v>9.82</v>
          </cell>
          <cell r="AW2545" t="str">
            <v>Nguyễn Văn Chiến17</v>
          </cell>
          <cell r="AX2545" t="str">
            <v>Linh</v>
          </cell>
        </row>
        <row r="2546">
          <cell r="D2546" t="str">
            <v>Trần Quốc Toản</v>
          </cell>
          <cell r="AF2546" t="str">
            <v>XE00291</v>
          </cell>
          <cell r="AH2546">
            <v>10</v>
          </cell>
          <cell r="AW2546" t="str">
            <v>Trần Quốc Toản17</v>
          </cell>
          <cell r="AX2546" t="str">
            <v>Linh</v>
          </cell>
        </row>
        <row r="2547">
          <cell r="D2547" t="str">
            <v>Phạm Công Đại</v>
          </cell>
          <cell r="AF2547" t="str">
            <v>XE00301</v>
          </cell>
          <cell r="AH2547">
            <v>9.02</v>
          </cell>
          <cell r="AW2547" t="str">
            <v>Phạm Công Đại18</v>
          </cell>
          <cell r="AX2547" t="str">
            <v>Linh</v>
          </cell>
        </row>
        <row r="2548">
          <cell r="D2548" t="str">
            <v>Nguyễn Mạnh Trung</v>
          </cell>
          <cell r="AF2548" t="str">
            <v>XE00304</v>
          </cell>
          <cell r="AH2548">
            <v>9.82</v>
          </cell>
          <cell r="AW2548" t="str">
            <v>Nguyễn Mạnh Trung15</v>
          </cell>
          <cell r="AX2548" t="str">
            <v>Linh</v>
          </cell>
        </row>
        <row r="2549">
          <cell r="D2549" t="str">
            <v>Nguyễn Mạnh Trung</v>
          </cell>
          <cell r="AF2549" t="str">
            <v>XE00304</v>
          </cell>
          <cell r="AH2549">
            <v>9.82</v>
          </cell>
          <cell r="AW2549" t="str">
            <v>Nguyễn Mạnh Trung16</v>
          </cell>
          <cell r="AX2549" t="str">
            <v>Linh</v>
          </cell>
        </row>
        <row r="2550">
          <cell r="D2550" t="str">
            <v>Trần Văn Thanh</v>
          </cell>
          <cell r="AF2550" t="str">
            <v>XE00376</v>
          </cell>
          <cell r="AH2550">
            <v>9.82</v>
          </cell>
          <cell r="AW2550" t="str">
            <v>Trần Văn Thanh17</v>
          </cell>
          <cell r="AX2550" t="str">
            <v>Linh</v>
          </cell>
        </row>
        <row r="2551">
          <cell r="D2551" t="str">
            <v>Trần Hữu Nam 1978</v>
          </cell>
          <cell r="AF2551" t="str">
            <v>XE00373</v>
          </cell>
          <cell r="AH2551">
            <v>9.82</v>
          </cell>
          <cell r="AW2551" t="str">
            <v>Trần Hữu Nam 197815</v>
          </cell>
          <cell r="AX2551" t="str">
            <v>Linh</v>
          </cell>
        </row>
        <row r="2552">
          <cell r="D2552" t="str">
            <v>Trần Hữu Nam 1978</v>
          </cell>
          <cell r="AF2552" t="str">
            <v>XE00373</v>
          </cell>
          <cell r="AH2552">
            <v>9.82</v>
          </cell>
          <cell r="AW2552" t="str">
            <v>Trần Hữu Nam 197816</v>
          </cell>
          <cell r="AX2552" t="str">
            <v>Linh</v>
          </cell>
        </row>
        <row r="2553">
          <cell r="D2553" t="str">
            <v>Hồ Nam Phong</v>
          </cell>
          <cell r="AF2553" t="str">
            <v>XE00384</v>
          </cell>
          <cell r="AH2553">
            <v>9.82</v>
          </cell>
          <cell r="AW2553" t="str">
            <v>Hồ Nam Phong17</v>
          </cell>
          <cell r="AX2553" t="str">
            <v>Linh</v>
          </cell>
        </row>
        <row r="2554">
          <cell r="D2554" t="str">
            <v>Vũ Mạnh Hùng</v>
          </cell>
          <cell r="AF2554" t="str">
            <v>XE00511</v>
          </cell>
          <cell r="AH2554">
            <v>9.42</v>
          </cell>
          <cell r="AW2554" t="str">
            <v>Vũ Mạnh Hùng16</v>
          </cell>
          <cell r="AX2554" t="str">
            <v>Linh</v>
          </cell>
        </row>
        <row r="2555">
          <cell r="D2555" t="str">
            <v>Trần Đình Thắng</v>
          </cell>
          <cell r="AF2555" t="str">
            <v>XE00513</v>
          </cell>
          <cell r="AH2555">
            <v>10</v>
          </cell>
          <cell r="AW2555" t="str">
            <v>Trần Đình Thắng15</v>
          </cell>
          <cell r="AX2555" t="str">
            <v>Linh</v>
          </cell>
        </row>
        <row r="2556">
          <cell r="D2556" t="str">
            <v>Trần Đình Thắng</v>
          </cell>
          <cell r="AF2556" t="str">
            <v>XE00513</v>
          </cell>
          <cell r="AH2556">
            <v>7.82</v>
          </cell>
          <cell r="AW2556" t="str">
            <v>Trần Đình Thắng16</v>
          </cell>
          <cell r="AX2556" t="str">
            <v>Linh</v>
          </cell>
        </row>
        <row r="2557">
          <cell r="D2557" t="str">
            <v>Ngô Mạnh Tùng</v>
          </cell>
          <cell r="AF2557" t="str">
            <v>XE00108</v>
          </cell>
          <cell r="AH2557">
            <v>9.82</v>
          </cell>
          <cell r="AW2557" t="str">
            <v>Ngô Mạnh Tùng17</v>
          </cell>
          <cell r="AX2557" t="str">
            <v>Linh</v>
          </cell>
        </row>
        <row r="2558">
          <cell r="D2558" t="str">
            <v>Phạm Văn Chính</v>
          </cell>
          <cell r="AF2558" t="str">
            <v>XE00690</v>
          </cell>
          <cell r="AH2558">
            <v>9.42</v>
          </cell>
          <cell r="AW2558" t="str">
            <v>Phạm Văn Chính14</v>
          </cell>
          <cell r="AX2558" t="str">
            <v>Linh</v>
          </cell>
        </row>
        <row r="2559">
          <cell r="D2559" t="str">
            <v>Phạm Văn Chính</v>
          </cell>
          <cell r="AF2559" t="str">
            <v>XE00690</v>
          </cell>
          <cell r="AH2559">
            <v>9.42</v>
          </cell>
          <cell r="AW2559" t="str">
            <v>Phạm Văn Chính15</v>
          </cell>
          <cell r="AX2559" t="str">
            <v>Linh</v>
          </cell>
        </row>
        <row r="2560">
          <cell r="D2560" t="str">
            <v>Trần Mạnh Thắng</v>
          </cell>
          <cell r="AF2560" t="str">
            <v>XE00870</v>
          </cell>
          <cell r="AH2560">
            <v>9.82</v>
          </cell>
          <cell r="AW2560" t="str">
            <v>Trần Mạnh Thắng17</v>
          </cell>
          <cell r="AX2560" t="str">
            <v>Linh</v>
          </cell>
        </row>
        <row r="2561">
          <cell r="D2561" t="str">
            <v>Trần Mạnh Thắng</v>
          </cell>
          <cell r="AF2561" t="str">
            <v>XE00870</v>
          </cell>
          <cell r="AH2561">
            <v>9.6199999999999992</v>
          </cell>
          <cell r="AW2561" t="str">
            <v>Trần Mạnh Thắng18</v>
          </cell>
          <cell r="AX2561" t="str">
            <v>Linh</v>
          </cell>
        </row>
        <row r="2562">
          <cell r="D2562" t="str">
            <v>Triệu Tuấn Tú</v>
          </cell>
          <cell r="AF2562" t="str">
            <v>XE00937</v>
          </cell>
          <cell r="AH2562">
            <v>9.82</v>
          </cell>
          <cell r="AW2562" t="str">
            <v>Triệu Tuấn Tú17</v>
          </cell>
          <cell r="AX2562" t="str">
            <v>Linh</v>
          </cell>
        </row>
        <row r="2563">
          <cell r="D2563" t="str">
            <v>Triệu Tuấn Tú</v>
          </cell>
          <cell r="AF2563" t="str">
            <v>XE00937</v>
          </cell>
          <cell r="AH2563">
            <v>9.02</v>
          </cell>
          <cell r="AW2563" t="str">
            <v>Triệu Tuấn Tú18</v>
          </cell>
          <cell r="AX2563" t="str">
            <v>Linh</v>
          </cell>
        </row>
        <row r="2564">
          <cell r="D2564" t="str">
            <v>Trần Quốc Phong</v>
          </cell>
          <cell r="AF2564" t="str">
            <v>XE00949</v>
          </cell>
          <cell r="AH2564">
            <v>9.82</v>
          </cell>
          <cell r="AW2564" t="str">
            <v>Trần Quốc Phong17</v>
          </cell>
          <cell r="AX2564" t="str">
            <v>Linh</v>
          </cell>
        </row>
        <row r="2565">
          <cell r="D2565" t="str">
            <v>Đoàn Văn Kiều</v>
          </cell>
          <cell r="AF2565" t="str">
            <v>XE01009</v>
          </cell>
          <cell r="AH2565">
            <v>9.82</v>
          </cell>
          <cell r="AW2565" t="str">
            <v>Đoàn Văn Kiều9</v>
          </cell>
          <cell r="AX2565" t="str">
            <v>Linh</v>
          </cell>
        </row>
        <row r="2566">
          <cell r="D2566" t="str">
            <v>Đoàn Văn Kiều</v>
          </cell>
          <cell r="AF2566" t="str">
            <v>XE01009</v>
          </cell>
          <cell r="AH2566">
            <v>9.82</v>
          </cell>
          <cell r="AW2566" t="str">
            <v>Đoàn Văn Kiều10</v>
          </cell>
          <cell r="AX2566" t="str">
            <v>Linh</v>
          </cell>
        </row>
        <row r="2567">
          <cell r="D2567" t="str">
            <v>Phạm Thanh Bình</v>
          </cell>
          <cell r="AF2567" t="str">
            <v>XE01117</v>
          </cell>
          <cell r="AH2567">
            <v>7.82</v>
          </cell>
          <cell r="AW2567" t="str">
            <v>Phạm Thanh Bình18</v>
          </cell>
          <cell r="AX2567" t="str">
            <v>Linh</v>
          </cell>
        </row>
        <row r="2568">
          <cell r="D2568" t="str">
            <v>Phạm Hùng Sơn</v>
          </cell>
          <cell r="AF2568" t="str">
            <v>XE01157</v>
          </cell>
          <cell r="AH2568">
            <v>9.42</v>
          </cell>
          <cell r="AW2568" t="str">
            <v>Phạm Hùng Sơn18</v>
          </cell>
          <cell r="AX2568" t="str">
            <v>Linh</v>
          </cell>
        </row>
        <row r="2569">
          <cell r="D2569" t="str">
            <v>Bùi Xuân Bắc</v>
          </cell>
          <cell r="AF2569" t="str">
            <v>XE01166</v>
          </cell>
          <cell r="AH2569">
            <v>9.42</v>
          </cell>
          <cell r="AW2569" t="str">
            <v>Bùi Xuân Bắc14</v>
          </cell>
          <cell r="AX2569" t="str">
            <v>Linh</v>
          </cell>
        </row>
        <row r="2570">
          <cell r="D2570" t="str">
            <v>Bùi Xuân Bắc</v>
          </cell>
          <cell r="AF2570" t="str">
            <v>XE01166</v>
          </cell>
          <cell r="AH2570">
            <v>9.42</v>
          </cell>
          <cell r="AW2570" t="str">
            <v>Bùi Xuân Bắc15</v>
          </cell>
          <cell r="AX2570" t="str">
            <v>Linh</v>
          </cell>
        </row>
        <row r="2571">
          <cell r="D2571" t="str">
            <v>Phạm Văn Sớm</v>
          </cell>
          <cell r="AF2571" t="str">
            <v>XE01221</v>
          </cell>
          <cell r="AH2571">
            <v>9.82</v>
          </cell>
          <cell r="AW2571" t="str">
            <v>Phạm Văn Sớm17</v>
          </cell>
          <cell r="AX2571" t="str">
            <v>Linh</v>
          </cell>
        </row>
        <row r="2572">
          <cell r="D2572" t="str">
            <v>Phạm Văn Sớm</v>
          </cell>
          <cell r="AF2572" t="str">
            <v>XE01221</v>
          </cell>
          <cell r="AH2572">
            <v>9.2199999999999989</v>
          </cell>
          <cell r="AW2572" t="str">
            <v>Phạm Văn Sớm18</v>
          </cell>
          <cell r="AX2572" t="str">
            <v>Linh</v>
          </cell>
        </row>
        <row r="2573">
          <cell r="D2573" t="str">
            <v>Đinh Trung Dũng</v>
          </cell>
          <cell r="AF2573" t="str">
            <v>XE01380</v>
          </cell>
          <cell r="AH2573">
            <v>9.42</v>
          </cell>
          <cell r="AW2573" t="str">
            <v>Đinh Trung Dũng16</v>
          </cell>
          <cell r="AX2573" t="str">
            <v>Linh</v>
          </cell>
        </row>
        <row r="2574">
          <cell r="D2574" t="str">
            <v>Trần Anh Tuấn</v>
          </cell>
          <cell r="AF2574" t="str">
            <v>XE01429</v>
          </cell>
          <cell r="AH2574">
            <v>7.82</v>
          </cell>
          <cell r="AW2574" t="str">
            <v>Trần Anh Tuấn16</v>
          </cell>
          <cell r="AX2574" t="str">
            <v>Linh</v>
          </cell>
        </row>
        <row r="2575">
          <cell r="D2575" t="str">
            <v>Trần Anh Tuấn</v>
          </cell>
          <cell r="AF2575" t="str">
            <v>XE01429</v>
          </cell>
          <cell r="AH2575">
            <v>8.84</v>
          </cell>
          <cell r="AW2575" t="str">
            <v>Trần Anh Tuấn17</v>
          </cell>
          <cell r="AX2575" t="str">
            <v>Linh</v>
          </cell>
        </row>
        <row r="2576">
          <cell r="D2576" t="str">
            <v>Lê Đình Huỳnh</v>
          </cell>
          <cell r="AF2576" t="str">
            <v>XE01735</v>
          </cell>
          <cell r="AH2576">
            <v>9.42</v>
          </cell>
          <cell r="AW2576" t="str">
            <v>Lê Đình Huỳnh4</v>
          </cell>
          <cell r="AX2576" t="str">
            <v>Linh</v>
          </cell>
        </row>
        <row r="2577">
          <cell r="D2577" t="str">
            <v>Trần Đức Triều</v>
          </cell>
          <cell r="AF2577" t="str">
            <v>XE00080</v>
          </cell>
          <cell r="AH2577">
            <v>9.82</v>
          </cell>
          <cell r="AW2577" t="str">
            <v>Trần Đức Triều16</v>
          </cell>
          <cell r="AX2577" t="str">
            <v>Linh</v>
          </cell>
        </row>
        <row r="2578">
          <cell r="D2578" t="str">
            <v>Trần Đức Triều</v>
          </cell>
          <cell r="AF2578" t="str">
            <v>XE00080</v>
          </cell>
          <cell r="AH2578">
            <v>9.82</v>
          </cell>
          <cell r="AW2578" t="str">
            <v>Trần Đức Triều17</v>
          </cell>
          <cell r="AX2578" t="str">
            <v>Linh</v>
          </cell>
        </row>
        <row r="2579">
          <cell r="D2579" t="str">
            <v>Phạm Quang Trung</v>
          </cell>
          <cell r="AF2579" t="str">
            <v>XE00041</v>
          </cell>
          <cell r="AH2579">
            <v>9.82</v>
          </cell>
          <cell r="AW2579" t="str">
            <v>Phạm Quang Trung16</v>
          </cell>
          <cell r="AX2579" t="str">
            <v>Linh</v>
          </cell>
        </row>
        <row r="2580">
          <cell r="D2580" t="str">
            <v>Nguyễn Văn Hùng</v>
          </cell>
          <cell r="AF2580" t="str">
            <v>XE00083</v>
          </cell>
          <cell r="AH2580">
            <v>9.82</v>
          </cell>
          <cell r="AW2580" t="str">
            <v>Nguyễn Văn Hùng15</v>
          </cell>
          <cell r="AX2580" t="str">
            <v>Linh</v>
          </cell>
        </row>
        <row r="2581">
          <cell r="D2581" t="str">
            <v>Nguyễn Văn Hùng</v>
          </cell>
          <cell r="AF2581" t="str">
            <v>XE00083</v>
          </cell>
          <cell r="AH2581">
            <v>9.42</v>
          </cell>
          <cell r="AW2581" t="str">
            <v>Nguyễn Văn Hùng16</v>
          </cell>
          <cell r="AX2581" t="str">
            <v>Linh</v>
          </cell>
        </row>
        <row r="2582">
          <cell r="D2582" t="str">
            <v>Phạm Văn Vũ</v>
          </cell>
          <cell r="AF2582" t="str">
            <v>XE00042</v>
          </cell>
          <cell r="AH2582">
            <v>9.82</v>
          </cell>
          <cell r="AW2582" t="str">
            <v>Phạm Văn Vũ16</v>
          </cell>
          <cell r="AX2582" t="str">
            <v>Linh</v>
          </cell>
        </row>
        <row r="2583">
          <cell r="D2583" t="str">
            <v>Vũ Đình Sơn</v>
          </cell>
          <cell r="AF2583" t="str">
            <v>XE00152</v>
          </cell>
          <cell r="AH2583">
            <v>9.82</v>
          </cell>
          <cell r="AW2583" t="str">
            <v>Vũ Đình Sơn15</v>
          </cell>
          <cell r="AX2583" t="str">
            <v>Linh</v>
          </cell>
        </row>
        <row r="2584">
          <cell r="D2584" t="str">
            <v>Hoàng Trọng Nam</v>
          </cell>
          <cell r="AF2584" t="str">
            <v>XE00043</v>
          </cell>
          <cell r="AH2584">
            <v>8.82</v>
          </cell>
          <cell r="AW2584" t="str">
            <v>Hoàng Trọng Nam15</v>
          </cell>
          <cell r="AX2584" t="str">
            <v>Linh</v>
          </cell>
        </row>
        <row r="2585">
          <cell r="D2585" t="str">
            <v>Hoàng Trọng Nam</v>
          </cell>
          <cell r="AF2585" t="str">
            <v>XE00043</v>
          </cell>
          <cell r="AH2585">
            <v>8.44</v>
          </cell>
          <cell r="AW2585" t="str">
            <v>Hoàng Trọng Nam16</v>
          </cell>
          <cell r="AX2585" t="str">
            <v>Linh</v>
          </cell>
        </row>
        <row r="2586">
          <cell r="D2586" t="str">
            <v>Nguyễn Văn Khuyến</v>
          </cell>
          <cell r="AF2586" t="str">
            <v>XE00139</v>
          </cell>
          <cell r="AH2586">
            <v>9.42</v>
          </cell>
          <cell r="AW2586" t="str">
            <v>Nguyễn Văn Khuyến17</v>
          </cell>
          <cell r="AX2586" t="str">
            <v>Linh</v>
          </cell>
        </row>
        <row r="2587">
          <cell r="D2587" t="str">
            <v>Phạm Hồng Chính</v>
          </cell>
          <cell r="AF2587" t="str">
            <v>XE00032</v>
          </cell>
          <cell r="AH2587">
            <v>9.42</v>
          </cell>
          <cell r="AW2587" t="str">
            <v>Phạm Hồng Chính17</v>
          </cell>
          <cell r="AX2587" t="str">
            <v>Linh</v>
          </cell>
        </row>
        <row r="2588">
          <cell r="D2588" t="str">
            <v>Nguyễn Văn Chiến</v>
          </cell>
          <cell r="AF2588" t="str">
            <v>XE00095</v>
          </cell>
          <cell r="AH2588">
            <v>9.02</v>
          </cell>
          <cell r="AW2588" t="str">
            <v>Nguyễn Văn Chiến18</v>
          </cell>
          <cell r="AX2588" t="str">
            <v>Linh</v>
          </cell>
        </row>
        <row r="2589">
          <cell r="D2589" t="str">
            <v>Vũ Ngọc Hà</v>
          </cell>
          <cell r="AF2589" t="str">
            <v>XE00253</v>
          </cell>
          <cell r="AH2589">
            <v>9.42</v>
          </cell>
          <cell r="AW2589" t="str">
            <v>Vũ Ngọc Hà16</v>
          </cell>
          <cell r="AX2589" t="str">
            <v>Linh</v>
          </cell>
        </row>
        <row r="2590">
          <cell r="D2590" t="str">
            <v>Vũ Ngọc Hà</v>
          </cell>
          <cell r="AF2590" t="str">
            <v>XE00253</v>
          </cell>
          <cell r="AH2590">
            <v>9.42</v>
          </cell>
          <cell r="AW2590" t="str">
            <v>Vũ Ngọc Hà17</v>
          </cell>
          <cell r="AX2590" t="str">
            <v>Linh</v>
          </cell>
        </row>
        <row r="2591">
          <cell r="D2591" t="str">
            <v>Nguyễn Anh Hùng</v>
          </cell>
          <cell r="AF2591" t="str">
            <v>XE00013</v>
          </cell>
          <cell r="AH2591">
            <v>9.82</v>
          </cell>
          <cell r="AW2591" t="str">
            <v>Nguyễn Anh Hùng17</v>
          </cell>
          <cell r="AX2591" t="str">
            <v>Linh</v>
          </cell>
        </row>
        <row r="2592">
          <cell r="D2592" t="str">
            <v>Trần Quốc Toản</v>
          </cell>
          <cell r="AF2592" t="str">
            <v>XE00291</v>
          </cell>
          <cell r="AH2592">
            <v>9.82</v>
          </cell>
          <cell r="AW2592" t="str">
            <v>Trần Quốc Toản18</v>
          </cell>
          <cell r="AX2592" t="str">
            <v>Linh</v>
          </cell>
        </row>
        <row r="2593">
          <cell r="D2593" t="str">
            <v>Phạm Công Đại</v>
          </cell>
          <cell r="AF2593" t="str">
            <v>XE00301</v>
          </cell>
          <cell r="AH2593">
            <v>9.82</v>
          </cell>
          <cell r="AW2593" t="str">
            <v>Phạm Công Đại19</v>
          </cell>
          <cell r="AX2593" t="str">
            <v>Linh</v>
          </cell>
        </row>
        <row r="2594">
          <cell r="D2594" t="str">
            <v>Nguyễn Mạnh Trung</v>
          </cell>
          <cell r="AF2594" t="str">
            <v>XE00304</v>
          </cell>
          <cell r="AH2594">
            <v>9.42</v>
          </cell>
          <cell r="AW2594" t="str">
            <v>Nguyễn Mạnh Trung17</v>
          </cell>
          <cell r="AX2594" t="str">
            <v>Linh</v>
          </cell>
        </row>
        <row r="2595">
          <cell r="D2595" t="str">
            <v>Nguyễn Trung Trọng</v>
          </cell>
          <cell r="AF2595" t="str">
            <v>XE00334</v>
          </cell>
          <cell r="AH2595">
            <v>9.2199999999999989</v>
          </cell>
          <cell r="AW2595" t="str">
            <v>Nguyễn Trung Trọng14</v>
          </cell>
          <cell r="AX2595" t="str">
            <v>Linh</v>
          </cell>
        </row>
        <row r="2596">
          <cell r="D2596" t="str">
            <v>Nguyễn Trung Trọng</v>
          </cell>
          <cell r="AF2596" t="str">
            <v>XE00334</v>
          </cell>
          <cell r="AH2596">
            <v>9.6199999999999992</v>
          </cell>
          <cell r="AW2596" t="str">
            <v>Nguyễn Trung Trọng15</v>
          </cell>
          <cell r="AX2596" t="str">
            <v>Linh</v>
          </cell>
        </row>
        <row r="2597">
          <cell r="D2597" t="str">
            <v>Trần Văn Thanh</v>
          </cell>
          <cell r="AF2597" t="str">
            <v>XE00376</v>
          </cell>
          <cell r="AH2597">
            <v>9.42</v>
          </cell>
          <cell r="AW2597" t="str">
            <v>Trần Văn Thanh18</v>
          </cell>
          <cell r="AX2597" t="str">
            <v>Linh</v>
          </cell>
        </row>
        <row r="2598">
          <cell r="D2598" t="str">
            <v>Trần Hữu Nam 1978</v>
          </cell>
          <cell r="AF2598" t="str">
            <v>XE00373</v>
          </cell>
          <cell r="AH2598">
            <v>10</v>
          </cell>
          <cell r="AW2598" t="str">
            <v>Trần Hữu Nam 197817</v>
          </cell>
          <cell r="AX2598" t="str">
            <v>Linh</v>
          </cell>
        </row>
        <row r="2599">
          <cell r="D2599" t="str">
            <v>Hồ Nam Phong</v>
          </cell>
          <cell r="AF2599" t="str">
            <v>XE00384</v>
          </cell>
          <cell r="AH2599">
            <v>9.24</v>
          </cell>
          <cell r="AW2599" t="str">
            <v>Hồ Nam Phong18</v>
          </cell>
          <cell r="AX2599" t="str">
            <v>Linh</v>
          </cell>
        </row>
        <row r="2600">
          <cell r="D2600" t="str">
            <v>Đỗ Văn Tỉnh</v>
          </cell>
          <cell r="AF2600" t="str">
            <v>XE00405</v>
          </cell>
          <cell r="AH2600">
            <v>9.82</v>
          </cell>
          <cell r="AW2600" t="str">
            <v>Đỗ Văn Tỉnh15</v>
          </cell>
          <cell r="AX2600" t="str">
            <v>Linh</v>
          </cell>
        </row>
        <row r="2601">
          <cell r="D2601" t="str">
            <v>Đỗ Văn Tỉnh</v>
          </cell>
          <cell r="AF2601" t="str">
            <v>XE00405</v>
          </cell>
          <cell r="AH2601">
            <v>9.64</v>
          </cell>
          <cell r="AW2601" t="str">
            <v>Đỗ Văn Tỉnh16</v>
          </cell>
          <cell r="AX2601" t="str">
            <v>Linh</v>
          </cell>
        </row>
        <row r="2602">
          <cell r="D2602" t="str">
            <v>Vũ Mạnh Hùng</v>
          </cell>
          <cell r="AF2602" t="str">
            <v>XE00511</v>
          </cell>
          <cell r="AH2602">
            <v>9.42</v>
          </cell>
          <cell r="AW2602" t="str">
            <v>Vũ Mạnh Hùng17</v>
          </cell>
          <cell r="AX2602" t="str">
            <v>Linh</v>
          </cell>
        </row>
        <row r="2603">
          <cell r="D2603" t="str">
            <v>Trần Đình Thắng</v>
          </cell>
          <cell r="AF2603" t="str">
            <v>XE00513</v>
          </cell>
          <cell r="AH2603">
            <v>9.42</v>
          </cell>
          <cell r="AW2603" t="str">
            <v>Trần Đình Thắng17</v>
          </cell>
          <cell r="AX2603" t="str">
            <v>Linh</v>
          </cell>
        </row>
        <row r="2604">
          <cell r="D2604" t="str">
            <v>Ngô Phong Thái</v>
          </cell>
          <cell r="AF2604" t="str">
            <v>XE00588</v>
          </cell>
          <cell r="AH2604">
            <v>9.42</v>
          </cell>
          <cell r="AW2604" t="str">
            <v>Ngô Phong Thái15</v>
          </cell>
          <cell r="AX2604" t="str">
            <v>Linh</v>
          </cell>
        </row>
        <row r="2605">
          <cell r="D2605" t="str">
            <v>Ngô Phong Thái</v>
          </cell>
          <cell r="AF2605" t="str">
            <v>XE00588</v>
          </cell>
          <cell r="AH2605">
            <v>9.82</v>
          </cell>
          <cell r="AW2605" t="str">
            <v>Ngô Phong Thái16</v>
          </cell>
          <cell r="AX2605" t="str">
            <v>Linh</v>
          </cell>
        </row>
        <row r="2606">
          <cell r="D2606" t="str">
            <v>Ngô Mạnh Tùng</v>
          </cell>
          <cell r="AF2606" t="str">
            <v>XE00108</v>
          </cell>
          <cell r="AH2606">
            <v>8.44</v>
          </cell>
          <cell r="AW2606" t="str">
            <v>Ngô Mạnh Tùng18</v>
          </cell>
          <cell r="AX2606" t="str">
            <v>Linh</v>
          </cell>
        </row>
        <row r="2607">
          <cell r="D2607" t="str">
            <v>Trần Mạnh Thắng</v>
          </cell>
          <cell r="AF2607" t="str">
            <v>XE00870</v>
          </cell>
          <cell r="AH2607">
            <v>9.02</v>
          </cell>
          <cell r="AW2607" t="str">
            <v>Trần Mạnh Thắng19</v>
          </cell>
          <cell r="AX2607" t="str">
            <v>Linh</v>
          </cell>
        </row>
        <row r="2608">
          <cell r="D2608" t="str">
            <v>Triệu Tuấn Tú</v>
          </cell>
          <cell r="AF2608" t="str">
            <v>XE00937</v>
          </cell>
          <cell r="AH2608">
            <v>9.82</v>
          </cell>
          <cell r="AW2608" t="str">
            <v>Triệu Tuấn Tú19</v>
          </cell>
          <cell r="AX2608" t="str">
            <v>Linh</v>
          </cell>
        </row>
        <row r="2609">
          <cell r="D2609" t="str">
            <v>Trần Quốc Phong</v>
          </cell>
          <cell r="AF2609" t="str">
            <v>XE00949</v>
          </cell>
          <cell r="AH2609">
            <v>9.02</v>
          </cell>
          <cell r="AW2609" t="str">
            <v>Trần Quốc Phong18</v>
          </cell>
          <cell r="AX2609" t="str">
            <v>Linh</v>
          </cell>
        </row>
        <row r="2610">
          <cell r="D2610" t="str">
            <v>Đoàn Văn Kiều</v>
          </cell>
          <cell r="AF2610" t="str">
            <v>XE01009</v>
          </cell>
          <cell r="AH2610">
            <v>9.42</v>
          </cell>
          <cell r="AW2610" t="str">
            <v>Đoàn Văn Kiều11</v>
          </cell>
          <cell r="AX2610" t="str">
            <v>Linh</v>
          </cell>
        </row>
        <row r="2611">
          <cell r="D2611" t="str">
            <v>Phạm Thanh Bình</v>
          </cell>
          <cell r="AF2611" t="str">
            <v>XE01117</v>
          </cell>
          <cell r="AH2611">
            <v>9.42</v>
          </cell>
          <cell r="AW2611" t="str">
            <v>Phạm Thanh Bình19</v>
          </cell>
          <cell r="AX2611" t="str">
            <v>Linh</v>
          </cell>
        </row>
        <row r="2612">
          <cell r="D2612" t="str">
            <v>Phạm Hùng Sơn</v>
          </cell>
          <cell r="AF2612" t="str">
            <v>XE01157</v>
          </cell>
          <cell r="AH2612">
            <v>8.620000000000001</v>
          </cell>
          <cell r="AW2612" t="str">
            <v>Phạm Hùng Sơn19</v>
          </cell>
          <cell r="AX2612" t="str">
            <v>Linh</v>
          </cell>
        </row>
        <row r="2613">
          <cell r="D2613" t="str">
            <v>Bùi Xuân Bắc</v>
          </cell>
          <cell r="AF2613" t="str">
            <v>XE01166</v>
          </cell>
          <cell r="AH2613">
            <v>8.6199999999999992</v>
          </cell>
          <cell r="AW2613" t="str">
            <v>Bùi Xuân Bắc16</v>
          </cell>
          <cell r="AX2613" t="str">
            <v>Linh</v>
          </cell>
        </row>
        <row r="2614">
          <cell r="D2614" t="str">
            <v>Phạm Văn Sớm</v>
          </cell>
          <cell r="AF2614" t="str">
            <v>XE01221</v>
          </cell>
          <cell r="AH2614">
            <v>9.82</v>
          </cell>
          <cell r="AW2614" t="str">
            <v>Phạm Văn Sớm19</v>
          </cell>
          <cell r="AX2614" t="str">
            <v>Linh</v>
          </cell>
        </row>
        <row r="2615">
          <cell r="D2615" t="str">
            <v>Đinh Trung Dũng</v>
          </cell>
          <cell r="AF2615" t="str">
            <v>XE01380</v>
          </cell>
          <cell r="AH2615">
            <v>9.2199999999999989</v>
          </cell>
          <cell r="AW2615" t="str">
            <v>Đinh Trung Dũng17</v>
          </cell>
          <cell r="AX2615" t="str">
            <v>Linh</v>
          </cell>
        </row>
        <row r="2616">
          <cell r="D2616" t="str">
            <v>Trần Anh Tuấn</v>
          </cell>
          <cell r="AF2616" t="str">
            <v>XE01429</v>
          </cell>
          <cell r="AH2616">
            <v>9.42</v>
          </cell>
          <cell r="AW2616" t="str">
            <v>Trần Anh Tuấn18</v>
          </cell>
          <cell r="AX2616" t="str">
            <v>Linh</v>
          </cell>
        </row>
        <row r="2617">
          <cell r="D2617" t="str">
            <v>Lê Đình Huỳnh</v>
          </cell>
          <cell r="AF2617" t="str">
            <v>XE01735</v>
          </cell>
          <cell r="AH2617">
            <v>9.42</v>
          </cell>
          <cell r="AW2617" t="str">
            <v>Lê Đình Huỳnh5</v>
          </cell>
          <cell r="AX2617" t="str">
            <v>Linh</v>
          </cell>
        </row>
        <row r="2618">
          <cell r="D2618" t="str">
            <v>Trần Đức Triều</v>
          </cell>
          <cell r="AF2618" t="str">
            <v>XE00080</v>
          </cell>
          <cell r="AH2618">
            <v>9.42</v>
          </cell>
          <cell r="AW2618" t="str">
            <v>Trần Đức Triều18</v>
          </cell>
          <cell r="AX2618" t="str">
            <v>Linh</v>
          </cell>
        </row>
        <row r="2619">
          <cell r="D2619" t="str">
            <v>Phạm Quang Trung</v>
          </cell>
          <cell r="AF2619" t="str">
            <v>XE00041</v>
          </cell>
          <cell r="AH2619">
            <v>9.42</v>
          </cell>
          <cell r="AW2619" t="str">
            <v>Phạm Quang Trung17</v>
          </cell>
          <cell r="AX2619" t="str">
            <v>Linh</v>
          </cell>
        </row>
        <row r="2620">
          <cell r="D2620" t="str">
            <v>Nguyễn Văn Hùng</v>
          </cell>
          <cell r="AF2620" t="str">
            <v>XE00083</v>
          </cell>
          <cell r="AH2620">
            <v>9.82</v>
          </cell>
          <cell r="AW2620" t="str">
            <v>Nguyễn Văn Hùng17</v>
          </cell>
          <cell r="AX2620" t="str">
            <v>Linh</v>
          </cell>
        </row>
        <row r="2621">
          <cell r="D2621" t="str">
            <v>Phạm Văn Vũ</v>
          </cell>
          <cell r="AF2621" t="str">
            <v>XE00042</v>
          </cell>
          <cell r="AH2621">
            <v>9.82</v>
          </cell>
          <cell r="AW2621" t="str">
            <v>Phạm Văn Vũ17</v>
          </cell>
          <cell r="AX2621" t="str">
            <v>Linh</v>
          </cell>
        </row>
        <row r="2622">
          <cell r="D2622" t="str">
            <v>Hoàng Tuấn Đạt</v>
          </cell>
          <cell r="AF2622" t="str">
            <v>XE00070</v>
          </cell>
          <cell r="AH2622">
            <v>9.82</v>
          </cell>
          <cell r="AW2622" t="str">
            <v>Hoàng Tuấn Đạt17</v>
          </cell>
          <cell r="AX2622" t="str">
            <v>Linh</v>
          </cell>
        </row>
        <row r="2623">
          <cell r="D2623" t="str">
            <v>Vũ Đình Sơn</v>
          </cell>
          <cell r="AF2623" t="str">
            <v>XE00152</v>
          </cell>
          <cell r="AH2623">
            <v>9.02</v>
          </cell>
          <cell r="AW2623" t="str">
            <v>Vũ Đình Sơn16</v>
          </cell>
          <cell r="AX2623" t="str">
            <v>Linh</v>
          </cell>
        </row>
        <row r="2624">
          <cell r="D2624" t="str">
            <v>Hoàng Trọng Nam</v>
          </cell>
          <cell r="AF2624" t="str">
            <v>XE00043</v>
          </cell>
          <cell r="AH2624">
            <v>9.42</v>
          </cell>
          <cell r="AW2624" t="str">
            <v>Hoàng Trọng Nam17</v>
          </cell>
          <cell r="AX2624" t="str">
            <v>Linh</v>
          </cell>
        </row>
        <row r="2625">
          <cell r="D2625" t="str">
            <v>Đinh Văn Sỹ</v>
          </cell>
          <cell r="AF2625" t="str">
            <v>XE00194</v>
          </cell>
          <cell r="AH2625">
            <v>9.82</v>
          </cell>
          <cell r="AW2625" t="str">
            <v>Đinh Văn Sỹ16</v>
          </cell>
          <cell r="AX2625" t="str">
            <v>Linh</v>
          </cell>
        </row>
        <row r="2626">
          <cell r="D2626" t="str">
            <v>Đinh Văn Sỹ</v>
          </cell>
          <cell r="AF2626" t="str">
            <v>XE00194</v>
          </cell>
          <cell r="AH2626">
            <v>9.82</v>
          </cell>
          <cell r="AW2626" t="str">
            <v>Đinh Văn Sỹ17</v>
          </cell>
          <cell r="AX2626" t="str">
            <v>Linh</v>
          </cell>
        </row>
        <row r="2627">
          <cell r="D2627" t="str">
            <v>Phạm Hồng Chính</v>
          </cell>
          <cell r="AF2627" t="str">
            <v>XE00032</v>
          </cell>
          <cell r="AH2627">
            <v>9.82</v>
          </cell>
          <cell r="AW2627" t="str">
            <v>Phạm Hồng Chính18</v>
          </cell>
          <cell r="AX2627" t="str">
            <v>Linh</v>
          </cell>
        </row>
        <row r="2628">
          <cell r="D2628" t="str">
            <v>Nguyễn Văn Chiến</v>
          </cell>
          <cell r="AF2628" t="str">
            <v>XE00095</v>
          </cell>
          <cell r="AH2628">
            <v>9.82</v>
          </cell>
          <cell r="AW2628" t="str">
            <v>Nguyễn Văn Chiến19</v>
          </cell>
          <cell r="AX2628" t="str">
            <v>Linh</v>
          </cell>
        </row>
        <row r="2629">
          <cell r="D2629" t="str">
            <v>Vũ Ngọc Hà</v>
          </cell>
          <cell r="AF2629" t="str">
            <v>XE00253</v>
          </cell>
          <cell r="AH2629">
            <v>9.82</v>
          </cell>
          <cell r="AW2629" t="str">
            <v>Vũ Ngọc Hà18</v>
          </cell>
          <cell r="AX2629" t="str">
            <v>Linh</v>
          </cell>
        </row>
        <row r="2630">
          <cell r="D2630" t="str">
            <v>Nguyễn Anh Hùng</v>
          </cell>
          <cell r="AF2630" t="str">
            <v>XE00013</v>
          </cell>
          <cell r="AH2630">
            <v>9.82</v>
          </cell>
          <cell r="AW2630" t="str">
            <v>Nguyễn Anh Hùng18</v>
          </cell>
          <cell r="AX2630" t="str">
            <v>Linh</v>
          </cell>
        </row>
        <row r="2631">
          <cell r="D2631" t="str">
            <v>Trần Quốc Toản</v>
          </cell>
          <cell r="AF2631" t="str">
            <v>XE00291</v>
          </cell>
          <cell r="AH2631">
            <v>8.44</v>
          </cell>
          <cell r="AW2631" t="str">
            <v>Trần Quốc Toản19</v>
          </cell>
          <cell r="AX2631" t="str">
            <v>Linh</v>
          </cell>
        </row>
        <row r="2632">
          <cell r="D2632" t="str">
            <v>Phạm Công Đại</v>
          </cell>
          <cell r="AF2632" t="str">
            <v>XE00301</v>
          </cell>
          <cell r="AH2632">
            <v>9.82</v>
          </cell>
          <cell r="AW2632" t="str">
            <v>Phạm Công Đại20</v>
          </cell>
          <cell r="AX2632" t="str">
            <v>Linh</v>
          </cell>
        </row>
        <row r="2633">
          <cell r="D2633" t="str">
            <v>Phạm Công Đại</v>
          </cell>
          <cell r="AF2633" t="str">
            <v>XE00301</v>
          </cell>
          <cell r="AH2633">
            <v>9.42</v>
          </cell>
          <cell r="AW2633" t="str">
            <v>Phạm Công Đại21</v>
          </cell>
          <cell r="AX2633" t="str">
            <v>Linh</v>
          </cell>
        </row>
        <row r="2634">
          <cell r="D2634" t="str">
            <v>Nguyễn Mạnh Trung</v>
          </cell>
          <cell r="AF2634" t="str">
            <v>XE00304</v>
          </cell>
          <cell r="AH2634">
            <v>9.42</v>
          </cell>
          <cell r="AW2634" t="str">
            <v>Nguyễn Mạnh Trung18</v>
          </cell>
          <cell r="AX2634" t="str">
            <v>Linh</v>
          </cell>
        </row>
        <row r="2635">
          <cell r="D2635" t="str">
            <v>Nguyễn Trung Trọng</v>
          </cell>
          <cell r="AF2635" t="str">
            <v>XE00334</v>
          </cell>
          <cell r="AH2635">
            <v>9.42</v>
          </cell>
          <cell r="AW2635" t="str">
            <v>Nguyễn Trung Trọng16</v>
          </cell>
          <cell r="AX2635" t="str">
            <v>Linh</v>
          </cell>
        </row>
        <row r="2636">
          <cell r="D2636" t="str">
            <v>Nguyễn Trung Trọng</v>
          </cell>
          <cell r="AF2636" t="str">
            <v>XE00334</v>
          </cell>
          <cell r="AH2636">
            <v>9.82</v>
          </cell>
          <cell r="AW2636" t="str">
            <v>Nguyễn Trung Trọng17</v>
          </cell>
          <cell r="AX2636" t="str">
            <v>Linh</v>
          </cell>
        </row>
        <row r="2637">
          <cell r="D2637" t="str">
            <v>Trần Văn Thanh</v>
          </cell>
          <cell r="AF2637" t="str">
            <v>XE00376</v>
          </cell>
          <cell r="AH2637">
            <v>9.42</v>
          </cell>
          <cell r="AW2637" t="str">
            <v>Trần Văn Thanh19</v>
          </cell>
          <cell r="AX2637" t="str">
            <v>Linh</v>
          </cell>
        </row>
        <row r="2638">
          <cell r="D2638" t="str">
            <v>Trần Hữu Nam 1978</v>
          </cell>
          <cell r="AF2638" t="str">
            <v>XE00373</v>
          </cell>
          <cell r="AH2638">
            <v>9.42</v>
          </cell>
          <cell r="AW2638" t="str">
            <v>Trần Hữu Nam 197818</v>
          </cell>
          <cell r="AX2638" t="str">
            <v>Linh</v>
          </cell>
        </row>
        <row r="2639">
          <cell r="D2639" t="str">
            <v>Hồ Nam Phong</v>
          </cell>
          <cell r="AF2639" t="str">
            <v>XE00384</v>
          </cell>
          <cell r="AH2639">
            <v>9.82</v>
          </cell>
          <cell r="AW2639" t="str">
            <v>Hồ Nam Phong19</v>
          </cell>
          <cell r="AX2639" t="str">
            <v>Linh</v>
          </cell>
        </row>
        <row r="2640">
          <cell r="D2640" t="str">
            <v>Đỗ Văn Tỉnh</v>
          </cell>
          <cell r="AF2640" t="str">
            <v>XE00405</v>
          </cell>
          <cell r="AH2640">
            <v>9.82</v>
          </cell>
          <cell r="AW2640" t="str">
            <v>Đỗ Văn Tỉnh17</v>
          </cell>
          <cell r="AX2640" t="str">
            <v>Linh</v>
          </cell>
        </row>
        <row r="2641">
          <cell r="D2641" t="str">
            <v>Đỗ Văn Tỉnh</v>
          </cell>
          <cell r="AF2641" t="str">
            <v>XE00405</v>
          </cell>
          <cell r="AH2641">
            <v>9.82</v>
          </cell>
          <cell r="AW2641" t="str">
            <v>Đỗ Văn Tỉnh18</v>
          </cell>
          <cell r="AX2641" t="str">
            <v>Linh</v>
          </cell>
        </row>
        <row r="2642">
          <cell r="D2642" t="str">
            <v>Vũ Mạnh Hùng</v>
          </cell>
          <cell r="AF2642" t="str">
            <v>XE00511</v>
          </cell>
          <cell r="AH2642">
            <v>9.82</v>
          </cell>
          <cell r="AW2642" t="str">
            <v>Vũ Mạnh Hùng18</v>
          </cell>
          <cell r="AX2642" t="str">
            <v>Linh</v>
          </cell>
        </row>
        <row r="2643">
          <cell r="D2643" t="str">
            <v>Trần Đình Thắng</v>
          </cell>
          <cell r="AF2643" t="str">
            <v>XE00513</v>
          </cell>
          <cell r="AH2643">
            <v>9.82</v>
          </cell>
          <cell r="AW2643" t="str">
            <v>Trần Đình Thắng18</v>
          </cell>
          <cell r="AX2643" t="str">
            <v>Linh</v>
          </cell>
        </row>
        <row r="2644">
          <cell r="D2644" t="str">
            <v>Ngô Phong Thái</v>
          </cell>
          <cell r="AF2644" t="str">
            <v>XE00588</v>
          </cell>
          <cell r="AH2644">
            <v>7.82</v>
          </cell>
          <cell r="AW2644" t="str">
            <v>Ngô Phong Thái17</v>
          </cell>
          <cell r="AX2644" t="str">
            <v>Linh</v>
          </cell>
        </row>
        <row r="2645">
          <cell r="D2645" t="str">
            <v>Ngô Phong Thái</v>
          </cell>
          <cell r="AF2645" t="str">
            <v>XE00588</v>
          </cell>
          <cell r="AH2645">
            <v>9.42</v>
          </cell>
          <cell r="AW2645" t="str">
            <v>Ngô Phong Thái18</v>
          </cell>
          <cell r="AX2645" t="str">
            <v>Linh</v>
          </cell>
        </row>
        <row r="2646">
          <cell r="D2646" t="str">
            <v>Ngô Mạnh Tùng</v>
          </cell>
          <cell r="AF2646" t="str">
            <v>XE00108</v>
          </cell>
          <cell r="AH2646">
            <v>9.42</v>
          </cell>
          <cell r="AW2646" t="str">
            <v>Ngô Mạnh Tùng19</v>
          </cell>
          <cell r="AX2646" t="str">
            <v>Linh</v>
          </cell>
        </row>
        <row r="2647">
          <cell r="D2647" t="str">
            <v>Phạm Văn Chính</v>
          </cell>
          <cell r="AF2647" t="str">
            <v>XE00690</v>
          </cell>
          <cell r="AH2647">
            <v>9.82</v>
          </cell>
          <cell r="AW2647" t="str">
            <v>Phạm Văn Chính16</v>
          </cell>
          <cell r="AX2647" t="str">
            <v>Linh</v>
          </cell>
        </row>
        <row r="2648">
          <cell r="D2648" t="str">
            <v>Phạm Văn Chính</v>
          </cell>
          <cell r="AF2648" t="str">
            <v>XE00690</v>
          </cell>
          <cell r="AH2648">
            <v>9.82</v>
          </cell>
          <cell r="AW2648" t="str">
            <v>Phạm Văn Chính17</v>
          </cell>
          <cell r="AX2648" t="str">
            <v>Linh</v>
          </cell>
        </row>
        <row r="2649">
          <cell r="D2649" t="str">
            <v>Trần Mạnh Thắng</v>
          </cell>
          <cell r="AF2649" t="str">
            <v>XE00870</v>
          </cell>
          <cell r="AH2649">
            <v>9.82</v>
          </cell>
          <cell r="AW2649" t="str">
            <v>Trần Mạnh Thắng20</v>
          </cell>
          <cell r="AX2649" t="str">
            <v>Linh</v>
          </cell>
        </row>
        <row r="2650">
          <cell r="D2650" t="str">
            <v>Triệu Tuấn Tú</v>
          </cell>
          <cell r="AF2650" t="str">
            <v>XE00937</v>
          </cell>
          <cell r="AH2650">
            <v>9.82</v>
          </cell>
          <cell r="AW2650" t="str">
            <v>Triệu Tuấn Tú20</v>
          </cell>
          <cell r="AX2650" t="str">
            <v>Linh</v>
          </cell>
        </row>
        <row r="2651">
          <cell r="D2651" t="str">
            <v>Trần Quốc Phong</v>
          </cell>
          <cell r="AF2651" t="str">
            <v>XE00949</v>
          </cell>
          <cell r="AH2651">
            <v>9.82</v>
          </cell>
          <cell r="AW2651" t="str">
            <v>Trần Quốc Phong19</v>
          </cell>
          <cell r="AX2651" t="str">
            <v>Linh</v>
          </cell>
        </row>
        <row r="2652">
          <cell r="D2652" t="str">
            <v>Đoàn Văn Kiều</v>
          </cell>
          <cell r="AF2652" t="str">
            <v>XE01009</v>
          </cell>
          <cell r="AH2652">
            <v>9.42</v>
          </cell>
          <cell r="AW2652" t="str">
            <v>Đoàn Văn Kiều12</v>
          </cell>
          <cell r="AX2652" t="str">
            <v>Linh</v>
          </cell>
        </row>
        <row r="2653">
          <cell r="D2653" t="str">
            <v>Phạm Thanh Bình</v>
          </cell>
          <cell r="AF2653" t="str">
            <v>XE01117</v>
          </cell>
          <cell r="AH2653">
            <v>9.02</v>
          </cell>
          <cell r="AW2653" t="str">
            <v>Phạm Thanh Bình20</v>
          </cell>
          <cell r="AX2653" t="str">
            <v>Linh</v>
          </cell>
        </row>
        <row r="2654">
          <cell r="D2654" t="str">
            <v>Phạm Hùng Sơn</v>
          </cell>
          <cell r="AF2654" t="str">
            <v>XE01157</v>
          </cell>
          <cell r="AH2654">
            <v>9.82</v>
          </cell>
          <cell r="AW2654" t="str">
            <v>Phạm Hùng Sơn20</v>
          </cell>
          <cell r="AX2654" t="str">
            <v>Linh</v>
          </cell>
        </row>
        <row r="2655">
          <cell r="D2655" t="str">
            <v>Bùi Xuân Bắc</v>
          </cell>
          <cell r="AF2655" t="str">
            <v>XE01166</v>
          </cell>
          <cell r="AH2655">
            <v>8.620000000000001</v>
          </cell>
          <cell r="AW2655" t="str">
            <v>Bùi Xuân Bắc17</v>
          </cell>
          <cell r="AX2655" t="str">
            <v>Linh</v>
          </cell>
        </row>
        <row r="2656">
          <cell r="D2656" t="str">
            <v>Bùi Xuân Bắc</v>
          </cell>
          <cell r="AF2656" t="str">
            <v>XE01166</v>
          </cell>
          <cell r="AH2656">
            <v>9.82</v>
          </cell>
          <cell r="AW2656" t="str">
            <v>Bùi Xuân Bắc18</v>
          </cell>
          <cell r="AX2656" t="str">
            <v>Linh</v>
          </cell>
        </row>
        <row r="2657">
          <cell r="D2657" t="str">
            <v>Phạm Văn Sớm</v>
          </cell>
          <cell r="AF2657" t="str">
            <v>XE01221</v>
          </cell>
          <cell r="AH2657">
            <v>8.44</v>
          </cell>
          <cell r="AW2657" t="str">
            <v>Phạm Văn Sớm20</v>
          </cell>
          <cell r="AX2657" t="str">
            <v>Linh</v>
          </cell>
        </row>
        <row r="2658">
          <cell r="D2658" t="str">
            <v>Đinh Trung Dũng</v>
          </cell>
          <cell r="AF2658" t="str">
            <v>XE01380</v>
          </cell>
          <cell r="AH2658">
            <v>9.82</v>
          </cell>
          <cell r="AW2658" t="str">
            <v>Đinh Trung Dũng18</v>
          </cell>
          <cell r="AX2658" t="str">
            <v>Linh</v>
          </cell>
        </row>
        <row r="2659">
          <cell r="D2659" t="str">
            <v>Trần Anh Tuấn</v>
          </cell>
          <cell r="AF2659" t="str">
            <v>XE01429</v>
          </cell>
          <cell r="AH2659">
            <v>9.02</v>
          </cell>
          <cell r="AW2659" t="str">
            <v>Trần Anh Tuấn19</v>
          </cell>
          <cell r="AX2659" t="str">
            <v>Linh</v>
          </cell>
        </row>
        <row r="2660">
          <cell r="D2660" t="str">
            <v>Lê Huy Hoàng</v>
          </cell>
          <cell r="AF2660" t="str">
            <v>XE01526</v>
          </cell>
          <cell r="AH2660">
            <v>9.82</v>
          </cell>
          <cell r="AW2660" t="str">
            <v>Lê Huy Hoàng9</v>
          </cell>
          <cell r="AX2660" t="str">
            <v>Linh</v>
          </cell>
        </row>
        <row r="2661">
          <cell r="D2661" t="str">
            <v>Trần Đức Triều</v>
          </cell>
          <cell r="AF2661" t="str">
            <v>XE00080</v>
          </cell>
          <cell r="AH2661">
            <v>9.42</v>
          </cell>
          <cell r="AW2661" t="str">
            <v>Trần Đức Triều19</v>
          </cell>
          <cell r="AX2661" t="str">
            <v>Linh</v>
          </cell>
        </row>
        <row r="2662">
          <cell r="D2662" t="str">
            <v>Phạm Quang Trung</v>
          </cell>
          <cell r="AF2662" t="str">
            <v>XE00041</v>
          </cell>
          <cell r="AH2662">
            <v>9.42</v>
          </cell>
          <cell r="AW2662" t="str">
            <v>Phạm Quang Trung18</v>
          </cell>
          <cell r="AX2662" t="str">
            <v>Linh</v>
          </cell>
        </row>
        <row r="2663">
          <cell r="D2663" t="str">
            <v>Nguyễn Văn Hùng</v>
          </cell>
          <cell r="AF2663" t="str">
            <v>XE00083</v>
          </cell>
          <cell r="AH2663">
            <v>9.42</v>
          </cell>
          <cell r="AW2663" t="str">
            <v>Nguyễn Văn Hùng18</v>
          </cell>
          <cell r="AX2663" t="str">
            <v>Linh</v>
          </cell>
        </row>
        <row r="2664">
          <cell r="D2664" t="str">
            <v>Phạm Văn Vũ</v>
          </cell>
          <cell r="AF2664" t="str">
            <v>XE00042</v>
          </cell>
          <cell r="AH2664">
            <v>9.82</v>
          </cell>
          <cell r="AW2664" t="str">
            <v>Phạm Văn Vũ18</v>
          </cell>
          <cell r="AX2664" t="str">
            <v>Linh</v>
          </cell>
        </row>
        <row r="2665">
          <cell r="D2665" t="str">
            <v>Hoàng Tuấn Đạt</v>
          </cell>
          <cell r="AF2665" t="str">
            <v>XE00070</v>
          </cell>
          <cell r="AH2665">
            <v>8.2200000000000006</v>
          </cell>
          <cell r="AW2665" t="str">
            <v>Hoàng Tuấn Đạt18</v>
          </cell>
          <cell r="AX2665" t="str">
            <v>Linh</v>
          </cell>
        </row>
        <row r="2666">
          <cell r="D2666" t="str">
            <v>Vũ Đình Sơn</v>
          </cell>
          <cell r="AF2666" t="str">
            <v>XE00152</v>
          </cell>
          <cell r="AH2666">
            <v>9.02</v>
          </cell>
          <cell r="AW2666" t="str">
            <v>Vũ Đình Sơn17</v>
          </cell>
          <cell r="AX2666" t="str">
            <v>Linh</v>
          </cell>
        </row>
        <row r="2667">
          <cell r="D2667" t="str">
            <v>Hoàng Trọng Nam</v>
          </cell>
          <cell r="AF2667" t="str">
            <v>XE00043</v>
          </cell>
          <cell r="AH2667">
            <v>9.24</v>
          </cell>
          <cell r="AW2667" t="str">
            <v>Hoàng Trọng Nam18</v>
          </cell>
          <cell r="AX2667" t="str">
            <v>Linh</v>
          </cell>
        </row>
        <row r="2668">
          <cell r="D2668" t="str">
            <v>Đinh Văn Sỹ</v>
          </cell>
          <cell r="AF2668" t="str">
            <v>XE00194</v>
          </cell>
          <cell r="AH2668">
            <v>9.42</v>
          </cell>
          <cell r="AW2668" t="str">
            <v>Đinh Văn Sỹ18</v>
          </cell>
          <cell r="AX2668" t="str">
            <v>Linh</v>
          </cell>
        </row>
        <row r="2669">
          <cell r="D2669" t="str">
            <v>Đinh Văn Sỹ</v>
          </cell>
          <cell r="AF2669" t="str">
            <v>XE00194</v>
          </cell>
          <cell r="AH2669">
            <v>8.84</v>
          </cell>
          <cell r="AW2669" t="str">
            <v>Đinh Văn Sỹ19</v>
          </cell>
          <cell r="AX2669" t="str">
            <v>Linh</v>
          </cell>
        </row>
        <row r="2670">
          <cell r="D2670" t="str">
            <v>Phạm Hồng Chính</v>
          </cell>
          <cell r="AF2670" t="str">
            <v>XE00032</v>
          </cell>
          <cell r="AH2670">
            <v>9.42</v>
          </cell>
          <cell r="AW2670" t="str">
            <v>Phạm Hồng Chính19</v>
          </cell>
          <cell r="AX2670" t="str">
            <v>Linh</v>
          </cell>
        </row>
        <row r="2671">
          <cell r="D2671" t="str">
            <v>Nguyễn Văn Chiến</v>
          </cell>
          <cell r="AF2671" t="str">
            <v>XE00095</v>
          </cell>
          <cell r="AH2671">
            <v>9.82</v>
          </cell>
          <cell r="AW2671" t="str">
            <v>Nguyễn Văn Chiến20</v>
          </cell>
          <cell r="AX2671" t="str">
            <v>Linh</v>
          </cell>
        </row>
        <row r="2672">
          <cell r="D2672" t="str">
            <v>Vũ Ngọc Hà</v>
          </cell>
          <cell r="AF2672" t="str">
            <v>XE00253</v>
          </cell>
          <cell r="AH2672">
            <v>9.42</v>
          </cell>
          <cell r="AW2672" t="str">
            <v>Vũ Ngọc Hà19</v>
          </cell>
          <cell r="AX2672" t="str">
            <v>Linh</v>
          </cell>
        </row>
        <row r="2673">
          <cell r="D2673" t="str">
            <v>Nguyễn Anh Hùng</v>
          </cell>
          <cell r="AF2673" t="str">
            <v>XE00013</v>
          </cell>
          <cell r="AH2673">
            <v>9.42</v>
          </cell>
          <cell r="AW2673" t="str">
            <v>Nguyễn Anh Hùng19</v>
          </cell>
          <cell r="AX2673" t="str">
            <v>Linh</v>
          </cell>
        </row>
        <row r="2674">
          <cell r="D2674" t="str">
            <v>Trần Quốc Toản</v>
          </cell>
          <cell r="AF2674" t="str">
            <v>XE00291</v>
          </cell>
          <cell r="AH2674">
            <v>9.42</v>
          </cell>
          <cell r="AW2674" t="str">
            <v>Trần Quốc Toản20</v>
          </cell>
          <cell r="AX2674" t="str">
            <v>Linh</v>
          </cell>
        </row>
        <row r="2675">
          <cell r="D2675" t="str">
            <v>Nguyễn Mạnh Trung</v>
          </cell>
          <cell r="AF2675" t="str">
            <v>XE00304</v>
          </cell>
          <cell r="AH2675">
            <v>9.82</v>
          </cell>
          <cell r="AW2675" t="str">
            <v>Nguyễn Mạnh Trung19</v>
          </cell>
          <cell r="AX2675" t="str">
            <v>Linh</v>
          </cell>
        </row>
        <row r="2676">
          <cell r="D2676" t="str">
            <v>Nguyễn Trung Trọng</v>
          </cell>
          <cell r="AF2676" t="str">
            <v>XE00334</v>
          </cell>
          <cell r="AH2676">
            <v>9.82</v>
          </cell>
          <cell r="AW2676" t="str">
            <v>Nguyễn Trung Trọng18</v>
          </cell>
          <cell r="AX2676" t="str">
            <v>Linh</v>
          </cell>
        </row>
        <row r="2677">
          <cell r="D2677" t="str">
            <v>Nguyễn Trung Trọng</v>
          </cell>
          <cell r="AF2677" t="str">
            <v>XE00334</v>
          </cell>
          <cell r="AH2677">
            <v>9.82</v>
          </cell>
          <cell r="AW2677" t="str">
            <v>Nguyễn Trung Trọng19</v>
          </cell>
          <cell r="AX2677" t="str">
            <v>Linh</v>
          </cell>
        </row>
        <row r="2678">
          <cell r="D2678" t="str">
            <v>Trần Văn Thanh</v>
          </cell>
          <cell r="AF2678" t="str">
            <v>XE00376</v>
          </cell>
          <cell r="AH2678">
            <v>9.82</v>
          </cell>
          <cell r="AW2678" t="str">
            <v>Trần Văn Thanh20</v>
          </cell>
          <cell r="AX2678" t="str">
            <v>Linh</v>
          </cell>
        </row>
        <row r="2679">
          <cell r="D2679" t="str">
            <v>Trần Hữu Nam 1978</v>
          </cell>
          <cell r="AF2679" t="str">
            <v>XE00373</v>
          </cell>
          <cell r="AH2679">
            <v>9.82</v>
          </cell>
          <cell r="AW2679" t="str">
            <v>Trần Hữu Nam 197819</v>
          </cell>
          <cell r="AX2679" t="str">
            <v>Linh</v>
          </cell>
        </row>
        <row r="2680">
          <cell r="D2680" t="str">
            <v>Trần Hữu Nam 1978</v>
          </cell>
          <cell r="AF2680" t="str">
            <v>XE00373</v>
          </cell>
          <cell r="AH2680">
            <v>9.82</v>
          </cell>
          <cell r="AW2680" t="str">
            <v>Trần Hữu Nam 197820</v>
          </cell>
          <cell r="AX2680" t="str">
            <v>Linh</v>
          </cell>
        </row>
        <row r="2681">
          <cell r="D2681" t="str">
            <v>Hồ Nam Phong</v>
          </cell>
          <cell r="AF2681" t="str">
            <v>XE00384</v>
          </cell>
          <cell r="AH2681">
            <v>9.82</v>
          </cell>
          <cell r="AW2681" t="str">
            <v>Hồ Nam Phong20</v>
          </cell>
          <cell r="AX2681" t="str">
            <v>Linh</v>
          </cell>
        </row>
        <row r="2682">
          <cell r="D2682" t="str">
            <v>Đỗ Văn Tỉnh</v>
          </cell>
          <cell r="AF2682" t="str">
            <v>XE00405</v>
          </cell>
          <cell r="AH2682">
            <v>9.42</v>
          </cell>
          <cell r="AW2682" t="str">
            <v>Đỗ Văn Tỉnh19</v>
          </cell>
          <cell r="AX2682" t="str">
            <v>Linh</v>
          </cell>
        </row>
        <row r="2683">
          <cell r="D2683" t="str">
            <v>Vũ Mạnh Hùng</v>
          </cell>
          <cell r="AF2683" t="str">
            <v>XE00511</v>
          </cell>
          <cell r="AH2683">
            <v>9.02</v>
          </cell>
          <cell r="AW2683" t="str">
            <v>Vũ Mạnh Hùng19</v>
          </cell>
          <cell r="AX2683" t="str">
            <v>Linh</v>
          </cell>
        </row>
        <row r="2684">
          <cell r="D2684" t="str">
            <v>Trần Đình Thắng</v>
          </cell>
          <cell r="AF2684" t="str">
            <v>XE00513</v>
          </cell>
          <cell r="AH2684">
            <v>9.82</v>
          </cell>
          <cell r="AW2684" t="str">
            <v>Trần Đình Thắng19</v>
          </cell>
          <cell r="AX2684" t="str">
            <v>Linh</v>
          </cell>
        </row>
        <row r="2685">
          <cell r="D2685" t="str">
            <v>Trần Đình Thắng</v>
          </cell>
          <cell r="AF2685" t="str">
            <v>XE00513</v>
          </cell>
          <cell r="AH2685">
            <v>7.82</v>
          </cell>
          <cell r="AW2685" t="str">
            <v>Trần Đình Thắng20</v>
          </cell>
          <cell r="AX2685" t="str">
            <v>Linh</v>
          </cell>
        </row>
        <row r="2686">
          <cell r="D2686" t="str">
            <v>Ngô Phong Thái</v>
          </cell>
          <cell r="AF2686" t="str">
            <v>XE00588</v>
          </cell>
          <cell r="AH2686">
            <v>9.42</v>
          </cell>
          <cell r="AW2686" t="str">
            <v>Ngô Phong Thái19</v>
          </cell>
          <cell r="AX2686" t="str">
            <v>Linh</v>
          </cell>
        </row>
        <row r="2687">
          <cell r="D2687" t="str">
            <v>Ngô Phong Thái</v>
          </cell>
          <cell r="AF2687" t="str">
            <v>XE00588</v>
          </cell>
          <cell r="AH2687">
            <v>9.82</v>
          </cell>
          <cell r="AW2687" t="str">
            <v>Ngô Phong Thái20</v>
          </cell>
          <cell r="AX2687" t="str">
            <v>Linh</v>
          </cell>
        </row>
        <row r="2688">
          <cell r="D2688" t="str">
            <v>Ngô Mạnh Tùng</v>
          </cell>
          <cell r="AF2688" t="str">
            <v>XE00108</v>
          </cell>
          <cell r="AH2688">
            <v>9.02</v>
          </cell>
          <cell r="AW2688" t="str">
            <v>Ngô Mạnh Tùng20</v>
          </cell>
          <cell r="AX2688" t="str">
            <v>Linh</v>
          </cell>
        </row>
        <row r="2689">
          <cell r="D2689" t="str">
            <v>Ngô Mạnh Tùng</v>
          </cell>
          <cell r="AF2689" t="str">
            <v>XE00108</v>
          </cell>
          <cell r="AH2689">
            <v>9.02</v>
          </cell>
          <cell r="AW2689" t="str">
            <v>Ngô Mạnh Tùng21</v>
          </cell>
          <cell r="AX2689" t="str">
            <v>Linh</v>
          </cell>
        </row>
        <row r="2690">
          <cell r="D2690" t="str">
            <v>Phạm Văn Chính</v>
          </cell>
          <cell r="AF2690" t="str">
            <v>XE00690</v>
          </cell>
          <cell r="AH2690">
            <v>9.42</v>
          </cell>
          <cell r="AW2690" t="str">
            <v>Phạm Văn Chính18</v>
          </cell>
          <cell r="AX2690" t="str">
            <v>Linh</v>
          </cell>
        </row>
        <row r="2691">
          <cell r="D2691" t="str">
            <v>Phạm Văn Chính</v>
          </cell>
          <cell r="AF2691" t="str">
            <v>XE00690</v>
          </cell>
          <cell r="AH2691">
            <v>9.82</v>
          </cell>
          <cell r="AW2691" t="str">
            <v>Phạm Văn Chính19</v>
          </cell>
          <cell r="AX2691" t="str">
            <v>Linh</v>
          </cell>
        </row>
        <row r="2692">
          <cell r="D2692" t="str">
            <v>Trần Mạnh Thắng</v>
          </cell>
          <cell r="AF2692" t="str">
            <v>XE00870</v>
          </cell>
          <cell r="AH2692">
            <v>9.82</v>
          </cell>
          <cell r="AW2692" t="str">
            <v>Trần Mạnh Thắng21</v>
          </cell>
          <cell r="AX2692" t="str">
            <v>Linh</v>
          </cell>
        </row>
        <row r="2693">
          <cell r="D2693" t="str">
            <v>Triệu Tuấn Tú</v>
          </cell>
          <cell r="AF2693" t="str">
            <v>XE00937</v>
          </cell>
          <cell r="AH2693">
            <v>9.42</v>
          </cell>
          <cell r="AW2693" t="str">
            <v>Triệu Tuấn Tú21</v>
          </cell>
          <cell r="AX2693" t="str">
            <v>Linh</v>
          </cell>
        </row>
        <row r="2694">
          <cell r="D2694" t="str">
            <v>Trần Quốc Phong</v>
          </cell>
          <cell r="AF2694" t="str">
            <v>XE00949</v>
          </cell>
          <cell r="AH2694">
            <v>9.82</v>
          </cell>
          <cell r="AW2694" t="str">
            <v>Trần Quốc Phong20</v>
          </cell>
          <cell r="AX2694" t="str">
            <v>Linh</v>
          </cell>
        </row>
        <row r="2695">
          <cell r="D2695" t="str">
            <v>Đoàn Văn Kiều</v>
          </cell>
          <cell r="AF2695" t="str">
            <v>XE01009</v>
          </cell>
          <cell r="AH2695">
            <v>9.82</v>
          </cell>
          <cell r="AW2695" t="str">
            <v>Đoàn Văn Kiều13</v>
          </cell>
          <cell r="AX2695" t="str">
            <v>Linh</v>
          </cell>
        </row>
        <row r="2696">
          <cell r="D2696" t="str">
            <v>Phạm Hùng Sơn</v>
          </cell>
          <cell r="AF2696" t="str">
            <v>XE01157</v>
          </cell>
          <cell r="AH2696">
            <v>8.2200000000000006</v>
          </cell>
          <cell r="AW2696" t="str">
            <v>Phạm Hùng Sơn21</v>
          </cell>
          <cell r="AX2696" t="str">
            <v>Linh</v>
          </cell>
        </row>
        <row r="2697">
          <cell r="D2697" t="str">
            <v>Bùi Xuân Bắc</v>
          </cell>
          <cell r="AF2697" t="str">
            <v>XE01166</v>
          </cell>
          <cell r="AH2697">
            <v>8.44</v>
          </cell>
          <cell r="AW2697" t="str">
            <v>Bùi Xuân Bắc19</v>
          </cell>
          <cell r="AX2697" t="str">
            <v>Linh</v>
          </cell>
        </row>
        <row r="2698">
          <cell r="D2698" t="str">
            <v>Phạm Văn Sớm</v>
          </cell>
          <cell r="AF2698" t="str">
            <v>XE01221</v>
          </cell>
          <cell r="AH2698">
            <v>9.82</v>
          </cell>
          <cell r="AW2698" t="str">
            <v>Phạm Văn Sớm21</v>
          </cell>
          <cell r="AX2698" t="str">
            <v>Linh</v>
          </cell>
        </row>
        <row r="2699">
          <cell r="D2699" t="str">
            <v>Đinh Trung Dũng</v>
          </cell>
          <cell r="AF2699" t="str">
            <v>XE01380</v>
          </cell>
          <cell r="AH2699">
            <v>9.82</v>
          </cell>
          <cell r="AW2699" t="str">
            <v>Đinh Trung Dũng19</v>
          </cell>
          <cell r="AX2699" t="str">
            <v>Linh</v>
          </cell>
        </row>
        <row r="2700">
          <cell r="D2700" t="str">
            <v>Đinh Trung Dũng</v>
          </cell>
          <cell r="AF2700" t="str">
            <v>XE01380</v>
          </cell>
          <cell r="AH2700">
            <v>9.82</v>
          </cell>
          <cell r="AW2700" t="str">
            <v>Đinh Trung Dũng20</v>
          </cell>
          <cell r="AX2700" t="str">
            <v>Linh</v>
          </cell>
        </row>
        <row r="2701">
          <cell r="D2701" t="str">
            <v>Trần Anh Tuấn</v>
          </cell>
          <cell r="AF2701" t="str">
            <v>XE01429</v>
          </cell>
          <cell r="AH2701">
            <v>9.6199999999999992</v>
          </cell>
          <cell r="AW2701" t="str">
            <v>Trần Anh Tuấn20</v>
          </cell>
          <cell r="AX2701" t="str">
            <v>Linh</v>
          </cell>
        </row>
        <row r="2702">
          <cell r="D2702" t="str">
            <v>Trần Anh Tuấn</v>
          </cell>
          <cell r="AF2702" t="str">
            <v>XE01429</v>
          </cell>
          <cell r="AH2702">
            <v>7.6400000000000006</v>
          </cell>
          <cell r="AW2702" t="str">
            <v>Trần Anh Tuấn21</v>
          </cell>
          <cell r="AX2702" t="str">
            <v>Linh</v>
          </cell>
        </row>
        <row r="2703">
          <cell r="D2703" t="str">
            <v>Lê Huy Hoàng</v>
          </cell>
          <cell r="AF2703" t="str">
            <v>XE01526</v>
          </cell>
          <cell r="AH2703">
            <v>9.42</v>
          </cell>
          <cell r="AW2703" t="str">
            <v>Lê Huy Hoàng10</v>
          </cell>
          <cell r="AX2703" t="str">
            <v>Linh</v>
          </cell>
        </row>
        <row r="2704">
          <cell r="D2704" t="str">
            <v>Lê Đình Huỳnh</v>
          </cell>
          <cell r="AF2704" t="str">
            <v>XE01735</v>
          </cell>
          <cell r="AH2704">
            <v>9.42</v>
          </cell>
          <cell r="AW2704" t="str">
            <v>Lê Đình Huỳnh6</v>
          </cell>
          <cell r="AX2704" t="str">
            <v>Linh</v>
          </cell>
        </row>
        <row r="2705">
          <cell r="D2705" t="str">
            <v>Nguyễn Văn Hùng</v>
          </cell>
          <cell r="AF2705" t="str">
            <v>XE00083</v>
          </cell>
          <cell r="AH2705">
            <v>9.42</v>
          </cell>
          <cell r="AW2705" t="str">
            <v>Nguyễn Văn Hùng19</v>
          </cell>
          <cell r="AX2705" t="str">
            <v>Linh</v>
          </cell>
        </row>
        <row r="2706">
          <cell r="D2706" t="str">
            <v>Phạm Văn Vũ</v>
          </cell>
          <cell r="AF2706" t="str">
            <v>XE00042</v>
          </cell>
          <cell r="AH2706">
            <v>9.82</v>
          </cell>
          <cell r="AW2706" t="str">
            <v>Phạm Văn Vũ19</v>
          </cell>
          <cell r="AX2706" t="str">
            <v>Linh</v>
          </cell>
        </row>
        <row r="2707">
          <cell r="D2707" t="str">
            <v>Hoàng Tuấn Đạt</v>
          </cell>
          <cell r="AF2707" t="str">
            <v>XE00070</v>
          </cell>
          <cell r="AH2707">
            <v>9.2199999999999989</v>
          </cell>
          <cell r="AW2707" t="str">
            <v>Hoàng Tuấn Đạt19</v>
          </cell>
          <cell r="AX2707" t="str">
            <v>Linh</v>
          </cell>
        </row>
        <row r="2708">
          <cell r="D2708" t="str">
            <v>Trần Đức Triều</v>
          </cell>
          <cell r="AF2708" t="str">
            <v>XE00080</v>
          </cell>
          <cell r="AH2708">
            <v>9.42</v>
          </cell>
          <cell r="AW2708" t="str">
            <v>Trần Đức Triều20</v>
          </cell>
          <cell r="AX2708" t="str">
            <v>Linh</v>
          </cell>
        </row>
        <row r="2709">
          <cell r="D2709" t="str">
            <v>Phạm Quang Trung</v>
          </cell>
          <cell r="AF2709" t="str">
            <v>XE00041</v>
          </cell>
          <cell r="AH2709">
            <v>9.82</v>
          </cell>
          <cell r="AW2709" t="str">
            <v>Phạm Quang Trung19</v>
          </cell>
          <cell r="AX2709" t="str">
            <v>Linh</v>
          </cell>
        </row>
        <row r="2710">
          <cell r="D2710" t="str">
            <v>Nguyễn Văn Hùng</v>
          </cell>
          <cell r="AF2710" t="str">
            <v>XE00083</v>
          </cell>
          <cell r="AH2710">
            <v>7.24</v>
          </cell>
          <cell r="AW2710" t="str">
            <v>Nguyễn Văn Hùng20</v>
          </cell>
          <cell r="AX2710" t="str">
            <v>Linh</v>
          </cell>
        </row>
        <row r="2711">
          <cell r="D2711" t="str">
            <v>Phạm Văn Vũ</v>
          </cell>
          <cell r="AF2711" t="str">
            <v>XE00042</v>
          </cell>
          <cell r="AH2711">
            <v>9.42</v>
          </cell>
          <cell r="AW2711" t="str">
            <v>Phạm Văn Vũ20</v>
          </cell>
          <cell r="AX2711" t="str">
            <v>Linh</v>
          </cell>
        </row>
        <row r="2712">
          <cell r="D2712" t="str">
            <v>Phạm Văn Vũ</v>
          </cell>
          <cell r="AF2712" t="str">
            <v>XE00042</v>
          </cell>
          <cell r="AH2712">
            <v>9.82</v>
          </cell>
          <cell r="AW2712" t="str">
            <v>Phạm Văn Vũ21</v>
          </cell>
          <cell r="AX2712" t="str">
            <v>Linh</v>
          </cell>
        </row>
        <row r="2713">
          <cell r="D2713" t="str">
            <v>Hoàng Tuấn Đạt</v>
          </cell>
          <cell r="AF2713" t="str">
            <v>XE00070</v>
          </cell>
          <cell r="AH2713">
            <v>9.82</v>
          </cell>
          <cell r="AW2713" t="str">
            <v>Hoàng Tuấn Đạt20</v>
          </cell>
          <cell r="AX2713" t="str">
            <v>Linh</v>
          </cell>
        </row>
        <row r="2714">
          <cell r="D2714" t="str">
            <v>Hoàng Tuấn Đạt</v>
          </cell>
          <cell r="AF2714" t="str">
            <v>XE00070</v>
          </cell>
          <cell r="AH2714">
            <v>9.02</v>
          </cell>
          <cell r="AW2714" t="str">
            <v>Hoàng Tuấn Đạt21</v>
          </cell>
          <cell r="AX2714" t="str">
            <v>Linh</v>
          </cell>
        </row>
        <row r="2715">
          <cell r="D2715" t="str">
            <v>Vũ Đình Sơn</v>
          </cell>
          <cell r="AF2715" t="str">
            <v>XE00152</v>
          </cell>
          <cell r="AH2715">
            <v>9.82</v>
          </cell>
          <cell r="AW2715" t="str">
            <v>Vũ Đình Sơn18</v>
          </cell>
          <cell r="AX2715" t="str">
            <v>Linh</v>
          </cell>
        </row>
        <row r="2716">
          <cell r="D2716" t="str">
            <v>Vũ Đình Sơn</v>
          </cell>
          <cell r="AF2716" t="str">
            <v>XE00152</v>
          </cell>
          <cell r="AH2716">
            <v>7.82</v>
          </cell>
          <cell r="AW2716" t="str">
            <v>Vũ Đình Sơn19</v>
          </cell>
          <cell r="AX2716" t="str">
            <v>Linh</v>
          </cell>
        </row>
        <row r="2717">
          <cell r="D2717" t="str">
            <v>Hoàng Trọng Nam</v>
          </cell>
          <cell r="AF2717" t="str">
            <v>XE00043</v>
          </cell>
          <cell r="AH2717">
            <v>9.02</v>
          </cell>
          <cell r="AW2717" t="str">
            <v>Hoàng Trọng Nam19</v>
          </cell>
          <cell r="AX2717" t="str">
            <v>Linh</v>
          </cell>
        </row>
        <row r="2718">
          <cell r="D2718" t="str">
            <v>Hoàng Trọng Nam</v>
          </cell>
          <cell r="AF2718" t="str">
            <v>XE00043</v>
          </cell>
          <cell r="AH2718">
            <v>9.42</v>
          </cell>
          <cell r="AW2718" t="str">
            <v>Hoàng Trọng Nam20</v>
          </cell>
          <cell r="AX2718" t="str">
            <v>Linh</v>
          </cell>
        </row>
        <row r="2719">
          <cell r="D2719" t="str">
            <v>Đinh Văn Sỹ</v>
          </cell>
          <cell r="AF2719" t="str">
            <v>XE00194</v>
          </cell>
          <cell r="AH2719">
            <v>9.82</v>
          </cell>
          <cell r="AW2719" t="str">
            <v>Đinh Văn Sỹ20</v>
          </cell>
          <cell r="AX2719" t="str">
            <v>Linh</v>
          </cell>
        </row>
        <row r="2720">
          <cell r="D2720" t="str">
            <v>Nguyễn Văn Khuyến</v>
          </cell>
          <cell r="AF2720" t="str">
            <v>XE00139</v>
          </cell>
          <cell r="AH2720">
            <v>7.82</v>
          </cell>
          <cell r="AW2720" t="str">
            <v>Nguyễn Văn Khuyến18</v>
          </cell>
          <cell r="AX2720" t="str">
            <v>Linh</v>
          </cell>
        </row>
        <row r="2721">
          <cell r="D2721" t="str">
            <v>Nguyễn Văn Khuyến</v>
          </cell>
          <cell r="AF2721" t="str">
            <v>XE00139</v>
          </cell>
          <cell r="AH2721">
            <v>9.42</v>
          </cell>
          <cell r="AW2721" t="str">
            <v>Nguyễn Văn Khuyến19</v>
          </cell>
          <cell r="AX2721" t="str">
            <v>Linh</v>
          </cell>
        </row>
        <row r="2722">
          <cell r="D2722" t="str">
            <v>Phạm Hồng Chính</v>
          </cell>
          <cell r="AF2722" t="str">
            <v>XE00032</v>
          </cell>
          <cell r="AH2722">
            <v>9.82</v>
          </cell>
          <cell r="AW2722" t="str">
            <v>Phạm Hồng Chính20</v>
          </cell>
          <cell r="AX2722" t="str">
            <v>Linh</v>
          </cell>
        </row>
        <row r="2723">
          <cell r="D2723" t="str">
            <v>Nguyễn Mạnh Trung</v>
          </cell>
          <cell r="AF2723" t="str">
            <v>XE00304</v>
          </cell>
          <cell r="AH2723">
            <v>8.84</v>
          </cell>
          <cell r="AW2723" t="str">
            <v>Nguyễn Mạnh Trung20</v>
          </cell>
          <cell r="AX2723" t="str">
            <v>Linh</v>
          </cell>
        </row>
        <row r="2724">
          <cell r="D2724" t="str">
            <v>Nguyễn Mạnh Trung</v>
          </cell>
          <cell r="AF2724" t="str">
            <v>XE00304</v>
          </cell>
          <cell r="AH2724">
            <v>9.82</v>
          </cell>
          <cell r="AW2724" t="str">
            <v>Nguyễn Mạnh Trung21</v>
          </cell>
          <cell r="AX2724" t="str">
            <v>Linh</v>
          </cell>
        </row>
        <row r="2725">
          <cell r="D2725" t="str">
            <v>Nguyễn Trung Trọng</v>
          </cell>
          <cell r="AF2725" t="str">
            <v>XE00334</v>
          </cell>
          <cell r="AH2725">
            <v>9.82</v>
          </cell>
          <cell r="AW2725" t="str">
            <v>Nguyễn Trung Trọng20</v>
          </cell>
          <cell r="AX2725" t="str">
            <v>Linh</v>
          </cell>
        </row>
        <row r="2726">
          <cell r="D2726" t="str">
            <v>Nguyễn Trung Trọng</v>
          </cell>
          <cell r="AF2726" t="str">
            <v>XE00334</v>
          </cell>
          <cell r="AH2726">
            <v>9.82</v>
          </cell>
          <cell r="AW2726" t="str">
            <v>Nguyễn Trung Trọng21</v>
          </cell>
          <cell r="AX2726" t="str">
            <v>Linh</v>
          </cell>
        </row>
        <row r="2727">
          <cell r="D2727" t="str">
            <v>Trần Hữu Nam 1978</v>
          </cell>
          <cell r="AF2727" t="str">
            <v>XE00373</v>
          </cell>
          <cell r="AH2727">
            <v>9.42</v>
          </cell>
          <cell r="AW2727" t="str">
            <v>Trần Hữu Nam 197821</v>
          </cell>
          <cell r="AX2727" t="str">
            <v>Linh</v>
          </cell>
        </row>
        <row r="2728">
          <cell r="D2728" t="str">
            <v>Đỗ Văn Tỉnh</v>
          </cell>
          <cell r="AF2728" t="str">
            <v>XE00405</v>
          </cell>
          <cell r="AH2728">
            <v>9.02</v>
          </cell>
          <cell r="AW2728" t="str">
            <v>Đỗ Văn Tỉnh20</v>
          </cell>
          <cell r="AX2728" t="str">
            <v>Linh</v>
          </cell>
        </row>
        <row r="2729">
          <cell r="D2729" t="str">
            <v>Đỗ Văn Tỉnh</v>
          </cell>
          <cell r="AF2729" t="str">
            <v>XE00405</v>
          </cell>
          <cell r="AH2729">
            <v>9.42</v>
          </cell>
          <cell r="AW2729" t="str">
            <v>Đỗ Văn Tỉnh21</v>
          </cell>
          <cell r="AX2729" t="str">
            <v>Linh</v>
          </cell>
        </row>
        <row r="2730">
          <cell r="D2730" t="str">
            <v>Vũ Mạnh Hùng</v>
          </cell>
          <cell r="AF2730" t="str">
            <v>XE00511</v>
          </cell>
          <cell r="AH2730">
            <v>9.82</v>
          </cell>
          <cell r="AW2730" t="str">
            <v>Vũ Mạnh Hùng20</v>
          </cell>
          <cell r="AX2730" t="str">
            <v>Linh</v>
          </cell>
        </row>
        <row r="2731">
          <cell r="D2731" t="str">
            <v>Vũ Mạnh Hùng</v>
          </cell>
          <cell r="AF2731" t="str">
            <v>XE00511</v>
          </cell>
          <cell r="AH2731">
            <v>9.02</v>
          </cell>
          <cell r="AW2731" t="str">
            <v>Vũ Mạnh Hùng21</v>
          </cell>
          <cell r="AX2731" t="str">
            <v>Linh</v>
          </cell>
        </row>
        <row r="2732">
          <cell r="D2732" t="str">
            <v>Ngô Mạnh Tùng</v>
          </cell>
          <cell r="AF2732" t="str">
            <v>XE00108</v>
          </cell>
          <cell r="AH2732">
            <v>9.82</v>
          </cell>
          <cell r="AW2732" t="str">
            <v>Ngô Mạnh Tùng22</v>
          </cell>
          <cell r="AX2732" t="str">
            <v>Linh</v>
          </cell>
        </row>
        <row r="2733">
          <cell r="D2733" t="str">
            <v>Phạm Văn Chính</v>
          </cell>
          <cell r="AF2733" t="str">
            <v>XE00690</v>
          </cell>
          <cell r="AH2733">
            <v>9.82</v>
          </cell>
          <cell r="AW2733" t="str">
            <v>Phạm Văn Chính20</v>
          </cell>
          <cell r="AX2733" t="str">
            <v>Linh</v>
          </cell>
        </row>
        <row r="2734">
          <cell r="D2734" t="str">
            <v>Trần Mạnh Thắng</v>
          </cell>
          <cell r="AF2734" t="str">
            <v>XE00870</v>
          </cell>
          <cell r="AH2734">
            <v>9.82</v>
          </cell>
          <cell r="AW2734" t="str">
            <v>Trần Mạnh Thắng22</v>
          </cell>
          <cell r="AX2734" t="str">
            <v>Linh</v>
          </cell>
        </row>
        <row r="2735">
          <cell r="D2735" t="str">
            <v>Đoàn Văn Kiều</v>
          </cell>
          <cell r="AF2735" t="str">
            <v>XE01009</v>
          </cell>
          <cell r="AH2735">
            <v>8.620000000000001</v>
          </cell>
          <cell r="AW2735" t="str">
            <v>Đoàn Văn Kiều14</v>
          </cell>
          <cell r="AX2735" t="str">
            <v>Linh</v>
          </cell>
        </row>
        <row r="2736">
          <cell r="D2736" t="str">
            <v>Phạm Hùng Sơn</v>
          </cell>
          <cell r="AF2736" t="str">
            <v>XE01157</v>
          </cell>
          <cell r="AH2736">
            <v>9.42</v>
          </cell>
          <cell r="AW2736" t="str">
            <v>Phạm Hùng Sơn22</v>
          </cell>
          <cell r="AX2736" t="str">
            <v>Linh</v>
          </cell>
        </row>
        <row r="2737">
          <cell r="D2737" t="str">
            <v>Phạm Hùng Sơn</v>
          </cell>
          <cell r="AF2737" t="str">
            <v>XE01157</v>
          </cell>
          <cell r="AH2737">
            <v>9.42</v>
          </cell>
          <cell r="AW2737" t="str">
            <v>Phạm Hùng Sơn23</v>
          </cell>
          <cell r="AX2737" t="str">
            <v>Linh</v>
          </cell>
        </row>
        <row r="2738">
          <cell r="D2738" t="str">
            <v>Cồ Văn Tiển</v>
          </cell>
          <cell r="AF2738" t="str">
            <v>XE01243</v>
          </cell>
          <cell r="AH2738">
            <v>9.82</v>
          </cell>
          <cell r="AW2738" t="str">
            <v>Cồ Văn Tiển15</v>
          </cell>
          <cell r="AX2738" t="str">
            <v>Linh</v>
          </cell>
        </row>
        <row r="2739">
          <cell r="D2739" t="str">
            <v>Đinh Trung Dũng</v>
          </cell>
          <cell r="AF2739" t="str">
            <v>XE01380</v>
          </cell>
          <cell r="AH2739">
            <v>9.82</v>
          </cell>
          <cell r="AW2739" t="str">
            <v>Đinh Trung Dũng21</v>
          </cell>
          <cell r="AX2739" t="str">
            <v>Linh</v>
          </cell>
        </row>
        <row r="2740">
          <cell r="D2740" t="str">
            <v>Đinh Trung Dũng</v>
          </cell>
          <cell r="AF2740" t="str">
            <v>XE01380</v>
          </cell>
          <cell r="AH2740">
            <v>9.6</v>
          </cell>
          <cell r="AW2740" t="str">
            <v>Đinh Trung Dũng22</v>
          </cell>
          <cell r="AX2740" t="str">
            <v>Linh</v>
          </cell>
        </row>
        <row r="2741">
          <cell r="D2741" t="str">
            <v>Lê Đình Huỳnh</v>
          </cell>
          <cell r="AF2741" t="str">
            <v>XE01735</v>
          </cell>
          <cell r="AH2741">
            <v>8.84</v>
          </cell>
          <cell r="AW2741" t="str">
            <v>Lê Đình Huỳnh7</v>
          </cell>
          <cell r="AX2741" t="str">
            <v>Linh</v>
          </cell>
        </row>
        <row r="2742">
          <cell r="D2742" t="str">
            <v>Phạm Văn Chính</v>
          </cell>
          <cell r="AF2742" t="str">
            <v>XE00690</v>
          </cell>
          <cell r="AH2742">
            <v>9.42</v>
          </cell>
          <cell r="AW2742" t="str">
            <v>Phạm Văn Chính21</v>
          </cell>
          <cell r="AX2742" t="str">
            <v>Linh</v>
          </cell>
        </row>
        <row r="2743">
          <cell r="D2743" t="str">
            <v>Phạm Hồng Chính</v>
          </cell>
          <cell r="AF2743" t="str">
            <v>XE00032</v>
          </cell>
          <cell r="AH2743">
            <v>9.82</v>
          </cell>
          <cell r="AW2743" t="str">
            <v>Phạm Hồng Chính21</v>
          </cell>
          <cell r="AX2743" t="str">
            <v>Linh</v>
          </cell>
        </row>
        <row r="2744">
          <cell r="D2744" t="str">
            <v>Trần Hữu Nam 1978</v>
          </cell>
          <cell r="AF2744" t="str">
            <v>XE00373</v>
          </cell>
          <cell r="AH2744">
            <v>9.6199999999999992</v>
          </cell>
          <cell r="AW2744" t="str">
            <v>Trần Hữu Nam 197822</v>
          </cell>
          <cell r="AX2744" t="str">
            <v>Linh</v>
          </cell>
        </row>
        <row r="2745">
          <cell r="D2745" t="str">
            <v>Trần Đức Triều</v>
          </cell>
          <cell r="AF2745" t="str">
            <v>XE00080</v>
          </cell>
          <cell r="AH2745">
            <v>9.82</v>
          </cell>
          <cell r="AW2745" t="str">
            <v>Trần Đức Triều21</v>
          </cell>
          <cell r="AX2745" t="str">
            <v>Linh</v>
          </cell>
        </row>
        <row r="2746">
          <cell r="D2746" t="str">
            <v>Trần Đức Triều</v>
          </cell>
          <cell r="AF2746" t="str">
            <v>XE00080</v>
          </cell>
          <cell r="AH2746">
            <v>9.6199999999999992</v>
          </cell>
          <cell r="AW2746" t="str">
            <v>Trần Đức Triều22</v>
          </cell>
          <cell r="AX2746" t="str">
            <v>Linh</v>
          </cell>
        </row>
        <row r="2747">
          <cell r="D2747" t="str">
            <v>Phạm Văn Vũ</v>
          </cell>
          <cell r="AF2747" t="str">
            <v>XE00042</v>
          </cell>
          <cell r="AH2747">
            <v>9.82</v>
          </cell>
          <cell r="AW2747" t="str">
            <v>Phạm Văn Vũ22</v>
          </cell>
          <cell r="AX2747" t="str">
            <v>Linh</v>
          </cell>
        </row>
        <row r="2748">
          <cell r="D2748" t="str">
            <v>Phạm Văn Vũ</v>
          </cell>
          <cell r="AF2748" t="str">
            <v>XE00042</v>
          </cell>
          <cell r="AH2748">
            <v>9.82</v>
          </cell>
          <cell r="AW2748" t="str">
            <v>Phạm Văn Vũ23</v>
          </cell>
          <cell r="AX2748" t="str">
            <v>Linh</v>
          </cell>
        </row>
        <row r="2749">
          <cell r="D2749" t="str">
            <v>Hoàng Tuấn Đạt</v>
          </cell>
          <cell r="AF2749" t="str">
            <v>XE00070</v>
          </cell>
          <cell r="AH2749">
            <v>8.84</v>
          </cell>
          <cell r="AW2749" t="str">
            <v>Hoàng Tuấn Đạt22</v>
          </cell>
          <cell r="AX2749" t="str">
            <v>Linh</v>
          </cell>
        </row>
        <row r="2750">
          <cell r="D2750" t="str">
            <v>Hoàng Tuấn Đạt</v>
          </cell>
          <cell r="AF2750" t="str">
            <v>XE00070</v>
          </cell>
          <cell r="AH2750">
            <v>9.82</v>
          </cell>
          <cell r="AW2750" t="str">
            <v>Hoàng Tuấn Đạt23</v>
          </cell>
          <cell r="AX2750" t="str">
            <v>Linh</v>
          </cell>
        </row>
        <row r="2751">
          <cell r="D2751" t="str">
            <v>Vũ Đình Sơn</v>
          </cell>
          <cell r="AF2751" t="str">
            <v>XE00152</v>
          </cell>
          <cell r="AH2751">
            <v>9.82</v>
          </cell>
          <cell r="AW2751" t="str">
            <v>Vũ Đình Sơn20</v>
          </cell>
          <cell r="AX2751" t="str">
            <v>Linh</v>
          </cell>
        </row>
        <row r="2752">
          <cell r="D2752" t="str">
            <v>Vũ Đình Sơn</v>
          </cell>
          <cell r="AF2752" t="str">
            <v>XE00152</v>
          </cell>
          <cell r="AH2752">
            <v>9.42</v>
          </cell>
          <cell r="AW2752" t="str">
            <v>Vũ Đình Sơn21</v>
          </cell>
          <cell r="AX2752" t="str">
            <v>Linh</v>
          </cell>
        </row>
        <row r="2753">
          <cell r="D2753" t="str">
            <v>Hoàng Trọng Nam</v>
          </cell>
          <cell r="AF2753" t="str">
            <v>XE00043</v>
          </cell>
          <cell r="AH2753">
            <v>9.64</v>
          </cell>
          <cell r="AW2753" t="str">
            <v>Hoàng Trọng Nam21</v>
          </cell>
          <cell r="AX2753" t="str">
            <v>Linh</v>
          </cell>
        </row>
        <row r="2754">
          <cell r="D2754" t="str">
            <v>Hoàng Trọng Nam</v>
          </cell>
          <cell r="AF2754" t="str">
            <v>XE00043</v>
          </cell>
          <cell r="AH2754">
            <v>9.42</v>
          </cell>
          <cell r="AW2754" t="str">
            <v>Hoàng Trọng Nam22</v>
          </cell>
          <cell r="AX2754" t="str">
            <v>Linh</v>
          </cell>
        </row>
        <row r="2755">
          <cell r="D2755" t="str">
            <v>Đinh Văn Sỹ</v>
          </cell>
          <cell r="AF2755" t="str">
            <v>XE00194</v>
          </cell>
          <cell r="AH2755">
            <v>9.02</v>
          </cell>
          <cell r="AW2755" t="str">
            <v>Đinh Văn Sỹ21</v>
          </cell>
          <cell r="AX2755" t="str">
            <v>Linh</v>
          </cell>
        </row>
        <row r="2756">
          <cell r="D2756" t="str">
            <v>Nguyễn Văn Khuyến</v>
          </cell>
          <cell r="AF2756" t="str">
            <v>XE00139</v>
          </cell>
          <cell r="AH2756">
            <v>9.42</v>
          </cell>
          <cell r="AW2756" t="str">
            <v>Nguyễn Văn Khuyến20</v>
          </cell>
          <cell r="AX2756" t="str">
            <v>Linh</v>
          </cell>
        </row>
        <row r="2757">
          <cell r="D2757" t="str">
            <v>Nguyễn Văn Khuyến</v>
          </cell>
          <cell r="AF2757" t="str">
            <v>XE00139</v>
          </cell>
          <cell r="AH2757">
            <v>9.02</v>
          </cell>
          <cell r="AW2757" t="str">
            <v>Nguyễn Văn Khuyến21</v>
          </cell>
          <cell r="AX2757" t="str">
            <v>Linh</v>
          </cell>
        </row>
        <row r="2758">
          <cell r="D2758" t="str">
            <v>Phạm Hồng Chính</v>
          </cell>
          <cell r="AF2758" t="str">
            <v>XE00032</v>
          </cell>
          <cell r="AH2758">
            <v>10</v>
          </cell>
          <cell r="AW2758" t="str">
            <v>Phạm Hồng Chính22</v>
          </cell>
          <cell r="AX2758" t="str">
            <v>Linh</v>
          </cell>
        </row>
        <row r="2759">
          <cell r="D2759" t="str">
            <v>Nguyễn Văn Chiến</v>
          </cell>
          <cell r="AF2759" t="str">
            <v>XE00095</v>
          </cell>
          <cell r="AH2759">
            <v>8.02</v>
          </cell>
          <cell r="AW2759" t="str">
            <v>Nguyễn Văn Chiến21</v>
          </cell>
          <cell r="AX2759" t="str">
            <v>Linh</v>
          </cell>
        </row>
        <row r="2760">
          <cell r="D2760" t="str">
            <v>Nguyễn Văn Chiến</v>
          </cell>
          <cell r="AF2760" t="str">
            <v>XE00095</v>
          </cell>
          <cell r="AH2760">
            <v>9.42</v>
          </cell>
          <cell r="AW2760" t="str">
            <v>Nguyễn Văn Chiến22</v>
          </cell>
          <cell r="AX2760" t="str">
            <v>Linh</v>
          </cell>
        </row>
        <row r="2761">
          <cell r="D2761" t="str">
            <v>Nguyễn Anh Hùng</v>
          </cell>
          <cell r="AF2761" t="str">
            <v>XE00013</v>
          </cell>
          <cell r="AH2761">
            <v>8.620000000000001</v>
          </cell>
          <cell r="AW2761" t="str">
            <v>Nguyễn Anh Hùng20</v>
          </cell>
          <cell r="AX2761" t="str">
            <v>Linh</v>
          </cell>
        </row>
        <row r="2762">
          <cell r="D2762" t="str">
            <v>Nguyễn Anh Hùng</v>
          </cell>
          <cell r="AF2762" t="str">
            <v>XE00013</v>
          </cell>
          <cell r="AH2762">
            <v>7.24</v>
          </cell>
          <cell r="AW2762" t="str">
            <v>Nguyễn Anh Hùng21</v>
          </cell>
          <cell r="AX2762" t="str">
            <v>Linh</v>
          </cell>
        </row>
        <row r="2763">
          <cell r="D2763" t="str">
            <v>Nguyễn Mạnh Trung</v>
          </cell>
          <cell r="AF2763" t="str">
            <v>XE00304</v>
          </cell>
          <cell r="AH2763">
            <v>10</v>
          </cell>
          <cell r="AW2763" t="str">
            <v>Nguyễn Mạnh Trung22</v>
          </cell>
          <cell r="AX2763" t="str">
            <v>Linh</v>
          </cell>
        </row>
        <row r="2764">
          <cell r="D2764" t="str">
            <v>Nguyễn Mạnh Trung</v>
          </cell>
          <cell r="AF2764" t="str">
            <v>XE00304</v>
          </cell>
          <cell r="AH2764">
            <v>10</v>
          </cell>
          <cell r="AW2764" t="str">
            <v>Nguyễn Mạnh Trung23</v>
          </cell>
          <cell r="AX2764" t="str">
            <v>Linh</v>
          </cell>
        </row>
        <row r="2765">
          <cell r="D2765" t="str">
            <v>Trần Hữu Nam 1978</v>
          </cell>
          <cell r="AF2765" t="str">
            <v>XE00373</v>
          </cell>
          <cell r="AH2765">
            <v>9.82</v>
          </cell>
          <cell r="AW2765" t="str">
            <v>Trần Hữu Nam 197823</v>
          </cell>
          <cell r="AX2765" t="str">
            <v>Linh</v>
          </cell>
        </row>
        <row r="2766">
          <cell r="D2766" t="str">
            <v>Trần Hữu Nam 1978</v>
          </cell>
          <cell r="AF2766" t="str">
            <v>XE00373</v>
          </cell>
          <cell r="AH2766">
            <v>9.82</v>
          </cell>
          <cell r="AW2766" t="str">
            <v>Trần Hữu Nam 197824</v>
          </cell>
          <cell r="AX2766" t="str">
            <v>Linh</v>
          </cell>
        </row>
        <row r="2767">
          <cell r="D2767" t="str">
            <v>Hồ Nam Phong</v>
          </cell>
          <cell r="AF2767" t="str">
            <v>XE00384</v>
          </cell>
          <cell r="AH2767">
            <v>9.42</v>
          </cell>
          <cell r="AW2767" t="str">
            <v>Hồ Nam Phong21</v>
          </cell>
          <cell r="AX2767" t="str">
            <v>Linh</v>
          </cell>
        </row>
        <row r="2768">
          <cell r="D2768" t="str">
            <v>Hồ Nam Phong</v>
          </cell>
          <cell r="AF2768" t="str">
            <v>XE00384</v>
          </cell>
          <cell r="AH2768">
            <v>9.42</v>
          </cell>
          <cell r="AW2768" t="str">
            <v>Hồ Nam Phong22</v>
          </cell>
          <cell r="AX2768" t="str">
            <v>Linh</v>
          </cell>
        </row>
        <row r="2769">
          <cell r="D2769" t="str">
            <v>Đỗ Văn Tỉnh</v>
          </cell>
          <cell r="AF2769" t="str">
            <v>XE00405</v>
          </cell>
          <cell r="AH2769">
            <v>9.42</v>
          </cell>
          <cell r="AW2769" t="str">
            <v>Đỗ Văn Tỉnh22</v>
          </cell>
          <cell r="AX2769" t="str">
            <v>Linh</v>
          </cell>
        </row>
        <row r="2770">
          <cell r="D2770" t="str">
            <v>Đỗ Văn Tỉnh</v>
          </cell>
          <cell r="AF2770" t="str">
            <v>XE00405</v>
          </cell>
          <cell r="AH2770">
            <v>9.42</v>
          </cell>
          <cell r="AW2770" t="str">
            <v>Đỗ Văn Tỉnh23</v>
          </cell>
          <cell r="AX2770" t="str">
            <v>Linh</v>
          </cell>
        </row>
        <row r="2771">
          <cell r="D2771" t="str">
            <v>Vũ Mạnh Hùng</v>
          </cell>
          <cell r="AF2771" t="str">
            <v>XE00511</v>
          </cell>
          <cell r="AH2771">
            <v>9.82</v>
          </cell>
          <cell r="AW2771" t="str">
            <v>Vũ Mạnh Hùng22</v>
          </cell>
          <cell r="AX2771" t="str">
            <v>Linh</v>
          </cell>
        </row>
        <row r="2772">
          <cell r="D2772" t="str">
            <v>Vũ Mạnh Hùng</v>
          </cell>
          <cell r="AF2772" t="str">
            <v>XE00511</v>
          </cell>
          <cell r="AH2772">
            <v>7.82</v>
          </cell>
          <cell r="AW2772" t="str">
            <v>Vũ Mạnh Hùng23</v>
          </cell>
          <cell r="AX2772" t="str">
            <v>Linh</v>
          </cell>
        </row>
        <row r="2773">
          <cell r="D2773" t="str">
            <v>Ngô Mạnh Tùng</v>
          </cell>
          <cell r="AF2773" t="str">
            <v>XE00108</v>
          </cell>
          <cell r="AH2773">
            <v>9.42</v>
          </cell>
          <cell r="AW2773" t="str">
            <v>Ngô Mạnh Tùng23</v>
          </cell>
          <cell r="AX2773" t="str">
            <v>Linh</v>
          </cell>
        </row>
        <row r="2774">
          <cell r="D2774" t="str">
            <v>Phạm Văn Chính</v>
          </cell>
          <cell r="AF2774" t="str">
            <v>XE00690</v>
          </cell>
          <cell r="AH2774">
            <v>8.84</v>
          </cell>
          <cell r="AW2774" t="str">
            <v>Phạm Văn Chính22</v>
          </cell>
          <cell r="AX2774" t="str">
            <v>Linh</v>
          </cell>
        </row>
        <row r="2775">
          <cell r="D2775" t="str">
            <v>Trần Đức Triều</v>
          </cell>
          <cell r="AF2775" t="str">
            <v>XE00080</v>
          </cell>
          <cell r="AH2775">
            <v>9.42</v>
          </cell>
          <cell r="AW2775" t="str">
            <v>Trần Đức Triều23</v>
          </cell>
          <cell r="AX2775" t="str">
            <v>Linh</v>
          </cell>
        </row>
        <row r="2776">
          <cell r="D2776" t="str">
            <v>Phạm Quang Trung</v>
          </cell>
          <cell r="AF2776" t="str">
            <v>XE00041</v>
          </cell>
          <cell r="AH2776">
            <v>9.82</v>
          </cell>
          <cell r="AW2776" t="str">
            <v>Phạm Quang Trung20</v>
          </cell>
          <cell r="AX2776" t="str">
            <v>Linh</v>
          </cell>
        </row>
        <row r="2777">
          <cell r="D2777" t="str">
            <v>Phạm Văn Vũ</v>
          </cell>
          <cell r="AF2777" t="str">
            <v>XE00042</v>
          </cell>
          <cell r="AH2777">
            <v>9.82</v>
          </cell>
          <cell r="AW2777" t="str">
            <v>Phạm Văn Vũ24</v>
          </cell>
          <cell r="AX2777" t="str">
            <v>Linh</v>
          </cell>
        </row>
        <row r="2778">
          <cell r="D2778" t="str">
            <v>Vũ Đình Sơn</v>
          </cell>
          <cell r="AF2778" t="str">
            <v>XE00152</v>
          </cell>
          <cell r="AH2778">
            <v>9.82</v>
          </cell>
          <cell r="AW2778" t="str">
            <v>Vũ Đình Sơn22</v>
          </cell>
          <cell r="AX2778" t="str">
            <v>Linh</v>
          </cell>
        </row>
        <row r="2779">
          <cell r="D2779" t="str">
            <v>Hoàng Trọng Nam</v>
          </cell>
          <cell r="AF2779" t="str">
            <v>XE00043</v>
          </cell>
          <cell r="AH2779">
            <v>9.42</v>
          </cell>
          <cell r="AW2779" t="str">
            <v>Hoàng Trọng Nam23</v>
          </cell>
          <cell r="AX2779" t="str">
            <v>Linh</v>
          </cell>
        </row>
        <row r="2780">
          <cell r="D2780" t="str">
            <v>Nguyễn Văn Khuyến</v>
          </cell>
          <cell r="AF2780" t="str">
            <v>XE00139</v>
          </cell>
          <cell r="AH2780">
            <v>9.42</v>
          </cell>
          <cell r="AW2780" t="str">
            <v>Nguyễn Văn Khuyến22</v>
          </cell>
          <cell r="AX2780" t="str">
            <v>Linh</v>
          </cell>
        </row>
        <row r="2781">
          <cell r="D2781" t="str">
            <v>Trần Văn Thanh</v>
          </cell>
          <cell r="AF2781" t="str">
            <v>XE00376</v>
          </cell>
          <cell r="AH2781">
            <v>9.82</v>
          </cell>
          <cell r="AW2781" t="str">
            <v>Trần Văn Thanh21</v>
          </cell>
          <cell r="AX2781" t="str">
            <v>Linh</v>
          </cell>
        </row>
        <row r="2782">
          <cell r="D2782" t="str">
            <v>Trần Đình Thắng</v>
          </cell>
          <cell r="AF2782" t="str">
            <v>XE00513</v>
          </cell>
          <cell r="AH2782">
            <v>9.82</v>
          </cell>
          <cell r="AW2782" t="str">
            <v>Trần Đình Thắng21</v>
          </cell>
          <cell r="AX2782" t="str">
            <v>Linh</v>
          </cell>
        </row>
        <row r="2783">
          <cell r="D2783" t="str">
            <v>Trần Quốc Phong</v>
          </cell>
          <cell r="AF2783" t="str">
            <v>XE00949</v>
          </cell>
          <cell r="AH2783">
            <v>9.42</v>
          </cell>
          <cell r="AW2783" t="str">
            <v>Trần Quốc Phong21</v>
          </cell>
          <cell r="AX2783" t="str">
            <v>Linh</v>
          </cell>
        </row>
        <row r="2784">
          <cell r="D2784" t="str">
            <v>Phạm Thanh Bình</v>
          </cell>
          <cell r="AF2784" t="str">
            <v>XE01117</v>
          </cell>
          <cell r="AH2784">
            <v>9.42</v>
          </cell>
          <cell r="AW2784" t="str">
            <v>Phạm Thanh Bình21</v>
          </cell>
          <cell r="AX2784" t="str">
            <v>Linh</v>
          </cell>
        </row>
        <row r="2785">
          <cell r="D2785" t="str">
            <v>Bùi Xuân Bắc</v>
          </cell>
          <cell r="AF2785" t="str">
            <v>XE01166</v>
          </cell>
          <cell r="AH2785">
            <v>9.42</v>
          </cell>
          <cell r="AW2785" t="str">
            <v>Bùi Xuân Bắc20</v>
          </cell>
          <cell r="AX2785" t="str">
            <v>Linh</v>
          </cell>
        </row>
        <row r="2786">
          <cell r="D2786" t="str">
            <v>Đoàn Văn Kiều</v>
          </cell>
          <cell r="AF2786" t="str">
            <v>XE01009</v>
          </cell>
          <cell r="AH2786">
            <v>9.42</v>
          </cell>
          <cell r="AW2786" t="str">
            <v>Đoàn Văn Kiều15</v>
          </cell>
          <cell r="AX2786" t="str">
            <v>Linh</v>
          </cell>
        </row>
        <row r="2787">
          <cell r="D2787" t="str">
            <v>Trần Hữu Nam 1978</v>
          </cell>
          <cell r="AF2787" t="str">
            <v>XE00373</v>
          </cell>
          <cell r="AH2787">
            <v>9.42</v>
          </cell>
          <cell r="AW2787" t="str">
            <v>Trần Hữu Nam 197825</v>
          </cell>
          <cell r="AX2787" t="str">
            <v>Linh</v>
          </cell>
        </row>
        <row r="2788">
          <cell r="D2788" t="str">
            <v>Đinh Trung Dũng</v>
          </cell>
          <cell r="AF2788" t="str">
            <v>XE01380</v>
          </cell>
          <cell r="AH2788">
            <v>9.82</v>
          </cell>
          <cell r="AW2788" t="str">
            <v>Đinh Trung Dũng23</v>
          </cell>
          <cell r="AX2788" t="str">
            <v>Linh</v>
          </cell>
        </row>
        <row r="2789">
          <cell r="D2789" t="str">
            <v>Trần Anh Tuấn</v>
          </cell>
          <cell r="AF2789" t="str">
            <v>XE01429</v>
          </cell>
          <cell r="AH2789">
            <v>8.44</v>
          </cell>
          <cell r="AW2789" t="str">
            <v>Trần Anh Tuấn22</v>
          </cell>
          <cell r="AX2789" t="str">
            <v>Linh</v>
          </cell>
        </row>
        <row r="2790">
          <cell r="D2790" t="str">
            <v>Phạm Văn Chính</v>
          </cell>
          <cell r="AF2790" t="str">
            <v>XE00690</v>
          </cell>
          <cell r="AH2790">
            <v>9.42</v>
          </cell>
          <cell r="AW2790" t="str">
            <v>Phạm Văn Chính23</v>
          </cell>
          <cell r="AX2790" t="str">
            <v>Linh</v>
          </cell>
        </row>
        <row r="2791">
          <cell r="D2791" t="str">
            <v>Trần Đức Triều</v>
          </cell>
          <cell r="AF2791" t="str">
            <v>XE00080</v>
          </cell>
          <cell r="AH2791">
            <v>9.82</v>
          </cell>
          <cell r="AW2791" t="str">
            <v>Trần Đức Triều24</v>
          </cell>
          <cell r="AX2791" t="str">
            <v>Linh</v>
          </cell>
        </row>
        <row r="2792">
          <cell r="D2792" t="str">
            <v>Phạm Quang Trung</v>
          </cell>
          <cell r="AF2792" t="str">
            <v>XE00041</v>
          </cell>
          <cell r="AH2792">
            <v>8.84</v>
          </cell>
          <cell r="AW2792" t="str">
            <v>Phạm Quang Trung21</v>
          </cell>
          <cell r="AX2792" t="str">
            <v>Linh</v>
          </cell>
        </row>
        <row r="2793">
          <cell r="D2793" t="str">
            <v>Nguyễn Văn Hùng</v>
          </cell>
          <cell r="AF2793" t="str">
            <v>XE00083</v>
          </cell>
          <cell r="AH2793">
            <v>9.82</v>
          </cell>
          <cell r="AW2793" t="str">
            <v>Nguyễn Văn Hùng21</v>
          </cell>
          <cell r="AX2793" t="str">
            <v>Linh</v>
          </cell>
        </row>
        <row r="2794">
          <cell r="D2794" t="str">
            <v>Nguyễn Văn Hùng</v>
          </cell>
          <cell r="AF2794" t="str">
            <v>XE00083</v>
          </cell>
          <cell r="AH2794">
            <v>9.82</v>
          </cell>
          <cell r="AW2794" t="str">
            <v>Nguyễn Văn Hùng22</v>
          </cell>
          <cell r="AX2794" t="str">
            <v>Linh</v>
          </cell>
        </row>
        <row r="2795">
          <cell r="D2795" t="str">
            <v>Hoàng Tuấn Đạt</v>
          </cell>
          <cell r="AF2795" t="str">
            <v>XE00070</v>
          </cell>
          <cell r="AH2795">
            <v>9.82</v>
          </cell>
          <cell r="AW2795" t="str">
            <v>Hoàng Tuấn Đạt24</v>
          </cell>
          <cell r="AX2795" t="str">
            <v>Linh</v>
          </cell>
        </row>
        <row r="2796">
          <cell r="D2796" t="str">
            <v>Vũ Đình Sơn</v>
          </cell>
          <cell r="AF2796" t="str">
            <v>XE00152</v>
          </cell>
          <cell r="AH2796">
            <v>7.22</v>
          </cell>
          <cell r="AW2796" t="str">
            <v>Vũ Đình Sơn23</v>
          </cell>
          <cell r="AX2796" t="str">
            <v>Linh</v>
          </cell>
        </row>
        <row r="2797">
          <cell r="D2797" t="str">
            <v>Hoàng Trọng Nam</v>
          </cell>
          <cell r="AF2797" t="str">
            <v>XE00043</v>
          </cell>
          <cell r="AH2797">
            <v>9.42</v>
          </cell>
          <cell r="AW2797" t="str">
            <v>Hoàng Trọng Nam24</v>
          </cell>
          <cell r="AX2797" t="str">
            <v>Linh</v>
          </cell>
        </row>
        <row r="2798">
          <cell r="D2798" t="str">
            <v>Đinh Văn Sỹ</v>
          </cell>
          <cell r="AF2798" t="str">
            <v>XE00194</v>
          </cell>
          <cell r="AH2798">
            <v>9.02</v>
          </cell>
          <cell r="AW2798" t="str">
            <v>Đinh Văn Sỹ22</v>
          </cell>
          <cell r="AX2798" t="str">
            <v>Linh</v>
          </cell>
        </row>
        <row r="2799">
          <cell r="D2799" t="str">
            <v>Đinh Văn Sỹ</v>
          </cell>
          <cell r="AF2799" t="str">
            <v>XE00194</v>
          </cell>
          <cell r="AH2799">
            <v>9.42</v>
          </cell>
          <cell r="AW2799" t="str">
            <v>Đinh Văn Sỹ23</v>
          </cell>
          <cell r="AX2799" t="str">
            <v>Linh</v>
          </cell>
        </row>
        <row r="2800">
          <cell r="D2800" t="str">
            <v>Nguyễn Văn Khuyến</v>
          </cell>
          <cell r="AF2800" t="str">
            <v>XE00139</v>
          </cell>
          <cell r="AH2800">
            <v>9.02</v>
          </cell>
          <cell r="AW2800" t="str">
            <v>Nguyễn Văn Khuyến23</v>
          </cell>
          <cell r="AX2800" t="str">
            <v>Linh</v>
          </cell>
        </row>
        <row r="2801">
          <cell r="D2801" t="str">
            <v>Phạm Hồng Chính</v>
          </cell>
          <cell r="AF2801" t="str">
            <v>XE00032</v>
          </cell>
          <cell r="AH2801">
            <v>10</v>
          </cell>
          <cell r="AW2801" t="str">
            <v>Phạm Hồng Chính23</v>
          </cell>
          <cell r="AX2801" t="str">
            <v>Linh</v>
          </cell>
        </row>
        <row r="2802">
          <cell r="D2802" t="str">
            <v>Nguyễn Văn Chiến</v>
          </cell>
          <cell r="AF2802" t="str">
            <v>XE00095</v>
          </cell>
          <cell r="AH2802">
            <v>9.82</v>
          </cell>
          <cell r="AW2802" t="str">
            <v>Nguyễn Văn Chiến23</v>
          </cell>
          <cell r="AX2802" t="str">
            <v>Linh</v>
          </cell>
        </row>
        <row r="2803">
          <cell r="D2803" t="str">
            <v>Nguyễn Anh Hùng</v>
          </cell>
          <cell r="AF2803" t="str">
            <v>XE00013</v>
          </cell>
          <cell r="AH2803">
            <v>9.42</v>
          </cell>
          <cell r="AW2803" t="str">
            <v>Nguyễn Anh Hùng22</v>
          </cell>
          <cell r="AX2803" t="str">
            <v>Linh</v>
          </cell>
        </row>
        <row r="2804">
          <cell r="D2804" t="str">
            <v>Nguyễn Anh Hùng</v>
          </cell>
          <cell r="AF2804" t="str">
            <v>XE00013</v>
          </cell>
          <cell r="AH2804">
            <v>9.82</v>
          </cell>
          <cell r="AW2804" t="str">
            <v>Nguyễn Anh Hùng23</v>
          </cell>
          <cell r="AX2804" t="str">
            <v>Linh</v>
          </cell>
        </row>
        <row r="2805">
          <cell r="D2805" t="str">
            <v>Trần Quốc Toản</v>
          </cell>
          <cell r="AF2805" t="str">
            <v>XE00291</v>
          </cell>
          <cell r="AH2805">
            <v>9.42</v>
          </cell>
          <cell r="AW2805" t="str">
            <v>Trần Quốc Toản21</v>
          </cell>
          <cell r="AX2805" t="str">
            <v>Linh</v>
          </cell>
        </row>
        <row r="2806">
          <cell r="D2806" t="str">
            <v>Trần Quốc Toản</v>
          </cell>
          <cell r="AF2806" t="str">
            <v>XE00291</v>
          </cell>
          <cell r="AH2806">
            <v>7.82</v>
          </cell>
          <cell r="AW2806" t="str">
            <v>Trần Quốc Toản22</v>
          </cell>
          <cell r="AX2806" t="str">
            <v>Linh</v>
          </cell>
        </row>
        <row r="2807">
          <cell r="D2807" t="str">
            <v>Phạm Công Đại</v>
          </cell>
          <cell r="AF2807" t="str">
            <v>XE00301</v>
          </cell>
          <cell r="AH2807">
            <v>9.42</v>
          </cell>
          <cell r="AW2807" t="str">
            <v>Phạm Công Đại22</v>
          </cell>
          <cell r="AX2807" t="str">
            <v>Linh</v>
          </cell>
        </row>
        <row r="2808">
          <cell r="D2808" t="str">
            <v>Phạm Công Đại</v>
          </cell>
          <cell r="AF2808" t="str">
            <v>XE00301</v>
          </cell>
          <cell r="AH2808">
            <v>9.02</v>
          </cell>
          <cell r="AW2808" t="str">
            <v>Phạm Công Đại23</v>
          </cell>
          <cell r="AX2808" t="str">
            <v>Linh</v>
          </cell>
        </row>
        <row r="2809">
          <cell r="D2809" t="str">
            <v>Nguyễn Mạnh Trung</v>
          </cell>
          <cell r="AF2809" t="str">
            <v>XE00304</v>
          </cell>
          <cell r="AH2809">
            <v>9.82</v>
          </cell>
          <cell r="AW2809" t="str">
            <v>Nguyễn Mạnh Trung24</v>
          </cell>
          <cell r="AX2809" t="str">
            <v>Linh</v>
          </cell>
        </row>
        <row r="2810">
          <cell r="D2810" t="str">
            <v>Nguyễn Trung Trọng</v>
          </cell>
          <cell r="AF2810" t="str">
            <v>XE00334</v>
          </cell>
          <cell r="AH2810">
            <v>9.82</v>
          </cell>
          <cell r="AW2810" t="str">
            <v>Nguyễn Trung Trọng22</v>
          </cell>
          <cell r="AX2810" t="str">
            <v>Linh</v>
          </cell>
        </row>
        <row r="2811">
          <cell r="D2811" t="str">
            <v>Nguyễn Trung Trọng</v>
          </cell>
          <cell r="AF2811" t="str">
            <v>XE00334</v>
          </cell>
          <cell r="AH2811">
            <v>9.82</v>
          </cell>
          <cell r="AW2811" t="str">
            <v>Nguyễn Trung Trọng23</v>
          </cell>
          <cell r="AX2811" t="str">
            <v>Linh</v>
          </cell>
        </row>
        <row r="2812">
          <cell r="D2812" t="str">
            <v>Trần Văn Thanh</v>
          </cell>
          <cell r="AF2812" t="str">
            <v>XE00376</v>
          </cell>
          <cell r="AH2812">
            <v>9.6199999999999992</v>
          </cell>
          <cell r="AW2812" t="str">
            <v>Trần Văn Thanh22</v>
          </cell>
          <cell r="AX2812" t="str">
            <v>Linh</v>
          </cell>
        </row>
        <row r="2813">
          <cell r="D2813" t="str">
            <v>Trần Văn Thanh</v>
          </cell>
          <cell r="AF2813" t="str">
            <v>XE00376</v>
          </cell>
          <cell r="AH2813">
            <v>9.6199999999999992</v>
          </cell>
          <cell r="AW2813" t="str">
            <v>Trần Văn Thanh23</v>
          </cell>
          <cell r="AX2813" t="str">
            <v>Linh</v>
          </cell>
        </row>
        <row r="2814">
          <cell r="D2814" t="str">
            <v>Hồ Nam Phong</v>
          </cell>
          <cell r="AF2814" t="str">
            <v>XE00384</v>
          </cell>
          <cell r="AH2814">
            <v>9.02</v>
          </cell>
          <cell r="AW2814" t="str">
            <v>Hồ Nam Phong23</v>
          </cell>
          <cell r="AX2814" t="str">
            <v>Linh</v>
          </cell>
        </row>
        <row r="2815">
          <cell r="D2815" t="str">
            <v>Trần Đình Thắng</v>
          </cell>
          <cell r="AF2815" t="str">
            <v>XE00513</v>
          </cell>
          <cell r="AH2815">
            <v>9.42</v>
          </cell>
          <cell r="AW2815" t="str">
            <v>Trần Đình Thắng22</v>
          </cell>
          <cell r="AX2815" t="str">
            <v>Linh</v>
          </cell>
        </row>
        <row r="2816">
          <cell r="D2816" t="str">
            <v>Trần Đình Thắng</v>
          </cell>
          <cell r="AF2816" t="str">
            <v>XE00513</v>
          </cell>
          <cell r="AH2816">
            <v>7.6400000000000006</v>
          </cell>
          <cell r="AW2816" t="str">
            <v>Trần Đình Thắng23</v>
          </cell>
          <cell r="AX2816" t="str">
            <v>Linh</v>
          </cell>
        </row>
        <row r="2817">
          <cell r="D2817" t="str">
            <v>Ngô Phong Thái</v>
          </cell>
          <cell r="AF2817" t="str">
            <v>XE00588</v>
          </cell>
          <cell r="AH2817">
            <v>8.6199999999999992</v>
          </cell>
          <cell r="AW2817" t="str">
            <v>Ngô Phong Thái21</v>
          </cell>
          <cell r="AX2817" t="str">
            <v>Linh</v>
          </cell>
        </row>
        <row r="2818">
          <cell r="D2818" t="str">
            <v>Ngô Phong Thái</v>
          </cell>
          <cell r="AF2818" t="str">
            <v>XE00588</v>
          </cell>
          <cell r="AH2818">
            <v>9.82</v>
          </cell>
          <cell r="AW2818" t="str">
            <v>Ngô Phong Thái22</v>
          </cell>
          <cell r="AX2818" t="str">
            <v>Linh</v>
          </cell>
        </row>
        <row r="2819">
          <cell r="D2819" t="str">
            <v>Triệu Tuấn Tú</v>
          </cell>
          <cell r="AF2819" t="str">
            <v>XE00937</v>
          </cell>
          <cell r="AH2819">
            <v>9.42</v>
          </cell>
          <cell r="AW2819" t="str">
            <v>Triệu Tuấn Tú22</v>
          </cell>
          <cell r="AX2819" t="str">
            <v>Linh</v>
          </cell>
        </row>
        <row r="2820">
          <cell r="D2820" t="str">
            <v>Triệu Tuấn Tú</v>
          </cell>
          <cell r="AF2820" t="str">
            <v>XE00937</v>
          </cell>
          <cell r="AH2820">
            <v>9.42</v>
          </cell>
          <cell r="AW2820" t="str">
            <v>Triệu Tuấn Tú23</v>
          </cell>
          <cell r="AX2820" t="str">
            <v>Linh</v>
          </cell>
        </row>
        <row r="2821">
          <cell r="D2821" t="str">
            <v>Trần Quốc Phong</v>
          </cell>
          <cell r="AF2821" t="str">
            <v>XE00949</v>
          </cell>
          <cell r="AH2821">
            <v>9.82</v>
          </cell>
          <cell r="AW2821" t="str">
            <v>Trần Quốc Phong22</v>
          </cell>
          <cell r="AX2821" t="str">
            <v>Linh</v>
          </cell>
        </row>
        <row r="2822">
          <cell r="D2822" t="str">
            <v>Đoàn Văn Kiều</v>
          </cell>
          <cell r="AF2822" t="str">
            <v>XE01009</v>
          </cell>
          <cell r="AH2822">
            <v>9.82</v>
          </cell>
          <cell r="AW2822" t="str">
            <v>Đoàn Văn Kiều16</v>
          </cell>
          <cell r="AX2822" t="str">
            <v>Linh</v>
          </cell>
        </row>
        <row r="2823">
          <cell r="D2823" t="str">
            <v>Phạm Thanh Bình</v>
          </cell>
          <cell r="AF2823" t="str">
            <v>XE01117</v>
          </cell>
          <cell r="AH2823">
            <v>9.02</v>
          </cell>
          <cell r="AW2823" t="str">
            <v>Phạm Thanh Bình22</v>
          </cell>
          <cell r="AX2823" t="str">
            <v>Linh</v>
          </cell>
        </row>
        <row r="2824">
          <cell r="D2824" t="str">
            <v>Phạm Thanh Bình</v>
          </cell>
          <cell r="AF2824" t="str">
            <v>XE01117</v>
          </cell>
          <cell r="AH2824">
            <v>9.02</v>
          </cell>
          <cell r="AW2824" t="str">
            <v>Phạm Thanh Bình23</v>
          </cell>
          <cell r="AX2824" t="str">
            <v>Linh</v>
          </cell>
        </row>
        <row r="2825">
          <cell r="D2825" t="str">
            <v>Bùi Xuân Bắc</v>
          </cell>
          <cell r="AF2825" t="str">
            <v>XE01166</v>
          </cell>
          <cell r="AH2825">
            <v>9.02</v>
          </cell>
          <cell r="AW2825" t="str">
            <v>Bùi Xuân Bắc21</v>
          </cell>
          <cell r="AX2825" t="str">
            <v>Linh</v>
          </cell>
        </row>
        <row r="2826">
          <cell r="D2826" t="str">
            <v>Bùi Xuân Bắc</v>
          </cell>
          <cell r="AF2826" t="str">
            <v>XE01166</v>
          </cell>
          <cell r="AH2826">
            <v>9.82</v>
          </cell>
          <cell r="AW2826" t="str">
            <v>Bùi Xuân Bắc22</v>
          </cell>
          <cell r="AX2826" t="str">
            <v>Linh</v>
          </cell>
        </row>
        <row r="2827">
          <cell r="D2827" t="str">
            <v>Cồ Văn Tiển</v>
          </cell>
          <cell r="AF2827" t="str">
            <v>XE01243</v>
          </cell>
          <cell r="AH2827">
            <v>8.6199999999999992</v>
          </cell>
          <cell r="AW2827" t="str">
            <v>Cồ Văn Tiển16</v>
          </cell>
          <cell r="AX2827" t="str">
            <v>Linh</v>
          </cell>
        </row>
        <row r="2828">
          <cell r="D2828" t="str">
            <v>Cồ Văn Tiển</v>
          </cell>
          <cell r="AF2828" t="str">
            <v>XE01243</v>
          </cell>
          <cell r="AH2828">
            <v>9.02</v>
          </cell>
          <cell r="AW2828" t="str">
            <v>Cồ Văn Tiển17</v>
          </cell>
          <cell r="AX2828" t="str">
            <v>Linh</v>
          </cell>
        </row>
        <row r="2829">
          <cell r="D2829" t="str">
            <v>Cồ Văn Tiển</v>
          </cell>
          <cell r="AF2829" t="str">
            <v>XE01243</v>
          </cell>
          <cell r="AH2829">
            <v>9.82</v>
          </cell>
          <cell r="AW2829" t="str">
            <v>Cồ Văn Tiển18</v>
          </cell>
          <cell r="AX2829" t="str">
            <v>Linh</v>
          </cell>
        </row>
        <row r="2830">
          <cell r="D2830" t="str">
            <v>Trần Anh Tuấn</v>
          </cell>
          <cell r="AF2830" t="str">
            <v>XE01429</v>
          </cell>
          <cell r="AH2830">
            <v>7.82</v>
          </cell>
          <cell r="AW2830" t="str">
            <v>Trần Anh Tuấn23</v>
          </cell>
          <cell r="AX2830" t="str">
            <v>Linh</v>
          </cell>
        </row>
        <row r="2831">
          <cell r="D2831" t="str">
            <v>Lê Huy Hoàng</v>
          </cell>
          <cell r="AF2831" t="str">
            <v>XE01526</v>
          </cell>
          <cell r="AH2831">
            <v>8.84</v>
          </cell>
          <cell r="AW2831" t="str">
            <v>Lê Huy Hoàng11</v>
          </cell>
          <cell r="AX2831" t="str">
            <v>Linh</v>
          </cell>
        </row>
        <row r="2832">
          <cell r="D2832" t="str">
            <v>Lê Đình Huỳnh</v>
          </cell>
          <cell r="AF2832" t="str">
            <v>XE01735</v>
          </cell>
          <cell r="AH2832">
            <v>9.42</v>
          </cell>
          <cell r="AW2832" t="str">
            <v>Lê Đình Huỳnh8</v>
          </cell>
          <cell r="AX2832" t="str">
            <v>Linh</v>
          </cell>
        </row>
        <row r="2833">
          <cell r="D2833" t="str">
            <v>Phạm Quang Trung</v>
          </cell>
          <cell r="AF2833" t="str">
            <v>XE00041</v>
          </cell>
          <cell r="AH2833">
            <v>9.02</v>
          </cell>
          <cell r="AW2833" t="str">
            <v>Phạm Quang Trung22</v>
          </cell>
          <cell r="AX2833" t="str">
            <v>Linh</v>
          </cell>
        </row>
        <row r="2834">
          <cell r="D2834" t="str">
            <v>Phạm Quang Trung</v>
          </cell>
          <cell r="AF2834" t="str">
            <v>XE00041</v>
          </cell>
          <cell r="AH2834">
            <v>9.24</v>
          </cell>
          <cell r="AW2834" t="str">
            <v>Phạm Quang Trung23</v>
          </cell>
          <cell r="AX2834" t="str">
            <v>Linh</v>
          </cell>
        </row>
        <row r="2835">
          <cell r="D2835" t="str">
            <v>Nguyễn Văn Hùng</v>
          </cell>
          <cell r="AF2835" t="str">
            <v>XE00083</v>
          </cell>
          <cell r="AH2835">
            <v>9.02</v>
          </cell>
          <cell r="AW2835" t="str">
            <v>Nguyễn Văn Hùng23</v>
          </cell>
          <cell r="AX2835" t="str">
            <v>Linh</v>
          </cell>
        </row>
        <row r="2836">
          <cell r="D2836" t="str">
            <v>Nguyễn Văn Hùng</v>
          </cell>
          <cell r="AF2836" t="str">
            <v>XE00083</v>
          </cell>
          <cell r="AH2836">
            <v>9.42</v>
          </cell>
          <cell r="AW2836" t="str">
            <v>Nguyễn Văn Hùng24</v>
          </cell>
          <cell r="AX2836" t="str">
            <v>Linh</v>
          </cell>
        </row>
        <row r="2837">
          <cell r="D2837" t="str">
            <v>Vũ Đình Sơn</v>
          </cell>
          <cell r="AF2837" t="str">
            <v>XE00152</v>
          </cell>
          <cell r="AH2837">
            <v>9.42</v>
          </cell>
          <cell r="AW2837" t="str">
            <v>Vũ Đình Sơn24</v>
          </cell>
          <cell r="AX2837" t="str">
            <v>Linh</v>
          </cell>
        </row>
        <row r="2838">
          <cell r="D2838" t="str">
            <v>Đinh Văn Sỹ</v>
          </cell>
          <cell r="AF2838" t="str">
            <v>XE00194</v>
          </cell>
          <cell r="AH2838">
            <v>9.82</v>
          </cell>
          <cell r="AW2838" t="str">
            <v>Đinh Văn Sỹ24</v>
          </cell>
          <cell r="AX2838" t="str">
            <v>Linh</v>
          </cell>
        </row>
        <row r="2839">
          <cell r="D2839" t="str">
            <v>Nguyễn Văn Khuyến</v>
          </cell>
          <cell r="AF2839" t="str">
            <v>XE00139</v>
          </cell>
          <cell r="AH2839">
            <v>9.82</v>
          </cell>
          <cell r="AW2839" t="str">
            <v>Nguyễn Văn Khuyến24</v>
          </cell>
          <cell r="AX2839" t="str">
            <v>Linh</v>
          </cell>
        </row>
        <row r="2840">
          <cell r="D2840" t="str">
            <v>Phạm Hồng Chính</v>
          </cell>
          <cell r="AF2840" t="str">
            <v>XE00032</v>
          </cell>
          <cell r="AH2840">
            <v>9.82</v>
          </cell>
          <cell r="AW2840" t="str">
            <v>Phạm Hồng Chính24</v>
          </cell>
          <cell r="AX2840" t="str">
            <v>Linh</v>
          </cell>
        </row>
        <row r="2841">
          <cell r="D2841" t="str">
            <v>Nguyễn Văn Chiến</v>
          </cell>
          <cell r="AF2841" t="str">
            <v>XE00095</v>
          </cell>
          <cell r="AH2841">
            <v>9.42</v>
          </cell>
          <cell r="AW2841" t="str">
            <v>Nguyễn Văn Chiến24</v>
          </cell>
          <cell r="AX2841" t="str">
            <v>Linh</v>
          </cell>
        </row>
        <row r="2842">
          <cell r="D2842" t="str">
            <v>Nguyễn Anh Hùng</v>
          </cell>
          <cell r="AF2842" t="str">
            <v>XE00013</v>
          </cell>
          <cell r="AH2842">
            <v>9.24</v>
          </cell>
          <cell r="AW2842" t="str">
            <v>Nguyễn Anh Hùng24</v>
          </cell>
          <cell r="AX2842" t="str">
            <v>Linh</v>
          </cell>
        </row>
        <row r="2843">
          <cell r="D2843" t="str">
            <v>Trần Quốc Toản</v>
          </cell>
          <cell r="AF2843" t="str">
            <v>XE00291</v>
          </cell>
          <cell r="AH2843">
            <v>9.42</v>
          </cell>
          <cell r="AW2843" t="str">
            <v>Trần Quốc Toản23</v>
          </cell>
          <cell r="AX2843" t="str">
            <v>Linh</v>
          </cell>
        </row>
        <row r="2844">
          <cell r="D2844" t="str">
            <v>Trần Quốc Toản</v>
          </cell>
          <cell r="AF2844" t="str">
            <v>XE00291</v>
          </cell>
          <cell r="AH2844">
            <v>10</v>
          </cell>
          <cell r="AW2844" t="str">
            <v>Trần Quốc Toản24</v>
          </cell>
          <cell r="AX2844" t="str">
            <v>Linh</v>
          </cell>
        </row>
        <row r="2845">
          <cell r="D2845" t="str">
            <v>Phạm Công Đại</v>
          </cell>
          <cell r="AF2845" t="str">
            <v>XE00301</v>
          </cell>
          <cell r="AH2845">
            <v>9.42</v>
          </cell>
          <cell r="AW2845" t="str">
            <v>Phạm Công Đại24</v>
          </cell>
          <cell r="AX2845" t="str">
            <v>Linh</v>
          </cell>
        </row>
        <row r="2846">
          <cell r="D2846" t="str">
            <v>Nguyễn Trung Trọng</v>
          </cell>
          <cell r="AF2846" t="str">
            <v>XE00334</v>
          </cell>
          <cell r="AH2846">
            <v>9.82</v>
          </cell>
          <cell r="AW2846" t="str">
            <v>Nguyễn Trung Trọng24</v>
          </cell>
          <cell r="AX2846" t="str">
            <v>Linh</v>
          </cell>
        </row>
        <row r="2847">
          <cell r="D2847" t="str">
            <v>Trần Văn Thanh</v>
          </cell>
          <cell r="AF2847" t="str">
            <v>XE00376</v>
          </cell>
          <cell r="AH2847">
            <v>9.82</v>
          </cell>
          <cell r="AW2847" t="str">
            <v>Trần Văn Thanh24</v>
          </cell>
          <cell r="AX2847" t="str">
            <v>Linh</v>
          </cell>
        </row>
        <row r="2848">
          <cell r="D2848" t="str">
            <v>Hồ Nam Phong</v>
          </cell>
          <cell r="AF2848" t="str">
            <v>XE00384</v>
          </cell>
          <cell r="AH2848">
            <v>9.82</v>
          </cell>
          <cell r="AW2848" t="str">
            <v>Hồ Nam Phong24</v>
          </cell>
          <cell r="AX2848" t="str">
            <v>Linh</v>
          </cell>
        </row>
        <row r="2849">
          <cell r="D2849" t="str">
            <v>Đỗ Văn Tỉnh</v>
          </cell>
          <cell r="AF2849" t="str">
            <v>XE00405</v>
          </cell>
          <cell r="AH2849">
            <v>8.84</v>
          </cell>
          <cell r="AW2849" t="str">
            <v>Đỗ Văn Tỉnh24</v>
          </cell>
          <cell r="AX2849" t="str">
            <v>Linh</v>
          </cell>
        </row>
        <row r="2850">
          <cell r="D2850" t="str">
            <v>Vũ Mạnh Hùng</v>
          </cell>
          <cell r="AF2850" t="str">
            <v>XE00511</v>
          </cell>
          <cell r="AH2850">
            <v>9.02</v>
          </cell>
          <cell r="AW2850" t="str">
            <v>Vũ Mạnh Hùng24</v>
          </cell>
          <cell r="AX2850" t="str">
            <v>Linh</v>
          </cell>
        </row>
        <row r="2851">
          <cell r="D2851" t="str">
            <v>Trần Đình Thắng</v>
          </cell>
          <cell r="AF2851" t="str">
            <v>XE00513</v>
          </cell>
          <cell r="AH2851">
            <v>9.42</v>
          </cell>
          <cell r="AW2851" t="str">
            <v>Trần Đình Thắng24</v>
          </cell>
          <cell r="AX2851" t="str">
            <v>Linh</v>
          </cell>
        </row>
        <row r="2852">
          <cell r="D2852" t="str">
            <v>Ngô Phong Thái</v>
          </cell>
          <cell r="AF2852" t="str">
            <v>XE00588</v>
          </cell>
          <cell r="AH2852">
            <v>8.84</v>
          </cell>
          <cell r="AW2852" t="str">
            <v>Ngô Phong Thái23</v>
          </cell>
          <cell r="AX2852" t="str">
            <v>Linh</v>
          </cell>
        </row>
        <row r="2853">
          <cell r="D2853" t="str">
            <v>Ngô Phong Thái</v>
          </cell>
          <cell r="AF2853" t="str">
            <v>XE00588</v>
          </cell>
          <cell r="AH2853">
            <v>9.82</v>
          </cell>
          <cell r="AW2853" t="str">
            <v>Ngô Phong Thái24</v>
          </cell>
          <cell r="AX2853" t="str">
            <v>Linh</v>
          </cell>
        </row>
        <row r="2854">
          <cell r="D2854" t="str">
            <v>Ngô Phong Thái</v>
          </cell>
          <cell r="AF2854" t="str">
            <v>XE00588</v>
          </cell>
          <cell r="AH2854">
            <v>9.42</v>
          </cell>
          <cell r="AW2854" t="str">
            <v>Ngô Phong Thái25</v>
          </cell>
          <cell r="AX2854" t="str">
            <v>Linh</v>
          </cell>
        </row>
        <row r="2855">
          <cell r="D2855" t="str">
            <v>Ngô Mạnh Tùng</v>
          </cell>
          <cell r="AF2855" t="str">
            <v>XE00108</v>
          </cell>
          <cell r="AH2855">
            <v>9.82</v>
          </cell>
          <cell r="AW2855" t="str">
            <v>Ngô Mạnh Tùng24</v>
          </cell>
          <cell r="AX2855" t="str">
            <v>Linh</v>
          </cell>
        </row>
        <row r="2856">
          <cell r="D2856" t="str">
            <v>Phạm Văn Chính</v>
          </cell>
          <cell r="AF2856" t="str">
            <v>XE00690</v>
          </cell>
          <cell r="AH2856">
            <v>9.42</v>
          </cell>
          <cell r="AW2856" t="str">
            <v>Phạm Văn Chính24</v>
          </cell>
          <cell r="AX2856" t="str">
            <v>Linh</v>
          </cell>
        </row>
        <row r="2857">
          <cell r="D2857" t="str">
            <v>Phùng Văn Hải</v>
          </cell>
          <cell r="AF2857" t="str">
            <v>XE00776</v>
          </cell>
          <cell r="AH2857">
            <v>10</v>
          </cell>
          <cell r="AW2857" t="str">
            <v>Phùng Văn Hải15</v>
          </cell>
          <cell r="AX2857" t="str">
            <v>Linh</v>
          </cell>
        </row>
        <row r="2858">
          <cell r="D2858" t="str">
            <v>Trần Mạnh Thắng</v>
          </cell>
          <cell r="AF2858" t="str">
            <v>XE00870</v>
          </cell>
          <cell r="AH2858">
            <v>8.620000000000001</v>
          </cell>
          <cell r="AW2858" t="str">
            <v>Trần Mạnh Thắng23</v>
          </cell>
          <cell r="AX2858" t="str">
            <v>Linh</v>
          </cell>
        </row>
        <row r="2859">
          <cell r="D2859" t="str">
            <v>Trần Mạnh Thắng</v>
          </cell>
          <cell r="AF2859" t="str">
            <v>XE00870</v>
          </cell>
          <cell r="AH2859">
            <v>8.44</v>
          </cell>
          <cell r="AW2859" t="str">
            <v>Trần Mạnh Thắng24</v>
          </cell>
          <cell r="AX2859" t="str">
            <v>Linh</v>
          </cell>
        </row>
        <row r="2860">
          <cell r="D2860" t="str">
            <v>Triệu Tuấn Tú</v>
          </cell>
          <cell r="AF2860" t="str">
            <v>XE00937</v>
          </cell>
          <cell r="AH2860">
            <v>9.6199999999999992</v>
          </cell>
          <cell r="AW2860" t="str">
            <v>Triệu Tuấn Tú24</v>
          </cell>
          <cell r="AX2860" t="str">
            <v>Linh</v>
          </cell>
        </row>
        <row r="2861">
          <cell r="D2861" t="str">
            <v>Trần Quốc Phong</v>
          </cell>
          <cell r="AF2861" t="str">
            <v>XE00949</v>
          </cell>
          <cell r="AH2861">
            <v>9.82</v>
          </cell>
          <cell r="AW2861" t="str">
            <v>Trần Quốc Phong23</v>
          </cell>
          <cell r="AX2861" t="str">
            <v>Linh</v>
          </cell>
        </row>
        <row r="2862">
          <cell r="D2862" t="str">
            <v>Trần Quốc Phong</v>
          </cell>
          <cell r="AF2862" t="str">
            <v>XE00949</v>
          </cell>
          <cell r="AH2862">
            <v>9.82</v>
          </cell>
          <cell r="AW2862" t="str">
            <v>Trần Quốc Phong24</v>
          </cell>
          <cell r="AX2862" t="str">
            <v>Linh</v>
          </cell>
        </row>
        <row r="2863">
          <cell r="D2863" t="str">
            <v>Đoàn Văn Kiều</v>
          </cell>
          <cell r="AF2863" t="str">
            <v>XE01009</v>
          </cell>
          <cell r="AH2863">
            <v>9.82</v>
          </cell>
          <cell r="AW2863" t="str">
            <v>Đoàn Văn Kiều17</v>
          </cell>
          <cell r="AX2863" t="str">
            <v>Linh</v>
          </cell>
        </row>
        <row r="2864">
          <cell r="D2864" t="str">
            <v>Đoàn Văn Kiều</v>
          </cell>
          <cell r="AF2864" t="str">
            <v>XE01009</v>
          </cell>
          <cell r="AH2864">
            <v>9.82</v>
          </cell>
          <cell r="AW2864" t="str">
            <v>Đoàn Văn Kiều18</v>
          </cell>
          <cell r="AX2864" t="str">
            <v>Linh</v>
          </cell>
        </row>
        <row r="2865">
          <cell r="D2865" t="str">
            <v>Phạm Thanh Bình</v>
          </cell>
          <cell r="AF2865" t="str">
            <v>XE01117</v>
          </cell>
          <cell r="AH2865">
            <v>8.84</v>
          </cell>
          <cell r="AW2865" t="str">
            <v>Phạm Thanh Bình24</v>
          </cell>
          <cell r="AX2865" t="str">
            <v>Linh</v>
          </cell>
        </row>
        <row r="2866">
          <cell r="D2866" t="str">
            <v>Phạm Hùng Sơn</v>
          </cell>
          <cell r="AF2866" t="str">
            <v>XE01157</v>
          </cell>
          <cell r="AH2866">
            <v>9.82</v>
          </cell>
          <cell r="AW2866" t="str">
            <v>Phạm Hùng Sơn24</v>
          </cell>
          <cell r="AX2866" t="str">
            <v>Linh</v>
          </cell>
        </row>
        <row r="2867">
          <cell r="D2867" t="str">
            <v>Bùi Xuân Bắc</v>
          </cell>
          <cell r="AF2867" t="str">
            <v>XE01166</v>
          </cell>
          <cell r="AH2867">
            <v>9.82</v>
          </cell>
          <cell r="AW2867" t="str">
            <v>Bùi Xuân Bắc23</v>
          </cell>
          <cell r="AX2867" t="str">
            <v>Linh</v>
          </cell>
        </row>
        <row r="2868">
          <cell r="D2868" t="str">
            <v>Bùi Xuân Bắc</v>
          </cell>
          <cell r="AF2868" t="str">
            <v>XE01166</v>
          </cell>
          <cell r="AH2868">
            <v>8.2200000000000006</v>
          </cell>
          <cell r="AW2868" t="str">
            <v>Bùi Xuân Bắc24</v>
          </cell>
          <cell r="AX2868" t="str">
            <v>Linh</v>
          </cell>
        </row>
        <row r="2869">
          <cell r="D2869" t="str">
            <v>Cồ Văn Tiển</v>
          </cell>
          <cell r="AF2869" t="str">
            <v>XE01243</v>
          </cell>
          <cell r="AH2869">
            <v>9.42</v>
          </cell>
          <cell r="AW2869" t="str">
            <v>Cồ Văn Tiển19</v>
          </cell>
          <cell r="AX2869" t="str">
            <v>Linh</v>
          </cell>
        </row>
        <row r="2870">
          <cell r="D2870" t="str">
            <v>Cồ Văn Tiển</v>
          </cell>
          <cell r="AF2870" t="str">
            <v>XE01243</v>
          </cell>
          <cell r="AH2870">
            <v>9.02</v>
          </cell>
          <cell r="AW2870" t="str">
            <v>Cồ Văn Tiển20</v>
          </cell>
          <cell r="AX2870" t="str">
            <v>Linh</v>
          </cell>
        </row>
        <row r="2871">
          <cell r="D2871" t="str">
            <v>Cồ Văn Tiển</v>
          </cell>
          <cell r="AF2871" t="str">
            <v>XE01243</v>
          </cell>
          <cell r="AH2871">
            <v>8.2200000000000006</v>
          </cell>
          <cell r="AW2871" t="str">
            <v>Cồ Văn Tiển21</v>
          </cell>
          <cell r="AX2871" t="str">
            <v>Linh</v>
          </cell>
        </row>
        <row r="2872">
          <cell r="D2872" t="str">
            <v>Đinh Trung Dũng</v>
          </cell>
          <cell r="AF2872" t="str">
            <v>XE01380</v>
          </cell>
          <cell r="AH2872">
            <v>8.84</v>
          </cell>
          <cell r="AW2872" t="str">
            <v>Đinh Trung Dũng24</v>
          </cell>
          <cell r="AX2872" t="str">
            <v>Linh</v>
          </cell>
        </row>
        <row r="2873">
          <cell r="D2873" t="str">
            <v>Đinh Trung Dũng</v>
          </cell>
          <cell r="AF2873" t="str">
            <v>XE01380</v>
          </cell>
          <cell r="AH2873">
            <v>8.620000000000001</v>
          </cell>
          <cell r="AW2873" t="str">
            <v>Đinh Trung Dũng25</v>
          </cell>
          <cell r="AX2873" t="str">
            <v>Linh</v>
          </cell>
        </row>
        <row r="2874">
          <cell r="D2874" t="str">
            <v>Lê Huy Hoàng</v>
          </cell>
          <cell r="AF2874" t="str">
            <v>XE01526</v>
          </cell>
          <cell r="AH2874">
            <v>9.82</v>
          </cell>
          <cell r="AW2874" t="str">
            <v>Lê Huy Hoàng12</v>
          </cell>
          <cell r="AX2874" t="str">
            <v>Linh</v>
          </cell>
        </row>
        <row r="2875">
          <cell r="D2875" t="str">
            <v>Lê Đình Huỳnh</v>
          </cell>
          <cell r="AF2875" t="str">
            <v>XE01735</v>
          </cell>
          <cell r="AH2875">
            <v>9.82</v>
          </cell>
          <cell r="AW2875" t="str">
            <v>Lê Đình Huỳnh9</v>
          </cell>
          <cell r="AX2875" t="str">
            <v>Linh</v>
          </cell>
        </row>
        <row r="2876">
          <cell r="D2876" t="str">
            <v>Phùng Văn Hải</v>
          </cell>
          <cell r="AF2876" t="str">
            <v>XE00776</v>
          </cell>
          <cell r="AH2876">
            <v>9.42</v>
          </cell>
          <cell r="AW2876" t="str">
            <v>Phùng Văn Hải16</v>
          </cell>
          <cell r="AX2876" t="str">
            <v>Linh</v>
          </cell>
        </row>
        <row r="2877">
          <cell r="D2877" t="str">
            <v>Trần Đức Triều</v>
          </cell>
          <cell r="AF2877" t="str">
            <v>XE00080</v>
          </cell>
          <cell r="AH2877">
            <v>9.82</v>
          </cell>
          <cell r="AW2877" t="str">
            <v>Trần Đức Triều25</v>
          </cell>
          <cell r="AX2877" t="str">
            <v>Linh</v>
          </cell>
        </row>
        <row r="2878">
          <cell r="D2878" t="str">
            <v>Phạm Quang Trung</v>
          </cell>
          <cell r="AF2878" t="str">
            <v>XE00041</v>
          </cell>
          <cell r="AH2878">
            <v>9.82</v>
          </cell>
          <cell r="AW2878" t="str">
            <v>Phạm Quang Trung24</v>
          </cell>
          <cell r="AX2878" t="str">
            <v>Linh</v>
          </cell>
        </row>
        <row r="2879">
          <cell r="D2879" t="str">
            <v>Phạm Quang Trung</v>
          </cell>
          <cell r="AF2879" t="str">
            <v>XE00041</v>
          </cell>
          <cell r="AH2879">
            <v>9.82</v>
          </cell>
          <cell r="AW2879" t="str">
            <v>Phạm Quang Trung25</v>
          </cell>
          <cell r="AX2879" t="str">
            <v>Linh</v>
          </cell>
        </row>
        <row r="2880">
          <cell r="D2880" t="str">
            <v>Nguyễn Văn Hùng</v>
          </cell>
          <cell r="AF2880" t="str">
            <v>XE00083</v>
          </cell>
          <cell r="AH2880">
            <v>8.44</v>
          </cell>
          <cell r="AW2880" t="str">
            <v>Nguyễn Văn Hùng25</v>
          </cell>
          <cell r="AX2880" t="str">
            <v>Linh</v>
          </cell>
        </row>
        <row r="2881">
          <cell r="D2881" t="str">
            <v>Phạm Văn Vũ</v>
          </cell>
          <cell r="AF2881" t="str">
            <v>XE00042</v>
          </cell>
          <cell r="AH2881">
            <v>9.42</v>
          </cell>
          <cell r="AW2881" t="str">
            <v>Phạm Văn Vũ25</v>
          </cell>
          <cell r="AX2881" t="str">
            <v>Linh</v>
          </cell>
        </row>
        <row r="2882">
          <cell r="D2882" t="str">
            <v>Hoàng Tuấn Đạt</v>
          </cell>
          <cell r="AF2882" t="str">
            <v>XE00070</v>
          </cell>
          <cell r="AH2882">
            <v>9.82</v>
          </cell>
          <cell r="AW2882" t="str">
            <v>Hoàng Tuấn Đạt25</v>
          </cell>
          <cell r="AX2882" t="str">
            <v>Linh</v>
          </cell>
        </row>
        <row r="2883">
          <cell r="D2883" t="str">
            <v>Vũ Đình Sơn</v>
          </cell>
          <cell r="AF2883" t="str">
            <v>XE00152</v>
          </cell>
          <cell r="AH2883">
            <v>9.02</v>
          </cell>
          <cell r="AW2883" t="str">
            <v>Vũ Đình Sơn25</v>
          </cell>
          <cell r="AX2883" t="str">
            <v>Linh</v>
          </cell>
        </row>
        <row r="2884">
          <cell r="D2884" t="str">
            <v>Hoàng Trọng Nam</v>
          </cell>
          <cell r="AF2884" t="str">
            <v>XE00043</v>
          </cell>
          <cell r="AH2884">
            <v>8.84</v>
          </cell>
          <cell r="AW2884" t="str">
            <v>Hoàng Trọng Nam25</v>
          </cell>
          <cell r="AX2884" t="str">
            <v>Linh</v>
          </cell>
        </row>
        <row r="2885">
          <cell r="D2885" t="str">
            <v>Đinh Văn Sỹ</v>
          </cell>
          <cell r="AF2885" t="str">
            <v>XE00194</v>
          </cell>
          <cell r="AH2885">
            <v>9.82</v>
          </cell>
          <cell r="AW2885" t="str">
            <v>Đinh Văn Sỹ25</v>
          </cell>
          <cell r="AX2885" t="str">
            <v>Linh</v>
          </cell>
        </row>
        <row r="2886">
          <cell r="D2886" t="str">
            <v>Nguyễn Văn Khuyến</v>
          </cell>
          <cell r="AF2886" t="str">
            <v>XE00139</v>
          </cell>
          <cell r="AH2886">
            <v>9.42</v>
          </cell>
          <cell r="AW2886" t="str">
            <v>Nguyễn Văn Khuyến25</v>
          </cell>
          <cell r="AX2886" t="str">
            <v>Linh</v>
          </cell>
        </row>
        <row r="2887">
          <cell r="D2887" t="str">
            <v>Phạm Hồng Chính</v>
          </cell>
          <cell r="AF2887" t="str">
            <v>XE00032</v>
          </cell>
          <cell r="AH2887">
            <v>9.42</v>
          </cell>
          <cell r="AW2887" t="str">
            <v>Phạm Hồng Chính25</v>
          </cell>
          <cell r="AX2887" t="str">
            <v>Linh</v>
          </cell>
        </row>
        <row r="2888">
          <cell r="D2888" t="str">
            <v>Nguyễn Văn Chiến</v>
          </cell>
          <cell r="AF2888" t="str">
            <v>XE00095</v>
          </cell>
          <cell r="AH2888">
            <v>8.84</v>
          </cell>
          <cell r="AW2888" t="str">
            <v>Nguyễn Văn Chiến25</v>
          </cell>
          <cell r="AX2888" t="str">
            <v>Linh</v>
          </cell>
        </row>
        <row r="2889">
          <cell r="D2889" t="str">
            <v>Nguyễn Anh Hùng</v>
          </cell>
          <cell r="AF2889" t="str">
            <v>XE00013</v>
          </cell>
          <cell r="AH2889">
            <v>8.44</v>
          </cell>
          <cell r="AW2889" t="str">
            <v>Nguyễn Anh Hùng25</v>
          </cell>
          <cell r="AX2889" t="str">
            <v>Linh</v>
          </cell>
        </row>
        <row r="2890">
          <cell r="D2890" t="str">
            <v>Trần Quốc Toản</v>
          </cell>
          <cell r="AF2890" t="str">
            <v>XE00291</v>
          </cell>
          <cell r="AH2890">
            <v>8.84</v>
          </cell>
          <cell r="AW2890" t="str">
            <v>Trần Quốc Toản25</v>
          </cell>
          <cell r="AX2890" t="str">
            <v>Linh</v>
          </cell>
        </row>
        <row r="2891">
          <cell r="D2891" t="str">
            <v>Phạm Công Đại</v>
          </cell>
          <cell r="AF2891" t="str">
            <v>XE00301</v>
          </cell>
          <cell r="AH2891">
            <v>9.42</v>
          </cell>
          <cell r="AW2891" t="str">
            <v>Phạm Công Đại25</v>
          </cell>
          <cell r="AX2891" t="str">
            <v>Linh</v>
          </cell>
        </row>
        <row r="2892">
          <cell r="D2892" t="str">
            <v>Nguyễn Mạnh Trung</v>
          </cell>
          <cell r="AF2892" t="str">
            <v>XE00304</v>
          </cell>
          <cell r="AH2892">
            <v>9.42</v>
          </cell>
          <cell r="AW2892" t="str">
            <v>Nguyễn Mạnh Trung25</v>
          </cell>
          <cell r="AX2892" t="str">
            <v>Linh</v>
          </cell>
        </row>
        <row r="2893">
          <cell r="D2893" t="str">
            <v>Nguyễn Trung Trọng</v>
          </cell>
          <cell r="AF2893" t="str">
            <v>XE00334</v>
          </cell>
          <cell r="AH2893">
            <v>9.82</v>
          </cell>
          <cell r="AW2893" t="str">
            <v>Nguyễn Trung Trọng25</v>
          </cell>
          <cell r="AX2893" t="str">
            <v>Linh</v>
          </cell>
        </row>
        <row r="2894">
          <cell r="D2894" t="str">
            <v>Trần Văn Thanh</v>
          </cell>
          <cell r="AF2894" t="str">
            <v>XE00376</v>
          </cell>
          <cell r="AH2894">
            <v>9.42</v>
          </cell>
          <cell r="AW2894" t="str">
            <v>Trần Văn Thanh25</v>
          </cell>
          <cell r="AX2894" t="str">
            <v>Linh</v>
          </cell>
        </row>
        <row r="2895">
          <cell r="D2895" t="str">
            <v>Hồ Nam Phong</v>
          </cell>
          <cell r="AF2895" t="str">
            <v>XE00384</v>
          </cell>
          <cell r="AH2895">
            <v>9.42</v>
          </cell>
          <cell r="AW2895" t="str">
            <v>Hồ Nam Phong25</v>
          </cell>
          <cell r="AX2895" t="str">
            <v>Linh</v>
          </cell>
        </row>
        <row r="2896">
          <cell r="D2896" t="str">
            <v>Đỗ Văn Tỉnh</v>
          </cell>
          <cell r="AF2896" t="str">
            <v>XE00405</v>
          </cell>
          <cell r="AH2896">
            <v>9.82</v>
          </cell>
          <cell r="AW2896" t="str">
            <v>Đỗ Văn Tỉnh25</v>
          </cell>
          <cell r="AX2896" t="str">
            <v>Linh</v>
          </cell>
        </row>
        <row r="2897">
          <cell r="D2897" t="str">
            <v>Vũ Mạnh Hùng</v>
          </cell>
          <cell r="AF2897" t="str">
            <v>XE00511</v>
          </cell>
          <cell r="AH2897">
            <v>9.82</v>
          </cell>
          <cell r="AW2897" t="str">
            <v>Vũ Mạnh Hùng25</v>
          </cell>
          <cell r="AX2897" t="str">
            <v>Linh</v>
          </cell>
        </row>
        <row r="2898">
          <cell r="D2898" t="str">
            <v>Trần Đình Thắng</v>
          </cell>
          <cell r="AF2898" t="str">
            <v>XE00513</v>
          </cell>
          <cell r="AH2898">
            <v>9.42</v>
          </cell>
          <cell r="AW2898" t="str">
            <v>Trần Đình Thắng25</v>
          </cell>
          <cell r="AX2898" t="str">
            <v>Linh</v>
          </cell>
        </row>
        <row r="2899">
          <cell r="D2899" t="str">
            <v>Ngô Mạnh Tùng</v>
          </cell>
          <cell r="AF2899" t="str">
            <v>XE00108</v>
          </cell>
          <cell r="AH2899">
            <v>8.84</v>
          </cell>
          <cell r="AW2899" t="str">
            <v>Ngô Mạnh Tùng25</v>
          </cell>
          <cell r="AX2899" t="str">
            <v>Linh</v>
          </cell>
        </row>
        <row r="2900">
          <cell r="D2900" t="str">
            <v>Phạm Văn Chính</v>
          </cell>
          <cell r="AF2900" t="str">
            <v>XE00690</v>
          </cell>
          <cell r="AH2900">
            <v>9.82</v>
          </cell>
          <cell r="AW2900" t="str">
            <v>Phạm Văn Chính25</v>
          </cell>
          <cell r="AX2900" t="str">
            <v>Linh</v>
          </cell>
        </row>
        <row r="2901">
          <cell r="D2901" t="str">
            <v>Phùng Văn Hải</v>
          </cell>
          <cell r="AF2901" t="str">
            <v>XE00776</v>
          </cell>
          <cell r="AH2901">
            <v>8.44</v>
          </cell>
          <cell r="AW2901" t="str">
            <v>Phùng Văn Hải17</v>
          </cell>
          <cell r="AX2901" t="str">
            <v>Linh</v>
          </cell>
        </row>
        <row r="2902">
          <cell r="D2902" t="str">
            <v>Phùng Văn Hải</v>
          </cell>
          <cell r="AF2902" t="str">
            <v>XE00776</v>
          </cell>
          <cell r="AH2902">
            <v>8.620000000000001</v>
          </cell>
          <cell r="AW2902" t="str">
            <v>Phùng Văn Hải18</v>
          </cell>
          <cell r="AX2902" t="str">
            <v>Linh</v>
          </cell>
        </row>
        <row r="2903">
          <cell r="D2903" t="str">
            <v>Trần Mạnh Thắng</v>
          </cell>
          <cell r="AF2903" t="str">
            <v>XE00870</v>
          </cell>
          <cell r="AH2903">
            <v>9.6199999999999992</v>
          </cell>
          <cell r="AW2903" t="str">
            <v>Trần Mạnh Thắng25</v>
          </cell>
          <cell r="AX2903" t="str">
            <v>Linh</v>
          </cell>
        </row>
        <row r="2904">
          <cell r="D2904" t="str">
            <v>Triệu Tuấn Tú</v>
          </cell>
          <cell r="AF2904" t="str">
            <v>XE00937</v>
          </cell>
          <cell r="AH2904">
            <v>7.24</v>
          </cell>
          <cell r="AW2904" t="str">
            <v>Triệu Tuấn Tú25</v>
          </cell>
          <cell r="AX2904" t="str">
            <v>Linh</v>
          </cell>
        </row>
        <row r="2905">
          <cell r="D2905" t="str">
            <v>Trần Quốc Phong</v>
          </cell>
          <cell r="AF2905" t="str">
            <v>XE00949</v>
          </cell>
          <cell r="AH2905">
            <v>9.82</v>
          </cell>
          <cell r="AW2905" t="str">
            <v>Trần Quốc Phong25</v>
          </cell>
          <cell r="AX2905" t="str">
            <v>Linh</v>
          </cell>
        </row>
        <row r="2906">
          <cell r="D2906" t="str">
            <v>Đoàn Văn Kiều</v>
          </cell>
          <cell r="AF2906" t="str">
            <v>XE01009</v>
          </cell>
          <cell r="AH2906">
            <v>9.82</v>
          </cell>
          <cell r="AW2906" t="str">
            <v>Đoàn Văn Kiều19</v>
          </cell>
          <cell r="AX2906" t="str">
            <v>Linh</v>
          </cell>
        </row>
        <row r="2907">
          <cell r="D2907" t="str">
            <v>Phạm Thanh Bình</v>
          </cell>
          <cell r="AF2907" t="str">
            <v>XE01117</v>
          </cell>
          <cell r="AH2907">
            <v>9.82</v>
          </cell>
          <cell r="AW2907" t="str">
            <v>Phạm Thanh Bình25</v>
          </cell>
          <cell r="AX2907" t="str">
            <v>Linh</v>
          </cell>
        </row>
        <row r="2908">
          <cell r="D2908" t="str">
            <v>Phạm Hùng Sơn</v>
          </cell>
          <cell r="AF2908" t="str">
            <v>XE01157</v>
          </cell>
          <cell r="AH2908">
            <v>9.82</v>
          </cell>
          <cell r="AW2908" t="str">
            <v>Phạm Hùng Sơn25</v>
          </cell>
          <cell r="AX2908" t="str">
            <v>Linh</v>
          </cell>
        </row>
        <row r="2909">
          <cell r="D2909" t="str">
            <v>Bùi Xuân Bắc</v>
          </cell>
          <cell r="AF2909" t="str">
            <v>XE01166</v>
          </cell>
          <cell r="AH2909">
            <v>9.02</v>
          </cell>
          <cell r="AW2909" t="str">
            <v>Bùi Xuân Bắc25</v>
          </cell>
          <cell r="AX2909" t="str">
            <v>Linh</v>
          </cell>
        </row>
        <row r="2910">
          <cell r="D2910" t="str">
            <v>Cồ Văn Tiển</v>
          </cell>
          <cell r="AF2910" t="str">
            <v>XE01243</v>
          </cell>
          <cell r="AH2910">
            <v>9.82</v>
          </cell>
          <cell r="AW2910" t="str">
            <v>Cồ Văn Tiển22</v>
          </cell>
          <cell r="AX2910" t="str">
            <v>Linh</v>
          </cell>
        </row>
        <row r="2911">
          <cell r="D2911" t="str">
            <v>Trần Anh Tuấn</v>
          </cell>
          <cell r="AF2911" t="str">
            <v>XE01429</v>
          </cell>
          <cell r="AH2911">
            <v>9.82</v>
          </cell>
          <cell r="AW2911" t="str">
            <v>Trần Anh Tuấn24</v>
          </cell>
          <cell r="AX2911" t="str">
            <v>Linh</v>
          </cell>
        </row>
        <row r="2912">
          <cell r="D2912" t="str">
            <v>Trần Anh Tuấn</v>
          </cell>
          <cell r="AF2912" t="str">
            <v>XE01429</v>
          </cell>
          <cell r="AH2912">
            <v>9.82</v>
          </cell>
          <cell r="AW2912" t="str">
            <v>Trần Anh Tuấn25</v>
          </cell>
          <cell r="AX2912" t="str">
            <v>Linh</v>
          </cell>
        </row>
        <row r="2913">
          <cell r="D2913" t="str">
            <v>Lê Đình Huỳnh</v>
          </cell>
          <cell r="AF2913" t="str">
            <v>XE01735</v>
          </cell>
          <cell r="AH2913">
            <v>9.82</v>
          </cell>
          <cell r="AW2913" t="str">
            <v>Lê Đình Huỳnh10</v>
          </cell>
          <cell r="AX2913" t="str">
            <v>Linh</v>
          </cell>
        </row>
        <row r="2914">
          <cell r="D2914" t="str">
            <v>Lê Huy Hoàng</v>
          </cell>
          <cell r="AF2914" t="str">
            <v>XE01526</v>
          </cell>
          <cell r="AH2914">
            <v>9.42</v>
          </cell>
          <cell r="AW2914" t="str">
            <v>Lê Huy Hoàng13</v>
          </cell>
          <cell r="AX2914" t="str">
            <v>Linh</v>
          </cell>
        </row>
        <row r="2915">
          <cell r="D2915" t="str">
            <v>Lê Huy Hoàng</v>
          </cell>
          <cell r="AF2915" t="str">
            <v>XE01526</v>
          </cell>
          <cell r="AH2915">
            <v>9.02</v>
          </cell>
          <cell r="AW2915" t="str">
            <v>Lê Huy Hoàng14</v>
          </cell>
          <cell r="AX2915" t="str">
            <v>Linh</v>
          </cell>
        </row>
        <row r="2916">
          <cell r="D2916" t="str">
            <v>Vũ Ngọc Hà</v>
          </cell>
          <cell r="AF2916" t="str">
            <v>XE00253</v>
          </cell>
          <cell r="AH2916">
            <v>9.42</v>
          </cell>
          <cell r="AW2916" t="str">
            <v>Vũ Ngọc Hà20</v>
          </cell>
          <cell r="AX2916" t="str">
            <v>Linh</v>
          </cell>
        </row>
        <row r="2917">
          <cell r="D2917" t="str">
            <v>Phùng Văn Hải</v>
          </cell>
          <cell r="AF2917" t="str">
            <v>XE00776</v>
          </cell>
          <cell r="AH2917">
            <v>9.82</v>
          </cell>
          <cell r="AW2917" t="str">
            <v>Phùng Văn Hải19</v>
          </cell>
          <cell r="AX2917" t="str">
            <v>Linh</v>
          </cell>
        </row>
        <row r="2918">
          <cell r="D2918" t="str">
            <v>Đoàn Văn Kiều</v>
          </cell>
          <cell r="AF2918" t="str">
            <v>XE01009</v>
          </cell>
          <cell r="AH2918">
            <v>9.42</v>
          </cell>
          <cell r="AW2918" t="str">
            <v>Đoàn Văn Kiều20</v>
          </cell>
          <cell r="AX2918" t="str">
            <v>Linh</v>
          </cell>
        </row>
        <row r="2919">
          <cell r="D2919" t="str">
            <v>Lê Huy Hoàng</v>
          </cell>
          <cell r="AF2919" t="str">
            <v>XE01526</v>
          </cell>
          <cell r="AH2919">
            <v>8.620000000000001</v>
          </cell>
          <cell r="AW2919" t="str">
            <v>Lê Huy Hoàng15</v>
          </cell>
          <cell r="AX2919" t="str">
            <v>Linh</v>
          </cell>
        </row>
        <row r="2920">
          <cell r="D2920" t="str">
            <v>Cồ Văn Tiển</v>
          </cell>
          <cell r="AF2920" t="str">
            <v>XE01243</v>
          </cell>
          <cell r="AH2920">
            <v>9.82</v>
          </cell>
          <cell r="AW2920" t="str">
            <v>Cồ Văn Tiển23</v>
          </cell>
          <cell r="AX2920" t="str">
            <v>Linh</v>
          </cell>
        </row>
        <row r="2921">
          <cell r="D2921" t="str">
            <v>Cồ Văn Tiển</v>
          </cell>
          <cell r="AF2921" t="str">
            <v>XE01243</v>
          </cell>
          <cell r="AH2921">
            <v>8.620000000000001</v>
          </cell>
          <cell r="AW2921" t="str">
            <v>Cồ Văn Tiển24</v>
          </cell>
          <cell r="AX2921" t="str">
            <v>Linh</v>
          </cell>
        </row>
        <row r="2922">
          <cell r="D2922" t="str">
            <v>Cồ Văn Tiển</v>
          </cell>
          <cell r="AF2922" t="str">
            <v>XE01243</v>
          </cell>
          <cell r="AH2922">
            <v>9.02</v>
          </cell>
          <cell r="AW2922" t="str">
            <v>Cồ Văn Tiển25</v>
          </cell>
          <cell r="AX2922" t="str">
            <v>Linh</v>
          </cell>
        </row>
        <row r="2923">
          <cell r="D2923" t="str">
            <v>Phùng Văn Hải</v>
          </cell>
          <cell r="AF2923" t="str">
            <v>XE00776</v>
          </cell>
          <cell r="AH2923">
            <v>10</v>
          </cell>
          <cell r="AW2923" t="str">
            <v>Phùng Văn Hải20</v>
          </cell>
          <cell r="AX2923" t="str">
            <v>Linh</v>
          </cell>
        </row>
        <row r="2924">
          <cell r="D2924" t="str">
            <v>Phạm Hùng Sơn</v>
          </cell>
          <cell r="AF2924" t="str">
            <v>XE01157</v>
          </cell>
          <cell r="AH2924">
            <v>9.82</v>
          </cell>
          <cell r="AW2924" t="str">
            <v>Phạm Hùng Sơn12</v>
          </cell>
          <cell r="AX2924" t="str">
            <v>Linh</v>
          </cell>
        </row>
        <row r="2925">
          <cell r="D2925" t="str">
            <v>Nguyễn Hùng Cường</v>
          </cell>
          <cell r="AF2925" t="str">
            <v>XE01333</v>
          </cell>
          <cell r="AH2925">
            <v>9.42</v>
          </cell>
          <cell r="AW2925" t="str">
            <v>Nguyễn Hùng Cường1</v>
          </cell>
          <cell r="AX2925" t="str">
            <v>Hằng</v>
          </cell>
        </row>
        <row r="2926">
          <cell r="D2926" t="str">
            <v>Nguyễn Minh Tuấn</v>
          </cell>
          <cell r="AF2926" t="str">
            <v>XE01562</v>
          </cell>
          <cell r="AH2926">
            <v>9.42</v>
          </cell>
          <cell r="AW2926" t="str">
            <v>Nguyễn Minh Tuấn1</v>
          </cell>
          <cell r="AX2926" t="str">
            <v>Hằng</v>
          </cell>
        </row>
        <row r="2927">
          <cell r="D2927" t="str">
            <v>Trần Văn Sơn</v>
          </cell>
          <cell r="AF2927" t="str">
            <v>XE01427</v>
          </cell>
          <cell r="AH2927">
            <v>9.42</v>
          </cell>
          <cell r="AW2927" t="str">
            <v>Trần Văn Sơn1</v>
          </cell>
          <cell r="AX2927" t="str">
            <v>Hằng</v>
          </cell>
        </row>
        <row r="2928">
          <cell r="D2928" t="str">
            <v>Nguyễn Văn Thành</v>
          </cell>
          <cell r="AF2928" t="str">
            <v>XE01278</v>
          </cell>
          <cell r="AH2928">
            <v>9.02</v>
          </cell>
          <cell r="AW2928" t="str">
            <v>Nguyễn Văn Thành1</v>
          </cell>
          <cell r="AX2928" t="str">
            <v>Hằng</v>
          </cell>
        </row>
        <row r="2929">
          <cell r="D2929" t="str">
            <v>Tống Văn Hậu</v>
          </cell>
          <cell r="AF2929" t="str">
            <v>XE01088</v>
          </cell>
          <cell r="AH2929">
            <v>8.84</v>
          </cell>
          <cell r="AW2929" t="str">
            <v>Tống Văn Hậu1</v>
          </cell>
          <cell r="AX2929" t="str">
            <v>Hằng</v>
          </cell>
        </row>
        <row r="2930">
          <cell r="D2930" t="str">
            <v>Nguyễn Đức Tuấn</v>
          </cell>
          <cell r="AF2930" t="str">
            <v>XE00395</v>
          </cell>
          <cell r="AH2930">
            <v>8.44</v>
          </cell>
          <cell r="AW2930" t="str">
            <v>Nguyễn Đức Tuấn1</v>
          </cell>
          <cell r="AX2930" t="str">
            <v>Hằng</v>
          </cell>
        </row>
        <row r="2931">
          <cell r="D2931" t="str">
            <v>Trần Quốc Toàn</v>
          </cell>
          <cell r="AF2931" t="str">
            <v>XE00901</v>
          </cell>
          <cell r="AH2931">
            <v>9.42</v>
          </cell>
          <cell r="AW2931" t="str">
            <v>Trần Quốc Toàn1</v>
          </cell>
          <cell r="AX2931" t="str">
            <v>Hằng</v>
          </cell>
        </row>
        <row r="2932">
          <cell r="D2932" t="str">
            <v>Lê Quang Thuỷ</v>
          </cell>
          <cell r="AF2932" t="str">
            <v>XE00557</v>
          </cell>
          <cell r="AH2932">
            <v>8.84</v>
          </cell>
          <cell r="AW2932" t="str">
            <v>Lê Quang Thuỷ1</v>
          </cell>
          <cell r="AX2932" t="str">
            <v>Hằng</v>
          </cell>
        </row>
        <row r="2933">
          <cell r="D2933" t="str">
            <v>Nguyễn Trung Hiếu</v>
          </cell>
          <cell r="AF2933" t="str">
            <v>XE00429</v>
          </cell>
          <cell r="AH2933">
            <v>9.42</v>
          </cell>
          <cell r="AW2933" t="str">
            <v>Nguyễn Trung Hiếu1</v>
          </cell>
          <cell r="AX2933" t="str">
            <v>Hằng</v>
          </cell>
        </row>
        <row r="2934">
          <cell r="D2934" t="str">
            <v>Phạm Công Khánh</v>
          </cell>
          <cell r="AF2934" t="str">
            <v>XE00386</v>
          </cell>
          <cell r="AH2934">
            <v>9.42</v>
          </cell>
          <cell r="AW2934" t="str">
            <v>Phạm Công Khánh1</v>
          </cell>
          <cell r="AX2934" t="str">
            <v>Hằng</v>
          </cell>
        </row>
        <row r="2935">
          <cell r="D2935" t="str">
            <v>Nguyễn Duy Phương</v>
          </cell>
          <cell r="AF2935" t="str">
            <v>XE00308</v>
          </cell>
          <cell r="AH2935">
            <v>8.44</v>
          </cell>
          <cell r="AW2935" t="str">
            <v>Nguyễn Duy Phương1</v>
          </cell>
          <cell r="AX2935" t="str">
            <v>Hằng</v>
          </cell>
        </row>
        <row r="2936">
          <cell r="D2936" t="str">
            <v>Vũ Hoàng Long</v>
          </cell>
          <cell r="AF2936" t="str">
            <v>XE00312</v>
          </cell>
          <cell r="AH2936">
            <v>9.42</v>
          </cell>
          <cell r="AW2936" t="str">
            <v>Vũ Hoàng Long1</v>
          </cell>
          <cell r="AX2936" t="str">
            <v>Hằng</v>
          </cell>
        </row>
        <row r="2937">
          <cell r="D2937" t="str">
            <v>Lê Tuấn Linh</v>
          </cell>
          <cell r="AF2937" t="str">
            <v>XE00869</v>
          </cell>
          <cell r="AH2937">
            <v>9.6</v>
          </cell>
          <cell r="AW2937" t="str">
            <v>Lê Tuấn Linh1</v>
          </cell>
          <cell r="AX2937" t="str">
            <v>Hằng</v>
          </cell>
        </row>
        <row r="2938">
          <cell r="D2938" t="str">
            <v>Nguyễn Tiến Hưng</v>
          </cell>
          <cell r="AF2938" t="str">
            <v>XE00212</v>
          </cell>
          <cell r="AH2938">
            <v>10</v>
          </cell>
          <cell r="AW2938" t="str">
            <v>Nguyễn Tiến Hưng1</v>
          </cell>
          <cell r="AX2938" t="str">
            <v>Hằng</v>
          </cell>
        </row>
        <row r="2939">
          <cell r="D2939" t="str">
            <v>Dương Anh Đức</v>
          </cell>
          <cell r="AF2939" t="str">
            <v>XE01441</v>
          </cell>
          <cell r="AH2939">
            <v>9.42</v>
          </cell>
          <cell r="AW2939" t="str">
            <v>Dương Anh Đức1</v>
          </cell>
          <cell r="AX2939" t="str">
            <v>Hằng</v>
          </cell>
        </row>
        <row r="2940">
          <cell r="D2940" t="str">
            <v>Nguyễn Tuấn Trường</v>
          </cell>
          <cell r="AF2940" t="str">
            <v>XE00161</v>
          </cell>
          <cell r="AH2940">
            <v>9.02</v>
          </cell>
          <cell r="AW2940" t="str">
            <v>Nguyễn Tuấn Trường1</v>
          </cell>
          <cell r="AX2940" t="str">
            <v>Hằng</v>
          </cell>
        </row>
        <row r="2941">
          <cell r="D2941" t="str">
            <v>Lê Thanh Xuân</v>
          </cell>
          <cell r="AF2941" t="str">
            <v>XE01704</v>
          </cell>
          <cell r="AH2941">
            <v>10</v>
          </cell>
          <cell r="AW2941" t="str">
            <v>Lê Thanh Xuân1</v>
          </cell>
          <cell r="AX2941" t="str">
            <v>Hằng</v>
          </cell>
        </row>
        <row r="2942">
          <cell r="D2942" t="str">
            <v>Lại Thế Thư</v>
          </cell>
          <cell r="AF2942" t="str">
            <v>XE01286</v>
          </cell>
          <cell r="AH2942">
            <v>9.02</v>
          </cell>
          <cell r="AW2942" t="str">
            <v>Lại Thế Thư1</v>
          </cell>
          <cell r="AX2942" t="str">
            <v>Hằng</v>
          </cell>
        </row>
        <row r="2943">
          <cell r="D2943" t="str">
            <v>Lê Hùng Cường</v>
          </cell>
          <cell r="AF2943" t="str">
            <v>XE00188</v>
          </cell>
          <cell r="AH2943">
            <v>9.42</v>
          </cell>
          <cell r="AW2943" t="str">
            <v>Lê Hùng Cường1</v>
          </cell>
          <cell r="AX2943" t="str">
            <v>Hằng</v>
          </cell>
        </row>
        <row r="2944">
          <cell r="D2944" t="str">
            <v>Phan Thái Sơn</v>
          </cell>
          <cell r="AF2944" t="str">
            <v>XE00026</v>
          </cell>
          <cell r="AH2944">
            <v>10</v>
          </cell>
          <cell r="AW2944" t="str">
            <v>Phan Thái Sơn1</v>
          </cell>
          <cell r="AX2944" t="str">
            <v>Hằng</v>
          </cell>
        </row>
        <row r="2945">
          <cell r="D2945" t="str">
            <v>Nguyễn Quang Thanh</v>
          </cell>
          <cell r="AF2945" t="str">
            <v>XE01601</v>
          </cell>
          <cell r="AH2945">
            <v>7.6400000000000006</v>
          </cell>
          <cell r="AW2945" t="str">
            <v>Nguyễn Quang Thanh1</v>
          </cell>
          <cell r="AX2945" t="str">
            <v>Hằng</v>
          </cell>
        </row>
        <row r="2946">
          <cell r="D2946" t="str">
            <v>Nguyễn Thiên Mạnh</v>
          </cell>
          <cell r="AF2946" t="str">
            <v>XE01182</v>
          </cell>
          <cell r="AH2946">
            <v>9.42</v>
          </cell>
          <cell r="AW2946" t="str">
            <v>Nguyễn Thiên Mạnh1</v>
          </cell>
          <cell r="AX2946" t="str">
            <v>Hằng</v>
          </cell>
        </row>
        <row r="2947">
          <cell r="D2947" t="str">
            <v>Lê Quang Minh</v>
          </cell>
          <cell r="AF2947" t="str">
            <v>XE01056</v>
          </cell>
          <cell r="AH2947">
            <v>9.42</v>
          </cell>
          <cell r="AW2947" t="str">
            <v>Lê Quang Minh1</v>
          </cell>
          <cell r="AX2947" t="str">
            <v>Hằng</v>
          </cell>
        </row>
        <row r="2948">
          <cell r="D2948" t="str">
            <v>Nguyễn Quốc Thắng</v>
          </cell>
          <cell r="AF2948" t="str">
            <v>XE00495</v>
          </cell>
          <cell r="AH2948">
            <v>10</v>
          </cell>
          <cell r="AW2948" t="str">
            <v>Nguyễn Quốc Thắng1</v>
          </cell>
          <cell r="AX2948" t="str">
            <v>Hằng</v>
          </cell>
        </row>
        <row r="2949">
          <cell r="D2949" t="str">
            <v>Phạm Văn Thiêm</v>
          </cell>
          <cell r="AF2949" t="str">
            <v>XE01090</v>
          </cell>
          <cell r="AH2949">
            <v>9.82</v>
          </cell>
          <cell r="AW2949" t="str">
            <v>Phạm Văn Thiêm1</v>
          </cell>
          <cell r="AX2949" t="str">
            <v>Hằng</v>
          </cell>
        </row>
        <row r="2950">
          <cell r="D2950" t="str">
            <v>Đào Duy Nhất</v>
          </cell>
          <cell r="AF2950" t="str">
            <v>XE01062</v>
          </cell>
          <cell r="AH2950">
            <v>9.1999999999999993</v>
          </cell>
          <cell r="AW2950" t="str">
            <v>Đào Duy Nhất1</v>
          </cell>
          <cell r="AX2950" t="str">
            <v>Hằng</v>
          </cell>
        </row>
        <row r="2951">
          <cell r="D2951" t="str">
            <v>Trần Ngọc Dũng</v>
          </cell>
          <cell r="AF2951" t="str">
            <v>XE01011</v>
          </cell>
          <cell r="AH2951">
            <v>9.42</v>
          </cell>
          <cell r="AW2951" t="str">
            <v>Trần Ngọc Dũng1</v>
          </cell>
          <cell r="AX2951" t="str">
            <v>Hằng</v>
          </cell>
        </row>
        <row r="2952">
          <cell r="D2952" t="str">
            <v>Trần Xuân Bách</v>
          </cell>
          <cell r="AF2952" t="str">
            <v>XE01008</v>
          </cell>
          <cell r="AH2952">
            <v>10</v>
          </cell>
          <cell r="AW2952" t="str">
            <v>Trần Xuân Bách1</v>
          </cell>
          <cell r="AX2952" t="str">
            <v>Hằng</v>
          </cell>
        </row>
        <row r="2953">
          <cell r="D2953" t="str">
            <v>Bùi Mạnh Hùng</v>
          </cell>
          <cell r="AF2953" t="str">
            <v>XE00978</v>
          </cell>
          <cell r="AH2953">
            <v>9.02</v>
          </cell>
          <cell r="AW2953" t="str">
            <v>Bùi Mạnh Hùng1</v>
          </cell>
          <cell r="AX2953" t="str">
            <v>Hằng</v>
          </cell>
        </row>
        <row r="2954">
          <cell r="D2954" t="str">
            <v>Lò Văn Dương</v>
          </cell>
          <cell r="AF2954" t="str">
            <v>XE00913</v>
          </cell>
          <cell r="AH2954">
            <v>9.82</v>
          </cell>
          <cell r="AW2954" t="str">
            <v>Lò Văn Dương1</v>
          </cell>
          <cell r="AX2954" t="str">
            <v>Hằng</v>
          </cell>
        </row>
        <row r="2955">
          <cell r="D2955" t="str">
            <v>Đinh Văn Chung</v>
          </cell>
          <cell r="AF2955" t="str">
            <v>XE00122</v>
          </cell>
          <cell r="AH2955">
            <v>9.02</v>
          </cell>
          <cell r="AW2955" t="str">
            <v>Đinh Văn Chung1</v>
          </cell>
          <cell r="AX2955" t="str">
            <v>Hằng</v>
          </cell>
        </row>
        <row r="2956">
          <cell r="D2956" t="str">
            <v>Đào Đức Liêm</v>
          </cell>
          <cell r="AF2956" t="str">
            <v>XE00397</v>
          </cell>
          <cell r="AH2956">
            <v>9.02</v>
          </cell>
          <cell r="AW2956" t="str">
            <v>Đào Đức Liêm1</v>
          </cell>
          <cell r="AX2956" t="str">
            <v>Hằng</v>
          </cell>
        </row>
        <row r="2957">
          <cell r="D2957" t="str">
            <v>Nguyễn Việt Cường</v>
          </cell>
          <cell r="AF2957" t="str">
            <v>XE00345</v>
          </cell>
          <cell r="AH2957">
            <v>9.24</v>
          </cell>
          <cell r="AW2957" t="str">
            <v>Nguyễn Việt Cường1</v>
          </cell>
          <cell r="AX2957" t="str">
            <v>Hằng</v>
          </cell>
        </row>
        <row r="2958">
          <cell r="D2958" t="str">
            <v>Nguyễn Thế Anh</v>
          </cell>
          <cell r="AF2958" t="str">
            <v>XE00383</v>
          </cell>
          <cell r="AH2958">
            <v>8.44</v>
          </cell>
          <cell r="AW2958" t="str">
            <v>Nguyễn Thế Anh1</v>
          </cell>
          <cell r="AX2958" t="str">
            <v>Hằng</v>
          </cell>
        </row>
        <row r="2959">
          <cell r="D2959" t="str">
            <v>Nguyễn Thế Anh</v>
          </cell>
          <cell r="AF2959" t="str">
            <v>XE00383</v>
          </cell>
          <cell r="AH2959">
            <v>10</v>
          </cell>
          <cell r="AW2959" t="str">
            <v>Nguyễn Thế Anh2</v>
          </cell>
          <cell r="AX2959" t="str">
            <v>Hằng</v>
          </cell>
        </row>
        <row r="2960">
          <cell r="D2960" t="str">
            <v>Đặng Văn Thơ</v>
          </cell>
          <cell r="AF2960" t="str">
            <v>XE01700</v>
          </cell>
          <cell r="AH2960">
            <v>9.42</v>
          </cell>
          <cell r="AW2960" t="str">
            <v>Đặng Văn Thơ1</v>
          </cell>
          <cell r="AX2960" t="str">
            <v>Hằng</v>
          </cell>
        </row>
        <row r="2961">
          <cell r="D2961" t="str">
            <v>Đặng Văn Thơ</v>
          </cell>
          <cell r="AF2961" t="str">
            <v>XE01700</v>
          </cell>
          <cell r="AH2961">
            <v>9.82</v>
          </cell>
          <cell r="AW2961" t="str">
            <v>Đặng Văn Thơ2</v>
          </cell>
          <cell r="AX2961" t="str">
            <v>Hằng</v>
          </cell>
        </row>
        <row r="2962">
          <cell r="D2962" t="str">
            <v>Nguyễn Mạnh Cường</v>
          </cell>
          <cell r="AF2962" t="str">
            <v>XE01699</v>
          </cell>
          <cell r="AH2962">
            <v>10</v>
          </cell>
          <cell r="AW2962" t="str">
            <v>Nguyễn Mạnh Cường1</v>
          </cell>
          <cell r="AX2962" t="str">
            <v>Hằng</v>
          </cell>
        </row>
        <row r="2963">
          <cell r="D2963" t="str">
            <v>Nguyễn Mạnh Cường</v>
          </cell>
          <cell r="AF2963" t="str">
            <v>XE01699</v>
          </cell>
          <cell r="AH2963">
            <v>9.42</v>
          </cell>
          <cell r="AW2963" t="str">
            <v>Nguyễn Mạnh Cường2</v>
          </cell>
          <cell r="AX2963" t="str">
            <v>Hằng</v>
          </cell>
        </row>
        <row r="2964">
          <cell r="D2964" t="str">
            <v>Lê Minh Đức</v>
          </cell>
          <cell r="AF2964" t="str">
            <v>XE01688</v>
          </cell>
          <cell r="AH2964">
            <v>9.02</v>
          </cell>
          <cell r="AW2964" t="str">
            <v>Lê Minh Đức1</v>
          </cell>
          <cell r="AX2964" t="str">
            <v>Hằng</v>
          </cell>
        </row>
        <row r="2965">
          <cell r="D2965" t="str">
            <v>Lê Minh Đức</v>
          </cell>
          <cell r="AF2965" t="str">
            <v>XE01688</v>
          </cell>
          <cell r="AH2965">
            <v>9.1999999999999993</v>
          </cell>
          <cell r="AW2965" t="str">
            <v>Lê Minh Đức2</v>
          </cell>
          <cell r="AX2965" t="str">
            <v>Hằng</v>
          </cell>
        </row>
        <row r="2966">
          <cell r="D2966" t="str">
            <v>Nguyễn Văn Minh</v>
          </cell>
          <cell r="AF2966" t="str">
            <v>XE01570</v>
          </cell>
          <cell r="AH2966">
            <v>9.42</v>
          </cell>
          <cell r="AW2966" t="str">
            <v>Nguyễn Văn Minh1</v>
          </cell>
          <cell r="AX2966" t="str">
            <v>Hằng</v>
          </cell>
        </row>
        <row r="2967">
          <cell r="D2967" t="str">
            <v>Nguyễn Văn Minh</v>
          </cell>
          <cell r="AF2967" t="str">
            <v>XE01570</v>
          </cell>
          <cell r="AH2967">
            <v>9.02</v>
          </cell>
          <cell r="AW2967" t="str">
            <v>Nguyễn Văn Minh2</v>
          </cell>
          <cell r="AX2967" t="str">
            <v>Hằng</v>
          </cell>
        </row>
        <row r="2968">
          <cell r="D2968" t="str">
            <v>Nguyễn Minh Tuấn</v>
          </cell>
          <cell r="AF2968" t="str">
            <v>XE01562</v>
          </cell>
          <cell r="AH2968">
            <v>9.02</v>
          </cell>
          <cell r="AW2968" t="str">
            <v>Nguyễn Minh Tuấn2</v>
          </cell>
          <cell r="AX2968" t="str">
            <v>Hằng</v>
          </cell>
        </row>
        <row r="2969">
          <cell r="D2969" t="str">
            <v>Trần Văn Sơn</v>
          </cell>
          <cell r="AF2969" t="str">
            <v>XE01427</v>
          </cell>
          <cell r="AH2969">
            <v>8.0399999999999991</v>
          </cell>
          <cell r="AW2969" t="str">
            <v>Trần Văn Sơn2</v>
          </cell>
          <cell r="AX2969" t="str">
            <v>Hằng</v>
          </cell>
        </row>
        <row r="2970">
          <cell r="D2970" t="str">
            <v>Nguyễn Văn Thành</v>
          </cell>
          <cell r="AF2970" t="str">
            <v>XE01278</v>
          </cell>
          <cell r="AH2970">
            <v>9.02</v>
          </cell>
          <cell r="AW2970" t="str">
            <v>Nguyễn Văn Thành2</v>
          </cell>
          <cell r="AX2970" t="str">
            <v>Hằng</v>
          </cell>
        </row>
        <row r="2971">
          <cell r="D2971" t="str">
            <v>Tống Văn Hậu</v>
          </cell>
          <cell r="AF2971" t="str">
            <v>XE01088</v>
          </cell>
          <cell r="AH2971">
            <v>9.02</v>
          </cell>
          <cell r="AW2971" t="str">
            <v>Tống Văn Hậu2</v>
          </cell>
          <cell r="AX2971" t="str">
            <v>Hằng</v>
          </cell>
        </row>
        <row r="2972">
          <cell r="D2972" t="str">
            <v>Nguyễn Đức Tuấn</v>
          </cell>
          <cell r="AF2972" t="str">
            <v>XE00395</v>
          </cell>
          <cell r="AH2972">
            <v>9.42</v>
          </cell>
          <cell r="AW2972" t="str">
            <v>Nguyễn Đức Tuấn2</v>
          </cell>
          <cell r="AX2972" t="str">
            <v>Hằng</v>
          </cell>
        </row>
        <row r="2973">
          <cell r="D2973" t="str">
            <v>Trần Quốc Toàn</v>
          </cell>
          <cell r="AF2973" t="str">
            <v>XE00901</v>
          </cell>
          <cell r="AH2973">
            <v>9.24</v>
          </cell>
          <cell r="AW2973" t="str">
            <v>Trần Quốc Toàn2</v>
          </cell>
          <cell r="AX2973" t="str">
            <v>Hằng</v>
          </cell>
        </row>
        <row r="2974">
          <cell r="D2974" t="str">
            <v>Lê Quang Thuỷ</v>
          </cell>
          <cell r="AF2974" t="str">
            <v>XE00557</v>
          </cell>
          <cell r="AH2974">
            <v>9.02</v>
          </cell>
          <cell r="AW2974" t="str">
            <v>Lê Quang Thuỷ2</v>
          </cell>
          <cell r="AX2974" t="str">
            <v>Hằng</v>
          </cell>
        </row>
        <row r="2975">
          <cell r="D2975" t="str">
            <v>Nguyễn Trung Hiếu</v>
          </cell>
          <cell r="AF2975" t="str">
            <v>XE00429</v>
          </cell>
          <cell r="AH2975">
            <v>9.82</v>
          </cell>
          <cell r="AW2975" t="str">
            <v>Nguyễn Trung Hiếu2</v>
          </cell>
          <cell r="AX2975" t="str">
            <v>Hằng</v>
          </cell>
        </row>
        <row r="2976">
          <cell r="D2976" t="str">
            <v>Phạm Công Khánh</v>
          </cell>
          <cell r="AF2976" t="str">
            <v>XE00386</v>
          </cell>
          <cell r="AH2976">
            <v>9.82</v>
          </cell>
          <cell r="AW2976" t="str">
            <v>Phạm Công Khánh2</v>
          </cell>
          <cell r="AX2976" t="str">
            <v>Hằng</v>
          </cell>
        </row>
        <row r="2977">
          <cell r="D2977" t="str">
            <v>Nguyễn Duy Phương</v>
          </cell>
          <cell r="AF2977" t="str">
            <v>XE00308</v>
          </cell>
          <cell r="AH2977">
            <v>8.84</v>
          </cell>
          <cell r="AW2977" t="str">
            <v>Nguyễn Duy Phương2</v>
          </cell>
          <cell r="AX2977" t="str">
            <v>Hằng</v>
          </cell>
        </row>
        <row r="2978">
          <cell r="D2978" t="str">
            <v>Vũ Hoàng Long</v>
          </cell>
          <cell r="AF2978" t="str">
            <v>XE00312</v>
          </cell>
          <cell r="AH2978">
            <v>9.6</v>
          </cell>
          <cell r="AW2978" t="str">
            <v>Vũ Hoàng Long2</v>
          </cell>
          <cell r="AX2978" t="str">
            <v>Hằng</v>
          </cell>
        </row>
        <row r="2979">
          <cell r="D2979" t="str">
            <v>Lê Tuấn Linh</v>
          </cell>
          <cell r="AF2979" t="str">
            <v>XE00869</v>
          </cell>
          <cell r="AH2979">
            <v>9.42</v>
          </cell>
          <cell r="AW2979" t="str">
            <v>Lê Tuấn Linh2</v>
          </cell>
          <cell r="AX2979" t="str">
            <v>Hằng</v>
          </cell>
        </row>
        <row r="2980">
          <cell r="D2980" t="str">
            <v>Nguyễn Tiến Hưng</v>
          </cell>
          <cell r="AF2980" t="str">
            <v>XE00212</v>
          </cell>
          <cell r="AH2980">
            <v>9.82</v>
          </cell>
          <cell r="AW2980" t="str">
            <v>Nguyễn Tiến Hưng2</v>
          </cell>
          <cell r="AX2980" t="str">
            <v>Hằng</v>
          </cell>
        </row>
        <row r="2981">
          <cell r="D2981" t="str">
            <v>Nguyễn Tiến Hưng</v>
          </cell>
          <cell r="AF2981" t="str">
            <v>XE00212</v>
          </cell>
          <cell r="AH2981">
            <v>9.42</v>
          </cell>
          <cell r="AW2981" t="str">
            <v>Nguyễn Tiến Hưng3</v>
          </cell>
          <cell r="AX2981" t="str">
            <v>Hằng</v>
          </cell>
        </row>
        <row r="2982">
          <cell r="D2982" t="str">
            <v>Dương Anh Đức</v>
          </cell>
          <cell r="AF2982" t="str">
            <v>XE01441</v>
          </cell>
          <cell r="AH2982">
            <v>10</v>
          </cell>
          <cell r="AW2982" t="str">
            <v>Dương Anh Đức2</v>
          </cell>
          <cell r="AX2982" t="str">
            <v>Hằng</v>
          </cell>
        </row>
        <row r="2983">
          <cell r="D2983" t="str">
            <v>Dương Anh Đức</v>
          </cell>
          <cell r="AF2983" t="str">
            <v>XE01441</v>
          </cell>
          <cell r="AH2983">
            <v>9.82</v>
          </cell>
          <cell r="AW2983" t="str">
            <v>Dương Anh Đức3</v>
          </cell>
          <cell r="AX2983" t="str">
            <v>Hằng</v>
          </cell>
        </row>
        <row r="2984">
          <cell r="D2984" t="str">
            <v>Nguyễn Tuấn Trường</v>
          </cell>
          <cell r="AF2984" t="str">
            <v>XE00161</v>
          </cell>
          <cell r="AH2984">
            <v>8.84</v>
          </cell>
          <cell r="AW2984" t="str">
            <v>Nguyễn Tuấn Trường2</v>
          </cell>
          <cell r="AX2984" t="str">
            <v>Hằng</v>
          </cell>
        </row>
        <row r="2985">
          <cell r="D2985" t="str">
            <v>Nguyễn Tuấn Trường</v>
          </cell>
          <cell r="AF2985" t="str">
            <v>XE00161</v>
          </cell>
          <cell r="AH2985">
            <v>9.82</v>
          </cell>
          <cell r="AW2985" t="str">
            <v>Nguyễn Tuấn Trường3</v>
          </cell>
          <cell r="AX2985" t="str">
            <v>Hằng</v>
          </cell>
        </row>
        <row r="2986">
          <cell r="D2986" t="str">
            <v>Nguyễn Minh Tuấn</v>
          </cell>
          <cell r="AF2986" t="str">
            <v>XE01562</v>
          </cell>
          <cell r="AH2986">
            <v>10</v>
          </cell>
          <cell r="AW2986" t="str">
            <v>Nguyễn Minh Tuấn3</v>
          </cell>
          <cell r="AX2986" t="str">
            <v>Hằng</v>
          </cell>
        </row>
        <row r="2987">
          <cell r="D2987" t="str">
            <v>Trần Văn Sơn</v>
          </cell>
          <cell r="AF2987" t="str">
            <v>XE01427</v>
          </cell>
          <cell r="AH2987">
            <v>10</v>
          </cell>
          <cell r="AW2987" t="str">
            <v>Trần Văn Sơn3</v>
          </cell>
          <cell r="AX2987" t="str">
            <v>Hằng</v>
          </cell>
        </row>
        <row r="2988">
          <cell r="D2988" t="str">
            <v>Nguyễn Văn Thành</v>
          </cell>
          <cell r="AF2988" t="str">
            <v>XE01278</v>
          </cell>
          <cell r="AH2988">
            <v>9.42</v>
          </cell>
          <cell r="AW2988" t="str">
            <v>Nguyễn Văn Thành3</v>
          </cell>
          <cell r="AX2988" t="str">
            <v>Hằng</v>
          </cell>
        </row>
        <row r="2989">
          <cell r="D2989" t="str">
            <v>Tống Văn Hậu</v>
          </cell>
          <cell r="AF2989" t="str">
            <v>XE01088</v>
          </cell>
          <cell r="AH2989">
            <v>9.24</v>
          </cell>
          <cell r="AW2989" t="str">
            <v>Tống Văn Hậu3</v>
          </cell>
          <cell r="AX2989" t="str">
            <v>Hằng</v>
          </cell>
        </row>
        <row r="2990">
          <cell r="D2990" t="str">
            <v>Nguyễn Đức Tuấn</v>
          </cell>
          <cell r="AF2990" t="str">
            <v>XE00395</v>
          </cell>
          <cell r="AH2990">
            <v>10</v>
          </cell>
          <cell r="AW2990" t="str">
            <v>Nguyễn Đức Tuấn3</v>
          </cell>
          <cell r="AX2990" t="str">
            <v>Hằng</v>
          </cell>
        </row>
        <row r="2991">
          <cell r="D2991" t="str">
            <v>Trần Quốc Toàn</v>
          </cell>
          <cell r="AF2991" t="str">
            <v>XE00901</v>
          </cell>
          <cell r="AH2991">
            <v>8.0399999999999991</v>
          </cell>
          <cell r="AW2991" t="str">
            <v>Trần Quốc Toàn3</v>
          </cell>
          <cell r="AX2991" t="str">
            <v>Hằng</v>
          </cell>
        </row>
        <row r="2992">
          <cell r="D2992" t="str">
            <v>Lê Quang Thuỷ</v>
          </cell>
          <cell r="AF2992" t="str">
            <v>XE00557</v>
          </cell>
          <cell r="AH2992">
            <v>8.84</v>
          </cell>
          <cell r="AW2992" t="str">
            <v>Lê Quang Thuỷ3</v>
          </cell>
          <cell r="AX2992" t="str">
            <v>Hằng</v>
          </cell>
        </row>
        <row r="2993">
          <cell r="D2993" t="str">
            <v>Nguyễn Trung Hiếu</v>
          </cell>
          <cell r="AF2993" t="str">
            <v>XE00429</v>
          </cell>
          <cell r="AH2993">
            <v>9.02</v>
          </cell>
          <cell r="AW2993" t="str">
            <v>Nguyễn Trung Hiếu3</v>
          </cell>
          <cell r="AX2993" t="str">
            <v>Hằng</v>
          </cell>
        </row>
        <row r="2994">
          <cell r="D2994" t="str">
            <v>Phạm Công Khánh</v>
          </cell>
          <cell r="AF2994" t="str">
            <v>XE00386</v>
          </cell>
          <cell r="AH2994">
            <v>8.84</v>
          </cell>
          <cell r="AW2994" t="str">
            <v>Phạm Công Khánh3</v>
          </cell>
          <cell r="AX2994" t="str">
            <v>Hằng</v>
          </cell>
        </row>
        <row r="2995">
          <cell r="D2995" t="str">
            <v>Nguyễn Duy Phương</v>
          </cell>
          <cell r="AF2995" t="str">
            <v>XE00308</v>
          </cell>
          <cell r="AH2995">
            <v>10</v>
          </cell>
          <cell r="AW2995" t="str">
            <v>Nguyễn Duy Phương3</v>
          </cell>
          <cell r="AX2995" t="str">
            <v>Hằng</v>
          </cell>
        </row>
        <row r="2996">
          <cell r="D2996" t="str">
            <v>Vũ Hoàng Long</v>
          </cell>
          <cell r="AF2996" t="str">
            <v>XE00312</v>
          </cell>
          <cell r="AH2996">
            <v>9.42</v>
          </cell>
          <cell r="AW2996" t="str">
            <v>Vũ Hoàng Long3</v>
          </cell>
          <cell r="AX2996" t="str">
            <v>Hằng</v>
          </cell>
        </row>
        <row r="2997">
          <cell r="D2997" t="str">
            <v>Lê Tuấn Linh</v>
          </cell>
          <cell r="AF2997" t="str">
            <v>XE00869</v>
          </cell>
          <cell r="AH2997">
            <v>9.42</v>
          </cell>
          <cell r="AW2997" t="str">
            <v>Lê Tuấn Linh3</v>
          </cell>
          <cell r="AX2997" t="str">
            <v>Hằng</v>
          </cell>
        </row>
        <row r="2998">
          <cell r="D2998" t="str">
            <v>Lê Thanh Xuân</v>
          </cell>
          <cell r="AF2998" t="str">
            <v>XE01704</v>
          </cell>
          <cell r="AH2998">
            <v>10</v>
          </cell>
          <cell r="AW2998" t="str">
            <v>Lê Thanh Xuân2</v>
          </cell>
          <cell r="AX2998" t="str">
            <v>Hằng</v>
          </cell>
        </row>
        <row r="2999">
          <cell r="D2999" t="str">
            <v>Lê Thanh Xuân</v>
          </cell>
          <cell r="AF2999" t="str">
            <v>XE01704</v>
          </cell>
          <cell r="AH2999">
            <v>9.02</v>
          </cell>
          <cell r="AW2999" t="str">
            <v>Lê Thanh Xuân3</v>
          </cell>
          <cell r="AX2999" t="str">
            <v>Hằng</v>
          </cell>
        </row>
        <row r="3000">
          <cell r="D3000" t="str">
            <v>Lê Hùng Cường</v>
          </cell>
          <cell r="AF3000" t="str">
            <v>XE00188</v>
          </cell>
          <cell r="AH3000">
            <v>8.84</v>
          </cell>
          <cell r="AW3000" t="str">
            <v>Lê Hùng Cường2</v>
          </cell>
          <cell r="AX3000" t="str">
            <v>Hằng</v>
          </cell>
        </row>
        <row r="3001">
          <cell r="D3001" t="str">
            <v>Lê Hùng Cường</v>
          </cell>
          <cell r="AF3001" t="str">
            <v>XE00188</v>
          </cell>
          <cell r="AH3001">
            <v>7.24</v>
          </cell>
          <cell r="AW3001" t="str">
            <v>Lê Hùng Cường3</v>
          </cell>
          <cell r="AX3001" t="str">
            <v>Hằng</v>
          </cell>
        </row>
        <row r="3002">
          <cell r="D3002" t="str">
            <v>Phan Thái Sơn</v>
          </cell>
          <cell r="AF3002" t="str">
            <v>XE00026</v>
          </cell>
          <cell r="AH3002">
            <v>10</v>
          </cell>
          <cell r="AW3002" t="str">
            <v>Phan Thái Sơn2</v>
          </cell>
          <cell r="AX3002" t="str">
            <v>Hằng</v>
          </cell>
        </row>
        <row r="3003">
          <cell r="D3003" t="str">
            <v>Phan Thái Sơn</v>
          </cell>
          <cell r="AF3003" t="str">
            <v>XE00026</v>
          </cell>
          <cell r="AH3003">
            <v>9.6</v>
          </cell>
          <cell r="AW3003" t="str">
            <v>Phan Thái Sơn3</v>
          </cell>
          <cell r="AX3003" t="str">
            <v>Hằng</v>
          </cell>
        </row>
        <row r="3004">
          <cell r="D3004" t="str">
            <v>Nguyễn Thiên Mạnh</v>
          </cell>
          <cell r="AF3004" t="str">
            <v>XE01182</v>
          </cell>
          <cell r="AH3004">
            <v>9.6</v>
          </cell>
          <cell r="AW3004" t="str">
            <v>Nguyễn Thiên Mạnh2</v>
          </cell>
          <cell r="AX3004" t="str">
            <v>Hằng</v>
          </cell>
        </row>
        <row r="3005">
          <cell r="D3005" t="str">
            <v>Nguyễn Thiên Mạnh</v>
          </cell>
          <cell r="AF3005" t="str">
            <v>XE01182</v>
          </cell>
          <cell r="AH3005">
            <v>8.6199999999999992</v>
          </cell>
          <cell r="AW3005" t="str">
            <v>Nguyễn Thiên Mạnh3</v>
          </cell>
          <cell r="AX3005" t="str">
            <v>Hằng</v>
          </cell>
        </row>
        <row r="3006">
          <cell r="D3006" t="str">
            <v>Lê Quang Minh</v>
          </cell>
          <cell r="AF3006" t="str">
            <v>XE01056</v>
          </cell>
          <cell r="AH3006">
            <v>9.82</v>
          </cell>
          <cell r="AW3006" t="str">
            <v>Lê Quang Minh2</v>
          </cell>
          <cell r="AX3006" t="str">
            <v>Hằng</v>
          </cell>
        </row>
        <row r="3007">
          <cell r="D3007" t="str">
            <v>Lê Quang Minh</v>
          </cell>
          <cell r="AF3007" t="str">
            <v>XE01056</v>
          </cell>
          <cell r="AH3007">
            <v>9.82</v>
          </cell>
          <cell r="AW3007" t="str">
            <v>Lê Quang Minh3</v>
          </cell>
          <cell r="AX3007" t="str">
            <v>Hằng</v>
          </cell>
        </row>
        <row r="3008">
          <cell r="D3008" t="str">
            <v>Nguyễn Quốc Thắng</v>
          </cell>
          <cell r="AF3008" t="str">
            <v>XE00495</v>
          </cell>
          <cell r="AH3008">
            <v>10</v>
          </cell>
          <cell r="AW3008" t="str">
            <v>Nguyễn Quốc Thắng2</v>
          </cell>
          <cell r="AX3008" t="str">
            <v>Hằng</v>
          </cell>
        </row>
        <row r="3009">
          <cell r="D3009" t="str">
            <v>Nguyễn Quốc Thắng</v>
          </cell>
          <cell r="AF3009" t="str">
            <v>XE00495</v>
          </cell>
          <cell r="AH3009">
            <v>9.42</v>
          </cell>
          <cell r="AW3009" t="str">
            <v>Nguyễn Quốc Thắng3</v>
          </cell>
          <cell r="AX3009" t="str">
            <v>Hằng</v>
          </cell>
        </row>
        <row r="3010">
          <cell r="D3010" t="str">
            <v>Trần Xuân Bách</v>
          </cell>
          <cell r="AF3010" t="str">
            <v>XE01008</v>
          </cell>
          <cell r="AH3010">
            <v>10</v>
          </cell>
          <cell r="AW3010" t="str">
            <v>Trần Xuân Bách2</v>
          </cell>
          <cell r="AX3010" t="str">
            <v>Hằng</v>
          </cell>
        </row>
        <row r="3011">
          <cell r="D3011" t="str">
            <v>Trần Xuân Bách</v>
          </cell>
          <cell r="AF3011" t="str">
            <v>XE01008</v>
          </cell>
          <cell r="AH3011">
            <v>10</v>
          </cell>
          <cell r="AW3011" t="str">
            <v>Trần Xuân Bách3</v>
          </cell>
          <cell r="AX3011" t="str">
            <v>Hằng</v>
          </cell>
        </row>
        <row r="3012">
          <cell r="D3012" t="str">
            <v>Lò Văn Dương</v>
          </cell>
          <cell r="AF3012" t="str">
            <v>XE00913</v>
          </cell>
          <cell r="AH3012">
            <v>9.02</v>
          </cell>
          <cell r="AW3012" t="str">
            <v>Lò Văn Dương2</v>
          </cell>
          <cell r="AX3012" t="str">
            <v>Hằng</v>
          </cell>
        </row>
        <row r="3013">
          <cell r="D3013" t="str">
            <v>Lò Văn Dương</v>
          </cell>
          <cell r="AF3013" t="str">
            <v>XE00913</v>
          </cell>
          <cell r="AH3013">
            <v>10</v>
          </cell>
          <cell r="AW3013" t="str">
            <v>Lò Văn Dương3</v>
          </cell>
          <cell r="AX3013" t="str">
            <v>Hằng</v>
          </cell>
        </row>
        <row r="3014">
          <cell r="D3014" t="str">
            <v>Nguyễn Việt Cường</v>
          </cell>
          <cell r="AF3014" t="str">
            <v>XE00345</v>
          </cell>
          <cell r="AH3014">
            <v>10</v>
          </cell>
          <cell r="AW3014" t="str">
            <v>Nguyễn Việt Cường2</v>
          </cell>
          <cell r="AX3014" t="str">
            <v>Hằng</v>
          </cell>
        </row>
        <row r="3015">
          <cell r="D3015" t="str">
            <v>Nguyễn Việt Cường</v>
          </cell>
          <cell r="AF3015" t="str">
            <v>XE00345</v>
          </cell>
          <cell r="AH3015">
            <v>9.82</v>
          </cell>
          <cell r="AW3015" t="str">
            <v>Nguyễn Việt Cường3</v>
          </cell>
          <cell r="AX3015" t="str">
            <v>Hằng</v>
          </cell>
        </row>
        <row r="3016">
          <cell r="D3016" t="str">
            <v>Nguyễn Thế Anh</v>
          </cell>
          <cell r="AF3016" t="str">
            <v>XE00383</v>
          </cell>
          <cell r="AH3016">
            <v>9.02</v>
          </cell>
          <cell r="AW3016" t="str">
            <v>Nguyễn Thế Anh3</v>
          </cell>
          <cell r="AX3016" t="str">
            <v>Hằng</v>
          </cell>
        </row>
        <row r="3017">
          <cell r="D3017" t="str">
            <v>Đặng Văn Thơ</v>
          </cell>
          <cell r="AF3017" t="str">
            <v>XE01700</v>
          </cell>
          <cell r="AH3017">
            <v>9.42</v>
          </cell>
          <cell r="AW3017" t="str">
            <v>Đặng Văn Thơ3</v>
          </cell>
          <cell r="AX3017" t="str">
            <v>Hằng</v>
          </cell>
        </row>
        <row r="3018">
          <cell r="D3018" t="str">
            <v>Nguyễn Mạnh Cường</v>
          </cell>
          <cell r="AF3018" t="str">
            <v>XE01699</v>
          </cell>
          <cell r="AH3018">
            <v>9.42</v>
          </cell>
          <cell r="AW3018" t="str">
            <v>Nguyễn Mạnh Cường3</v>
          </cell>
          <cell r="AX3018" t="str">
            <v>Hằng</v>
          </cell>
        </row>
        <row r="3019">
          <cell r="D3019" t="str">
            <v>Lê Minh Đức</v>
          </cell>
          <cell r="AF3019" t="str">
            <v>XE01688</v>
          </cell>
          <cell r="AH3019">
            <v>10</v>
          </cell>
          <cell r="AW3019" t="str">
            <v>Lê Minh Đức3</v>
          </cell>
          <cell r="AX3019" t="str">
            <v>Hằng</v>
          </cell>
        </row>
        <row r="3020">
          <cell r="D3020" t="str">
            <v>Nguyễn Văn Minh</v>
          </cell>
          <cell r="AF3020" t="str">
            <v>XE01570</v>
          </cell>
          <cell r="AH3020">
            <v>10</v>
          </cell>
          <cell r="AW3020" t="str">
            <v>Nguyễn Văn Minh3</v>
          </cell>
          <cell r="AX3020" t="str">
            <v>Hằng</v>
          </cell>
        </row>
        <row r="3021">
          <cell r="D3021" t="str">
            <v>Nguyễn Văn Minh</v>
          </cell>
          <cell r="AF3021" t="str">
            <v>XE01570</v>
          </cell>
          <cell r="AH3021">
            <v>10</v>
          </cell>
          <cell r="AW3021" t="str">
            <v>Nguyễn Văn Minh4</v>
          </cell>
          <cell r="AX3021" t="str">
            <v>Hằng</v>
          </cell>
        </row>
        <row r="3022">
          <cell r="D3022" t="str">
            <v>Nguyễn Văn Võ</v>
          </cell>
          <cell r="AF3022" t="str">
            <v>XE01230</v>
          </cell>
          <cell r="AH3022">
            <v>9.02</v>
          </cell>
          <cell r="AW3022" t="str">
            <v>Nguyễn Văn Võ1</v>
          </cell>
          <cell r="AX3022" t="str">
            <v>Hằng</v>
          </cell>
        </row>
        <row r="3023">
          <cell r="D3023" t="str">
            <v>Nguyễn Văn Võ</v>
          </cell>
          <cell r="AF3023" t="str">
            <v>XE01230</v>
          </cell>
          <cell r="AH3023">
            <v>8.84</v>
          </cell>
          <cell r="AW3023" t="str">
            <v>Nguyễn Văn Võ2</v>
          </cell>
          <cell r="AX3023" t="str">
            <v>Hằng</v>
          </cell>
        </row>
        <row r="3024">
          <cell r="D3024" t="str">
            <v>Nguyễn Minh Tuấn</v>
          </cell>
          <cell r="AF3024" t="str">
            <v>XE01562</v>
          </cell>
          <cell r="AH3024">
            <v>9.42</v>
          </cell>
          <cell r="AW3024" t="str">
            <v>Nguyễn Minh Tuấn4</v>
          </cell>
          <cell r="AX3024" t="str">
            <v>Hằng</v>
          </cell>
        </row>
        <row r="3025">
          <cell r="D3025" t="str">
            <v>Trần Văn Sơn</v>
          </cell>
          <cell r="AF3025" t="str">
            <v>XE01427</v>
          </cell>
          <cell r="AH3025">
            <v>7.24</v>
          </cell>
          <cell r="AW3025" t="str">
            <v>Trần Văn Sơn4</v>
          </cell>
          <cell r="AX3025" t="str">
            <v>Hằng</v>
          </cell>
        </row>
        <row r="3026">
          <cell r="D3026" t="str">
            <v>Tống Văn Hậu</v>
          </cell>
          <cell r="AF3026" t="str">
            <v>XE01088</v>
          </cell>
          <cell r="AH3026">
            <v>8.44</v>
          </cell>
          <cell r="AW3026" t="str">
            <v>Tống Văn Hậu4</v>
          </cell>
          <cell r="AX3026" t="str">
            <v>Hằng</v>
          </cell>
        </row>
        <row r="3027">
          <cell r="D3027" t="str">
            <v>Nguyễn Đức Tuấn</v>
          </cell>
          <cell r="AF3027" t="str">
            <v>XE00395</v>
          </cell>
          <cell r="AH3027">
            <v>10</v>
          </cell>
          <cell r="AW3027" t="str">
            <v>Nguyễn Đức Tuấn4</v>
          </cell>
          <cell r="AX3027" t="str">
            <v>Hằng</v>
          </cell>
        </row>
        <row r="3028">
          <cell r="D3028" t="str">
            <v>Trần Quốc Toàn</v>
          </cell>
          <cell r="AF3028" t="str">
            <v>XE00901</v>
          </cell>
          <cell r="AH3028">
            <v>10</v>
          </cell>
          <cell r="AW3028" t="str">
            <v>Trần Quốc Toàn4</v>
          </cell>
          <cell r="AX3028" t="str">
            <v>Hằng</v>
          </cell>
        </row>
        <row r="3029">
          <cell r="D3029" t="str">
            <v>Lê Quang Thuỷ</v>
          </cell>
          <cell r="AF3029" t="str">
            <v>XE00557</v>
          </cell>
          <cell r="AH3029">
            <v>9.02</v>
          </cell>
          <cell r="AW3029" t="str">
            <v>Lê Quang Thuỷ4</v>
          </cell>
          <cell r="AX3029" t="str">
            <v>Hằng</v>
          </cell>
        </row>
        <row r="3030">
          <cell r="D3030" t="str">
            <v>Nguyễn Trung Hiếu</v>
          </cell>
          <cell r="AF3030" t="str">
            <v>XE00429</v>
          </cell>
          <cell r="AH3030">
            <v>9.82</v>
          </cell>
          <cell r="AW3030" t="str">
            <v>Nguyễn Trung Hiếu4</v>
          </cell>
          <cell r="AX3030" t="str">
            <v>Hằng</v>
          </cell>
        </row>
        <row r="3031">
          <cell r="D3031" t="str">
            <v>Phạm Công Khánh</v>
          </cell>
          <cell r="AF3031" t="str">
            <v>XE00386</v>
          </cell>
          <cell r="AH3031">
            <v>9.6</v>
          </cell>
          <cell r="AW3031" t="str">
            <v>Phạm Công Khánh4</v>
          </cell>
          <cell r="AX3031" t="str">
            <v>Hằng</v>
          </cell>
        </row>
        <row r="3032">
          <cell r="D3032" t="str">
            <v>Nguyễn Duy Phương</v>
          </cell>
          <cell r="AF3032" t="str">
            <v>XE00308</v>
          </cell>
          <cell r="AH3032">
            <v>9.82</v>
          </cell>
          <cell r="AW3032" t="str">
            <v>Nguyễn Duy Phương4</v>
          </cell>
          <cell r="AX3032" t="str">
            <v>Hằng</v>
          </cell>
        </row>
        <row r="3033">
          <cell r="D3033" t="str">
            <v>Vũ Hoàng Long</v>
          </cell>
          <cell r="AF3033" t="str">
            <v>XE00312</v>
          </cell>
          <cell r="AH3033">
            <v>9.42</v>
          </cell>
          <cell r="AW3033" t="str">
            <v>Vũ Hoàng Long4</v>
          </cell>
          <cell r="AX3033" t="str">
            <v>Hằng</v>
          </cell>
        </row>
        <row r="3034">
          <cell r="D3034" t="str">
            <v>Lê Tuấn Linh</v>
          </cell>
          <cell r="AF3034" t="str">
            <v>XE00869</v>
          </cell>
          <cell r="AH3034">
            <v>9.82</v>
          </cell>
          <cell r="AW3034" t="str">
            <v>Lê Tuấn Linh4</v>
          </cell>
          <cell r="AX3034" t="str">
            <v>Hằng</v>
          </cell>
        </row>
        <row r="3035">
          <cell r="D3035" t="str">
            <v>Nguyễn Tiến Hưng</v>
          </cell>
          <cell r="AF3035" t="str">
            <v>XE00212</v>
          </cell>
          <cell r="AH3035">
            <v>9.6</v>
          </cell>
          <cell r="AW3035" t="str">
            <v>Nguyễn Tiến Hưng4</v>
          </cell>
          <cell r="AX3035" t="str">
            <v>Hằng</v>
          </cell>
        </row>
        <row r="3036">
          <cell r="D3036" t="str">
            <v>Dương Anh Đức</v>
          </cell>
          <cell r="AF3036" t="str">
            <v>XE01441</v>
          </cell>
          <cell r="AH3036">
            <v>10</v>
          </cell>
          <cell r="AW3036" t="str">
            <v>Dương Anh Đức4</v>
          </cell>
          <cell r="AX3036" t="str">
            <v>Hằng</v>
          </cell>
        </row>
        <row r="3037">
          <cell r="D3037" t="str">
            <v>Nguyễn Tuấn Trường</v>
          </cell>
          <cell r="AF3037" t="str">
            <v>XE00161</v>
          </cell>
          <cell r="AH3037">
            <v>9.42</v>
          </cell>
          <cell r="AW3037" t="str">
            <v>Nguyễn Tuấn Trường4</v>
          </cell>
          <cell r="AX3037" t="str">
            <v>Hằng</v>
          </cell>
        </row>
        <row r="3038">
          <cell r="D3038" t="str">
            <v>Lại Thế Thư</v>
          </cell>
          <cell r="AF3038" t="str">
            <v>XE01286</v>
          </cell>
          <cell r="AH3038">
            <v>9.82</v>
          </cell>
          <cell r="AW3038" t="str">
            <v>Lại Thế Thư2</v>
          </cell>
          <cell r="AX3038" t="str">
            <v>Hằng</v>
          </cell>
        </row>
        <row r="3039">
          <cell r="D3039" t="str">
            <v>Lại Thế Thư</v>
          </cell>
          <cell r="AF3039" t="str">
            <v>XE01286</v>
          </cell>
          <cell r="AH3039">
            <v>9.02</v>
          </cell>
          <cell r="AW3039" t="str">
            <v>Lại Thế Thư3</v>
          </cell>
          <cell r="AX3039" t="str">
            <v>Hằng</v>
          </cell>
        </row>
        <row r="3040">
          <cell r="D3040" t="str">
            <v>Đào Duy Nhất</v>
          </cell>
          <cell r="AF3040" t="str">
            <v>XE01062</v>
          </cell>
          <cell r="AH3040">
            <v>10</v>
          </cell>
          <cell r="AW3040" t="str">
            <v>Đào Duy Nhất2</v>
          </cell>
          <cell r="AX3040" t="str">
            <v>Hằng</v>
          </cell>
        </row>
        <row r="3041">
          <cell r="D3041" t="str">
            <v>Đào Duy Nhất</v>
          </cell>
          <cell r="AF3041" t="str">
            <v>XE01062</v>
          </cell>
          <cell r="AH3041">
            <v>10</v>
          </cell>
          <cell r="AW3041" t="str">
            <v>Đào Duy Nhất3</v>
          </cell>
          <cell r="AX3041" t="str">
            <v>Hằng</v>
          </cell>
        </row>
        <row r="3042">
          <cell r="D3042" t="str">
            <v>Lê Thanh Xuân</v>
          </cell>
          <cell r="AF3042" t="str">
            <v>XE01704</v>
          </cell>
          <cell r="AH3042">
            <v>9.42</v>
          </cell>
          <cell r="AW3042" t="str">
            <v>Lê Thanh Xuân4</v>
          </cell>
          <cell r="AX3042" t="str">
            <v>Hằng</v>
          </cell>
        </row>
        <row r="3043">
          <cell r="D3043" t="str">
            <v>Lê Thanh Xuân</v>
          </cell>
          <cell r="AF3043" t="str">
            <v>XE01704</v>
          </cell>
          <cell r="AH3043">
            <v>10</v>
          </cell>
          <cell r="AW3043" t="str">
            <v>Lê Thanh Xuân5</v>
          </cell>
          <cell r="AX3043" t="str">
            <v>Hằng</v>
          </cell>
        </row>
        <row r="3044">
          <cell r="D3044" t="str">
            <v>Lê Hùng Cường</v>
          </cell>
          <cell r="AF3044" t="str">
            <v>XE00188</v>
          </cell>
          <cell r="AH3044">
            <v>9.42</v>
          </cell>
          <cell r="AW3044" t="str">
            <v>Lê Hùng Cường4</v>
          </cell>
          <cell r="AX3044" t="str">
            <v>Hằng</v>
          </cell>
        </row>
        <row r="3045">
          <cell r="D3045" t="str">
            <v>Lê Hùng Cường</v>
          </cell>
          <cell r="AF3045" t="str">
            <v>XE00188</v>
          </cell>
          <cell r="AH3045">
            <v>9.42</v>
          </cell>
          <cell r="AW3045" t="str">
            <v>Lê Hùng Cường5</v>
          </cell>
          <cell r="AX3045" t="str">
            <v>Hằng</v>
          </cell>
        </row>
        <row r="3046">
          <cell r="D3046" t="str">
            <v>Phan Thái Sơn</v>
          </cell>
          <cell r="AF3046" t="str">
            <v>XE00026</v>
          </cell>
          <cell r="AH3046">
            <v>7.82</v>
          </cell>
          <cell r="AW3046" t="str">
            <v>Phan Thái Sơn4</v>
          </cell>
          <cell r="AX3046" t="str">
            <v>Hằng</v>
          </cell>
        </row>
        <row r="3047">
          <cell r="D3047" t="str">
            <v>Phan Thái Sơn</v>
          </cell>
          <cell r="AF3047" t="str">
            <v>XE00026</v>
          </cell>
          <cell r="AH3047">
            <v>9.82</v>
          </cell>
          <cell r="AW3047" t="str">
            <v>Phan Thái Sơn5</v>
          </cell>
          <cell r="AX3047" t="str">
            <v>Hằng</v>
          </cell>
        </row>
        <row r="3048">
          <cell r="D3048" t="str">
            <v>Nguyễn Thiên Mạnh</v>
          </cell>
          <cell r="AF3048" t="str">
            <v>XE01182</v>
          </cell>
          <cell r="AH3048">
            <v>9.02</v>
          </cell>
          <cell r="AW3048" t="str">
            <v>Nguyễn Thiên Mạnh4</v>
          </cell>
          <cell r="AX3048" t="str">
            <v>Hằng</v>
          </cell>
        </row>
        <row r="3049">
          <cell r="D3049" t="str">
            <v>Nguyễn Thiên Mạnh</v>
          </cell>
          <cell r="AF3049" t="str">
            <v>XE01182</v>
          </cell>
          <cell r="AH3049">
            <v>9.82</v>
          </cell>
          <cell r="AW3049" t="str">
            <v>Nguyễn Thiên Mạnh5</v>
          </cell>
          <cell r="AX3049" t="str">
            <v>Hằng</v>
          </cell>
        </row>
        <row r="3050">
          <cell r="D3050" t="str">
            <v>Nguyễn Quốc Thắng</v>
          </cell>
          <cell r="AF3050" t="str">
            <v>XE00495</v>
          </cell>
          <cell r="AH3050">
            <v>9.42</v>
          </cell>
          <cell r="AW3050" t="str">
            <v>Nguyễn Quốc Thắng4</v>
          </cell>
          <cell r="AX3050" t="str">
            <v>Hằng</v>
          </cell>
        </row>
        <row r="3051">
          <cell r="D3051" t="str">
            <v>Lò Văn Dương</v>
          </cell>
          <cell r="AF3051" t="str">
            <v>XE00913</v>
          </cell>
          <cell r="AH3051">
            <v>9.42</v>
          </cell>
          <cell r="AW3051" t="str">
            <v>Lò Văn Dương4</v>
          </cell>
          <cell r="AX3051" t="str">
            <v>Hằng</v>
          </cell>
        </row>
        <row r="3052">
          <cell r="D3052" t="str">
            <v>Lò Văn Dương</v>
          </cell>
          <cell r="AF3052" t="str">
            <v>XE00913</v>
          </cell>
          <cell r="AH3052">
            <v>9.42</v>
          </cell>
          <cell r="AW3052" t="str">
            <v>Lò Văn Dương5</v>
          </cell>
          <cell r="AX3052" t="str">
            <v>Hằng</v>
          </cell>
        </row>
        <row r="3053">
          <cell r="D3053" t="str">
            <v>Nguyễn Việt Cường</v>
          </cell>
          <cell r="AF3053" t="str">
            <v>XE00345</v>
          </cell>
          <cell r="AH3053">
            <v>9.42</v>
          </cell>
          <cell r="AW3053" t="str">
            <v>Nguyễn Việt Cường4</v>
          </cell>
          <cell r="AX3053" t="str">
            <v>Hằng</v>
          </cell>
        </row>
        <row r="3054">
          <cell r="D3054" t="str">
            <v>Nguyễn Việt Cường</v>
          </cell>
          <cell r="AF3054" t="str">
            <v>XE00345</v>
          </cell>
          <cell r="AH3054">
            <v>9.42</v>
          </cell>
          <cell r="AW3054" t="str">
            <v>Nguyễn Việt Cường5</v>
          </cell>
          <cell r="AX3054" t="str">
            <v>Hằng</v>
          </cell>
        </row>
        <row r="3055">
          <cell r="D3055" t="str">
            <v>Nguyễn Thế Anh</v>
          </cell>
          <cell r="AF3055" t="str">
            <v>XE00383</v>
          </cell>
          <cell r="AH3055">
            <v>9.02</v>
          </cell>
          <cell r="AW3055" t="str">
            <v>Nguyễn Thế Anh4</v>
          </cell>
          <cell r="AX3055" t="str">
            <v>Hằng</v>
          </cell>
        </row>
        <row r="3056">
          <cell r="D3056" t="str">
            <v>Nguyễn Thế Anh</v>
          </cell>
          <cell r="AF3056" t="str">
            <v>XE00383</v>
          </cell>
          <cell r="AH3056">
            <v>9.02</v>
          </cell>
          <cell r="AW3056" t="str">
            <v>Nguyễn Thế Anh5</v>
          </cell>
          <cell r="AX3056" t="str">
            <v>Hằng</v>
          </cell>
        </row>
        <row r="3057">
          <cell r="D3057" t="str">
            <v>Đặng Văn Thơ</v>
          </cell>
          <cell r="AF3057" t="str">
            <v>XE01700</v>
          </cell>
          <cell r="AH3057">
            <v>9.82</v>
          </cell>
          <cell r="AW3057" t="str">
            <v>Đặng Văn Thơ4</v>
          </cell>
          <cell r="AX3057" t="str">
            <v>Hằng</v>
          </cell>
        </row>
        <row r="3058">
          <cell r="D3058" t="str">
            <v>Đặng Văn Thơ</v>
          </cell>
          <cell r="AF3058" t="str">
            <v>XE01700</v>
          </cell>
          <cell r="AH3058">
            <v>9.02</v>
          </cell>
          <cell r="AW3058" t="str">
            <v>Đặng Văn Thơ5</v>
          </cell>
          <cell r="AX3058" t="str">
            <v>Hằng</v>
          </cell>
        </row>
        <row r="3059">
          <cell r="D3059" t="str">
            <v>Nguyễn Mạnh Cường</v>
          </cell>
          <cell r="AF3059" t="str">
            <v>XE01699</v>
          </cell>
          <cell r="AH3059">
            <v>9.42</v>
          </cell>
          <cell r="AW3059" t="str">
            <v>Nguyễn Mạnh Cường4</v>
          </cell>
          <cell r="AX3059" t="str">
            <v>Hằng</v>
          </cell>
        </row>
        <row r="3060">
          <cell r="D3060" t="str">
            <v>Nguyễn Mạnh Cường</v>
          </cell>
          <cell r="AF3060" t="str">
            <v>XE01699</v>
          </cell>
          <cell r="AH3060">
            <v>10</v>
          </cell>
          <cell r="AW3060" t="str">
            <v>Nguyễn Mạnh Cường5</v>
          </cell>
          <cell r="AX3060" t="str">
            <v>Hằng</v>
          </cell>
        </row>
        <row r="3061">
          <cell r="D3061" t="str">
            <v>Lê Minh Đức</v>
          </cell>
          <cell r="AF3061" t="str">
            <v>XE01688</v>
          </cell>
          <cell r="AH3061">
            <v>10</v>
          </cell>
          <cell r="AW3061" t="str">
            <v>Lê Minh Đức4</v>
          </cell>
          <cell r="AX3061" t="str">
            <v>Hằng</v>
          </cell>
        </row>
        <row r="3062">
          <cell r="D3062" t="str">
            <v>Lê Minh Đức</v>
          </cell>
          <cell r="AF3062" t="str">
            <v>XE01688</v>
          </cell>
          <cell r="AH3062">
            <v>8.6199999999999992</v>
          </cell>
          <cell r="AW3062" t="str">
            <v>Lê Minh Đức5</v>
          </cell>
          <cell r="AX3062" t="str">
            <v>Hằng</v>
          </cell>
        </row>
        <row r="3063">
          <cell r="D3063" t="str">
            <v>Nguyễn Văn Minh</v>
          </cell>
          <cell r="AF3063" t="str">
            <v>XE01570</v>
          </cell>
          <cell r="AH3063">
            <v>8.44</v>
          </cell>
          <cell r="AW3063" t="str">
            <v>Nguyễn Văn Minh5</v>
          </cell>
          <cell r="AX3063" t="str">
            <v>Hằng</v>
          </cell>
        </row>
        <row r="3064">
          <cell r="D3064" t="str">
            <v>Nguyễn Minh Tuấn</v>
          </cell>
          <cell r="AF3064" t="str">
            <v>XE01562</v>
          </cell>
          <cell r="AH3064">
            <v>9.42</v>
          </cell>
          <cell r="AW3064" t="str">
            <v>Nguyễn Minh Tuấn5</v>
          </cell>
          <cell r="AX3064" t="str">
            <v>Hằng</v>
          </cell>
        </row>
        <row r="3065">
          <cell r="D3065" t="str">
            <v>Trần Văn Sơn</v>
          </cell>
          <cell r="AF3065" t="str">
            <v>XE01427</v>
          </cell>
          <cell r="AH3065">
            <v>7.22</v>
          </cell>
          <cell r="AW3065" t="str">
            <v>Trần Văn Sơn5</v>
          </cell>
          <cell r="AX3065" t="str">
            <v>Hằng</v>
          </cell>
        </row>
        <row r="3066">
          <cell r="D3066" t="str">
            <v>Tống Văn Hậu</v>
          </cell>
          <cell r="AF3066" t="str">
            <v>XE01088</v>
          </cell>
          <cell r="AH3066">
            <v>9.82</v>
          </cell>
          <cell r="AW3066" t="str">
            <v>Tống Văn Hậu5</v>
          </cell>
          <cell r="AX3066" t="str">
            <v>Hằng</v>
          </cell>
        </row>
        <row r="3067">
          <cell r="D3067" t="str">
            <v>Nguyễn Đức Tuấn</v>
          </cell>
          <cell r="AF3067" t="str">
            <v>XE00395</v>
          </cell>
          <cell r="AH3067">
            <v>9.42</v>
          </cell>
          <cell r="AW3067" t="str">
            <v>Nguyễn Đức Tuấn5</v>
          </cell>
          <cell r="AX3067" t="str">
            <v>Hằng</v>
          </cell>
        </row>
        <row r="3068">
          <cell r="D3068" t="str">
            <v>Trần Quốc Toàn</v>
          </cell>
          <cell r="AF3068" t="str">
            <v>XE00901</v>
          </cell>
          <cell r="AH3068">
            <v>10</v>
          </cell>
          <cell r="AW3068" t="str">
            <v>Trần Quốc Toàn5</v>
          </cell>
          <cell r="AX3068" t="str">
            <v>Hằng</v>
          </cell>
        </row>
        <row r="3069">
          <cell r="D3069" t="str">
            <v>Lê Quang Thuỷ</v>
          </cell>
          <cell r="AF3069" t="str">
            <v>XE00557</v>
          </cell>
          <cell r="AH3069">
            <v>8.4400000000000013</v>
          </cell>
          <cell r="AW3069" t="str">
            <v>Lê Quang Thuỷ5</v>
          </cell>
          <cell r="AX3069" t="str">
            <v>Hằng</v>
          </cell>
        </row>
        <row r="3070">
          <cell r="D3070" t="str">
            <v>Nguyễn Trung Hiếu</v>
          </cell>
          <cell r="AF3070" t="str">
            <v>XE00429</v>
          </cell>
          <cell r="AH3070">
            <v>9.82</v>
          </cell>
          <cell r="AW3070" t="str">
            <v>Nguyễn Trung Hiếu5</v>
          </cell>
          <cell r="AX3070" t="str">
            <v>Hằng</v>
          </cell>
        </row>
        <row r="3071">
          <cell r="D3071" t="str">
            <v>Phạm Công Khánh</v>
          </cell>
          <cell r="AF3071" t="str">
            <v>XE00386</v>
          </cell>
          <cell r="AH3071">
            <v>10</v>
          </cell>
          <cell r="AW3071" t="str">
            <v>Phạm Công Khánh5</v>
          </cell>
          <cell r="AX3071" t="str">
            <v>Hằng</v>
          </cell>
        </row>
        <row r="3072">
          <cell r="D3072" t="str">
            <v>Nguyễn Duy Phương</v>
          </cell>
          <cell r="AF3072" t="str">
            <v>XE00308</v>
          </cell>
          <cell r="AH3072">
            <v>10</v>
          </cell>
          <cell r="AW3072" t="str">
            <v>Nguyễn Duy Phương5</v>
          </cell>
          <cell r="AX3072" t="str">
            <v>Hằng</v>
          </cell>
        </row>
        <row r="3073">
          <cell r="D3073" t="str">
            <v>Vũ Hoàng Long</v>
          </cell>
          <cell r="AF3073" t="str">
            <v>XE00312</v>
          </cell>
          <cell r="AH3073">
            <v>9.42</v>
          </cell>
          <cell r="AW3073" t="str">
            <v>Vũ Hoàng Long5</v>
          </cell>
          <cell r="AX3073" t="str">
            <v>Hằng</v>
          </cell>
        </row>
        <row r="3074">
          <cell r="D3074" t="str">
            <v>Lê Tuấn Linh</v>
          </cell>
          <cell r="AF3074" t="str">
            <v>XE00869</v>
          </cell>
          <cell r="AH3074">
            <v>9.82</v>
          </cell>
          <cell r="AW3074" t="str">
            <v>Lê Tuấn Linh5</v>
          </cell>
          <cell r="AX3074" t="str">
            <v>Hằng</v>
          </cell>
        </row>
        <row r="3075">
          <cell r="D3075" t="str">
            <v>Nguyễn Tiến Hưng</v>
          </cell>
          <cell r="AF3075" t="str">
            <v>XE00212</v>
          </cell>
          <cell r="AH3075">
            <v>9.02</v>
          </cell>
          <cell r="AW3075" t="str">
            <v>Nguyễn Tiến Hưng5</v>
          </cell>
          <cell r="AX3075" t="str">
            <v>Hằng</v>
          </cell>
        </row>
        <row r="3076">
          <cell r="D3076" t="str">
            <v>Dương Anh Đức</v>
          </cell>
          <cell r="AF3076" t="str">
            <v>XE01441</v>
          </cell>
          <cell r="AH3076">
            <v>8.4</v>
          </cell>
          <cell r="AW3076" t="str">
            <v>Dương Anh Đức5</v>
          </cell>
          <cell r="AX3076" t="str">
            <v>Hằng</v>
          </cell>
        </row>
        <row r="3077">
          <cell r="D3077" t="str">
            <v>Nguyễn Tuấn Trường</v>
          </cell>
          <cell r="AF3077" t="str">
            <v>XE00161</v>
          </cell>
          <cell r="AH3077">
            <v>9.82</v>
          </cell>
          <cell r="AW3077" t="str">
            <v>Nguyễn Tuấn Trường5</v>
          </cell>
          <cell r="AX3077" t="str">
            <v>Hằng</v>
          </cell>
        </row>
        <row r="3078">
          <cell r="D3078" t="str">
            <v>Nguyễn Văn Võ</v>
          </cell>
          <cell r="AF3078" t="str">
            <v>XE01230</v>
          </cell>
          <cell r="AH3078">
            <v>9.82</v>
          </cell>
          <cell r="AW3078" t="str">
            <v>Nguyễn Văn Võ3</v>
          </cell>
          <cell r="AX3078" t="str">
            <v>Hằng</v>
          </cell>
        </row>
        <row r="3079">
          <cell r="D3079" t="str">
            <v>Nguyễn Văn Võ</v>
          </cell>
          <cell r="AF3079" t="str">
            <v>XE01230</v>
          </cell>
          <cell r="AH3079">
            <v>9.82</v>
          </cell>
          <cell r="AW3079" t="str">
            <v>Nguyễn Văn Võ4</v>
          </cell>
          <cell r="AX3079" t="str">
            <v>Hằng</v>
          </cell>
        </row>
        <row r="3080">
          <cell r="D3080" t="str">
            <v>Nguyễn Minh Tuấn</v>
          </cell>
          <cell r="AF3080" t="str">
            <v>XE01562</v>
          </cell>
          <cell r="AH3080">
            <v>9.02</v>
          </cell>
          <cell r="AW3080" t="str">
            <v>Nguyễn Minh Tuấn6</v>
          </cell>
          <cell r="AX3080" t="str">
            <v>Hằng</v>
          </cell>
        </row>
        <row r="3081">
          <cell r="D3081" t="str">
            <v>Trần Văn Sơn</v>
          </cell>
          <cell r="AF3081" t="str">
            <v>XE01427</v>
          </cell>
          <cell r="AH3081">
            <v>9.82</v>
          </cell>
          <cell r="AW3081" t="str">
            <v>Trần Văn Sơn6</v>
          </cell>
          <cell r="AX3081" t="str">
            <v>Hằng</v>
          </cell>
        </row>
        <row r="3082">
          <cell r="D3082" t="str">
            <v>Tống Văn Hậu</v>
          </cell>
          <cell r="AF3082" t="str">
            <v>XE01088</v>
          </cell>
          <cell r="AH3082">
            <v>9.02</v>
          </cell>
          <cell r="AW3082" t="str">
            <v>Tống Văn Hậu6</v>
          </cell>
          <cell r="AX3082" t="str">
            <v>Hằng</v>
          </cell>
        </row>
        <row r="3083">
          <cell r="D3083" t="str">
            <v>Nguyễn Đức Tuấn</v>
          </cell>
          <cell r="AF3083" t="str">
            <v>XE00395</v>
          </cell>
          <cell r="AH3083">
            <v>9.82</v>
          </cell>
          <cell r="AW3083" t="str">
            <v>Nguyễn Đức Tuấn6</v>
          </cell>
          <cell r="AX3083" t="str">
            <v>Hằng</v>
          </cell>
        </row>
        <row r="3084">
          <cell r="D3084" t="str">
            <v>Lê Quang Thuỷ</v>
          </cell>
          <cell r="AF3084" t="str">
            <v>XE00557</v>
          </cell>
          <cell r="AH3084">
            <v>9.42</v>
          </cell>
          <cell r="AW3084" t="str">
            <v>Lê Quang Thuỷ6</v>
          </cell>
          <cell r="AX3084" t="str">
            <v>Hằng</v>
          </cell>
        </row>
        <row r="3085">
          <cell r="D3085" t="str">
            <v>Nguyễn Trung Hiếu</v>
          </cell>
          <cell r="AF3085" t="str">
            <v>XE00429</v>
          </cell>
          <cell r="AH3085">
            <v>9.42</v>
          </cell>
          <cell r="AW3085" t="str">
            <v>Nguyễn Trung Hiếu6</v>
          </cell>
          <cell r="AX3085" t="str">
            <v>Hằng</v>
          </cell>
        </row>
        <row r="3086">
          <cell r="D3086" t="str">
            <v>Phạm Công Khánh</v>
          </cell>
          <cell r="AF3086" t="str">
            <v>XE00386</v>
          </cell>
          <cell r="AH3086">
            <v>9.42</v>
          </cell>
          <cell r="AW3086" t="str">
            <v>Phạm Công Khánh6</v>
          </cell>
          <cell r="AX3086" t="str">
            <v>Hằng</v>
          </cell>
        </row>
        <row r="3087">
          <cell r="D3087" t="str">
            <v>Vũ Hoàng Long</v>
          </cell>
          <cell r="AF3087" t="str">
            <v>XE00312</v>
          </cell>
          <cell r="AH3087">
            <v>9.42</v>
          </cell>
          <cell r="AW3087" t="str">
            <v>Vũ Hoàng Long6</v>
          </cell>
          <cell r="AX3087" t="str">
            <v>Hằng</v>
          </cell>
        </row>
        <row r="3088">
          <cell r="D3088" t="str">
            <v>Lê Tuấn Linh</v>
          </cell>
          <cell r="AF3088" t="str">
            <v>XE00869</v>
          </cell>
          <cell r="AH3088">
            <v>9.82</v>
          </cell>
          <cell r="AW3088" t="str">
            <v>Lê Tuấn Linh6</v>
          </cell>
          <cell r="AX3088" t="str">
            <v>Hằng</v>
          </cell>
        </row>
        <row r="3089">
          <cell r="D3089" t="str">
            <v>Nguyễn Tiến Hưng</v>
          </cell>
          <cell r="AF3089" t="str">
            <v>XE00212</v>
          </cell>
          <cell r="AH3089">
            <v>9.82</v>
          </cell>
          <cell r="AW3089" t="str">
            <v>Nguyễn Tiến Hưng6</v>
          </cell>
          <cell r="AX3089" t="str">
            <v>Hằng</v>
          </cell>
        </row>
        <row r="3090">
          <cell r="D3090" t="str">
            <v>Dương Anh Đức</v>
          </cell>
          <cell r="AF3090" t="str">
            <v>XE01441</v>
          </cell>
          <cell r="AH3090">
            <v>9.82</v>
          </cell>
          <cell r="AW3090" t="str">
            <v>Dương Anh Đức6</v>
          </cell>
          <cell r="AX3090" t="str">
            <v>Hằng</v>
          </cell>
        </row>
        <row r="3091">
          <cell r="D3091" t="str">
            <v>Nguyễn Tuấn Trường</v>
          </cell>
          <cell r="AF3091" t="str">
            <v>XE00161</v>
          </cell>
          <cell r="AH3091">
            <v>9.42</v>
          </cell>
          <cell r="AW3091" t="str">
            <v>Nguyễn Tuấn Trường6</v>
          </cell>
          <cell r="AX3091" t="str">
            <v>Hằng</v>
          </cell>
        </row>
        <row r="3092">
          <cell r="D3092" t="str">
            <v>Bùi Mạnh Hùng</v>
          </cell>
          <cell r="AF3092" t="str">
            <v>XE00978</v>
          </cell>
          <cell r="AH3092">
            <v>9.82</v>
          </cell>
          <cell r="AW3092" t="str">
            <v>Bùi Mạnh Hùng2</v>
          </cell>
          <cell r="AX3092" t="str">
            <v>Hằng</v>
          </cell>
        </row>
        <row r="3093">
          <cell r="D3093" t="str">
            <v>Bùi Mạnh Hùng</v>
          </cell>
          <cell r="AF3093" t="str">
            <v>XE00978</v>
          </cell>
          <cell r="AH3093">
            <v>8.0399999999999991</v>
          </cell>
          <cell r="AW3093" t="str">
            <v>Bùi Mạnh Hùng3</v>
          </cell>
          <cell r="AX3093" t="str">
            <v>Hằng</v>
          </cell>
        </row>
        <row r="3094">
          <cell r="D3094" t="str">
            <v>Lại Thế Thư</v>
          </cell>
          <cell r="AF3094" t="str">
            <v>XE01286</v>
          </cell>
          <cell r="AH3094">
            <v>9.82</v>
          </cell>
          <cell r="AW3094" t="str">
            <v>Lại Thế Thư4</v>
          </cell>
          <cell r="AX3094" t="str">
            <v>Hằng</v>
          </cell>
        </row>
        <row r="3095">
          <cell r="D3095" t="str">
            <v>Lại Thế Thư</v>
          </cell>
          <cell r="AF3095" t="str">
            <v>XE01286</v>
          </cell>
          <cell r="AH3095">
            <v>9.6199999999999992</v>
          </cell>
          <cell r="AW3095" t="str">
            <v>Lại Thế Thư5</v>
          </cell>
          <cell r="AX3095" t="str">
            <v>Hằng</v>
          </cell>
        </row>
        <row r="3096">
          <cell r="D3096" t="str">
            <v>Đào Duy Nhất</v>
          </cell>
          <cell r="AF3096" t="str">
            <v>XE01062</v>
          </cell>
          <cell r="AH3096">
            <v>9.42</v>
          </cell>
          <cell r="AW3096" t="str">
            <v>Đào Duy Nhất4</v>
          </cell>
          <cell r="AX3096" t="str">
            <v>Hằng</v>
          </cell>
        </row>
        <row r="3097">
          <cell r="D3097" t="str">
            <v>Đào Duy Nhất</v>
          </cell>
          <cell r="AF3097" t="str">
            <v>XE01062</v>
          </cell>
          <cell r="AH3097">
            <v>9.42</v>
          </cell>
          <cell r="AW3097" t="str">
            <v>Đào Duy Nhất5</v>
          </cell>
          <cell r="AX3097" t="str">
            <v>Hằng</v>
          </cell>
        </row>
        <row r="3098">
          <cell r="D3098" t="str">
            <v>Lê Thanh Xuân</v>
          </cell>
          <cell r="AF3098" t="str">
            <v>XE01704</v>
          </cell>
          <cell r="AH3098">
            <v>9.82</v>
          </cell>
          <cell r="AW3098" t="str">
            <v>Lê Thanh Xuân6</v>
          </cell>
          <cell r="AX3098" t="str">
            <v>Hằng</v>
          </cell>
        </row>
        <row r="3099">
          <cell r="D3099" t="str">
            <v>Lê Thanh Xuân</v>
          </cell>
          <cell r="AF3099" t="str">
            <v>XE01704</v>
          </cell>
          <cell r="AH3099">
            <v>9.42</v>
          </cell>
          <cell r="AW3099" t="str">
            <v>Lê Thanh Xuân7</v>
          </cell>
          <cell r="AX3099" t="str">
            <v>Hằng</v>
          </cell>
        </row>
        <row r="3100">
          <cell r="D3100" t="str">
            <v>Lê Hùng Cường</v>
          </cell>
          <cell r="AF3100" t="str">
            <v>XE00188</v>
          </cell>
          <cell r="AH3100">
            <v>7.6400000000000006</v>
          </cell>
          <cell r="AW3100" t="str">
            <v>Lê Hùng Cường6</v>
          </cell>
          <cell r="AX3100" t="str">
            <v>Hằng</v>
          </cell>
        </row>
        <row r="3101">
          <cell r="D3101" t="str">
            <v>Lê Hùng Cường</v>
          </cell>
          <cell r="AF3101" t="str">
            <v>XE00188</v>
          </cell>
          <cell r="AH3101">
            <v>8.84</v>
          </cell>
          <cell r="AW3101" t="str">
            <v>Lê Hùng Cường7</v>
          </cell>
          <cell r="AX3101" t="str">
            <v>Hằng</v>
          </cell>
        </row>
        <row r="3102">
          <cell r="D3102" t="str">
            <v>Phan Thái Sơn</v>
          </cell>
          <cell r="AF3102" t="str">
            <v>XE00026</v>
          </cell>
          <cell r="AH3102">
            <v>9.42</v>
          </cell>
          <cell r="AW3102" t="str">
            <v>Phan Thái Sơn6</v>
          </cell>
          <cell r="AX3102" t="str">
            <v>Hằng</v>
          </cell>
        </row>
        <row r="3103">
          <cell r="D3103" t="str">
            <v>Phan Thái Sơn</v>
          </cell>
          <cell r="AF3103" t="str">
            <v>XE00026</v>
          </cell>
          <cell r="AH3103">
            <v>9.02</v>
          </cell>
          <cell r="AW3103" t="str">
            <v>Phan Thái Sơn7</v>
          </cell>
          <cell r="AX3103" t="str">
            <v>Hằng</v>
          </cell>
        </row>
        <row r="3104">
          <cell r="D3104" t="str">
            <v>Lò Văn Dương</v>
          </cell>
          <cell r="AF3104" t="str">
            <v>XE00913</v>
          </cell>
          <cell r="AH3104">
            <v>9.82</v>
          </cell>
          <cell r="AW3104" t="str">
            <v>Lò Văn Dương6</v>
          </cell>
          <cell r="AX3104" t="str">
            <v>Hằng</v>
          </cell>
        </row>
        <row r="3105">
          <cell r="D3105" t="str">
            <v>Lò Văn Dương</v>
          </cell>
          <cell r="AF3105" t="str">
            <v>XE00913</v>
          </cell>
          <cell r="AH3105">
            <v>9.82</v>
          </cell>
          <cell r="AW3105" t="str">
            <v>Lò Văn Dương7</v>
          </cell>
          <cell r="AX3105" t="str">
            <v>Hằng</v>
          </cell>
        </row>
        <row r="3106">
          <cell r="D3106" t="str">
            <v>Nguyễn Việt Cường</v>
          </cell>
          <cell r="AF3106" t="str">
            <v>XE00345</v>
          </cell>
          <cell r="AH3106">
            <v>9.02</v>
          </cell>
          <cell r="AW3106" t="str">
            <v>Nguyễn Việt Cường6</v>
          </cell>
          <cell r="AX3106" t="str">
            <v>Hằng</v>
          </cell>
        </row>
        <row r="3107">
          <cell r="D3107" t="str">
            <v>Nguyễn Việt Cường</v>
          </cell>
          <cell r="AF3107" t="str">
            <v>XE00345</v>
          </cell>
          <cell r="AH3107">
            <v>8.2200000000000006</v>
          </cell>
          <cell r="AW3107" t="str">
            <v>Nguyễn Việt Cường7</v>
          </cell>
          <cell r="AX3107" t="str">
            <v>Hằng</v>
          </cell>
        </row>
        <row r="3108">
          <cell r="D3108" t="str">
            <v>Nguyễn Thế Anh</v>
          </cell>
          <cell r="AF3108" t="str">
            <v>XE00383</v>
          </cell>
          <cell r="AH3108">
            <v>9.82</v>
          </cell>
          <cell r="AW3108" t="str">
            <v>Nguyễn Thế Anh6</v>
          </cell>
          <cell r="AX3108" t="str">
            <v>Hằng</v>
          </cell>
        </row>
        <row r="3109">
          <cell r="D3109" t="str">
            <v>Nguyễn Thế Anh</v>
          </cell>
          <cell r="AF3109" t="str">
            <v>XE00383</v>
          </cell>
          <cell r="AH3109">
            <v>8.84</v>
          </cell>
          <cell r="AW3109" t="str">
            <v>Nguyễn Thế Anh7</v>
          </cell>
          <cell r="AX3109" t="str">
            <v>Hằng</v>
          </cell>
        </row>
        <row r="3110">
          <cell r="D3110" t="str">
            <v>Đặng Văn Thơ</v>
          </cell>
          <cell r="AF3110" t="str">
            <v>XE01700</v>
          </cell>
          <cell r="AH3110">
            <v>9.42</v>
          </cell>
          <cell r="AW3110" t="str">
            <v>Đặng Văn Thơ6</v>
          </cell>
          <cell r="AX3110" t="str">
            <v>Hằng</v>
          </cell>
        </row>
        <row r="3111">
          <cell r="D3111" t="str">
            <v>Đặng Văn Thơ</v>
          </cell>
          <cell r="AF3111" t="str">
            <v>XE01700</v>
          </cell>
          <cell r="AH3111">
            <v>9.82</v>
          </cell>
          <cell r="AW3111" t="str">
            <v>Đặng Văn Thơ7</v>
          </cell>
          <cell r="AX3111" t="str">
            <v>Hằng</v>
          </cell>
        </row>
        <row r="3112">
          <cell r="D3112" t="str">
            <v>Nguyễn Mạnh Cường</v>
          </cell>
          <cell r="AF3112" t="str">
            <v>XE01699</v>
          </cell>
          <cell r="AH3112">
            <v>9.82</v>
          </cell>
          <cell r="AW3112" t="str">
            <v>Nguyễn Mạnh Cường6</v>
          </cell>
          <cell r="AX3112" t="str">
            <v>Hằng</v>
          </cell>
        </row>
        <row r="3113">
          <cell r="D3113" t="str">
            <v>Nguyễn Mạnh Cường</v>
          </cell>
          <cell r="AF3113" t="str">
            <v>XE01699</v>
          </cell>
          <cell r="AH3113">
            <v>9.42</v>
          </cell>
          <cell r="AW3113" t="str">
            <v>Nguyễn Mạnh Cường7</v>
          </cell>
          <cell r="AX3113" t="str">
            <v>Hằng</v>
          </cell>
        </row>
        <row r="3114">
          <cell r="D3114" t="str">
            <v>Lê Minh Đức</v>
          </cell>
          <cell r="AF3114" t="str">
            <v>XE01688</v>
          </cell>
          <cell r="AH3114">
            <v>9.82</v>
          </cell>
          <cell r="AW3114" t="str">
            <v>Lê Minh Đức6</v>
          </cell>
          <cell r="AX3114" t="str">
            <v>Hằng</v>
          </cell>
        </row>
        <row r="3115">
          <cell r="D3115" t="str">
            <v>Lê Minh Đức</v>
          </cell>
          <cell r="AF3115" t="str">
            <v>XE01688</v>
          </cell>
          <cell r="AH3115">
            <v>9.02</v>
          </cell>
          <cell r="AW3115" t="str">
            <v>Lê Minh Đức7</v>
          </cell>
          <cell r="AX3115" t="str">
            <v>Hằng</v>
          </cell>
        </row>
        <row r="3116">
          <cell r="D3116" t="str">
            <v>Nguyễn Văn Minh</v>
          </cell>
          <cell r="AF3116" t="str">
            <v>XE01570</v>
          </cell>
          <cell r="AH3116">
            <v>9.82</v>
          </cell>
          <cell r="AW3116" t="str">
            <v>Nguyễn Văn Minh6</v>
          </cell>
          <cell r="AX3116" t="str">
            <v>Hằng</v>
          </cell>
        </row>
        <row r="3117">
          <cell r="D3117" t="str">
            <v>Nguyễn Văn Minh</v>
          </cell>
          <cell r="AF3117" t="str">
            <v>XE01570</v>
          </cell>
          <cell r="AH3117">
            <v>9.82</v>
          </cell>
          <cell r="AW3117" t="str">
            <v>Nguyễn Văn Minh7</v>
          </cell>
          <cell r="AX3117" t="str">
            <v>Hằng</v>
          </cell>
        </row>
        <row r="3118">
          <cell r="D3118" t="str">
            <v>Tống Văn Hậu</v>
          </cell>
          <cell r="AF3118" t="str">
            <v>XE01088</v>
          </cell>
          <cell r="AH3118">
            <v>9.02</v>
          </cell>
          <cell r="AW3118" t="str">
            <v>Tống Văn Hậu7</v>
          </cell>
          <cell r="AX3118" t="str">
            <v>Hằng</v>
          </cell>
        </row>
        <row r="3119">
          <cell r="D3119" t="str">
            <v>Nguyễn Đức Tuấn</v>
          </cell>
          <cell r="AF3119" t="str">
            <v>XE00395</v>
          </cell>
          <cell r="AH3119">
            <v>9.82</v>
          </cell>
          <cell r="AW3119" t="str">
            <v>Nguyễn Đức Tuấn7</v>
          </cell>
          <cell r="AX3119" t="str">
            <v>Hằng</v>
          </cell>
        </row>
        <row r="3120">
          <cell r="D3120" t="str">
            <v>Lê Quang Thuỷ</v>
          </cell>
          <cell r="AF3120" t="str">
            <v>XE00557</v>
          </cell>
          <cell r="AH3120">
            <v>9.42</v>
          </cell>
          <cell r="AW3120" t="str">
            <v>Lê Quang Thuỷ7</v>
          </cell>
          <cell r="AX3120" t="str">
            <v>Hằng</v>
          </cell>
        </row>
        <row r="3121">
          <cell r="D3121" t="str">
            <v>Nguyễn Trung Hiếu</v>
          </cell>
          <cell r="AF3121" t="str">
            <v>XE00429</v>
          </cell>
          <cell r="AH3121">
            <v>7.82</v>
          </cell>
          <cell r="AW3121" t="str">
            <v>Nguyễn Trung Hiếu7</v>
          </cell>
          <cell r="AX3121" t="str">
            <v>Hằng</v>
          </cell>
        </row>
        <row r="3122">
          <cell r="D3122" t="str">
            <v>Phạm Công Khánh</v>
          </cell>
          <cell r="AF3122" t="str">
            <v>XE00386</v>
          </cell>
          <cell r="AH3122">
            <v>9.82</v>
          </cell>
          <cell r="AW3122" t="str">
            <v>Phạm Công Khánh7</v>
          </cell>
          <cell r="AX3122" t="str">
            <v>Hằng</v>
          </cell>
        </row>
        <row r="3123">
          <cell r="D3123" t="str">
            <v>Vũ Hoàng Long</v>
          </cell>
          <cell r="AF3123" t="str">
            <v>XE00312</v>
          </cell>
          <cell r="AH3123">
            <v>9.42</v>
          </cell>
          <cell r="AW3123" t="str">
            <v>Vũ Hoàng Long7</v>
          </cell>
          <cell r="AX3123" t="str">
            <v>Hằng</v>
          </cell>
        </row>
        <row r="3124">
          <cell r="D3124" t="str">
            <v>Nguyễn Tiến Hưng</v>
          </cell>
          <cell r="AF3124" t="str">
            <v>XE00212</v>
          </cell>
          <cell r="AH3124">
            <v>9.02</v>
          </cell>
          <cell r="AW3124" t="str">
            <v>Nguyễn Tiến Hưng7</v>
          </cell>
          <cell r="AX3124" t="str">
            <v>Hằng</v>
          </cell>
        </row>
        <row r="3125">
          <cell r="D3125" t="str">
            <v>Lê Tuấn Linh</v>
          </cell>
          <cell r="AF3125" t="str">
            <v>XE00869</v>
          </cell>
          <cell r="AH3125">
            <v>8.44</v>
          </cell>
          <cell r="AW3125" t="str">
            <v>Lê Tuấn Linh7</v>
          </cell>
          <cell r="AX3125" t="str">
            <v>Hằng</v>
          </cell>
        </row>
        <row r="3126">
          <cell r="D3126" t="str">
            <v>Dương Anh Đức</v>
          </cell>
          <cell r="AF3126" t="str">
            <v>XE01441</v>
          </cell>
          <cell r="AH3126">
            <v>9.42</v>
          </cell>
          <cell r="AW3126" t="str">
            <v>Dương Anh Đức7</v>
          </cell>
          <cell r="AX3126" t="str">
            <v>Hằng</v>
          </cell>
        </row>
        <row r="3127">
          <cell r="D3127" t="str">
            <v>Nguyễn Tuấn Trường</v>
          </cell>
          <cell r="AF3127" t="str">
            <v>XE00161</v>
          </cell>
          <cell r="AH3127">
            <v>10</v>
          </cell>
          <cell r="AW3127" t="str">
            <v>Nguyễn Tuấn Trường7</v>
          </cell>
          <cell r="AX3127" t="str">
            <v>Hằng</v>
          </cell>
        </row>
        <row r="3128">
          <cell r="D3128" t="str">
            <v>Nguyễn Hùng Cường</v>
          </cell>
          <cell r="AF3128" t="str">
            <v>XE01333</v>
          </cell>
          <cell r="AH3128">
            <v>9.42</v>
          </cell>
          <cell r="AW3128" t="str">
            <v>Nguyễn Hùng Cường2</v>
          </cell>
          <cell r="AX3128" t="str">
            <v>Hằng</v>
          </cell>
        </row>
        <row r="3129">
          <cell r="D3129" t="str">
            <v>Nguyễn Hùng Cường</v>
          </cell>
          <cell r="AF3129" t="str">
            <v>XE01333</v>
          </cell>
          <cell r="AH3129">
            <v>9.42</v>
          </cell>
          <cell r="AW3129" t="str">
            <v>Nguyễn Hùng Cường3</v>
          </cell>
          <cell r="AX3129" t="str">
            <v>Hằng</v>
          </cell>
        </row>
        <row r="3130">
          <cell r="D3130" t="str">
            <v>Nguyễn Văn Thành</v>
          </cell>
          <cell r="AF3130" t="str">
            <v>XE01278</v>
          </cell>
          <cell r="AH3130">
            <v>9.02</v>
          </cell>
          <cell r="AW3130" t="str">
            <v>Nguyễn Văn Thành4</v>
          </cell>
          <cell r="AX3130" t="str">
            <v>Hằng</v>
          </cell>
        </row>
        <row r="3131">
          <cell r="D3131" t="str">
            <v>Nguyễn Văn Thành</v>
          </cell>
          <cell r="AF3131" t="str">
            <v>XE01278</v>
          </cell>
          <cell r="AH3131">
            <v>9.82</v>
          </cell>
          <cell r="AW3131" t="str">
            <v>Nguyễn Văn Thành5</v>
          </cell>
          <cell r="AX3131" t="str">
            <v>Hằng</v>
          </cell>
        </row>
        <row r="3132">
          <cell r="D3132" t="str">
            <v>Nguyễn Văn Võ</v>
          </cell>
          <cell r="AF3132" t="str">
            <v>XE01230</v>
          </cell>
          <cell r="AH3132">
            <v>9.42</v>
          </cell>
          <cell r="AW3132" t="str">
            <v>Nguyễn Văn Võ5</v>
          </cell>
          <cell r="AX3132" t="str">
            <v>Hằng</v>
          </cell>
        </row>
        <row r="3133">
          <cell r="D3133" t="str">
            <v>Nguyễn Văn Võ</v>
          </cell>
          <cell r="AF3133" t="str">
            <v>XE01230</v>
          </cell>
          <cell r="AH3133">
            <v>9.42</v>
          </cell>
          <cell r="AW3133" t="str">
            <v>Nguyễn Văn Võ6</v>
          </cell>
          <cell r="AX3133" t="str">
            <v>Hằng</v>
          </cell>
        </row>
        <row r="3134">
          <cell r="D3134" t="str">
            <v>Nguyễn Duy Phương</v>
          </cell>
          <cell r="AF3134" t="str">
            <v>XE00308</v>
          </cell>
          <cell r="AH3134">
            <v>9.42</v>
          </cell>
          <cell r="AW3134" t="str">
            <v>Nguyễn Duy Phương6</v>
          </cell>
          <cell r="AX3134" t="str">
            <v>Hằng</v>
          </cell>
        </row>
        <row r="3135">
          <cell r="D3135" t="str">
            <v>Nguyễn Duy Phương</v>
          </cell>
          <cell r="AF3135" t="str">
            <v>XE00308</v>
          </cell>
          <cell r="AH3135">
            <v>8.84</v>
          </cell>
          <cell r="AW3135" t="str">
            <v>Nguyễn Duy Phương7</v>
          </cell>
          <cell r="AX3135" t="str">
            <v>Hằng</v>
          </cell>
        </row>
        <row r="3136">
          <cell r="D3136" t="str">
            <v>Nguyễn Minh Tuấn</v>
          </cell>
          <cell r="AF3136" t="str">
            <v>XE01562</v>
          </cell>
          <cell r="AH3136">
            <v>9.82</v>
          </cell>
          <cell r="AW3136" t="str">
            <v>Nguyễn Minh Tuấn7</v>
          </cell>
          <cell r="AX3136" t="str">
            <v>Hằng</v>
          </cell>
        </row>
        <row r="3137">
          <cell r="D3137" t="str">
            <v>Trần Văn Sơn</v>
          </cell>
          <cell r="AF3137" t="str">
            <v>XE01427</v>
          </cell>
          <cell r="AH3137">
            <v>9.42</v>
          </cell>
          <cell r="AW3137" t="str">
            <v>Trần Văn Sơn7</v>
          </cell>
          <cell r="AX3137" t="str">
            <v>Hằng</v>
          </cell>
        </row>
        <row r="3138">
          <cell r="D3138" t="str">
            <v>Tống Văn Hậu</v>
          </cell>
          <cell r="AF3138" t="str">
            <v>XE01088</v>
          </cell>
          <cell r="AH3138">
            <v>9.42</v>
          </cell>
          <cell r="AW3138" t="str">
            <v>Tống Văn Hậu8</v>
          </cell>
          <cell r="AX3138" t="str">
            <v>Hằng</v>
          </cell>
        </row>
        <row r="3139">
          <cell r="D3139" t="str">
            <v>Nguyễn Đức Tuấn</v>
          </cell>
          <cell r="AF3139" t="str">
            <v>XE00395</v>
          </cell>
          <cell r="AH3139">
            <v>9.42</v>
          </cell>
          <cell r="AW3139" t="str">
            <v>Nguyễn Đức Tuấn8</v>
          </cell>
          <cell r="AX3139" t="str">
            <v>Hằng</v>
          </cell>
        </row>
        <row r="3140">
          <cell r="D3140" t="str">
            <v>Lê Quang Thuỷ</v>
          </cell>
          <cell r="AF3140" t="str">
            <v>XE00557</v>
          </cell>
          <cell r="AH3140">
            <v>9.42</v>
          </cell>
          <cell r="AW3140" t="str">
            <v>Lê Quang Thuỷ8</v>
          </cell>
          <cell r="AX3140" t="str">
            <v>Hằng</v>
          </cell>
        </row>
        <row r="3141">
          <cell r="D3141" t="str">
            <v>Nguyễn Trung Hiếu</v>
          </cell>
          <cell r="AF3141" t="str">
            <v>XE00429</v>
          </cell>
          <cell r="AH3141">
            <v>8.620000000000001</v>
          </cell>
          <cell r="AW3141" t="str">
            <v>Nguyễn Trung Hiếu8</v>
          </cell>
          <cell r="AX3141" t="str">
            <v>Hằng</v>
          </cell>
        </row>
        <row r="3142">
          <cell r="D3142" t="str">
            <v>Phạm Công Khánh</v>
          </cell>
          <cell r="AF3142" t="str">
            <v>XE00386</v>
          </cell>
          <cell r="AH3142">
            <v>8.0400000000000009</v>
          </cell>
          <cell r="AW3142" t="str">
            <v>Phạm Công Khánh8</v>
          </cell>
          <cell r="AX3142" t="str">
            <v>Hằng</v>
          </cell>
        </row>
        <row r="3143">
          <cell r="D3143" t="str">
            <v>Vũ Hoàng Long</v>
          </cell>
          <cell r="AF3143" t="str">
            <v>XE00312</v>
          </cell>
          <cell r="AH3143">
            <v>9.82</v>
          </cell>
          <cell r="AW3143" t="str">
            <v>Vũ Hoàng Long8</v>
          </cell>
          <cell r="AX3143" t="str">
            <v>Hằng</v>
          </cell>
        </row>
        <row r="3144">
          <cell r="D3144" t="str">
            <v>Lê Tuấn Linh</v>
          </cell>
          <cell r="AF3144" t="str">
            <v>XE00869</v>
          </cell>
          <cell r="AH3144">
            <v>9.42</v>
          </cell>
          <cell r="AW3144" t="str">
            <v>Lê Tuấn Linh8</v>
          </cell>
          <cell r="AX3144" t="str">
            <v>Hằng</v>
          </cell>
        </row>
        <row r="3145">
          <cell r="D3145" t="str">
            <v>Nguyễn Tiến Hưng</v>
          </cell>
          <cell r="AF3145" t="str">
            <v>XE00212</v>
          </cell>
          <cell r="AH3145">
            <v>9.42</v>
          </cell>
          <cell r="AW3145" t="str">
            <v>Nguyễn Tiến Hưng8</v>
          </cell>
          <cell r="AX3145" t="str">
            <v>Hằng</v>
          </cell>
        </row>
        <row r="3146">
          <cell r="D3146" t="str">
            <v>Phạm Văn Thiêm</v>
          </cell>
          <cell r="AF3146" t="str">
            <v>XE01090</v>
          </cell>
          <cell r="AH3146">
            <v>9.02</v>
          </cell>
          <cell r="AW3146" t="str">
            <v>Phạm Văn Thiêm2</v>
          </cell>
          <cell r="AX3146" t="str">
            <v>Hằng</v>
          </cell>
        </row>
        <row r="3147">
          <cell r="D3147" t="str">
            <v>Phạm Văn Thiêm</v>
          </cell>
          <cell r="AF3147" t="str">
            <v>XE01090</v>
          </cell>
          <cell r="AH3147">
            <v>7.24</v>
          </cell>
          <cell r="AW3147" t="str">
            <v>Phạm Văn Thiêm3</v>
          </cell>
          <cell r="AX3147" t="str">
            <v>Hằng</v>
          </cell>
        </row>
        <row r="3148">
          <cell r="D3148" t="str">
            <v>Trần Ngọc Dũng</v>
          </cell>
          <cell r="AF3148" t="str">
            <v>XE01011</v>
          </cell>
          <cell r="AH3148">
            <v>8.6199999999999992</v>
          </cell>
          <cell r="AW3148" t="str">
            <v>Trần Ngọc Dũng2</v>
          </cell>
          <cell r="AX3148" t="str">
            <v>Hằng</v>
          </cell>
        </row>
        <row r="3149">
          <cell r="D3149" t="str">
            <v>Trần Ngọc Dũng</v>
          </cell>
          <cell r="AF3149" t="str">
            <v>XE01011</v>
          </cell>
          <cell r="AH3149">
            <v>9.82</v>
          </cell>
          <cell r="AW3149" t="str">
            <v>Trần Ngọc Dũng3</v>
          </cell>
          <cell r="AX3149" t="str">
            <v>Hằng</v>
          </cell>
        </row>
        <row r="3150">
          <cell r="D3150" t="str">
            <v>Đinh Văn Chung</v>
          </cell>
          <cell r="AF3150" t="str">
            <v>XE00122</v>
          </cell>
          <cell r="AH3150">
            <v>9.82</v>
          </cell>
          <cell r="AW3150" t="str">
            <v>Đinh Văn Chung2</v>
          </cell>
          <cell r="AX3150" t="str">
            <v>Hằng</v>
          </cell>
        </row>
        <row r="3151">
          <cell r="D3151" t="str">
            <v>Đinh Văn Chung</v>
          </cell>
          <cell r="AF3151" t="str">
            <v>XE00122</v>
          </cell>
          <cell r="AH3151">
            <v>8.6199999999999992</v>
          </cell>
          <cell r="AW3151" t="str">
            <v>Đinh Văn Chung3</v>
          </cell>
          <cell r="AX3151" t="str">
            <v>Hằng</v>
          </cell>
        </row>
        <row r="3152">
          <cell r="D3152" t="str">
            <v>Đào Đức Liêm</v>
          </cell>
          <cell r="AF3152" t="str">
            <v>XE00397</v>
          </cell>
          <cell r="AH3152">
            <v>8.620000000000001</v>
          </cell>
          <cell r="AW3152" t="str">
            <v>Đào Đức Liêm2</v>
          </cell>
          <cell r="AX3152" t="str">
            <v>Hằng</v>
          </cell>
        </row>
        <row r="3153">
          <cell r="D3153" t="str">
            <v>Đào Đức Liêm</v>
          </cell>
          <cell r="AF3153" t="str">
            <v>XE00397</v>
          </cell>
          <cell r="AH3153">
            <v>9.42</v>
          </cell>
          <cell r="AW3153" t="str">
            <v>Đào Đức Liêm3</v>
          </cell>
          <cell r="AX3153" t="str">
            <v>Hằng</v>
          </cell>
        </row>
        <row r="3154">
          <cell r="D3154" t="str">
            <v>Trần Xuân Bách</v>
          </cell>
          <cell r="AF3154" t="str">
            <v>XE01008</v>
          </cell>
          <cell r="AH3154">
            <v>8.84</v>
          </cell>
          <cell r="AW3154" t="str">
            <v>Trần Xuân Bách4</v>
          </cell>
          <cell r="AX3154" t="str">
            <v>Hằng</v>
          </cell>
        </row>
        <row r="3155">
          <cell r="D3155" t="str">
            <v>Trần Xuân Bách</v>
          </cell>
          <cell r="AF3155" t="str">
            <v>XE01008</v>
          </cell>
          <cell r="AH3155">
            <v>9.42</v>
          </cell>
          <cell r="AW3155" t="str">
            <v>Trần Xuân Bách5</v>
          </cell>
          <cell r="AX3155" t="str">
            <v>Hằng</v>
          </cell>
        </row>
        <row r="3156">
          <cell r="D3156" t="str">
            <v>Bùi Mạnh Hùng</v>
          </cell>
          <cell r="AF3156" t="str">
            <v>XE00978</v>
          </cell>
          <cell r="AH3156">
            <v>8.84</v>
          </cell>
          <cell r="AW3156" t="str">
            <v>Bùi Mạnh Hùng4</v>
          </cell>
          <cell r="AX3156" t="str">
            <v>Hằng</v>
          </cell>
        </row>
        <row r="3157">
          <cell r="D3157" t="str">
            <v>Bùi Mạnh Hùng</v>
          </cell>
          <cell r="AF3157" t="str">
            <v>XE00978</v>
          </cell>
          <cell r="AH3157">
            <v>9.42</v>
          </cell>
          <cell r="AW3157" t="str">
            <v>Bùi Mạnh Hùng5</v>
          </cell>
          <cell r="AX3157" t="str">
            <v>Hằng</v>
          </cell>
        </row>
        <row r="3158">
          <cell r="D3158" t="str">
            <v>Nguyễn Quốc Thắng</v>
          </cell>
          <cell r="AF3158" t="str">
            <v>XE00495</v>
          </cell>
          <cell r="AH3158">
            <v>8.2200000000000006</v>
          </cell>
          <cell r="AW3158" t="str">
            <v>Nguyễn Quốc Thắng5</v>
          </cell>
          <cell r="AX3158" t="str">
            <v>Hằng</v>
          </cell>
        </row>
        <row r="3159">
          <cell r="D3159" t="str">
            <v>Nguyễn Quốc Thắng</v>
          </cell>
          <cell r="AF3159" t="str">
            <v>XE00495</v>
          </cell>
          <cell r="AH3159">
            <v>9.42</v>
          </cell>
          <cell r="AW3159" t="str">
            <v>Nguyễn Quốc Thắng6</v>
          </cell>
          <cell r="AX3159" t="str">
            <v>Hằng</v>
          </cell>
        </row>
        <row r="3160">
          <cell r="D3160" t="str">
            <v>Lại Thế Thư</v>
          </cell>
          <cell r="AF3160" t="str">
            <v>XE01286</v>
          </cell>
          <cell r="AH3160">
            <v>9.42</v>
          </cell>
          <cell r="AW3160" t="str">
            <v>Lại Thế Thư6</v>
          </cell>
          <cell r="AX3160" t="str">
            <v>Hằng</v>
          </cell>
        </row>
        <row r="3161">
          <cell r="D3161" t="str">
            <v>Lại Thế Thư</v>
          </cell>
          <cell r="AF3161" t="str">
            <v>XE01286</v>
          </cell>
          <cell r="AH3161">
            <v>9.82</v>
          </cell>
          <cell r="AW3161" t="str">
            <v>Lại Thế Thư7</v>
          </cell>
          <cell r="AX3161" t="str">
            <v>Hằng</v>
          </cell>
        </row>
        <row r="3162">
          <cell r="D3162" t="str">
            <v>Nguyễn Thiên Mạnh</v>
          </cell>
          <cell r="AF3162" t="str">
            <v>XE01182</v>
          </cell>
          <cell r="AH3162">
            <v>9.82</v>
          </cell>
          <cell r="AW3162" t="str">
            <v>Nguyễn Thiên Mạnh6</v>
          </cell>
          <cell r="AX3162" t="str">
            <v>Hằng</v>
          </cell>
        </row>
        <row r="3163">
          <cell r="D3163" t="str">
            <v>Nguyễn Thiên Mạnh</v>
          </cell>
          <cell r="AF3163" t="str">
            <v>XE01182</v>
          </cell>
          <cell r="AH3163">
            <v>9.42</v>
          </cell>
          <cell r="AW3163" t="str">
            <v>Nguyễn Thiên Mạnh7</v>
          </cell>
          <cell r="AX3163" t="str">
            <v>Hằng</v>
          </cell>
        </row>
        <row r="3164">
          <cell r="D3164" t="str">
            <v>Đào Duy Nhất</v>
          </cell>
          <cell r="AF3164" t="str">
            <v>XE01062</v>
          </cell>
          <cell r="AH3164">
            <v>9.42</v>
          </cell>
          <cell r="AW3164" t="str">
            <v>Đào Duy Nhất6</v>
          </cell>
          <cell r="AX3164" t="str">
            <v>Hằng</v>
          </cell>
        </row>
        <row r="3165">
          <cell r="D3165" t="str">
            <v>Đào Duy Nhất</v>
          </cell>
          <cell r="AF3165" t="str">
            <v>XE01062</v>
          </cell>
          <cell r="AH3165">
            <v>9.82</v>
          </cell>
          <cell r="AW3165" t="str">
            <v>Đào Duy Nhất7</v>
          </cell>
          <cell r="AX3165" t="str">
            <v>Hằng</v>
          </cell>
        </row>
        <row r="3166">
          <cell r="D3166" t="str">
            <v>Lê Hùng Cường</v>
          </cell>
          <cell r="AF3166" t="str">
            <v>XE00188</v>
          </cell>
          <cell r="AH3166">
            <v>8.44</v>
          </cell>
          <cell r="AW3166" t="str">
            <v>Lê Hùng Cường8</v>
          </cell>
          <cell r="AX3166" t="str">
            <v>Hằng</v>
          </cell>
        </row>
        <row r="3167">
          <cell r="D3167" t="str">
            <v>Phan Thái Sơn</v>
          </cell>
          <cell r="AF3167" t="str">
            <v>XE00026</v>
          </cell>
          <cell r="AH3167">
            <v>9.42</v>
          </cell>
          <cell r="AW3167" t="str">
            <v>Phan Thái Sơn8</v>
          </cell>
          <cell r="AX3167" t="str">
            <v>Hằng</v>
          </cell>
        </row>
        <row r="3168">
          <cell r="D3168" t="str">
            <v>Dương Anh Đức</v>
          </cell>
          <cell r="AF3168" t="str">
            <v>XE01441</v>
          </cell>
          <cell r="AH3168">
            <v>9.02</v>
          </cell>
          <cell r="AW3168" t="str">
            <v>Dương Anh Đức8</v>
          </cell>
          <cell r="AX3168" t="str">
            <v>Hằng</v>
          </cell>
        </row>
        <row r="3169">
          <cell r="D3169" t="str">
            <v>Nguyễn Tuấn Trường</v>
          </cell>
          <cell r="AF3169" t="str">
            <v>XE00161</v>
          </cell>
          <cell r="AH3169">
            <v>9.42</v>
          </cell>
          <cell r="AW3169" t="str">
            <v>Nguyễn Tuấn Trường8</v>
          </cell>
          <cell r="AX3169" t="str">
            <v>Hằng</v>
          </cell>
        </row>
        <row r="3170">
          <cell r="D3170" t="str">
            <v>Lê Thanh Xuân</v>
          </cell>
          <cell r="AF3170" t="str">
            <v>XE01704</v>
          </cell>
          <cell r="AH3170">
            <v>7.6400000000000006</v>
          </cell>
          <cell r="AW3170" t="str">
            <v>Lê Thanh Xuân8</v>
          </cell>
          <cell r="AX3170" t="str">
            <v>Hằng</v>
          </cell>
        </row>
        <row r="3171">
          <cell r="D3171" t="str">
            <v>Lò Văn Dương</v>
          </cell>
          <cell r="AF3171" t="str">
            <v>XE00913</v>
          </cell>
          <cell r="AH3171">
            <v>9.82</v>
          </cell>
          <cell r="AW3171" t="str">
            <v>Lò Văn Dương8</v>
          </cell>
          <cell r="AX3171" t="str">
            <v>Hằng</v>
          </cell>
        </row>
        <row r="3172">
          <cell r="D3172" t="str">
            <v>Nguyễn Việt Cường</v>
          </cell>
          <cell r="AF3172" t="str">
            <v>XE00345</v>
          </cell>
          <cell r="AH3172">
            <v>9.64</v>
          </cell>
          <cell r="AW3172" t="str">
            <v>Nguyễn Việt Cường8</v>
          </cell>
          <cell r="AX3172" t="str">
            <v>Hằng</v>
          </cell>
        </row>
        <row r="3173">
          <cell r="D3173" t="str">
            <v>Nguyễn Hùng Cường</v>
          </cell>
          <cell r="AF3173" t="str">
            <v>XE01333</v>
          </cell>
          <cell r="AH3173">
            <v>9.42</v>
          </cell>
          <cell r="AW3173" t="str">
            <v>Nguyễn Hùng Cường4</v>
          </cell>
          <cell r="AX3173" t="str">
            <v>Hằng</v>
          </cell>
        </row>
        <row r="3174">
          <cell r="D3174" t="str">
            <v>Nguyễn Hùng Cường</v>
          </cell>
          <cell r="AF3174" t="str">
            <v>XE01333</v>
          </cell>
          <cell r="AH3174">
            <v>9.82</v>
          </cell>
          <cell r="AW3174" t="str">
            <v>Nguyễn Hùng Cường5</v>
          </cell>
          <cell r="AX3174" t="str">
            <v>Hằng</v>
          </cell>
        </row>
        <row r="3175">
          <cell r="D3175" t="str">
            <v>Nguyễn Văn Thành</v>
          </cell>
          <cell r="AF3175" t="str">
            <v>XE01278</v>
          </cell>
          <cell r="AH3175">
            <v>7.82</v>
          </cell>
          <cell r="AW3175" t="str">
            <v>Nguyễn Văn Thành6</v>
          </cell>
          <cell r="AX3175" t="str">
            <v>Hằng</v>
          </cell>
        </row>
        <row r="3176">
          <cell r="D3176" t="str">
            <v>Nguyễn Văn Thành</v>
          </cell>
          <cell r="AF3176" t="str">
            <v>XE01278</v>
          </cell>
          <cell r="AH3176">
            <v>8.84</v>
          </cell>
          <cell r="AW3176" t="str">
            <v>Nguyễn Văn Thành7</v>
          </cell>
          <cell r="AX3176" t="str">
            <v>Hằng</v>
          </cell>
        </row>
        <row r="3177">
          <cell r="D3177" t="str">
            <v>Nguyễn Văn Võ</v>
          </cell>
          <cell r="AF3177" t="str">
            <v>XE01230</v>
          </cell>
          <cell r="AH3177">
            <v>9.02</v>
          </cell>
          <cell r="AW3177" t="str">
            <v>Nguyễn Văn Võ7</v>
          </cell>
          <cell r="AX3177" t="str">
            <v>Hằng</v>
          </cell>
        </row>
        <row r="3178">
          <cell r="D3178" t="str">
            <v>Nguyễn Văn Võ</v>
          </cell>
          <cell r="AF3178" t="str">
            <v>XE01230</v>
          </cell>
          <cell r="AH3178">
            <v>9.82</v>
          </cell>
          <cell r="AW3178" t="str">
            <v>Nguyễn Văn Võ8</v>
          </cell>
          <cell r="AX3178" t="str">
            <v>Hằng</v>
          </cell>
        </row>
        <row r="3179">
          <cell r="D3179" t="str">
            <v>Nguyễn Minh Tuấn</v>
          </cell>
          <cell r="AF3179" t="str">
            <v>XE01562</v>
          </cell>
          <cell r="AH3179">
            <v>9.42</v>
          </cell>
          <cell r="AW3179" t="str">
            <v>Nguyễn Minh Tuấn8</v>
          </cell>
          <cell r="AX3179" t="str">
            <v>Hằng</v>
          </cell>
        </row>
        <row r="3180">
          <cell r="D3180" t="str">
            <v>Trần Văn Sơn</v>
          </cell>
          <cell r="AF3180" t="str">
            <v>XE01427</v>
          </cell>
          <cell r="AH3180">
            <v>9.02</v>
          </cell>
          <cell r="AW3180" t="str">
            <v>Trần Văn Sơn8</v>
          </cell>
          <cell r="AX3180" t="str">
            <v>Hằng</v>
          </cell>
        </row>
        <row r="3181">
          <cell r="D3181" t="str">
            <v>Nguyễn Duy Phương</v>
          </cell>
          <cell r="AF3181" t="str">
            <v>XE00308</v>
          </cell>
          <cell r="AH3181">
            <v>9.42</v>
          </cell>
          <cell r="AW3181" t="str">
            <v>Nguyễn Duy Phương8</v>
          </cell>
          <cell r="AX3181" t="str">
            <v>Hằng</v>
          </cell>
        </row>
        <row r="3182">
          <cell r="D3182" t="str">
            <v>Tống Văn Hậu</v>
          </cell>
          <cell r="AF3182" t="str">
            <v>XE01088</v>
          </cell>
          <cell r="AH3182">
            <v>8.44</v>
          </cell>
          <cell r="AW3182" t="str">
            <v>Tống Văn Hậu9</v>
          </cell>
          <cell r="AX3182" t="str">
            <v>Hằng</v>
          </cell>
        </row>
        <row r="3183">
          <cell r="D3183" t="str">
            <v>Nguyễn Đức Tuấn</v>
          </cell>
          <cell r="AF3183" t="str">
            <v>XE00395</v>
          </cell>
          <cell r="AH3183">
            <v>8.620000000000001</v>
          </cell>
          <cell r="AW3183" t="str">
            <v>Nguyễn Đức Tuấn9</v>
          </cell>
          <cell r="AX3183" t="str">
            <v>Hằng</v>
          </cell>
        </row>
        <row r="3184">
          <cell r="D3184" t="str">
            <v>Nguyễn Trung Hiếu</v>
          </cell>
          <cell r="AF3184" t="str">
            <v>XE00429</v>
          </cell>
          <cell r="AH3184">
            <v>9.42</v>
          </cell>
          <cell r="AW3184" t="str">
            <v>Nguyễn Trung Hiếu9</v>
          </cell>
          <cell r="AX3184" t="str">
            <v>Hằng</v>
          </cell>
        </row>
        <row r="3185">
          <cell r="D3185" t="str">
            <v>Phạm Công Khánh</v>
          </cell>
          <cell r="AF3185" t="str">
            <v>XE00386</v>
          </cell>
          <cell r="AH3185">
            <v>9.82</v>
          </cell>
          <cell r="AW3185" t="str">
            <v>Phạm Công Khánh9</v>
          </cell>
          <cell r="AX3185" t="str">
            <v>Hằng</v>
          </cell>
        </row>
        <row r="3186">
          <cell r="D3186" t="str">
            <v>Phạm Công Khánh</v>
          </cell>
          <cell r="AF3186" t="str">
            <v>XE00386</v>
          </cell>
          <cell r="AH3186">
            <v>9.02</v>
          </cell>
          <cell r="AW3186" t="str">
            <v>Phạm Công Khánh10</v>
          </cell>
          <cell r="AX3186" t="str">
            <v>Hằng</v>
          </cell>
        </row>
        <row r="3187">
          <cell r="D3187" t="str">
            <v>Vũ Hoàng Long</v>
          </cell>
          <cell r="AF3187" t="str">
            <v>XE00312</v>
          </cell>
          <cell r="AH3187">
            <v>9.42</v>
          </cell>
          <cell r="AW3187" t="str">
            <v>Vũ Hoàng Long9</v>
          </cell>
          <cell r="AX3187" t="str">
            <v>Hằng</v>
          </cell>
        </row>
        <row r="3188">
          <cell r="D3188" t="str">
            <v>Lê Tuấn Linh</v>
          </cell>
          <cell r="AF3188" t="str">
            <v>XE00869</v>
          </cell>
          <cell r="AH3188">
            <v>8.6199999999999992</v>
          </cell>
          <cell r="AW3188" t="str">
            <v>Lê Tuấn Linh9</v>
          </cell>
          <cell r="AX3188" t="str">
            <v>Hằng</v>
          </cell>
        </row>
        <row r="3189">
          <cell r="D3189" t="str">
            <v>Nguyễn Tiến Hưng</v>
          </cell>
          <cell r="AF3189" t="str">
            <v>XE00212</v>
          </cell>
          <cell r="AH3189">
            <v>7.42</v>
          </cell>
          <cell r="AW3189" t="str">
            <v>Nguyễn Tiến Hưng9</v>
          </cell>
          <cell r="AX3189" t="str">
            <v>Hằng</v>
          </cell>
        </row>
        <row r="3190">
          <cell r="D3190" t="str">
            <v>Dương Anh Đức</v>
          </cell>
          <cell r="AF3190" t="str">
            <v>XE01441</v>
          </cell>
          <cell r="AH3190">
            <v>8.84</v>
          </cell>
          <cell r="AW3190" t="str">
            <v>Dương Anh Đức9</v>
          </cell>
          <cell r="AX3190" t="str">
            <v>Hằng</v>
          </cell>
        </row>
        <row r="3191">
          <cell r="D3191" t="str">
            <v>Nguyễn Tuấn Trường</v>
          </cell>
          <cell r="AF3191" t="str">
            <v>XE00161</v>
          </cell>
          <cell r="AH3191">
            <v>9.82</v>
          </cell>
          <cell r="AW3191" t="str">
            <v>Nguyễn Tuấn Trường9</v>
          </cell>
          <cell r="AX3191" t="str">
            <v>Hằng</v>
          </cell>
        </row>
        <row r="3192">
          <cell r="D3192" t="str">
            <v>Nguyễn Quang Thanh</v>
          </cell>
          <cell r="AF3192" t="str">
            <v>XE01601</v>
          </cell>
          <cell r="AH3192">
            <v>9.82</v>
          </cell>
          <cell r="AW3192" t="str">
            <v>Nguyễn Quang Thanh2</v>
          </cell>
          <cell r="AX3192" t="str">
            <v>Hằng</v>
          </cell>
        </row>
        <row r="3193">
          <cell r="D3193" t="str">
            <v>Nguyễn Quang Thanh</v>
          </cell>
          <cell r="AF3193" t="str">
            <v>XE01601</v>
          </cell>
          <cell r="AH3193">
            <v>9.42</v>
          </cell>
          <cell r="AW3193" t="str">
            <v>Nguyễn Quang Thanh3</v>
          </cell>
          <cell r="AX3193" t="str">
            <v>Hằng</v>
          </cell>
        </row>
        <row r="3194">
          <cell r="D3194" t="str">
            <v>Phạm Văn Thiêm</v>
          </cell>
          <cell r="AF3194" t="str">
            <v>XE01090</v>
          </cell>
          <cell r="AH3194">
            <v>9.02</v>
          </cell>
          <cell r="AW3194" t="str">
            <v>Phạm Văn Thiêm4</v>
          </cell>
          <cell r="AX3194" t="str">
            <v>Hằng</v>
          </cell>
        </row>
        <row r="3195">
          <cell r="D3195" t="str">
            <v>Phạm Văn Thiêm</v>
          </cell>
          <cell r="AF3195" t="str">
            <v>XE01090</v>
          </cell>
          <cell r="AH3195">
            <v>9.82</v>
          </cell>
          <cell r="AW3195" t="str">
            <v>Phạm Văn Thiêm5</v>
          </cell>
          <cell r="AX3195" t="str">
            <v>Hằng</v>
          </cell>
        </row>
        <row r="3196">
          <cell r="D3196" t="str">
            <v>Trần Ngọc Dũng</v>
          </cell>
          <cell r="AF3196" t="str">
            <v>XE01011</v>
          </cell>
          <cell r="AH3196">
            <v>9.82</v>
          </cell>
          <cell r="AW3196" t="str">
            <v>Trần Ngọc Dũng4</v>
          </cell>
          <cell r="AX3196" t="str">
            <v>Hằng</v>
          </cell>
        </row>
        <row r="3197">
          <cell r="D3197" t="str">
            <v>Trần Ngọc Dũng</v>
          </cell>
          <cell r="AF3197" t="str">
            <v>XE01011</v>
          </cell>
          <cell r="AH3197">
            <v>9.02</v>
          </cell>
          <cell r="AW3197" t="str">
            <v>Trần Ngọc Dũng5</v>
          </cell>
          <cell r="AX3197" t="str">
            <v>Hằng</v>
          </cell>
        </row>
        <row r="3198">
          <cell r="D3198" t="str">
            <v>Đinh Văn Chung</v>
          </cell>
          <cell r="AF3198" t="str">
            <v>XE00122</v>
          </cell>
          <cell r="AH3198">
            <v>9.82</v>
          </cell>
          <cell r="AW3198" t="str">
            <v>Đinh Văn Chung4</v>
          </cell>
          <cell r="AX3198" t="str">
            <v>Hằng</v>
          </cell>
        </row>
        <row r="3199">
          <cell r="D3199" t="str">
            <v>Đinh Văn Chung</v>
          </cell>
          <cell r="AF3199" t="str">
            <v>XE00122</v>
          </cell>
          <cell r="AH3199">
            <v>9.82</v>
          </cell>
          <cell r="AW3199" t="str">
            <v>Đinh Văn Chung5</v>
          </cell>
          <cell r="AX3199" t="str">
            <v>Hằng</v>
          </cell>
        </row>
        <row r="3200">
          <cell r="D3200" t="str">
            <v>Đào Đức Liêm</v>
          </cell>
          <cell r="AF3200" t="str">
            <v>XE00397</v>
          </cell>
          <cell r="AH3200">
            <v>9.82</v>
          </cell>
          <cell r="AW3200" t="str">
            <v>Đào Đức Liêm4</v>
          </cell>
          <cell r="AX3200" t="str">
            <v>Hằng</v>
          </cell>
        </row>
        <row r="3201">
          <cell r="D3201" t="str">
            <v>Đào Đức Liêm</v>
          </cell>
          <cell r="AF3201" t="str">
            <v>XE00397</v>
          </cell>
          <cell r="AH3201">
            <v>9.24</v>
          </cell>
          <cell r="AW3201" t="str">
            <v>Đào Đức Liêm5</v>
          </cell>
          <cell r="AX3201" t="str">
            <v>Hằng</v>
          </cell>
        </row>
        <row r="3202">
          <cell r="D3202" t="str">
            <v>Trần Xuân Bách</v>
          </cell>
          <cell r="AF3202" t="str">
            <v>XE01008</v>
          </cell>
          <cell r="AH3202">
            <v>9.42</v>
          </cell>
          <cell r="AW3202" t="str">
            <v>Trần Xuân Bách6</v>
          </cell>
          <cell r="AX3202" t="str">
            <v>Hằng</v>
          </cell>
        </row>
        <row r="3203">
          <cell r="D3203" t="str">
            <v>Trần Xuân Bách</v>
          </cell>
          <cell r="AF3203" t="str">
            <v>XE01008</v>
          </cell>
          <cell r="AH3203">
            <v>9.42</v>
          </cell>
          <cell r="AW3203" t="str">
            <v>Trần Xuân Bách7</v>
          </cell>
          <cell r="AX3203" t="str">
            <v>Hằng</v>
          </cell>
        </row>
        <row r="3204">
          <cell r="D3204" t="str">
            <v>Bùi Mạnh Hùng</v>
          </cell>
          <cell r="AF3204" t="str">
            <v>XE00978</v>
          </cell>
          <cell r="AH3204">
            <v>9.82</v>
          </cell>
          <cell r="AW3204" t="str">
            <v>Bùi Mạnh Hùng6</v>
          </cell>
          <cell r="AX3204" t="str">
            <v>Hằng</v>
          </cell>
        </row>
        <row r="3205">
          <cell r="D3205" t="str">
            <v>Bùi Mạnh Hùng</v>
          </cell>
          <cell r="AF3205" t="str">
            <v>XE00978</v>
          </cell>
          <cell r="AH3205">
            <v>7.82</v>
          </cell>
          <cell r="AW3205" t="str">
            <v>Bùi Mạnh Hùng7</v>
          </cell>
          <cell r="AX3205" t="str">
            <v>Hằng</v>
          </cell>
        </row>
        <row r="3206">
          <cell r="D3206" t="str">
            <v>Nguyễn Quốc Thắng</v>
          </cell>
          <cell r="AF3206" t="str">
            <v>XE00495</v>
          </cell>
          <cell r="AH3206">
            <v>9.82</v>
          </cell>
          <cell r="AW3206" t="str">
            <v>Nguyễn Quốc Thắng7</v>
          </cell>
          <cell r="AX3206" t="str">
            <v>Hằng</v>
          </cell>
        </row>
        <row r="3207">
          <cell r="D3207" t="str">
            <v>Nguyễn Quốc Thắng</v>
          </cell>
          <cell r="AF3207" t="str">
            <v>XE00495</v>
          </cell>
          <cell r="AH3207">
            <v>9.24</v>
          </cell>
          <cell r="AW3207" t="str">
            <v>Nguyễn Quốc Thắng8</v>
          </cell>
          <cell r="AX3207" t="str">
            <v>Hằng</v>
          </cell>
        </row>
        <row r="3208">
          <cell r="D3208" t="str">
            <v>Lại Thế Thư</v>
          </cell>
          <cell r="AF3208" t="str">
            <v>XE01286</v>
          </cell>
          <cell r="AH3208">
            <v>9.82</v>
          </cell>
          <cell r="AW3208" t="str">
            <v>Lại Thế Thư8</v>
          </cell>
          <cell r="AX3208" t="str">
            <v>Hằng</v>
          </cell>
        </row>
        <row r="3209">
          <cell r="D3209" t="str">
            <v>Nguyễn Thiên Mạnh</v>
          </cell>
          <cell r="AF3209" t="str">
            <v>XE01182</v>
          </cell>
          <cell r="AH3209">
            <v>9.82</v>
          </cell>
          <cell r="AW3209" t="str">
            <v>Nguyễn Thiên Mạnh8</v>
          </cell>
          <cell r="AX3209" t="str">
            <v>Hằng</v>
          </cell>
        </row>
        <row r="3210">
          <cell r="D3210" t="str">
            <v>Đào Duy Nhất</v>
          </cell>
          <cell r="AF3210" t="str">
            <v>XE01062</v>
          </cell>
          <cell r="AH3210">
            <v>9.82</v>
          </cell>
          <cell r="AW3210" t="str">
            <v>Đào Duy Nhất8</v>
          </cell>
          <cell r="AX3210" t="str">
            <v>Hằng</v>
          </cell>
        </row>
        <row r="3211">
          <cell r="D3211" t="str">
            <v>Nguyễn Thế Anh</v>
          </cell>
          <cell r="AF3211" t="str">
            <v>XE00383</v>
          </cell>
          <cell r="AH3211">
            <v>9.82</v>
          </cell>
          <cell r="AW3211" t="str">
            <v>Nguyễn Thế Anh8</v>
          </cell>
          <cell r="AX3211" t="str">
            <v>Hằng</v>
          </cell>
        </row>
        <row r="3212">
          <cell r="D3212" t="str">
            <v>Đặng Văn Thơ</v>
          </cell>
          <cell r="AF3212" t="str">
            <v>XE01700</v>
          </cell>
          <cell r="AH3212">
            <v>9.64</v>
          </cell>
          <cell r="AW3212" t="str">
            <v>Đặng Văn Thơ8</v>
          </cell>
          <cell r="AX3212" t="str">
            <v>Hằng</v>
          </cell>
        </row>
        <row r="3213">
          <cell r="D3213" t="str">
            <v>Nguyễn Mạnh Cường</v>
          </cell>
          <cell r="AF3213" t="str">
            <v>XE01699</v>
          </cell>
          <cell r="AH3213">
            <v>8.44</v>
          </cell>
          <cell r="AW3213" t="str">
            <v>Nguyễn Mạnh Cường8</v>
          </cell>
          <cell r="AX3213" t="str">
            <v>Hằng</v>
          </cell>
        </row>
        <row r="3214">
          <cell r="D3214" t="str">
            <v>Lê Minh Đức</v>
          </cell>
          <cell r="AF3214" t="str">
            <v>XE01688</v>
          </cell>
          <cell r="AH3214">
            <v>9.24</v>
          </cell>
          <cell r="AW3214" t="str">
            <v>Lê Minh Đức8</v>
          </cell>
          <cell r="AX3214" t="str">
            <v>Hằng</v>
          </cell>
        </row>
        <row r="3215">
          <cell r="D3215" t="str">
            <v>Nguyễn Văn Minh</v>
          </cell>
          <cell r="AF3215" t="str">
            <v>XE01570</v>
          </cell>
          <cell r="AH3215">
            <v>9.82</v>
          </cell>
          <cell r="AW3215" t="str">
            <v>Nguyễn Văn Minh8</v>
          </cell>
          <cell r="AX3215" t="str">
            <v>Hằng</v>
          </cell>
        </row>
        <row r="3216">
          <cell r="D3216" t="str">
            <v>Nguyễn Văn Minh</v>
          </cell>
          <cell r="AF3216" t="str">
            <v>XE01570</v>
          </cell>
          <cell r="AH3216">
            <v>9.82</v>
          </cell>
          <cell r="AW3216" t="str">
            <v>Nguyễn Văn Minh9</v>
          </cell>
          <cell r="AX3216" t="str">
            <v>Hằng</v>
          </cell>
        </row>
        <row r="3217">
          <cell r="D3217" t="str">
            <v>Lê Minh Đức</v>
          </cell>
          <cell r="AF3217" t="str">
            <v>XE01688</v>
          </cell>
          <cell r="AH3217">
            <v>9.82</v>
          </cell>
          <cell r="AW3217" t="str">
            <v>Lê Minh Đức9</v>
          </cell>
          <cell r="AX3217" t="str">
            <v>Hằng</v>
          </cell>
        </row>
        <row r="3218">
          <cell r="D3218" t="str">
            <v>Nguyễn Mạnh Cường</v>
          </cell>
          <cell r="AF3218" t="str">
            <v>XE01699</v>
          </cell>
          <cell r="AH3218">
            <v>8.44</v>
          </cell>
          <cell r="AW3218" t="str">
            <v>Nguyễn Mạnh Cường9</v>
          </cell>
          <cell r="AX3218" t="str">
            <v>Hằng</v>
          </cell>
        </row>
        <row r="3219">
          <cell r="D3219" t="str">
            <v>Đặng Văn Thơ</v>
          </cell>
          <cell r="AF3219" t="str">
            <v>XE01700</v>
          </cell>
          <cell r="AH3219">
            <v>9.82</v>
          </cell>
          <cell r="AW3219" t="str">
            <v>Đặng Văn Thơ9</v>
          </cell>
          <cell r="AX3219" t="str">
            <v>Hằng</v>
          </cell>
        </row>
        <row r="3220">
          <cell r="D3220" t="str">
            <v>Nguyễn Thế Anh</v>
          </cell>
          <cell r="AF3220" t="str">
            <v>XE00383</v>
          </cell>
          <cell r="AH3220">
            <v>9.42</v>
          </cell>
          <cell r="AW3220" t="str">
            <v>Nguyễn Thế Anh9</v>
          </cell>
          <cell r="AX3220" t="str">
            <v>Hằng</v>
          </cell>
        </row>
        <row r="3221">
          <cell r="D3221" t="str">
            <v>Phan Thái Sơn</v>
          </cell>
          <cell r="AF3221" t="str">
            <v>XE00026</v>
          </cell>
          <cell r="AH3221">
            <v>9.82</v>
          </cell>
          <cell r="AW3221" t="str">
            <v>Phan Thái Sơn9</v>
          </cell>
          <cell r="AX3221" t="str">
            <v>Hằng</v>
          </cell>
        </row>
        <row r="3222">
          <cell r="D3222" t="str">
            <v>Lê Hùng Cường</v>
          </cell>
          <cell r="AF3222" t="str">
            <v>XE00188</v>
          </cell>
          <cell r="AH3222">
            <v>9.42</v>
          </cell>
          <cell r="AW3222" t="str">
            <v>Lê Hùng Cường9</v>
          </cell>
          <cell r="AX3222" t="str">
            <v>Hằng</v>
          </cell>
        </row>
        <row r="3223">
          <cell r="D3223" t="str">
            <v>Nguyễn Hùng Cường</v>
          </cell>
          <cell r="AF3223" t="str">
            <v>XE01333</v>
          </cell>
          <cell r="AH3223">
            <v>9.42</v>
          </cell>
          <cell r="AW3223" t="str">
            <v>Nguyễn Hùng Cường6</v>
          </cell>
          <cell r="AX3223" t="str">
            <v>Hằng</v>
          </cell>
        </row>
        <row r="3224">
          <cell r="D3224" t="str">
            <v>Nguyễn Hùng Cường</v>
          </cell>
          <cell r="AF3224" t="str">
            <v>XE01333</v>
          </cell>
          <cell r="AH3224">
            <v>9.42</v>
          </cell>
          <cell r="AW3224" t="str">
            <v>Nguyễn Hùng Cường7</v>
          </cell>
          <cell r="AX3224" t="str">
            <v>Hằng</v>
          </cell>
        </row>
        <row r="3225">
          <cell r="D3225" t="str">
            <v>Nguyễn Văn Thành</v>
          </cell>
          <cell r="AF3225" t="str">
            <v>XE01278</v>
          </cell>
          <cell r="AH3225">
            <v>9.82</v>
          </cell>
          <cell r="AW3225" t="str">
            <v>Nguyễn Văn Thành8</v>
          </cell>
          <cell r="AX3225" t="str">
            <v>Hằng</v>
          </cell>
        </row>
        <row r="3226">
          <cell r="D3226" t="str">
            <v>Nguyễn Văn Thành</v>
          </cell>
          <cell r="AF3226" t="str">
            <v>XE01278</v>
          </cell>
          <cell r="AH3226">
            <v>9.42</v>
          </cell>
          <cell r="AW3226" t="str">
            <v>Nguyễn Văn Thành9</v>
          </cell>
          <cell r="AX3226" t="str">
            <v>Hằng</v>
          </cell>
        </row>
        <row r="3227">
          <cell r="D3227" t="str">
            <v>Nguyễn Minh Tuấn</v>
          </cell>
          <cell r="AF3227" t="str">
            <v>XE01562</v>
          </cell>
          <cell r="AH3227">
            <v>9.82</v>
          </cell>
          <cell r="AW3227" t="str">
            <v>Nguyễn Minh Tuấn9</v>
          </cell>
          <cell r="AX3227" t="str">
            <v>Hằng</v>
          </cell>
        </row>
        <row r="3228">
          <cell r="D3228" t="str">
            <v>Trần Văn Sơn</v>
          </cell>
          <cell r="AF3228" t="str">
            <v>XE01427</v>
          </cell>
          <cell r="AH3228">
            <v>8.84</v>
          </cell>
          <cell r="AW3228" t="str">
            <v>Trần Văn Sơn9</v>
          </cell>
          <cell r="AX3228" t="str">
            <v>Hằng</v>
          </cell>
        </row>
        <row r="3229">
          <cell r="D3229" t="str">
            <v>Nguyễn Văn Võ</v>
          </cell>
          <cell r="AF3229" t="str">
            <v>XE01230</v>
          </cell>
          <cell r="AH3229">
            <v>9.82</v>
          </cell>
          <cell r="AW3229" t="str">
            <v>Nguyễn Văn Võ9</v>
          </cell>
          <cell r="AX3229" t="str">
            <v>Hằng</v>
          </cell>
        </row>
        <row r="3230">
          <cell r="D3230" t="str">
            <v>Nguyễn Duy Phương</v>
          </cell>
          <cell r="AF3230" t="str">
            <v>XE00308</v>
          </cell>
          <cell r="AH3230">
            <v>9.82</v>
          </cell>
          <cell r="AW3230" t="str">
            <v>Nguyễn Duy Phương9</v>
          </cell>
          <cell r="AX3230" t="str">
            <v>Hằng</v>
          </cell>
        </row>
        <row r="3231">
          <cell r="D3231" t="str">
            <v>Tống Văn Hậu</v>
          </cell>
          <cell r="AF3231" t="str">
            <v>XE01088</v>
          </cell>
          <cell r="AH3231">
            <v>9.42</v>
          </cell>
          <cell r="AW3231" t="str">
            <v>Tống Văn Hậu10</v>
          </cell>
          <cell r="AX3231" t="str">
            <v>Hằng</v>
          </cell>
        </row>
        <row r="3232">
          <cell r="D3232" t="str">
            <v>Nguyễn Đức Tuấn</v>
          </cell>
          <cell r="AF3232" t="str">
            <v>XE00395</v>
          </cell>
          <cell r="AH3232">
            <v>9.42</v>
          </cell>
          <cell r="AW3232" t="str">
            <v>Nguyễn Đức Tuấn10</v>
          </cell>
          <cell r="AX3232" t="str">
            <v>Hằng</v>
          </cell>
        </row>
        <row r="3233">
          <cell r="D3233" t="str">
            <v>Nguyễn Trung Hiếu</v>
          </cell>
          <cell r="AF3233" t="str">
            <v>XE00429</v>
          </cell>
          <cell r="AH3233">
            <v>9.82</v>
          </cell>
          <cell r="AW3233" t="str">
            <v>Nguyễn Trung Hiếu10</v>
          </cell>
          <cell r="AX3233" t="str">
            <v>Hằng</v>
          </cell>
        </row>
        <row r="3234">
          <cell r="D3234" t="str">
            <v>Vũ Hoàng Long</v>
          </cell>
          <cell r="AF3234" t="str">
            <v>XE00312</v>
          </cell>
          <cell r="AH3234">
            <v>8.84</v>
          </cell>
          <cell r="AW3234" t="str">
            <v>Vũ Hoàng Long10</v>
          </cell>
          <cell r="AX3234" t="str">
            <v>Hằng</v>
          </cell>
        </row>
        <row r="3235">
          <cell r="D3235" t="str">
            <v>Lê Tuấn Linh</v>
          </cell>
          <cell r="AF3235" t="str">
            <v>XE00869</v>
          </cell>
          <cell r="AH3235">
            <v>9.82</v>
          </cell>
          <cell r="AW3235" t="str">
            <v>Lê Tuấn Linh10</v>
          </cell>
          <cell r="AX3235" t="str">
            <v>Hằng</v>
          </cell>
        </row>
        <row r="3236">
          <cell r="D3236" t="str">
            <v>Nguyễn Tiến Hưng</v>
          </cell>
          <cell r="AF3236" t="str">
            <v>XE00212</v>
          </cell>
          <cell r="AH3236">
            <v>8.44</v>
          </cell>
          <cell r="AW3236" t="str">
            <v>Nguyễn Tiến Hưng10</v>
          </cell>
          <cell r="AX3236" t="str">
            <v>Hằng</v>
          </cell>
        </row>
        <row r="3237">
          <cell r="D3237" t="str">
            <v>Dương Anh Đức</v>
          </cell>
          <cell r="AF3237" t="str">
            <v>XE01441</v>
          </cell>
          <cell r="AH3237">
            <v>9.82</v>
          </cell>
          <cell r="AW3237" t="str">
            <v>Dương Anh Đức10</v>
          </cell>
          <cell r="AX3237" t="str">
            <v>Hằng</v>
          </cell>
        </row>
        <row r="3238">
          <cell r="D3238" t="str">
            <v>Nguyễn Tuấn Trường</v>
          </cell>
          <cell r="AF3238" t="str">
            <v>XE00161</v>
          </cell>
          <cell r="AH3238">
            <v>9.82</v>
          </cell>
          <cell r="AW3238" t="str">
            <v>Nguyễn Tuấn Trường10</v>
          </cell>
          <cell r="AX3238" t="str">
            <v>Hằng</v>
          </cell>
        </row>
        <row r="3239">
          <cell r="D3239" t="str">
            <v>Nguyễn Quang Thanh</v>
          </cell>
          <cell r="AF3239" t="str">
            <v>XE01601</v>
          </cell>
          <cell r="AH3239">
            <v>8.2200000000000006</v>
          </cell>
          <cell r="AW3239" t="str">
            <v>Nguyễn Quang Thanh4</v>
          </cell>
          <cell r="AX3239" t="str">
            <v>Hằng</v>
          </cell>
        </row>
        <row r="3240">
          <cell r="D3240" t="str">
            <v>Nguyễn Quang Thanh</v>
          </cell>
          <cell r="AF3240" t="str">
            <v>XE01601</v>
          </cell>
          <cell r="AH3240">
            <v>9.82</v>
          </cell>
          <cell r="AW3240" t="str">
            <v>Nguyễn Quang Thanh5</v>
          </cell>
          <cell r="AX3240" t="str">
            <v>Hằng</v>
          </cell>
        </row>
        <row r="3241">
          <cell r="D3241" t="str">
            <v>Nguyễn Quang Thanh</v>
          </cell>
          <cell r="AF3241" t="str">
            <v>XE01601</v>
          </cell>
          <cell r="AH3241">
            <v>9.42</v>
          </cell>
          <cell r="AW3241" t="str">
            <v>Nguyễn Quang Thanh6</v>
          </cell>
          <cell r="AX3241" t="str">
            <v>Hằng</v>
          </cell>
        </row>
        <row r="3242">
          <cell r="D3242" t="str">
            <v>Phạm Văn Thiêm</v>
          </cell>
          <cell r="AF3242" t="str">
            <v>XE01090</v>
          </cell>
          <cell r="AH3242">
            <v>9.42</v>
          </cell>
          <cell r="AW3242" t="str">
            <v>Phạm Văn Thiêm6</v>
          </cell>
          <cell r="AX3242" t="str">
            <v>Hằng</v>
          </cell>
        </row>
        <row r="3243">
          <cell r="D3243" t="str">
            <v>Phạm Văn Thiêm</v>
          </cell>
          <cell r="AF3243" t="str">
            <v>XE01090</v>
          </cell>
          <cell r="AH3243">
            <v>9.42</v>
          </cell>
          <cell r="AW3243" t="str">
            <v>Phạm Văn Thiêm7</v>
          </cell>
          <cell r="AX3243" t="str">
            <v>Hằng</v>
          </cell>
        </row>
        <row r="3244">
          <cell r="D3244" t="str">
            <v>Trần Ngọc Dũng</v>
          </cell>
          <cell r="AF3244" t="str">
            <v>XE01011</v>
          </cell>
          <cell r="AH3244">
            <v>9.82</v>
          </cell>
          <cell r="AW3244" t="str">
            <v>Trần Ngọc Dũng6</v>
          </cell>
          <cell r="AX3244" t="str">
            <v>Hằng</v>
          </cell>
        </row>
        <row r="3245">
          <cell r="D3245" t="str">
            <v>Trần Ngọc Dũng</v>
          </cell>
          <cell r="AF3245" t="str">
            <v>XE01011</v>
          </cell>
          <cell r="AH3245">
            <v>7.24</v>
          </cell>
          <cell r="AW3245" t="str">
            <v>Trần Ngọc Dũng7</v>
          </cell>
          <cell r="AX3245" t="str">
            <v>Hằng</v>
          </cell>
        </row>
        <row r="3246">
          <cell r="D3246" t="str">
            <v>Đinh Văn Chung</v>
          </cell>
          <cell r="AF3246" t="str">
            <v>XE00122</v>
          </cell>
          <cell r="AH3246">
            <v>9.42</v>
          </cell>
          <cell r="AW3246" t="str">
            <v>Đinh Văn Chung6</v>
          </cell>
          <cell r="AX3246" t="str">
            <v>Hằng</v>
          </cell>
        </row>
        <row r="3247">
          <cell r="D3247" t="str">
            <v>Đinh Văn Chung</v>
          </cell>
          <cell r="AF3247" t="str">
            <v>XE00122</v>
          </cell>
          <cell r="AH3247">
            <v>9.42</v>
          </cell>
          <cell r="AW3247" t="str">
            <v>Đinh Văn Chung7</v>
          </cell>
          <cell r="AX3247" t="str">
            <v>Hằng</v>
          </cell>
        </row>
        <row r="3248">
          <cell r="D3248" t="str">
            <v>Đào Đức Liêm</v>
          </cell>
          <cell r="AF3248" t="str">
            <v>XE00397</v>
          </cell>
          <cell r="AH3248">
            <v>9.82</v>
          </cell>
          <cell r="AW3248" t="str">
            <v>Đào Đức Liêm6</v>
          </cell>
          <cell r="AX3248" t="str">
            <v>Hằng</v>
          </cell>
        </row>
        <row r="3249">
          <cell r="D3249" t="str">
            <v>Đào Đức Liêm</v>
          </cell>
          <cell r="AF3249" t="str">
            <v>XE00397</v>
          </cell>
          <cell r="AH3249">
            <v>9.82</v>
          </cell>
          <cell r="AW3249" t="str">
            <v>Đào Đức Liêm7</v>
          </cell>
          <cell r="AX3249" t="str">
            <v>Hằng</v>
          </cell>
        </row>
        <row r="3250">
          <cell r="D3250" t="str">
            <v>Trần Xuân Bách</v>
          </cell>
          <cell r="AF3250" t="str">
            <v>XE01008</v>
          </cell>
          <cell r="AH3250">
            <v>9.82</v>
          </cell>
          <cell r="AW3250" t="str">
            <v>Trần Xuân Bách8</v>
          </cell>
          <cell r="AX3250" t="str">
            <v>Hằng</v>
          </cell>
        </row>
        <row r="3251">
          <cell r="D3251" t="str">
            <v>Trần Xuân Bách</v>
          </cell>
          <cell r="AF3251" t="str">
            <v>XE01008</v>
          </cell>
          <cell r="AH3251">
            <v>9.42</v>
          </cell>
          <cell r="AW3251" t="str">
            <v>Trần Xuân Bách9</v>
          </cell>
          <cell r="AX3251" t="str">
            <v>Hằng</v>
          </cell>
        </row>
        <row r="3252">
          <cell r="D3252" t="str">
            <v>Bùi Mạnh Hùng</v>
          </cell>
          <cell r="AF3252" t="str">
            <v>XE00978</v>
          </cell>
          <cell r="AH3252">
            <v>9.02</v>
          </cell>
          <cell r="AW3252" t="str">
            <v>Bùi Mạnh Hùng8</v>
          </cell>
          <cell r="AX3252" t="str">
            <v>Hằng</v>
          </cell>
        </row>
        <row r="3253">
          <cell r="D3253" t="str">
            <v>Bùi Mạnh Hùng</v>
          </cell>
          <cell r="AF3253" t="str">
            <v>XE00978</v>
          </cell>
          <cell r="AH3253">
            <v>9.82</v>
          </cell>
          <cell r="AW3253" t="str">
            <v>Bùi Mạnh Hùng9</v>
          </cell>
          <cell r="AX3253" t="str">
            <v>Hằng</v>
          </cell>
        </row>
        <row r="3254">
          <cell r="D3254" t="str">
            <v>Lê Thanh Xuân</v>
          </cell>
          <cell r="AF3254" t="str">
            <v>XE01704</v>
          </cell>
          <cell r="AH3254">
            <v>9.82</v>
          </cell>
          <cell r="AW3254" t="str">
            <v>Lê Thanh Xuân9</v>
          </cell>
          <cell r="AX3254" t="str">
            <v>Hằng</v>
          </cell>
        </row>
        <row r="3255">
          <cell r="D3255" t="str">
            <v>Lại Thế Thư</v>
          </cell>
          <cell r="AF3255" t="str">
            <v>XE01286</v>
          </cell>
          <cell r="AH3255">
            <v>9.42</v>
          </cell>
          <cell r="AW3255" t="str">
            <v>Lại Thế Thư9</v>
          </cell>
          <cell r="AX3255" t="str">
            <v>Hằng</v>
          </cell>
        </row>
        <row r="3256">
          <cell r="D3256" t="str">
            <v>Nguyễn Thiên Mạnh</v>
          </cell>
          <cell r="AF3256" t="str">
            <v>XE01182</v>
          </cell>
          <cell r="AH3256">
            <v>9.42</v>
          </cell>
          <cell r="AW3256" t="str">
            <v>Nguyễn Thiên Mạnh9</v>
          </cell>
          <cell r="AX3256" t="str">
            <v>Hằng</v>
          </cell>
        </row>
        <row r="3257">
          <cell r="D3257" t="str">
            <v>Nguyễn Quốc Thắng</v>
          </cell>
          <cell r="AF3257" t="str">
            <v>XE00495</v>
          </cell>
          <cell r="AH3257">
            <v>9.02</v>
          </cell>
          <cell r="AW3257" t="str">
            <v>Nguyễn Quốc Thắng9</v>
          </cell>
          <cell r="AX3257" t="str">
            <v>Hằng</v>
          </cell>
        </row>
        <row r="3258">
          <cell r="D3258" t="str">
            <v>Đào Duy Nhất</v>
          </cell>
          <cell r="AF3258" t="str">
            <v>XE01062</v>
          </cell>
          <cell r="AH3258">
            <v>9.24</v>
          </cell>
          <cell r="AW3258" t="str">
            <v>Đào Duy Nhất9</v>
          </cell>
          <cell r="AX3258" t="str">
            <v>Hằng</v>
          </cell>
        </row>
        <row r="3259">
          <cell r="D3259" t="str">
            <v>Lò Văn Dương</v>
          </cell>
          <cell r="AF3259" t="str">
            <v>XE00913</v>
          </cell>
          <cell r="AH3259">
            <v>9.42</v>
          </cell>
          <cell r="AW3259" t="str">
            <v>Lò Văn Dương9</v>
          </cell>
          <cell r="AX3259" t="str">
            <v>Hằng</v>
          </cell>
        </row>
        <row r="3260">
          <cell r="D3260" t="str">
            <v>Nguyễn Việt Cường</v>
          </cell>
          <cell r="AF3260" t="str">
            <v>XE00345</v>
          </cell>
          <cell r="AH3260">
            <v>7.82</v>
          </cell>
          <cell r="AW3260" t="str">
            <v>Nguyễn Việt Cường9</v>
          </cell>
          <cell r="AX3260" t="str">
            <v>Hằng</v>
          </cell>
        </row>
        <row r="3261">
          <cell r="D3261" t="str">
            <v>Nguyễn Thế Anh</v>
          </cell>
          <cell r="AF3261" t="str">
            <v>XE00383</v>
          </cell>
          <cell r="AH3261">
            <v>8.84</v>
          </cell>
          <cell r="AW3261" t="str">
            <v>Nguyễn Thế Anh10</v>
          </cell>
          <cell r="AX3261" t="str">
            <v>Hằng</v>
          </cell>
        </row>
        <row r="3262">
          <cell r="D3262" t="str">
            <v>Đặng Văn Thơ</v>
          </cell>
          <cell r="AF3262" t="str">
            <v>XE01700</v>
          </cell>
          <cell r="AH3262">
            <v>9.42</v>
          </cell>
          <cell r="AW3262" t="str">
            <v>Đặng Văn Thơ10</v>
          </cell>
          <cell r="AX3262" t="str">
            <v>Hằng</v>
          </cell>
        </row>
        <row r="3263">
          <cell r="D3263" t="str">
            <v>Nguyễn Mạnh Cường</v>
          </cell>
          <cell r="AF3263" t="str">
            <v>XE01699</v>
          </cell>
          <cell r="AH3263">
            <v>9.02</v>
          </cell>
          <cell r="AW3263" t="str">
            <v>Nguyễn Mạnh Cường10</v>
          </cell>
          <cell r="AX3263" t="str">
            <v>Hằng</v>
          </cell>
        </row>
        <row r="3264">
          <cell r="D3264" t="str">
            <v>Lê Minh Đức</v>
          </cell>
          <cell r="AF3264" t="str">
            <v>XE01688</v>
          </cell>
          <cell r="AH3264">
            <v>9.42</v>
          </cell>
          <cell r="AW3264" t="str">
            <v>Lê Minh Đức10</v>
          </cell>
          <cell r="AX3264" t="str">
            <v>Hằng</v>
          </cell>
        </row>
        <row r="3265">
          <cell r="D3265" t="str">
            <v>Nguyễn Văn Minh</v>
          </cell>
          <cell r="AF3265" t="str">
            <v>XE01570</v>
          </cell>
          <cell r="AH3265">
            <v>9.82</v>
          </cell>
          <cell r="AW3265" t="str">
            <v>Nguyễn Văn Minh10</v>
          </cell>
          <cell r="AX3265" t="str">
            <v>Hằng</v>
          </cell>
        </row>
        <row r="3266">
          <cell r="D3266" t="str">
            <v>Lê Hùng Cường</v>
          </cell>
          <cell r="AF3266" t="str">
            <v>XE00188</v>
          </cell>
          <cell r="AH3266">
            <v>9.82</v>
          </cell>
          <cell r="AW3266" t="str">
            <v>Lê Hùng Cường10</v>
          </cell>
          <cell r="AX3266" t="str">
            <v>Hằng</v>
          </cell>
        </row>
        <row r="3267">
          <cell r="D3267" t="str">
            <v>Phan Thái Sơn</v>
          </cell>
          <cell r="AF3267" t="str">
            <v>XE00026</v>
          </cell>
          <cell r="AH3267">
            <v>9.42</v>
          </cell>
          <cell r="AW3267" t="str">
            <v>Phan Thái Sơn10</v>
          </cell>
          <cell r="AX3267" t="str">
            <v>Hằng</v>
          </cell>
        </row>
        <row r="3268">
          <cell r="D3268" t="str">
            <v>Nguyễn Thiên Mạnh</v>
          </cell>
          <cell r="AF3268" t="str">
            <v>XE01182</v>
          </cell>
          <cell r="AH3268">
            <v>8.620000000000001</v>
          </cell>
          <cell r="AW3268" t="str">
            <v>Nguyễn Thiên Mạnh10</v>
          </cell>
          <cell r="AX3268" t="str">
            <v>Hằng</v>
          </cell>
        </row>
        <row r="3269">
          <cell r="D3269" t="str">
            <v>Nguyễn Quốc Thắng</v>
          </cell>
          <cell r="AF3269" t="str">
            <v>XE00495</v>
          </cell>
          <cell r="AH3269">
            <v>9.02</v>
          </cell>
          <cell r="AW3269" t="str">
            <v>Nguyễn Quốc Thắng10</v>
          </cell>
          <cell r="AX3269" t="str">
            <v>Hằng</v>
          </cell>
        </row>
        <row r="3270">
          <cell r="D3270" t="str">
            <v>Đào Duy Nhất</v>
          </cell>
          <cell r="AF3270" t="str">
            <v>XE01062</v>
          </cell>
          <cell r="AH3270">
            <v>5.6800000000000006</v>
          </cell>
          <cell r="AW3270" t="str">
            <v>Đào Duy Nhất</v>
          </cell>
          <cell r="AX3270" t="str">
            <v>Hằng</v>
          </cell>
        </row>
        <row r="3271">
          <cell r="D3271" t="str">
            <v>Lò Văn Dương</v>
          </cell>
          <cell r="AF3271" t="str">
            <v>XE00913</v>
          </cell>
          <cell r="AH3271">
            <v>8.2200000000000006</v>
          </cell>
          <cell r="AW3271" t="str">
            <v>Lò Văn Dương10</v>
          </cell>
          <cell r="AX3271" t="str">
            <v>Hằng</v>
          </cell>
        </row>
        <row r="3272">
          <cell r="D3272" t="str">
            <v>Nguyễn Việt Cường</v>
          </cell>
          <cell r="AF3272" t="str">
            <v>XE00345</v>
          </cell>
          <cell r="AH3272">
            <v>9.02</v>
          </cell>
          <cell r="AW3272" t="str">
            <v>Nguyễn Việt Cường10</v>
          </cell>
          <cell r="AX3272" t="str">
            <v>Hằng</v>
          </cell>
        </row>
        <row r="3273">
          <cell r="D3273" t="str">
            <v>Nguyễn Hùng Cường</v>
          </cell>
          <cell r="AF3273" t="str">
            <v>XE01333</v>
          </cell>
          <cell r="AH3273">
            <v>9.02</v>
          </cell>
          <cell r="AW3273" t="str">
            <v>Nguyễn Hùng Cường8</v>
          </cell>
          <cell r="AX3273" t="str">
            <v>Hằng</v>
          </cell>
        </row>
        <row r="3274">
          <cell r="D3274" t="str">
            <v>Nguyễn Hùng Cường</v>
          </cell>
          <cell r="AF3274" t="str">
            <v>XE01333</v>
          </cell>
          <cell r="AH3274">
            <v>9.82</v>
          </cell>
          <cell r="AW3274" t="str">
            <v>Nguyễn Hùng Cường9</v>
          </cell>
          <cell r="AX3274" t="str">
            <v>Hằng</v>
          </cell>
        </row>
        <row r="3275">
          <cell r="D3275" t="str">
            <v>Nguyễn Minh Tuấn</v>
          </cell>
          <cell r="AF3275" t="str">
            <v>XE01562</v>
          </cell>
          <cell r="AH3275">
            <v>8.84</v>
          </cell>
          <cell r="AW3275" t="str">
            <v>Nguyễn Minh Tuấn10</v>
          </cell>
          <cell r="AX3275" t="str">
            <v>Hằng</v>
          </cell>
        </row>
        <row r="3276">
          <cell r="D3276" t="str">
            <v>Nguyễn Minh Tuấn</v>
          </cell>
          <cell r="AF3276" t="str">
            <v>XE01562</v>
          </cell>
          <cell r="AH3276">
            <v>8.620000000000001</v>
          </cell>
          <cell r="AW3276" t="str">
            <v>Nguyễn Minh Tuấn11</v>
          </cell>
          <cell r="AX3276" t="str">
            <v>Hằng</v>
          </cell>
        </row>
        <row r="3277">
          <cell r="D3277" t="str">
            <v>Nguyễn Văn Thành</v>
          </cell>
          <cell r="AF3277" t="str">
            <v>XE01278</v>
          </cell>
          <cell r="AH3277">
            <v>9.82</v>
          </cell>
          <cell r="AW3277" t="str">
            <v>Nguyễn Văn Thành10</v>
          </cell>
          <cell r="AX3277" t="str">
            <v>Hằng</v>
          </cell>
        </row>
        <row r="3278">
          <cell r="D3278" t="str">
            <v>Nguyễn Văn Thành</v>
          </cell>
          <cell r="AF3278" t="str">
            <v>XE01278</v>
          </cell>
          <cell r="AH3278">
            <v>9.42</v>
          </cell>
          <cell r="AW3278" t="str">
            <v>Nguyễn Văn Thành11</v>
          </cell>
          <cell r="AX3278" t="str">
            <v>Hằng</v>
          </cell>
        </row>
        <row r="3279">
          <cell r="D3279" t="str">
            <v>Nguyễn Văn Võ</v>
          </cell>
          <cell r="AF3279" t="str">
            <v>XE01230</v>
          </cell>
          <cell r="AH3279">
            <v>9.82</v>
          </cell>
          <cell r="AW3279" t="str">
            <v>Nguyễn Văn Võ10</v>
          </cell>
          <cell r="AX3279" t="str">
            <v>Hằng</v>
          </cell>
        </row>
        <row r="3280">
          <cell r="D3280" t="str">
            <v>Nguyễn Văn Võ</v>
          </cell>
          <cell r="AF3280" t="str">
            <v>XE01230</v>
          </cell>
          <cell r="AH3280">
            <v>9.82</v>
          </cell>
          <cell r="AW3280" t="str">
            <v>Nguyễn Văn Võ11</v>
          </cell>
          <cell r="AX3280" t="str">
            <v>Hằng</v>
          </cell>
        </row>
        <row r="3281">
          <cell r="D3281" t="str">
            <v>Nguyễn Duy Phương</v>
          </cell>
          <cell r="AF3281" t="str">
            <v>XE00308</v>
          </cell>
          <cell r="AH3281">
            <v>9.82</v>
          </cell>
          <cell r="AW3281" t="str">
            <v>Nguyễn Duy Phương10</v>
          </cell>
          <cell r="AX3281" t="str">
            <v>Hằng</v>
          </cell>
        </row>
        <row r="3282">
          <cell r="D3282" t="str">
            <v>Nguyễn Duy Phương</v>
          </cell>
          <cell r="AF3282" t="str">
            <v>XE00308</v>
          </cell>
          <cell r="AH3282">
            <v>9.82</v>
          </cell>
          <cell r="AW3282" t="str">
            <v>Nguyễn Duy Phương11</v>
          </cell>
          <cell r="AX3282" t="str">
            <v>Hằng</v>
          </cell>
        </row>
        <row r="3283">
          <cell r="D3283" t="str">
            <v>Tống Văn Hậu</v>
          </cell>
          <cell r="AF3283" t="str">
            <v>XE01088</v>
          </cell>
          <cell r="AH3283">
            <v>9.82</v>
          </cell>
          <cell r="AW3283" t="str">
            <v>Tống Văn Hậu11</v>
          </cell>
          <cell r="AX3283" t="str">
            <v>Hằng</v>
          </cell>
        </row>
        <row r="3284">
          <cell r="D3284" t="str">
            <v>Nguyễn Trung Hiếu</v>
          </cell>
          <cell r="AF3284" t="str">
            <v>XE00429</v>
          </cell>
          <cell r="AH3284">
            <v>9.42</v>
          </cell>
          <cell r="AW3284" t="str">
            <v>Nguyễn Trung Hiếu11</v>
          </cell>
          <cell r="AX3284" t="str">
            <v>Hằng</v>
          </cell>
        </row>
        <row r="3285">
          <cell r="D3285" t="str">
            <v>Phạm Công Khánh</v>
          </cell>
          <cell r="AF3285" t="str">
            <v>XE00386</v>
          </cell>
          <cell r="AH3285">
            <v>8.2200000000000006</v>
          </cell>
          <cell r="AW3285" t="str">
            <v>Phạm Công Khánh11</v>
          </cell>
          <cell r="AX3285" t="str">
            <v>Hằng</v>
          </cell>
        </row>
        <row r="3286">
          <cell r="D3286" t="str">
            <v>Vũ Hoàng Long</v>
          </cell>
          <cell r="AF3286" t="str">
            <v>XE00312</v>
          </cell>
          <cell r="AH3286">
            <v>9.82</v>
          </cell>
          <cell r="AW3286" t="str">
            <v>Vũ Hoàng Long11</v>
          </cell>
          <cell r="AX3286" t="str">
            <v>Hằng</v>
          </cell>
        </row>
        <row r="3287">
          <cell r="D3287" t="str">
            <v>Lê Tuấn Linh</v>
          </cell>
          <cell r="AF3287" t="str">
            <v>XE00869</v>
          </cell>
          <cell r="AH3287">
            <v>9.02</v>
          </cell>
          <cell r="AW3287" t="str">
            <v>Lê Tuấn Linh11</v>
          </cell>
          <cell r="AX3287" t="str">
            <v>Hằng</v>
          </cell>
        </row>
        <row r="3288">
          <cell r="D3288" t="str">
            <v>Nguyễn Tuấn Trường</v>
          </cell>
          <cell r="AF3288" t="str">
            <v>XE00161</v>
          </cell>
          <cell r="AH3288">
            <v>9.82</v>
          </cell>
          <cell r="AW3288" t="str">
            <v>Nguyễn Tuấn Trường11</v>
          </cell>
          <cell r="AX3288" t="str">
            <v>Hằng</v>
          </cell>
        </row>
        <row r="3289">
          <cell r="D3289" t="str">
            <v>Nguyễn Quang Thanh</v>
          </cell>
          <cell r="AF3289" t="str">
            <v>XE01601</v>
          </cell>
          <cell r="AH3289">
            <v>9.42</v>
          </cell>
          <cell r="AW3289" t="str">
            <v>Nguyễn Quang Thanh7</v>
          </cell>
          <cell r="AX3289" t="str">
            <v>Hằng</v>
          </cell>
        </row>
        <row r="3290">
          <cell r="D3290" t="str">
            <v>Nguyễn Quang Thanh</v>
          </cell>
          <cell r="AF3290" t="str">
            <v>XE01601</v>
          </cell>
          <cell r="AH3290">
            <v>9.42</v>
          </cell>
          <cell r="AW3290" t="str">
            <v>Nguyễn Quang Thanh8</v>
          </cell>
          <cell r="AX3290" t="str">
            <v>Hằng</v>
          </cell>
        </row>
        <row r="3291">
          <cell r="D3291" t="str">
            <v>Phạm Văn Thiêm</v>
          </cell>
          <cell r="AF3291" t="str">
            <v>XE01090</v>
          </cell>
          <cell r="AH3291">
            <v>9.82</v>
          </cell>
          <cell r="AW3291" t="str">
            <v>Phạm Văn Thiêm8</v>
          </cell>
          <cell r="AX3291" t="str">
            <v>Hằng</v>
          </cell>
        </row>
        <row r="3292">
          <cell r="D3292" t="str">
            <v>Phạm Văn Thiêm</v>
          </cell>
          <cell r="AF3292" t="str">
            <v>XE01090</v>
          </cell>
          <cell r="AH3292">
            <v>9.42</v>
          </cell>
          <cell r="AW3292" t="str">
            <v>Phạm Văn Thiêm9</v>
          </cell>
          <cell r="AX3292" t="str">
            <v>Hằng</v>
          </cell>
        </row>
        <row r="3293">
          <cell r="D3293" t="str">
            <v>Phạm Văn Thiêm</v>
          </cell>
          <cell r="AF3293" t="str">
            <v>XE01090</v>
          </cell>
          <cell r="AH3293">
            <v>7.24</v>
          </cell>
          <cell r="AW3293" t="str">
            <v>Phạm Văn Thiêm10</v>
          </cell>
          <cell r="AX3293" t="str">
            <v>Hằng</v>
          </cell>
        </row>
        <row r="3294">
          <cell r="D3294" t="str">
            <v>Trần Ngọc Dũng</v>
          </cell>
          <cell r="AF3294" t="str">
            <v>XE01011</v>
          </cell>
          <cell r="AH3294">
            <v>8.84</v>
          </cell>
          <cell r="AW3294" t="str">
            <v>Trần Ngọc Dũng8</v>
          </cell>
          <cell r="AX3294" t="str">
            <v>Hằng</v>
          </cell>
        </row>
        <row r="3295">
          <cell r="D3295" t="str">
            <v>Trần Ngọc Dũng</v>
          </cell>
          <cell r="AF3295" t="str">
            <v>XE01011</v>
          </cell>
          <cell r="AH3295">
            <v>9.82</v>
          </cell>
          <cell r="AW3295" t="str">
            <v>Trần Ngọc Dũng9</v>
          </cell>
          <cell r="AX3295" t="str">
            <v>Hằng</v>
          </cell>
        </row>
        <row r="3296">
          <cell r="D3296" t="str">
            <v>Trần Ngọc Dũng</v>
          </cell>
          <cell r="AF3296" t="str">
            <v>XE01011</v>
          </cell>
          <cell r="AH3296">
            <v>9.82</v>
          </cell>
          <cell r="AW3296" t="str">
            <v>Trần Ngọc Dũng10</v>
          </cell>
          <cell r="AX3296" t="str">
            <v>Hằng</v>
          </cell>
        </row>
        <row r="3297">
          <cell r="D3297" t="str">
            <v>Đào Đức Liêm</v>
          </cell>
          <cell r="AF3297" t="str">
            <v>XE00397</v>
          </cell>
          <cell r="AH3297">
            <v>9.42</v>
          </cell>
          <cell r="AW3297" t="str">
            <v>Đào Đức Liêm8</v>
          </cell>
          <cell r="AX3297" t="str">
            <v>Hằng</v>
          </cell>
        </row>
        <row r="3298">
          <cell r="D3298" t="str">
            <v>Đào Đức Liêm</v>
          </cell>
          <cell r="AF3298" t="str">
            <v>XE00397</v>
          </cell>
          <cell r="AH3298">
            <v>8.02</v>
          </cell>
          <cell r="AW3298" t="str">
            <v>Đào Đức Liêm9</v>
          </cell>
          <cell r="AX3298" t="str">
            <v>Hằng</v>
          </cell>
        </row>
        <row r="3299">
          <cell r="D3299" t="str">
            <v>Lê Thanh Xuân</v>
          </cell>
          <cell r="AF3299" t="str">
            <v>XE01704</v>
          </cell>
          <cell r="AH3299">
            <v>9.82</v>
          </cell>
          <cell r="AW3299" t="str">
            <v>Lê Thanh Xuân10</v>
          </cell>
          <cell r="AX3299" t="str">
            <v>Hằng</v>
          </cell>
        </row>
        <row r="3300">
          <cell r="D3300" t="str">
            <v>Lê Thanh Xuân</v>
          </cell>
          <cell r="AF3300" t="str">
            <v>XE01704</v>
          </cell>
          <cell r="AH3300">
            <v>9.82</v>
          </cell>
          <cell r="AW3300" t="str">
            <v>Lê Thanh Xuân11</v>
          </cell>
          <cell r="AX3300" t="str">
            <v>Hằng</v>
          </cell>
        </row>
        <row r="3301">
          <cell r="D3301" t="str">
            <v>Trần Xuân Bách</v>
          </cell>
          <cell r="AF3301" t="str">
            <v>XE01008</v>
          </cell>
          <cell r="AH3301">
            <v>9.42</v>
          </cell>
          <cell r="AW3301" t="str">
            <v>Trần Xuân Bách10</v>
          </cell>
          <cell r="AX3301" t="str">
            <v>Hằng</v>
          </cell>
        </row>
        <row r="3302">
          <cell r="D3302" t="str">
            <v>Trần Xuân Bách</v>
          </cell>
          <cell r="AF3302" t="str">
            <v>XE01008</v>
          </cell>
          <cell r="AH3302">
            <v>9.02</v>
          </cell>
          <cell r="AW3302" t="str">
            <v>Trần Xuân Bách11</v>
          </cell>
          <cell r="AX3302" t="str">
            <v>Hằng</v>
          </cell>
        </row>
        <row r="3303">
          <cell r="D3303" t="str">
            <v>Lê Hùng Cường</v>
          </cell>
          <cell r="AF3303" t="str">
            <v>XE00188</v>
          </cell>
          <cell r="AH3303">
            <v>7.24</v>
          </cell>
          <cell r="AW3303" t="str">
            <v>Lê Hùng Cường11</v>
          </cell>
          <cell r="AX3303" t="str">
            <v>Hằng</v>
          </cell>
        </row>
        <row r="3304">
          <cell r="D3304" t="str">
            <v>Nguyễn Thiên Mạnh</v>
          </cell>
          <cell r="AF3304" t="str">
            <v>XE01182</v>
          </cell>
          <cell r="AH3304">
            <v>9.02</v>
          </cell>
          <cell r="AW3304" t="str">
            <v>Nguyễn Thiên Mạnh11</v>
          </cell>
          <cell r="AX3304" t="str">
            <v>Hằng</v>
          </cell>
        </row>
        <row r="3305">
          <cell r="D3305" t="str">
            <v>Nguyễn Quốc Thắng</v>
          </cell>
          <cell r="AF3305" t="str">
            <v>XE00495</v>
          </cell>
          <cell r="AH3305">
            <v>7.6400000000000006</v>
          </cell>
          <cell r="AW3305" t="str">
            <v>Nguyễn Quốc Thắng11</v>
          </cell>
          <cell r="AX3305" t="str">
            <v>Hằng</v>
          </cell>
        </row>
        <row r="3306">
          <cell r="D3306" t="str">
            <v>Nguyễn Quốc Thắng</v>
          </cell>
          <cell r="AF3306" t="str">
            <v>XE00495</v>
          </cell>
          <cell r="AH3306">
            <v>9.02</v>
          </cell>
          <cell r="AW3306" t="str">
            <v>Nguyễn Quốc Thắng12</v>
          </cell>
          <cell r="AX3306" t="str">
            <v>Hằng</v>
          </cell>
        </row>
        <row r="3307">
          <cell r="D3307" t="str">
            <v>Nguyễn Thế Anh</v>
          </cell>
          <cell r="AF3307" t="str">
            <v>XE00383</v>
          </cell>
          <cell r="AH3307">
            <v>9.82</v>
          </cell>
          <cell r="AW3307" t="str">
            <v>Nguyễn Thế Anh11</v>
          </cell>
          <cell r="AX3307" t="str">
            <v>Hằng</v>
          </cell>
        </row>
        <row r="3308">
          <cell r="D3308" t="str">
            <v>Nguyễn Mạnh Cường</v>
          </cell>
          <cell r="AF3308" t="str">
            <v>XE01699</v>
          </cell>
          <cell r="AH3308">
            <v>9.82</v>
          </cell>
          <cell r="AW3308" t="str">
            <v>Nguyễn Mạnh Cường11</v>
          </cell>
          <cell r="AX3308" t="str">
            <v>Hằng</v>
          </cell>
        </row>
        <row r="3309">
          <cell r="D3309" t="str">
            <v>Nguyễn Mạnh Cường</v>
          </cell>
          <cell r="AF3309" t="str">
            <v>XE01699</v>
          </cell>
          <cell r="AH3309">
            <v>7.82</v>
          </cell>
          <cell r="AW3309" t="str">
            <v>Nguyễn Mạnh Cường12</v>
          </cell>
          <cell r="AX3309" t="str">
            <v>Hằng</v>
          </cell>
        </row>
        <row r="3310">
          <cell r="D3310" t="str">
            <v>Lò Văn Dương</v>
          </cell>
          <cell r="AF3310" t="str">
            <v>XE00913</v>
          </cell>
          <cell r="AH3310">
            <v>9.82</v>
          </cell>
          <cell r="AW3310" t="str">
            <v>Lò Văn Dương11</v>
          </cell>
          <cell r="AX3310" t="str">
            <v>Hằng</v>
          </cell>
        </row>
        <row r="3311">
          <cell r="D3311" t="str">
            <v>Lò Văn Dương</v>
          </cell>
          <cell r="AF3311" t="str">
            <v>XE00913</v>
          </cell>
          <cell r="AH3311">
            <v>9.82</v>
          </cell>
          <cell r="AW3311" t="str">
            <v>Lò Văn Dương12</v>
          </cell>
          <cell r="AX3311" t="str">
            <v>Hằng</v>
          </cell>
        </row>
        <row r="3312">
          <cell r="D3312" t="str">
            <v>Nguyễn Việt Cường</v>
          </cell>
          <cell r="AF3312" t="str">
            <v>XE00345</v>
          </cell>
          <cell r="AH3312">
            <v>9.64</v>
          </cell>
          <cell r="AW3312" t="str">
            <v>Nguyễn Việt Cường11</v>
          </cell>
          <cell r="AX3312" t="str">
            <v>Hằng</v>
          </cell>
        </row>
        <row r="3313">
          <cell r="D3313" t="str">
            <v>Nguyễn Việt Cường</v>
          </cell>
          <cell r="AF3313" t="str">
            <v>XE00345</v>
          </cell>
          <cell r="AH3313">
            <v>9.82</v>
          </cell>
          <cell r="AW3313" t="str">
            <v>Nguyễn Việt Cường12</v>
          </cell>
          <cell r="AX3313" t="str">
            <v>Hằng</v>
          </cell>
        </row>
        <row r="3314">
          <cell r="D3314" t="str">
            <v>Đào Duy Nhất</v>
          </cell>
          <cell r="AF3314" t="str">
            <v>XE01062</v>
          </cell>
          <cell r="AH3314">
            <v>9.82</v>
          </cell>
          <cell r="AW3314" t="str">
            <v>Đào Duy Nhất11</v>
          </cell>
          <cell r="AX3314" t="str">
            <v>Hằng</v>
          </cell>
        </row>
        <row r="3315">
          <cell r="D3315" t="str">
            <v>Đào Duy Nhất</v>
          </cell>
          <cell r="AF3315" t="str">
            <v>XE01062</v>
          </cell>
          <cell r="AH3315">
            <v>9.42</v>
          </cell>
          <cell r="AW3315" t="str">
            <v>Đào Duy Nhất12</v>
          </cell>
          <cell r="AX3315" t="str">
            <v>Hằng</v>
          </cell>
        </row>
        <row r="3316">
          <cell r="D3316" t="str">
            <v>Trần Quốc Toàn</v>
          </cell>
          <cell r="AF3316" t="str">
            <v>XE00901</v>
          </cell>
          <cell r="AH3316">
            <v>9.82</v>
          </cell>
          <cell r="AW3316" t="str">
            <v>Trần Quốc Toàn6</v>
          </cell>
          <cell r="AX3316" t="str">
            <v>Hằng</v>
          </cell>
        </row>
        <row r="3317">
          <cell r="D3317" t="str">
            <v>Trần Quốc Toàn</v>
          </cell>
          <cell r="AF3317" t="str">
            <v>XE00901</v>
          </cell>
          <cell r="AH3317">
            <v>9.42</v>
          </cell>
          <cell r="AW3317" t="str">
            <v>Trần Quốc Toàn7</v>
          </cell>
          <cell r="AX3317" t="str">
            <v>Hằng</v>
          </cell>
        </row>
        <row r="3318">
          <cell r="D3318" t="str">
            <v>Trần Quốc Toàn</v>
          </cell>
          <cell r="AF3318" t="str">
            <v>XE00901</v>
          </cell>
          <cell r="AH3318">
            <v>9.24</v>
          </cell>
          <cell r="AW3318" t="str">
            <v>Trần Quốc Toàn8</v>
          </cell>
          <cell r="AX3318" t="str">
            <v>Hằng</v>
          </cell>
        </row>
        <row r="3319">
          <cell r="D3319" t="str">
            <v>Nguyễn Hùng Cường</v>
          </cell>
          <cell r="AF3319" t="str">
            <v>XE01333</v>
          </cell>
          <cell r="AH3319">
            <v>9.82</v>
          </cell>
          <cell r="AW3319" t="str">
            <v>Nguyễn Hùng Cường10</v>
          </cell>
          <cell r="AX3319" t="str">
            <v>Hằng</v>
          </cell>
        </row>
        <row r="3320">
          <cell r="D3320" t="str">
            <v>Nguyễn Hùng Cường</v>
          </cell>
          <cell r="AF3320" t="str">
            <v>XE01333</v>
          </cell>
          <cell r="AH3320">
            <v>9.82</v>
          </cell>
          <cell r="AW3320" t="str">
            <v>Nguyễn Hùng Cường11</v>
          </cell>
          <cell r="AX3320" t="str">
            <v>Hằng</v>
          </cell>
        </row>
        <row r="3321">
          <cell r="D3321" t="str">
            <v>Trần Văn Sơn</v>
          </cell>
          <cell r="AF3321" t="str">
            <v>XE01427</v>
          </cell>
          <cell r="AH3321">
            <v>9.42</v>
          </cell>
          <cell r="AW3321" t="str">
            <v>Trần Văn Sơn10</v>
          </cell>
          <cell r="AX3321" t="str">
            <v>Hằng</v>
          </cell>
        </row>
        <row r="3322">
          <cell r="D3322" t="str">
            <v>Trần Văn Sơn</v>
          </cell>
          <cell r="AF3322" t="str">
            <v>XE01427</v>
          </cell>
          <cell r="AH3322">
            <v>9.02</v>
          </cell>
          <cell r="AW3322" t="str">
            <v>Trần Văn Sơn11</v>
          </cell>
          <cell r="AX3322" t="str">
            <v>Hằng</v>
          </cell>
        </row>
        <row r="3323">
          <cell r="D3323" t="str">
            <v>Nguyễn Tiến Hưng</v>
          </cell>
          <cell r="AF3323" t="str">
            <v>XE00212</v>
          </cell>
          <cell r="AH3323">
            <v>9.82</v>
          </cell>
          <cell r="AW3323" t="str">
            <v>Nguyễn Tiến Hưng11</v>
          </cell>
          <cell r="AX3323" t="str">
            <v>Hằng</v>
          </cell>
        </row>
        <row r="3324">
          <cell r="D3324" t="str">
            <v>Nguyễn Tiến Hưng</v>
          </cell>
          <cell r="AF3324" t="str">
            <v>XE00212</v>
          </cell>
          <cell r="AH3324">
            <v>9.42</v>
          </cell>
          <cell r="AW3324" t="str">
            <v>Nguyễn Tiến Hưng12</v>
          </cell>
          <cell r="AX3324" t="str">
            <v>Hằng</v>
          </cell>
        </row>
        <row r="3325">
          <cell r="D3325" t="str">
            <v>Dương Anh Đức</v>
          </cell>
          <cell r="AF3325" t="str">
            <v>XE01441</v>
          </cell>
          <cell r="AH3325">
            <v>9.82</v>
          </cell>
          <cell r="AW3325" t="str">
            <v>Dương Anh Đức11</v>
          </cell>
          <cell r="AX3325" t="str">
            <v>Hằng</v>
          </cell>
        </row>
        <row r="3326">
          <cell r="D3326" t="str">
            <v>Dương Anh Đức</v>
          </cell>
          <cell r="AF3326" t="str">
            <v>XE01441</v>
          </cell>
          <cell r="AH3326">
            <v>9.82</v>
          </cell>
          <cell r="AW3326" t="str">
            <v>Dương Anh Đức12</v>
          </cell>
          <cell r="AX3326" t="str">
            <v>Hằng</v>
          </cell>
        </row>
        <row r="3327">
          <cell r="D3327" t="str">
            <v>Nguyễn Minh Tuấn</v>
          </cell>
          <cell r="AF3327" t="str">
            <v>XE01562</v>
          </cell>
          <cell r="AH3327">
            <v>8.84</v>
          </cell>
          <cell r="AW3327" t="str">
            <v>Nguyễn Minh Tuấn12</v>
          </cell>
          <cell r="AX3327" t="str">
            <v>Hằng</v>
          </cell>
        </row>
        <row r="3328">
          <cell r="D3328" t="str">
            <v>Nguyễn Văn Thành</v>
          </cell>
          <cell r="AF3328" t="str">
            <v>XE01278</v>
          </cell>
          <cell r="AH3328">
            <v>9.42</v>
          </cell>
          <cell r="AW3328" t="str">
            <v>Nguyễn Văn Thành12</v>
          </cell>
          <cell r="AX3328" t="str">
            <v>Hằng</v>
          </cell>
        </row>
        <row r="3329">
          <cell r="D3329" t="str">
            <v>Nguyễn Văn Võ</v>
          </cell>
          <cell r="AF3329" t="str">
            <v>XE01230</v>
          </cell>
          <cell r="AH3329">
            <v>9.82</v>
          </cell>
          <cell r="AW3329" t="str">
            <v>Nguyễn Văn Võ12</v>
          </cell>
          <cell r="AX3329" t="str">
            <v>Hằng</v>
          </cell>
        </row>
        <row r="3330">
          <cell r="D3330" t="str">
            <v>Tống Văn Hậu</v>
          </cell>
          <cell r="AF3330" t="str">
            <v>XE01088</v>
          </cell>
          <cell r="AH3330">
            <v>9.82</v>
          </cell>
          <cell r="AW3330" t="str">
            <v>Tống Văn Hậu12</v>
          </cell>
          <cell r="AX3330" t="str">
            <v>Hằng</v>
          </cell>
        </row>
        <row r="3331">
          <cell r="D3331" t="str">
            <v>Nguyễn Trung Hiếu</v>
          </cell>
          <cell r="AF3331" t="str">
            <v>XE00429</v>
          </cell>
          <cell r="AH3331">
            <v>9.42</v>
          </cell>
          <cell r="AW3331" t="str">
            <v>Nguyễn Trung Hiếu12</v>
          </cell>
          <cell r="AX3331" t="str">
            <v>Hằng</v>
          </cell>
        </row>
        <row r="3332">
          <cell r="D3332" t="str">
            <v>Phạm Công Khánh</v>
          </cell>
          <cell r="AF3332" t="str">
            <v>XE00386</v>
          </cell>
          <cell r="AH3332">
            <v>9.42</v>
          </cell>
          <cell r="AW3332" t="str">
            <v>Phạm Công Khánh12</v>
          </cell>
          <cell r="AX3332" t="str">
            <v>Hằng</v>
          </cell>
        </row>
        <row r="3333">
          <cell r="D3333" t="str">
            <v>Nguyễn Duy Phương</v>
          </cell>
          <cell r="AF3333" t="str">
            <v>XE00308</v>
          </cell>
          <cell r="AH3333">
            <v>9.02</v>
          </cell>
          <cell r="AW3333" t="str">
            <v>Nguyễn Duy Phương12</v>
          </cell>
          <cell r="AX3333" t="str">
            <v>Hằng</v>
          </cell>
        </row>
        <row r="3334">
          <cell r="D3334" t="str">
            <v>Vũ Hoàng Long</v>
          </cell>
          <cell r="AF3334" t="str">
            <v>XE00312</v>
          </cell>
          <cell r="AH3334">
            <v>7.6400000000000006</v>
          </cell>
          <cell r="AW3334" t="str">
            <v>Vũ Hoàng Long12</v>
          </cell>
          <cell r="AX3334" t="str">
            <v>Hằng</v>
          </cell>
        </row>
        <row r="3335">
          <cell r="D3335" t="str">
            <v>Lê Tuấn Linh</v>
          </cell>
          <cell r="AF3335" t="str">
            <v>XE00869</v>
          </cell>
          <cell r="AH3335">
            <v>9.42</v>
          </cell>
          <cell r="AW3335" t="str">
            <v>Lê Tuấn Linh12</v>
          </cell>
          <cell r="AX3335" t="str">
            <v>Hằng</v>
          </cell>
        </row>
        <row r="3336">
          <cell r="D3336" t="str">
            <v>Nguyễn Tuấn Trường</v>
          </cell>
          <cell r="AF3336" t="str">
            <v>XE00161</v>
          </cell>
          <cell r="AH3336">
            <v>9.02</v>
          </cell>
          <cell r="AW3336" t="str">
            <v>Nguyễn Tuấn Trường12</v>
          </cell>
          <cell r="AX3336" t="str">
            <v>Hằng</v>
          </cell>
        </row>
        <row r="3337">
          <cell r="D3337" t="str">
            <v>Nguyễn Quang Thanh</v>
          </cell>
          <cell r="AF3337" t="str">
            <v>XE01601</v>
          </cell>
          <cell r="AH3337">
            <v>9.24</v>
          </cell>
          <cell r="AW3337" t="str">
            <v>Nguyễn Quang Thanh9</v>
          </cell>
          <cell r="AX3337" t="str">
            <v>Hằng</v>
          </cell>
        </row>
        <row r="3338">
          <cell r="D3338" t="str">
            <v>Nguyễn Quang Thanh</v>
          </cell>
          <cell r="AF3338" t="str">
            <v>XE01601</v>
          </cell>
          <cell r="AH3338">
            <v>9.02</v>
          </cell>
          <cell r="AW3338" t="str">
            <v>Nguyễn Quang Thanh10</v>
          </cell>
          <cell r="AX3338" t="str">
            <v>Hằng</v>
          </cell>
        </row>
        <row r="3339">
          <cell r="D3339" t="str">
            <v>Lại Thế Thư</v>
          </cell>
          <cell r="AF3339" t="str">
            <v>XE01286</v>
          </cell>
          <cell r="AH3339">
            <v>9.82</v>
          </cell>
          <cell r="AW3339" t="str">
            <v>Lại Thế Thư10</v>
          </cell>
          <cell r="AX3339" t="str">
            <v>Hằng</v>
          </cell>
        </row>
        <row r="3340">
          <cell r="D3340" t="str">
            <v>Lại Thế Thư</v>
          </cell>
          <cell r="AF3340" t="str">
            <v>XE01286</v>
          </cell>
          <cell r="AH3340">
            <v>9.82</v>
          </cell>
          <cell r="AW3340" t="str">
            <v>Lại Thế Thư11</v>
          </cell>
          <cell r="AX3340" t="str">
            <v>Hằng</v>
          </cell>
        </row>
        <row r="3341">
          <cell r="D3341" t="str">
            <v>Bùi Mạnh Hùng</v>
          </cell>
          <cell r="AF3341" t="str">
            <v>XE00978</v>
          </cell>
          <cell r="AH3341">
            <v>8.44</v>
          </cell>
          <cell r="AW3341" t="str">
            <v>Bùi Mạnh Hùng10</v>
          </cell>
          <cell r="AX3341" t="str">
            <v>Hằng</v>
          </cell>
        </row>
        <row r="3342">
          <cell r="D3342" t="str">
            <v>Bùi Mạnh Hùng</v>
          </cell>
          <cell r="AF3342" t="str">
            <v>XE00978</v>
          </cell>
          <cell r="AH3342">
            <v>9.82</v>
          </cell>
          <cell r="AW3342" t="str">
            <v>Bùi Mạnh Hùng11</v>
          </cell>
          <cell r="AX3342" t="str">
            <v>Hằng</v>
          </cell>
        </row>
        <row r="3343">
          <cell r="D3343" t="str">
            <v>Đào Đức Liêm</v>
          </cell>
          <cell r="AF3343" t="str">
            <v>XE00397</v>
          </cell>
          <cell r="AH3343">
            <v>9.42</v>
          </cell>
          <cell r="AW3343" t="str">
            <v>Đào Đức Liêm10</v>
          </cell>
          <cell r="AX3343" t="str">
            <v>Hằng</v>
          </cell>
        </row>
        <row r="3344">
          <cell r="D3344" t="str">
            <v>Đào Đức Liêm</v>
          </cell>
          <cell r="AF3344" t="str">
            <v>XE00397</v>
          </cell>
          <cell r="AH3344">
            <v>9.42</v>
          </cell>
          <cell r="AW3344" t="str">
            <v>Đào Đức Liêm11</v>
          </cell>
          <cell r="AX3344" t="str">
            <v>Hằng</v>
          </cell>
        </row>
        <row r="3345">
          <cell r="D3345" t="str">
            <v>Nguyễn Thiên Mạnh</v>
          </cell>
          <cell r="AF3345" t="str">
            <v>XE01182</v>
          </cell>
          <cell r="AH3345">
            <v>9.82</v>
          </cell>
          <cell r="AW3345" t="str">
            <v>Nguyễn Thiên Mạnh12</v>
          </cell>
          <cell r="AX3345" t="str">
            <v>Hằng</v>
          </cell>
        </row>
        <row r="3346">
          <cell r="D3346" t="str">
            <v>Nguyễn Thiên Mạnh</v>
          </cell>
          <cell r="AF3346" t="str">
            <v>XE01182</v>
          </cell>
          <cell r="AH3346">
            <v>8.2200000000000006</v>
          </cell>
          <cell r="AW3346" t="str">
            <v>Nguyễn Thiên Mạnh13</v>
          </cell>
          <cell r="AX3346" t="str">
            <v>Hằng</v>
          </cell>
        </row>
        <row r="3347">
          <cell r="D3347" t="str">
            <v>Phạm Văn Thiêm</v>
          </cell>
          <cell r="AF3347" t="str">
            <v>XE01090</v>
          </cell>
          <cell r="AH3347">
            <v>9.82</v>
          </cell>
          <cell r="AW3347" t="str">
            <v>Phạm Văn Thiêm11</v>
          </cell>
          <cell r="AX3347" t="str">
            <v>Hằng</v>
          </cell>
        </row>
        <row r="3348">
          <cell r="D3348" t="str">
            <v>Phạm Văn Thiêm</v>
          </cell>
          <cell r="AF3348" t="str">
            <v>XE01090</v>
          </cell>
          <cell r="AH3348">
            <v>9.02</v>
          </cell>
          <cell r="AW3348" t="str">
            <v>Phạm Văn Thiêm12</v>
          </cell>
          <cell r="AX3348" t="str">
            <v>Hằng</v>
          </cell>
        </row>
        <row r="3349">
          <cell r="D3349" t="str">
            <v>Trần Ngọc Dũng</v>
          </cell>
          <cell r="AF3349" t="str">
            <v>XE01011</v>
          </cell>
          <cell r="AH3349">
            <v>9.82</v>
          </cell>
          <cell r="AW3349" t="str">
            <v>Trần Ngọc Dũng11</v>
          </cell>
          <cell r="AX3349" t="str">
            <v>Hằng</v>
          </cell>
        </row>
        <row r="3350">
          <cell r="D3350" t="str">
            <v>Trần Ngọc Dũng</v>
          </cell>
          <cell r="AF3350" t="str">
            <v>XE01011</v>
          </cell>
          <cell r="AH3350">
            <v>9.82</v>
          </cell>
          <cell r="AW3350" t="str">
            <v>Trần Ngọc Dũng12</v>
          </cell>
          <cell r="AX3350" t="str">
            <v>Hằng</v>
          </cell>
        </row>
        <row r="3351">
          <cell r="D3351" t="str">
            <v>Lê Thanh Xuân</v>
          </cell>
          <cell r="AF3351" t="str">
            <v>XE01704</v>
          </cell>
          <cell r="AH3351">
            <v>9.82</v>
          </cell>
          <cell r="AW3351" t="str">
            <v>Lê Thanh Xuân12</v>
          </cell>
          <cell r="AX3351" t="str">
            <v>Hằng</v>
          </cell>
        </row>
        <row r="3352">
          <cell r="D3352" t="str">
            <v>Lê Thanh Xuân</v>
          </cell>
          <cell r="AF3352" t="str">
            <v>XE01704</v>
          </cell>
          <cell r="AH3352">
            <v>9.42</v>
          </cell>
          <cell r="AW3352" t="str">
            <v>Lê Thanh Xuân13</v>
          </cell>
          <cell r="AX3352" t="str">
            <v>Hằng</v>
          </cell>
        </row>
        <row r="3353">
          <cell r="D3353" t="str">
            <v>Lê Hùng Cường</v>
          </cell>
          <cell r="AF3353" t="str">
            <v>XE00188</v>
          </cell>
          <cell r="AH3353">
            <v>9.82</v>
          </cell>
          <cell r="AW3353" t="str">
            <v>Lê Hùng Cường12</v>
          </cell>
          <cell r="AX3353" t="str">
            <v>Hằng</v>
          </cell>
        </row>
        <row r="3354">
          <cell r="D3354" t="str">
            <v>Lê Hùng Cường</v>
          </cell>
          <cell r="AF3354" t="str">
            <v>XE00188</v>
          </cell>
          <cell r="AH3354">
            <v>9.42</v>
          </cell>
          <cell r="AW3354" t="str">
            <v>Lê Hùng Cường13</v>
          </cell>
          <cell r="AX3354" t="str">
            <v>Hằng</v>
          </cell>
        </row>
        <row r="3355">
          <cell r="D3355" t="str">
            <v>Nguyễn Quốc Thắng</v>
          </cell>
          <cell r="AF3355" t="str">
            <v>XE00495</v>
          </cell>
          <cell r="AH3355">
            <v>8.620000000000001</v>
          </cell>
          <cell r="AW3355" t="str">
            <v>Nguyễn Quốc Thắng13</v>
          </cell>
          <cell r="AX3355" t="str">
            <v>Hằng</v>
          </cell>
        </row>
        <row r="3356">
          <cell r="D3356" t="str">
            <v>Đào Duy Nhất</v>
          </cell>
          <cell r="AF3356" t="str">
            <v>XE01062</v>
          </cell>
          <cell r="AH3356">
            <v>9.82</v>
          </cell>
          <cell r="AW3356" t="str">
            <v>Đào Duy Nhất13</v>
          </cell>
          <cell r="AX3356" t="str">
            <v>Hằng</v>
          </cell>
        </row>
        <row r="3357">
          <cell r="D3357" t="str">
            <v>Lò Văn Dương</v>
          </cell>
          <cell r="AF3357" t="str">
            <v>XE00913</v>
          </cell>
          <cell r="AH3357">
            <v>9.42</v>
          </cell>
          <cell r="AW3357" t="str">
            <v>Lò Văn Dương13</v>
          </cell>
          <cell r="AX3357" t="str">
            <v>Hằng</v>
          </cell>
        </row>
        <row r="3358">
          <cell r="D3358" t="str">
            <v>Nguyễn Việt Cường</v>
          </cell>
          <cell r="AF3358" t="str">
            <v>XE00345</v>
          </cell>
          <cell r="AH3358">
            <v>9.42</v>
          </cell>
          <cell r="AW3358" t="str">
            <v>Nguyễn Việt Cường13</v>
          </cell>
          <cell r="AX3358" t="str">
            <v>Hằng</v>
          </cell>
        </row>
        <row r="3359">
          <cell r="D3359" t="str">
            <v>Nguyễn Mạnh Cường</v>
          </cell>
          <cell r="AF3359" t="str">
            <v>XE01699</v>
          </cell>
          <cell r="AH3359">
            <v>9.82</v>
          </cell>
          <cell r="AW3359" t="str">
            <v>Nguyễn Mạnh Cường13</v>
          </cell>
          <cell r="AX3359" t="str">
            <v>Hằng</v>
          </cell>
        </row>
        <row r="3360">
          <cell r="D3360" t="str">
            <v>Nguyễn Minh Tuấn</v>
          </cell>
          <cell r="AF3360" t="str">
            <v>XE01562</v>
          </cell>
          <cell r="AH3360">
            <v>9.42</v>
          </cell>
          <cell r="AW3360" t="str">
            <v>Nguyễn Minh Tuấn13</v>
          </cell>
          <cell r="AX3360" t="str">
            <v>Hằng</v>
          </cell>
        </row>
        <row r="3361">
          <cell r="D3361" t="str">
            <v>Trần Quốc Toàn</v>
          </cell>
          <cell r="AF3361" t="str">
            <v>XE00901</v>
          </cell>
          <cell r="AH3361">
            <v>9.02</v>
          </cell>
          <cell r="AW3361" t="str">
            <v>Trần Quốc Toàn9</v>
          </cell>
          <cell r="AX3361" t="str">
            <v>Hằng</v>
          </cell>
        </row>
        <row r="3362">
          <cell r="D3362" t="str">
            <v>Trần Quốc Toàn</v>
          </cell>
          <cell r="AF3362" t="str">
            <v>XE00901</v>
          </cell>
          <cell r="AH3362">
            <v>8.6199999999999992</v>
          </cell>
          <cell r="AW3362" t="str">
            <v>Trần Quốc Toàn10</v>
          </cell>
          <cell r="AX3362" t="str">
            <v>Hằng</v>
          </cell>
        </row>
        <row r="3363">
          <cell r="D3363" t="str">
            <v>Lê Quang Thuỷ</v>
          </cell>
          <cell r="AF3363" t="str">
            <v>XE00557</v>
          </cell>
          <cell r="AH3363">
            <v>9.82</v>
          </cell>
          <cell r="AW3363" t="str">
            <v>Lê Quang Thuỷ9</v>
          </cell>
          <cell r="AX3363" t="str">
            <v>Hằng</v>
          </cell>
        </row>
        <row r="3364">
          <cell r="D3364" t="str">
            <v>Lê Quang Thuỷ</v>
          </cell>
          <cell r="AF3364" t="str">
            <v>XE00557</v>
          </cell>
          <cell r="AH3364">
            <v>8.84</v>
          </cell>
          <cell r="AW3364" t="str">
            <v>Lê Quang Thuỷ10</v>
          </cell>
          <cell r="AX3364" t="str">
            <v>Hằng</v>
          </cell>
        </row>
        <row r="3365">
          <cell r="D3365" t="str">
            <v>Lê Quang Thuỷ</v>
          </cell>
          <cell r="AF3365" t="str">
            <v>XE00557</v>
          </cell>
          <cell r="AH3365">
            <v>9.42</v>
          </cell>
          <cell r="AW3365" t="str">
            <v>Lê Quang Thuỷ11</v>
          </cell>
          <cell r="AX3365" t="str">
            <v>Hằng</v>
          </cell>
        </row>
        <row r="3366">
          <cell r="D3366" t="str">
            <v>Nguyễn Hùng Cường</v>
          </cell>
          <cell r="AF3366" t="str">
            <v>XE01333</v>
          </cell>
          <cell r="AH3366">
            <v>9.02</v>
          </cell>
          <cell r="AW3366" t="str">
            <v>Nguyễn Hùng Cường12</v>
          </cell>
          <cell r="AX3366" t="str">
            <v>Hằng</v>
          </cell>
        </row>
        <row r="3367">
          <cell r="D3367" t="str">
            <v>Nguyễn Hùng Cường</v>
          </cell>
          <cell r="AF3367" t="str">
            <v>XE01333</v>
          </cell>
          <cell r="AH3367">
            <v>9.82</v>
          </cell>
          <cell r="AW3367" t="str">
            <v>Nguyễn Hùng Cường13</v>
          </cell>
          <cell r="AX3367" t="str">
            <v>Hằng</v>
          </cell>
        </row>
        <row r="3368">
          <cell r="D3368" t="str">
            <v>Trần Văn Sơn</v>
          </cell>
          <cell r="AF3368" t="str">
            <v>XE01427</v>
          </cell>
          <cell r="AH3368">
            <v>6.8400000000000007</v>
          </cell>
          <cell r="AW3368" t="str">
            <v>Trần Văn Sơn12</v>
          </cell>
          <cell r="AX3368" t="str">
            <v>Hằng</v>
          </cell>
        </row>
        <row r="3369">
          <cell r="D3369" t="str">
            <v>Trần Văn Sơn</v>
          </cell>
          <cell r="AF3369" t="str">
            <v>XE01427</v>
          </cell>
          <cell r="AH3369">
            <v>8.84</v>
          </cell>
          <cell r="AW3369" t="str">
            <v>Trần Văn Sơn13</v>
          </cell>
          <cell r="AX3369" t="str">
            <v>Hằng</v>
          </cell>
        </row>
        <row r="3370">
          <cell r="D3370" t="str">
            <v>Nguyễn Văn Thành</v>
          </cell>
          <cell r="AF3370" t="str">
            <v>XE01278</v>
          </cell>
          <cell r="AH3370">
            <v>9.82</v>
          </cell>
          <cell r="AW3370" t="str">
            <v>Nguyễn Văn Thành13</v>
          </cell>
          <cell r="AX3370" t="str">
            <v>Hằng</v>
          </cell>
        </row>
        <row r="3371">
          <cell r="D3371" t="str">
            <v>Nguyễn Văn Thành</v>
          </cell>
          <cell r="AF3371" t="str">
            <v>XE01278</v>
          </cell>
          <cell r="AH3371">
            <v>9.42</v>
          </cell>
          <cell r="AW3371" t="str">
            <v>Nguyễn Văn Thành14</v>
          </cell>
          <cell r="AX3371" t="str">
            <v>Hằng</v>
          </cell>
        </row>
        <row r="3372">
          <cell r="D3372" t="str">
            <v>Nguyễn Văn Võ</v>
          </cell>
          <cell r="AF3372" t="str">
            <v>XE01230</v>
          </cell>
          <cell r="AH3372">
            <v>8.84</v>
          </cell>
          <cell r="AW3372" t="str">
            <v>Nguyễn Văn Võ13</v>
          </cell>
          <cell r="AX3372" t="str">
            <v>Hằng</v>
          </cell>
        </row>
        <row r="3373">
          <cell r="D3373" t="str">
            <v>Nguyễn Văn Võ</v>
          </cell>
          <cell r="AF3373" t="str">
            <v>XE01230</v>
          </cell>
          <cell r="AH3373">
            <v>9.02</v>
          </cell>
          <cell r="AW3373" t="str">
            <v>Nguyễn Văn Võ14</v>
          </cell>
          <cell r="AX3373" t="str">
            <v>Hằng</v>
          </cell>
        </row>
        <row r="3374">
          <cell r="D3374" t="str">
            <v>Tống Văn Hậu</v>
          </cell>
          <cell r="AF3374" t="str">
            <v>XE01088</v>
          </cell>
          <cell r="AH3374">
            <v>9.82</v>
          </cell>
          <cell r="AW3374" t="str">
            <v>Tống Văn Hậu13</v>
          </cell>
          <cell r="AX3374" t="str">
            <v>Hằng</v>
          </cell>
        </row>
        <row r="3375">
          <cell r="D3375" t="str">
            <v>Tống Văn Hậu</v>
          </cell>
          <cell r="AF3375" t="str">
            <v>XE01088</v>
          </cell>
          <cell r="AH3375">
            <v>9.02</v>
          </cell>
          <cell r="AW3375" t="str">
            <v>Tống Văn Hậu14</v>
          </cell>
          <cell r="AX3375" t="str">
            <v>Hằng</v>
          </cell>
        </row>
        <row r="3376">
          <cell r="D3376" t="str">
            <v>Nguyễn Trung Hiếu</v>
          </cell>
          <cell r="AF3376" t="str">
            <v>XE00429</v>
          </cell>
          <cell r="AH3376">
            <v>9.42</v>
          </cell>
          <cell r="AW3376" t="str">
            <v>Nguyễn Trung Hiếu13</v>
          </cell>
          <cell r="AX3376" t="str">
            <v>Hằng</v>
          </cell>
        </row>
        <row r="3377">
          <cell r="D3377" t="str">
            <v>Nguyễn Trung Hiếu</v>
          </cell>
          <cell r="AF3377" t="str">
            <v>XE00429</v>
          </cell>
          <cell r="AH3377">
            <v>9.42</v>
          </cell>
          <cell r="AW3377" t="str">
            <v>Nguyễn Trung Hiếu14</v>
          </cell>
          <cell r="AX3377" t="str">
            <v>Hằng</v>
          </cell>
        </row>
        <row r="3378">
          <cell r="D3378" t="str">
            <v>Phạm Công Khánh</v>
          </cell>
          <cell r="AF3378" t="str">
            <v>XE00386</v>
          </cell>
          <cell r="AH3378">
            <v>7.82</v>
          </cell>
          <cell r="AW3378" t="str">
            <v>Phạm Công Khánh13</v>
          </cell>
          <cell r="AX3378" t="str">
            <v>Hằng</v>
          </cell>
        </row>
        <row r="3379">
          <cell r="D3379" t="str">
            <v>Nguyễn Duy Phương</v>
          </cell>
          <cell r="AF3379" t="str">
            <v>XE00308</v>
          </cell>
          <cell r="AH3379">
            <v>9.82</v>
          </cell>
          <cell r="AW3379" t="str">
            <v>Nguyễn Duy Phương13</v>
          </cell>
          <cell r="AX3379" t="str">
            <v>Hằng</v>
          </cell>
        </row>
        <row r="3380">
          <cell r="D3380" t="str">
            <v>Lê Tuấn Linh</v>
          </cell>
          <cell r="AF3380" t="str">
            <v>XE00869</v>
          </cell>
          <cell r="AH3380">
            <v>9.42</v>
          </cell>
          <cell r="AW3380" t="str">
            <v>Lê Tuấn Linh13</v>
          </cell>
          <cell r="AX3380" t="str">
            <v>Hằng</v>
          </cell>
        </row>
        <row r="3381">
          <cell r="D3381" t="str">
            <v>Nguyễn Tiến Hưng</v>
          </cell>
          <cell r="AF3381" t="str">
            <v>XE00212</v>
          </cell>
          <cell r="AH3381">
            <v>9.02</v>
          </cell>
          <cell r="AW3381" t="str">
            <v>Nguyễn Tiến Hưng13</v>
          </cell>
          <cell r="AX3381" t="str">
            <v>Hằng</v>
          </cell>
        </row>
        <row r="3382">
          <cell r="D3382" t="str">
            <v>Dương Anh Đức</v>
          </cell>
          <cell r="AF3382" t="str">
            <v>XE01441</v>
          </cell>
          <cell r="AH3382">
            <v>9.02</v>
          </cell>
          <cell r="AW3382" t="str">
            <v>Dương Anh Đức13</v>
          </cell>
          <cell r="AX3382" t="str">
            <v>Hằng</v>
          </cell>
        </row>
        <row r="3383">
          <cell r="D3383" t="str">
            <v>Nguyễn Tuấn Trường</v>
          </cell>
          <cell r="AF3383" t="str">
            <v>XE00161</v>
          </cell>
          <cell r="AH3383">
            <v>9.42</v>
          </cell>
          <cell r="AW3383" t="str">
            <v>Nguyễn Tuấn Trường13</v>
          </cell>
          <cell r="AX3383" t="str">
            <v>Hằng</v>
          </cell>
        </row>
        <row r="3384">
          <cell r="D3384" t="str">
            <v>Đinh Văn Chung</v>
          </cell>
          <cell r="AF3384" t="str">
            <v>XE00122</v>
          </cell>
          <cell r="AH3384">
            <v>9.82</v>
          </cell>
          <cell r="AW3384" t="str">
            <v>Đinh Văn Chung8</v>
          </cell>
          <cell r="AX3384" t="str">
            <v>Hằng</v>
          </cell>
        </row>
        <row r="3385">
          <cell r="D3385" t="str">
            <v>Đinh Văn Chung</v>
          </cell>
          <cell r="AF3385" t="str">
            <v>XE00122</v>
          </cell>
          <cell r="AH3385">
            <v>9.42</v>
          </cell>
          <cell r="AW3385" t="str">
            <v>Đinh Văn Chung9</v>
          </cell>
          <cell r="AX3385" t="str">
            <v>Hằng</v>
          </cell>
        </row>
        <row r="3386">
          <cell r="D3386" t="str">
            <v>Đinh Văn Chung</v>
          </cell>
          <cell r="AF3386" t="str">
            <v>XE00122</v>
          </cell>
          <cell r="AH3386">
            <v>9.82</v>
          </cell>
          <cell r="AW3386" t="str">
            <v>Đinh Văn Chung10</v>
          </cell>
          <cell r="AX3386" t="str">
            <v>Hằng</v>
          </cell>
        </row>
        <row r="3387">
          <cell r="D3387" t="str">
            <v>Lại Thế Thư</v>
          </cell>
          <cell r="AF3387" t="str">
            <v>XE01286</v>
          </cell>
          <cell r="AH3387">
            <v>8.620000000000001</v>
          </cell>
          <cell r="AW3387" t="str">
            <v>Lại Thế Thư12</v>
          </cell>
          <cell r="AX3387" t="str">
            <v>Hằng</v>
          </cell>
        </row>
        <row r="3388">
          <cell r="D3388" t="str">
            <v>Lại Thế Thư</v>
          </cell>
          <cell r="AF3388" t="str">
            <v>XE01286</v>
          </cell>
          <cell r="AH3388">
            <v>9.82</v>
          </cell>
          <cell r="AW3388" t="str">
            <v>Lại Thế Thư13</v>
          </cell>
          <cell r="AX3388" t="str">
            <v>Hằng</v>
          </cell>
        </row>
        <row r="3389">
          <cell r="D3389" t="str">
            <v>Bùi Mạnh Hùng</v>
          </cell>
          <cell r="AF3389" t="str">
            <v>XE00978</v>
          </cell>
          <cell r="AH3389">
            <v>9.82</v>
          </cell>
          <cell r="AW3389" t="str">
            <v>Bùi Mạnh Hùng12</v>
          </cell>
          <cell r="AX3389" t="str">
            <v>Hằng</v>
          </cell>
        </row>
        <row r="3390">
          <cell r="D3390" t="str">
            <v>Bùi Mạnh Hùng</v>
          </cell>
          <cell r="AF3390" t="str">
            <v>XE00978</v>
          </cell>
          <cell r="AH3390">
            <v>9.02</v>
          </cell>
          <cell r="AW3390" t="str">
            <v>Bùi Mạnh Hùng13</v>
          </cell>
          <cell r="AX3390" t="str">
            <v>Hằng</v>
          </cell>
        </row>
        <row r="3391">
          <cell r="D3391" t="str">
            <v>Trần Quốc Toàn</v>
          </cell>
          <cell r="AF3391" t="str">
            <v>XE00901</v>
          </cell>
          <cell r="AH3391">
            <v>9.82</v>
          </cell>
          <cell r="AW3391" t="str">
            <v>Trần Quốc Toàn11</v>
          </cell>
          <cell r="AX3391" t="str">
            <v>Hằng</v>
          </cell>
        </row>
        <row r="3392">
          <cell r="D3392" t="str">
            <v>Phạm Văn Thiêm</v>
          </cell>
          <cell r="AF3392" t="str">
            <v>XE01090</v>
          </cell>
          <cell r="AH3392">
            <v>9.42</v>
          </cell>
          <cell r="AW3392" t="str">
            <v>Phạm Văn Thiêm13</v>
          </cell>
          <cell r="AX3392" t="str">
            <v>Hằng</v>
          </cell>
        </row>
        <row r="3393">
          <cell r="D3393" t="str">
            <v>Phạm Văn Thiêm</v>
          </cell>
          <cell r="AF3393" t="str">
            <v>XE01090</v>
          </cell>
          <cell r="AH3393">
            <v>9.42</v>
          </cell>
          <cell r="AW3393" t="str">
            <v>Phạm Văn Thiêm14</v>
          </cell>
          <cell r="AX3393" t="str">
            <v>Hằng</v>
          </cell>
        </row>
        <row r="3394">
          <cell r="D3394" t="str">
            <v>Trần Ngọc Dũng</v>
          </cell>
          <cell r="AF3394" t="str">
            <v>XE01011</v>
          </cell>
          <cell r="AH3394">
            <v>8.2200000000000006</v>
          </cell>
          <cell r="AW3394" t="str">
            <v>Trần Ngọc Dũng13</v>
          </cell>
          <cell r="AX3394" t="str">
            <v>Hằng</v>
          </cell>
        </row>
        <row r="3395">
          <cell r="D3395" t="str">
            <v>Trần Ngọc Dũng</v>
          </cell>
          <cell r="AF3395" t="str">
            <v>XE01011</v>
          </cell>
          <cell r="AH3395">
            <v>8.84</v>
          </cell>
          <cell r="AW3395" t="str">
            <v>Trần Ngọc Dũng14</v>
          </cell>
          <cell r="AX3395" t="str">
            <v>Hằng</v>
          </cell>
        </row>
        <row r="3396">
          <cell r="D3396" t="str">
            <v>Nguyễn Văn Minh</v>
          </cell>
          <cell r="AF3396" t="str">
            <v>XE01570</v>
          </cell>
          <cell r="AH3396">
            <v>9.42</v>
          </cell>
          <cell r="AW3396" t="str">
            <v>Nguyễn Văn Minh11</v>
          </cell>
          <cell r="AX3396" t="str">
            <v>Hằng</v>
          </cell>
        </row>
        <row r="3397">
          <cell r="D3397" t="str">
            <v>Nguyễn Văn Minh</v>
          </cell>
          <cell r="AF3397" t="str">
            <v>XE01570</v>
          </cell>
          <cell r="AH3397">
            <v>9.82</v>
          </cell>
          <cell r="AW3397" t="str">
            <v>Nguyễn Văn Minh12</v>
          </cell>
          <cell r="AX3397" t="str">
            <v>Hằng</v>
          </cell>
        </row>
        <row r="3398">
          <cell r="D3398" t="str">
            <v>Lê Thanh Xuân</v>
          </cell>
          <cell r="AF3398" t="str">
            <v>XE01704</v>
          </cell>
          <cell r="AH3398">
            <v>9.42</v>
          </cell>
          <cell r="AW3398" t="str">
            <v>Lê Thanh Xuân14</v>
          </cell>
          <cell r="AX3398" t="str">
            <v>Hằng</v>
          </cell>
        </row>
        <row r="3399">
          <cell r="D3399" t="str">
            <v>Lê Hùng Cường</v>
          </cell>
          <cell r="AF3399" t="str">
            <v>XE00188</v>
          </cell>
          <cell r="AH3399">
            <v>9.02</v>
          </cell>
          <cell r="AW3399" t="str">
            <v>Lê Hùng Cường14</v>
          </cell>
          <cell r="AX3399" t="str">
            <v>Hằng</v>
          </cell>
        </row>
        <row r="3400">
          <cell r="D3400" t="str">
            <v>Nguyễn Thiên Mạnh</v>
          </cell>
          <cell r="AF3400" t="str">
            <v>XE01182</v>
          </cell>
          <cell r="AH3400">
            <v>9.42</v>
          </cell>
          <cell r="AW3400" t="str">
            <v>Nguyễn Thiên Mạnh14</v>
          </cell>
          <cell r="AX3400" t="str">
            <v>Hằng</v>
          </cell>
        </row>
        <row r="3401">
          <cell r="D3401" t="str">
            <v>Trần Quốc Toàn</v>
          </cell>
          <cell r="AF3401" t="str">
            <v>XE00901</v>
          </cell>
          <cell r="AH3401">
            <v>9.82</v>
          </cell>
          <cell r="AW3401" t="str">
            <v>Trần Quốc Toàn12</v>
          </cell>
          <cell r="AX3401" t="str">
            <v>Hằng</v>
          </cell>
        </row>
        <row r="3402">
          <cell r="D3402" t="str">
            <v>Trần Quốc Toàn</v>
          </cell>
          <cell r="AF3402" t="str">
            <v>XE00901</v>
          </cell>
          <cell r="AH3402">
            <v>9.42</v>
          </cell>
          <cell r="AW3402" t="str">
            <v>Trần Quốc Toàn13</v>
          </cell>
          <cell r="AX3402" t="str">
            <v>Hằng</v>
          </cell>
        </row>
        <row r="3403">
          <cell r="D3403" t="str">
            <v>Lê Quang Thuỷ</v>
          </cell>
          <cell r="AF3403" t="str">
            <v>XE00557</v>
          </cell>
          <cell r="AH3403">
            <v>9.42</v>
          </cell>
          <cell r="AW3403" t="str">
            <v>Lê Quang Thuỷ12</v>
          </cell>
          <cell r="AX3403" t="str">
            <v>Hằng</v>
          </cell>
        </row>
        <row r="3404">
          <cell r="D3404" t="str">
            <v>Lê Quang Thuỷ</v>
          </cell>
          <cell r="AF3404" t="str">
            <v>XE00557</v>
          </cell>
          <cell r="AH3404">
            <v>9.42</v>
          </cell>
          <cell r="AW3404" t="str">
            <v>Lê Quang Thuỷ13</v>
          </cell>
          <cell r="AX3404" t="str">
            <v>Hằng</v>
          </cell>
        </row>
        <row r="3405">
          <cell r="D3405" t="str">
            <v>Vũ Hoàng Long</v>
          </cell>
          <cell r="AF3405" t="str">
            <v>XE00312</v>
          </cell>
          <cell r="AH3405">
            <v>9.82</v>
          </cell>
          <cell r="AW3405" t="str">
            <v>Vũ Hoàng Long13</v>
          </cell>
          <cell r="AX3405" t="str">
            <v>Hằng</v>
          </cell>
        </row>
        <row r="3406">
          <cell r="D3406" t="str">
            <v>Vũ Hoàng Long</v>
          </cell>
          <cell r="AF3406" t="str">
            <v>XE00312</v>
          </cell>
          <cell r="AH3406">
            <v>9.82</v>
          </cell>
          <cell r="AW3406" t="str">
            <v>Vũ Hoàng Long14</v>
          </cell>
          <cell r="AX3406" t="str">
            <v>Hằng</v>
          </cell>
        </row>
        <row r="3407">
          <cell r="D3407" t="str">
            <v>Nguyễn Hùng Cường</v>
          </cell>
          <cell r="AF3407" t="str">
            <v>XE01333</v>
          </cell>
          <cell r="AH3407">
            <v>9.82</v>
          </cell>
          <cell r="AW3407" t="str">
            <v>Nguyễn Hùng Cường14</v>
          </cell>
          <cell r="AX3407" t="str">
            <v>Hằng</v>
          </cell>
        </row>
        <row r="3408">
          <cell r="D3408" t="str">
            <v>Nguyễn Minh Tuấn</v>
          </cell>
          <cell r="AF3408" t="str">
            <v>XE01562</v>
          </cell>
          <cell r="AH3408">
            <v>9.42</v>
          </cell>
          <cell r="AW3408" t="str">
            <v>Nguyễn Minh Tuấn14</v>
          </cell>
          <cell r="AX3408" t="str">
            <v>Hằng</v>
          </cell>
        </row>
        <row r="3409">
          <cell r="D3409" t="str">
            <v>Trần Văn Sơn</v>
          </cell>
          <cell r="AF3409" t="str">
            <v>XE01427</v>
          </cell>
          <cell r="AH3409">
            <v>7.6400000000000006</v>
          </cell>
          <cell r="AW3409" t="str">
            <v>Trần Văn Sơn14</v>
          </cell>
          <cell r="AX3409" t="str">
            <v>Hằng</v>
          </cell>
        </row>
        <row r="3410">
          <cell r="D3410" t="str">
            <v>Phạm Công Khánh</v>
          </cell>
          <cell r="AF3410" t="str">
            <v>XE00386</v>
          </cell>
          <cell r="AH3410">
            <v>9.82</v>
          </cell>
          <cell r="AW3410" t="str">
            <v>Phạm Công Khánh14</v>
          </cell>
          <cell r="AX3410" t="str">
            <v>Hằng</v>
          </cell>
        </row>
        <row r="3411">
          <cell r="D3411" t="str">
            <v>Nguyễn Duy Phương</v>
          </cell>
          <cell r="AF3411" t="str">
            <v>XE00308</v>
          </cell>
          <cell r="AH3411">
            <v>9.82</v>
          </cell>
          <cell r="AW3411" t="str">
            <v>Nguyễn Duy Phương14</v>
          </cell>
          <cell r="AX3411" t="str">
            <v>Hằng</v>
          </cell>
        </row>
        <row r="3412">
          <cell r="D3412" t="str">
            <v>Lê Tuấn Linh</v>
          </cell>
          <cell r="AF3412" t="str">
            <v>XE00869</v>
          </cell>
          <cell r="AH3412">
            <v>9.42</v>
          </cell>
          <cell r="AW3412" t="str">
            <v>Lê Tuấn Linh14</v>
          </cell>
          <cell r="AX3412" t="str">
            <v>Hằng</v>
          </cell>
        </row>
        <row r="3413">
          <cell r="D3413" t="str">
            <v>Nguyễn Tiến Hưng</v>
          </cell>
          <cell r="AF3413" t="str">
            <v>XE00212</v>
          </cell>
          <cell r="AH3413">
            <v>9.42</v>
          </cell>
          <cell r="AW3413" t="str">
            <v>Nguyễn Tiến Hưng14</v>
          </cell>
          <cell r="AX3413" t="str">
            <v>Hằng</v>
          </cell>
        </row>
        <row r="3414">
          <cell r="D3414" t="str">
            <v>Dương Anh Đức</v>
          </cell>
          <cell r="AF3414" t="str">
            <v>XE01441</v>
          </cell>
          <cell r="AH3414">
            <v>9.82</v>
          </cell>
          <cell r="AW3414" t="str">
            <v>Dương Anh Đức14</v>
          </cell>
          <cell r="AX3414" t="str">
            <v>Hằng</v>
          </cell>
        </row>
        <row r="3415">
          <cell r="D3415" t="str">
            <v>Nguyễn Tuấn Trường</v>
          </cell>
          <cell r="AF3415" t="str">
            <v>XE00161</v>
          </cell>
          <cell r="AH3415">
            <v>9.82</v>
          </cell>
          <cell r="AW3415" t="str">
            <v>Nguyễn Tuấn Trường14</v>
          </cell>
          <cell r="AX3415" t="str">
            <v>Hằng</v>
          </cell>
        </row>
        <row r="3416">
          <cell r="D3416" t="str">
            <v>Nguyễn Văn Thành</v>
          </cell>
          <cell r="AF3416" t="str">
            <v>XE01278</v>
          </cell>
          <cell r="AH3416">
            <v>9.82</v>
          </cell>
          <cell r="AW3416" t="str">
            <v>Nguyễn Văn Thành15</v>
          </cell>
          <cell r="AX3416" t="str">
            <v>Hằng</v>
          </cell>
        </row>
        <row r="3417">
          <cell r="D3417" t="str">
            <v>Nguyễn Văn Võ</v>
          </cell>
          <cell r="AF3417" t="str">
            <v>XE01230</v>
          </cell>
          <cell r="AH3417">
            <v>9.02</v>
          </cell>
          <cell r="AW3417" t="str">
            <v>Nguyễn Văn Võ15</v>
          </cell>
          <cell r="AX3417" t="str">
            <v>Hằng</v>
          </cell>
        </row>
        <row r="3418">
          <cell r="D3418" t="str">
            <v>Tống Văn Hậu</v>
          </cell>
          <cell r="AF3418" t="str">
            <v>XE01088</v>
          </cell>
          <cell r="AH3418">
            <v>9.42</v>
          </cell>
          <cell r="AW3418" t="str">
            <v>Tống Văn Hậu15</v>
          </cell>
          <cell r="AX3418" t="str">
            <v>Hằng</v>
          </cell>
        </row>
        <row r="3419">
          <cell r="D3419" t="str">
            <v>Nguyễn Trung Hiếu</v>
          </cell>
          <cell r="AF3419" t="str">
            <v>XE00429</v>
          </cell>
          <cell r="AH3419">
            <v>9.02</v>
          </cell>
          <cell r="AW3419" t="str">
            <v>Nguyễn Trung Hiếu15</v>
          </cell>
          <cell r="AX3419" t="str">
            <v>Hằng</v>
          </cell>
        </row>
        <row r="3420">
          <cell r="D3420" t="str">
            <v>Phan Thái Sơn</v>
          </cell>
          <cell r="AF3420" t="str">
            <v>XE00026</v>
          </cell>
          <cell r="AH3420">
            <v>8.2200000000000006</v>
          </cell>
          <cell r="AW3420" t="str">
            <v>Phan Thái Sơn11</v>
          </cell>
          <cell r="AX3420" t="str">
            <v>Hằng</v>
          </cell>
        </row>
        <row r="3421">
          <cell r="D3421" t="str">
            <v>Phan Thái Sơn</v>
          </cell>
          <cell r="AF3421" t="str">
            <v>XE00026</v>
          </cell>
          <cell r="AH3421">
            <v>9.82</v>
          </cell>
          <cell r="AW3421" t="str">
            <v>Phan Thái Sơn12</v>
          </cell>
          <cell r="AX3421" t="str">
            <v>Hằng</v>
          </cell>
        </row>
        <row r="3422">
          <cell r="D3422" t="str">
            <v>Nguyễn Quang Thanh</v>
          </cell>
          <cell r="AF3422" t="str">
            <v>XE01601</v>
          </cell>
          <cell r="AH3422">
            <v>9.82</v>
          </cell>
          <cell r="AW3422" t="str">
            <v>Nguyễn Quang Thanh11</v>
          </cell>
          <cell r="AX3422" t="str">
            <v>Hằng</v>
          </cell>
        </row>
        <row r="3423">
          <cell r="D3423" t="str">
            <v>Nguyễn Quang Thanh</v>
          </cell>
          <cell r="AF3423" t="str">
            <v>XE01601</v>
          </cell>
          <cell r="AH3423">
            <v>9.82</v>
          </cell>
          <cell r="AW3423" t="str">
            <v>Nguyễn Quang Thanh12</v>
          </cell>
          <cell r="AX3423" t="str">
            <v>Hằng</v>
          </cell>
        </row>
        <row r="3424">
          <cell r="D3424" t="str">
            <v>Đinh Văn Chung</v>
          </cell>
          <cell r="AF3424" t="str">
            <v>XE00122</v>
          </cell>
          <cell r="AH3424">
            <v>7.82</v>
          </cell>
          <cell r="AW3424" t="str">
            <v>Đinh Văn Chung11</v>
          </cell>
          <cell r="AX3424" t="str">
            <v>Hằng</v>
          </cell>
        </row>
        <row r="3425">
          <cell r="D3425" t="str">
            <v>Đinh Văn Chung</v>
          </cell>
          <cell r="AF3425" t="str">
            <v>XE00122</v>
          </cell>
          <cell r="AH3425">
            <v>9.82</v>
          </cell>
          <cell r="AW3425" t="str">
            <v>Đinh Văn Chung12</v>
          </cell>
          <cell r="AX3425" t="str">
            <v>Hằng</v>
          </cell>
        </row>
        <row r="3426">
          <cell r="D3426" t="str">
            <v>Trần Xuân Bách</v>
          </cell>
          <cell r="AF3426" t="str">
            <v>XE01008</v>
          </cell>
          <cell r="AH3426">
            <v>9.42</v>
          </cell>
          <cell r="AW3426" t="str">
            <v>Trần Xuân Bách12</v>
          </cell>
          <cell r="AX3426" t="str">
            <v>Hằng</v>
          </cell>
        </row>
        <row r="3427">
          <cell r="D3427" t="str">
            <v>Trần Xuân Bách</v>
          </cell>
          <cell r="AF3427" t="str">
            <v>XE01008</v>
          </cell>
          <cell r="AH3427">
            <v>9.82</v>
          </cell>
          <cell r="AW3427" t="str">
            <v>Trần Xuân Bách13</v>
          </cell>
          <cell r="AX3427" t="str">
            <v>Hằng</v>
          </cell>
        </row>
        <row r="3428">
          <cell r="D3428" t="str">
            <v>Đào Đức Liêm</v>
          </cell>
          <cell r="AF3428" t="str">
            <v>XE00397</v>
          </cell>
          <cell r="AH3428">
            <v>9.82</v>
          </cell>
          <cell r="AW3428" t="str">
            <v>Đào Đức Liêm12</v>
          </cell>
          <cell r="AX3428" t="str">
            <v>Hằng</v>
          </cell>
        </row>
        <row r="3429">
          <cell r="D3429" t="str">
            <v>Đào Đức Liêm</v>
          </cell>
          <cell r="AF3429" t="str">
            <v>XE00397</v>
          </cell>
          <cell r="AH3429">
            <v>9.42</v>
          </cell>
          <cell r="AW3429" t="str">
            <v>Đào Đức Liêm13</v>
          </cell>
          <cell r="AX3429" t="str">
            <v>Hằng</v>
          </cell>
        </row>
        <row r="3430">
          <cell r="D3430" t="str">
            <v>Lại Thế Thư</v>
          </cell>
          <cell r="AF3430" t="str">
            <v>XE01286</v>
          </cell>
          <cell r="AH3430">
            <v>9.02</v>
          </cell>
          <cell r="AW3430" t="str">
            <v>Lại Thế Thư14</v>
          </cell>
          <cell r="AX3430" t="str">
            <v>Hằng</v>
          </cell>
        </row>
        <row r="3431">
          <cell r="D3431" t="str">
            <v>Nguyễn Quốc Thắng</v>
          </cell>
          <cell r="AF3431" t="str">
            <v>XE00495</v>
          </cell>
          <cell r="AH3431">
            <v>9.42</v>
          </cell>
          <cell r="AW3431" t="str">
            <v>Nguyễn Quốc Thắng14</v>
          </cell>
          <cell r="AX3431" t="str">
            <v>Hằng</v>
          </cell>
        </row>
        <row r="3432">
          <cell r="D3432" t="str">
            <v>Đào Duy Nhất</v>
          </cell>
          <cell r="AF3432" t="str">
            <v>XE01062</v>
          </cell>
          <cell r="AH3432">
            <v>9.42</v>
          </cell>
          <cell r="AW3432" t="str">
            <v>Đào Duy Nhất14</v>
          </cell>
          <cell r="AX3432" t="str">
            <v>Hằng</v>
          </cell>
        </row>
        <row r="3433">
          <cell r="D3433" t="str">
            <v>Bùi Mạnh Hùng</v>
          </cell>
          <cell r="AF3433" t="str">
            <v>XE00978</v>
          </cell>
          <cell r="AH3433">
            <v>9.02</v>
          </cell>
          <cell r="AW3433" t="str">
            <v>Bùi Mạnh Hùng14</v>
          </cell>
          <cell r="AX3433" t="str">
            <v>Hằng</v>
          </cell>
        </row>
        <row r="3434">
          <cell r="D3434" t="str">
            <v>Lò Văn Dương</v>
          </cell>
          <cell r="AF3434" t="str">
            <v>XE00913</v>
          </cell>
          <cell r="AH3434">
            <v>9.42</v>
          </cell>
          <cell r="AW3434" t="str">
            <v>Lò Văn Dương14</v>
          </cell>
          <cell r="AX3434" t="str">
            <v>Hằng</v>
          </cell>
        </row>
        <row r="3435">
          <cell r="D3435" t="str">
            <v>Nguyễn Việt Cường</v>
          </cell>
          <cell r="AF3435" t="str">
            <v>XE00345</v>
          </cell>
          <cell r="AH3435">
            <v>9.82</v>
          </cell>
          <cell r="AW3435" t="str">
            <v>Nguyễn Việt Cường14</v>
          </cell>
          <cell r="AX3435" t="str">
            <v>Hằng</v>
          </cell>
        </row>
        <row r="3436">
          <cell r="D3436" t="str">
            <v>Lê Thanh Xuân</v>
          </cell>
          <cell r="AF3436" t="str">
            <v>XE01704</v>
          </cell>
          <cell r="AH3436">
            <v>8.6199999999999992</v>
          </cell>
          <cell r="AW3436" t="str">
            <v>Lê Thanh Xuân15</v>
          </cell>
          <cell r="AX3436" t="str">
            <v>Hằng</v>
          </cell>
        </row>
        <row r="3437">
          <cell r="D3437" t="str">
            <v>Lê Hùng Cường</v>
          </cell>
          <cell r="AF3437" t="str">
            <v>XE00188</v>
          </cell>
          <cell r="AH3437">
            <v>9.82</v>
          </cell>
          <cell r="AW3437" t="str">
            <v>Lê Hùng Cường15</v>
          </cell>
          <cell r="AX3437" t="str">
            <v>Hằng</v>
          </cell>
        </row>
        <row r="3438">
          <cell r="D3438" t="str">
            <v>Nguyễn Thiên Mạnh</v>
          </cell>
          <cell r="AF3438" t="str">
            <v>XE01182</v>
          </cell>
          <cell r="AH3438">
            <v>9.42</v>
          </cell>
          <cell r="AW3438" t="str">
            <v>Nguyễn Thiên Mạnh15</v>
          </cell>
          <cell r="AX3438" t="str">
            <v>Hằng</v>
          </cell>
        </row>
        <row r="3439">
          <cell r="D3439" t="str">
            <v>Phạm Văn Thiêm</v>
          </cell>
          <cell r="AF3439" t="str">
            <v>XE01090</v>
          </cell>
          <cell r="AH3439">
            <v>9.42</v>
          </cell>
          <cell r="AW3439" t="str">
            <v>Phạm Văn Thiêm15</v>
          </cell>
          <cell r="AX3439" t="str">
            <v>Hằng</v>
          </cell>
        </row>
        <row r="3440">
          <cell r="D3440" t="str">
            <v>Trần Ngọc Dũng</v>
          </cell>
          <cell r="AF3440" t="str">
            <v>XE01011</v>
          </cell>
          <cell r="AH3440">
            <v>9.82</v>
          </cell>
          <cell r="AW3440" t="str">
            <v>Trần Ngọc Dũng15</v>
          </cell>
          <cell r="AX3440" t="str">
            <v>Hằng</v>
          </cell>
        </row>
        <row r="3441">
          <cell r="D3441" t="str">
            <v>Lê Minh Đức</v>
          </cell>
          <cell r="AF3441" t="str">
            <v>XE01688</v>
          </cell>
          <cell r="AH3441">
            <v>8.44</v>
          </cell>
          <cell r="AW3441" t="str">
            <v>Lê Minh Đức11</v>
          </cell>
          <cell r="AX3441" t="str">
            <v>Hằng</v>
          </cell>
        </row>
        <row r="3442">
          <cell r="D3442" t="str">
            <v>Lê Minh Đức</v>
          </cell>
          <cell r="AF3442" t="str">
            <v>XE01688</v>
          </cell>
          <cell r="AH3442">
            <v>9.82</v>
          </cell>
          <cell r="AW3442" t="str">
            <v>Lê Minh Đức12</v>
          </cell>
          <cell r="AX3442" t="str">
            <v>Hằng</v>
          </cell>
        </row>
        <row r="3443">
          <cell r="D3443" t="str">
            <v>Nguyễn Thế Anh</v>
          </cell>
          <cell r="AF3443" t="str">
            <v>XE00383</v>
          </cell>
          <cell r="AH3443">
            <v>7.82</v>
          </cell>
          <cell r="AW3443" t="str">
            <v>Nguyễn Thế Anh12</v>
          </cell>
          <cell r="AX3443" t="str">
            <v>Hằng</v>
          </cell>
        </row>
        <row r="3444">
          <cell r="D3444" t="str">
            <v>Nguyễn Thế Anh</v>
          </cell>
          <cell r="AF3444" t="str">
            <v>XE00383</v>
          </cell>
          <cell r="AH3444">
            <v>9.82</v>
          </cell>
          <cell r="AW3444" t="str">
            <v>Nguyễn Thế Anh13</v>
          </cell>
          <cell r="AX3444" t="str">
            <v>Hằng</v>
          </cell>
        </row>
        <row r="3445">
          <cell r="D3445" t="str">
            <v>Nguyễn Văn Minh</v>
          </cell>
          <cell r="AF3445" t="str">
            <v>XE01570</v>
          </cell>
          <cell r="AH3445">
            <v>9.82</v>
          </cell>
          <cell r="AW3445" t="str">
            <v>Nguyễn Văn Minh13</v>
          </cell>
          <cell r="AX3445" t="str">
            <v>Hằng</v>
          </cell>
        </row>
        <row r="3446">
          <cell r="D3446" t="str">
            <v>Nguyễn Mạnh Cường</v>
          </cell>
          <cell r="AF3446" t="str">
            <v>XE01699</v>
          </cell>
          <cell r="AH3446">
            <v>9.82</v>
          </cell>
          <cell r="AW3446" t="str">
            <v>Nguyễn Mạnh Cường14</v>
          </cell>
          <cell r="AX3446" t="str">
            <v>Hằng</v>
          </cell>
        </row>
        <row r="3447">
          <cell r="D3447" t="str">
            <v>Nguyễn Đức Tuấn</v>
          </cell>
          <cell r="AF3447" t="str">
            <v>XE00395</v>
          </cell>
          <cell r="AH3447">
            <v>9.02</v>
          </cell>
          <cell r="AW3447" t="str">
            <v>Nguyễn Đức Tuấn11</v>
          </cell>
          <cell r="AX3447" t="str">
            <v>Hằng</v>
          </cell>
        </row>
        <row r="3448">
          <cell r="D3448" t="str">
            <v>Nguyễn Đức Tuấn</v>
          </cell>
          <cell r="AF3448" t="str">
            <v>XE00395</v>
          </cell>
          <cell r="AH3448">
            <v>6.04</v>
          </cell>
          <cell r="AW3448" t="str">
            <v>Nguyễn Đức Tuấn12</v>
          </cell>
          <cell r="AX3448" t="str">
            <v>Hằng</v>
          </cell>
        </row>
        <row r="3449">
          <cell r="D3449" t="str">
            <v>Nguyễn Đức Tuấn</v>
          </cell>
          <cell r="AF3449" t="str">
            <v>XE00395</v>
          </cell>
          <cell r="AH3449">
            <v>8.84</v>
          </cell>
          <cell r="AW3449" t="str">
            <v>Nguyễn Đức Tuấn13</v>
          </cell>
          <cell r="AX3449" t="str">
            <v>Hằng</v>
          </cell>
        </row>
        <row r="3450">
          <cell r="D3450" t="str">
            <v>Trần Quốc Toàn</v>
          </cell>
          <cell r="AF3450" t="str">
            <v>XE00901</v>
          </cell>
          <cell r="AH3450">
            <v>9.02</v>
          </cell>
          <cell r="AW3450" t="str">
            <v>Trần Quốc Toàn14</v>
          </cell>
          <cell r="AX3450" t="str">
            <v>Hằng</v>
          </cell>
        </row>
        <row r="3451">
          <cell r="D3451" t="str">
            <v>Trần Quốc Toàn</v>
          </cell>
          <cell r="AF3451" t="str">
            <v>XE00901</v>
          </cell>
          <cell r="AH3451">
            <v>9.82</v>
          </cell>
          <cell r="AW3451" t="str">
            <v>Trần Quốc Toàn15</v>
          </cell>
          <cell r="AX3451" t="str">
            <v>Hằng</v>
          </cell>
        </row>
        <row r="3452">
          <cell r="D3452" t="str">
            <v>Lê Quang Thuỷ</v>
          </cell>
          <cell r="AF3452" t="str">
            <v>XE00557</v>
          </cell>
          <cell r="AH3452">
            <v>7.24</v>
          </cell>
          <cell r="AW3452" t="str">
            <v>Lê Quang Thuỷ14</v>
          </cell>
          <cell r="AX3452" t="str">
            <v>Hằng</v>
          </cell>
        </row>
        <row r="3453">
          <cell r="D3453" t="str">
            <v>Lê Quang Thuỷ</v>
          </cell>
          <cell r="AF3453" t="str">
            <v>XE00557</v>
          </cell>
          <cell r="AH3453">
            <v>9.42</v>
          </cell>
          <cell r="AW3453" t="str">
            <v>Lê Quang Thuỷ15</v>
          </cell>
          <cell r="AX3453" t="str">
            <v>Hằng</v>
          </cell>
        </row>
        <row r="3454">
          <cell r="D3454" t="str">
            <v>Nguyễn Hùng Cường</v>
          </cell>
          <cell r="AF3454" t="str">
            <v>XE01333</v>
          </cell>
          <cell r="AH3454">
            <v>9.02</v>
          </cell>
          <cell r="AW3454" t="str">
            <v>Nguyễn Hùng Cường15</v>
          </cell>
          <cell r="AX3454" t="str">
            <v>Hằng</v>
          </cell>
        </row>
        <row r="3455">
          <cell r="D3455" t="str">
            <v>Nguyễn Minh Tuấn</v>
          </cell>
          <cell r="AF3455" t="str">
            <v>XE01562</v>
          </cell>
          <cell r="AH3455">
            <v>7.4399999999999995</v>
          </cell>
          <cell r="AW3455" t="str">
            <v>Nguyễn Minh Tuấn15</v>
          </cell>
          <cell r="AX3455" t="str">
            <v>Hằng</v>
          </cell>
        </row>
        <row r="3456">
          <cell r="D3456" t="str">
            <v>Trần Văn Sơn</v>
          </cell>
          <cell r="AF3456" t="str">
            <v>XE01427</v>
          </cell>
          <cell r="AH3456">
            <v>8.44</v>
          </cell>
          <cell r="AW3456" t="str">
            <v>Trần Văn Sơn15</v>
          </cell>
          <cell r="AX3456" t="str">
            <v>Hằng</v>
          </cell>
        </row>
        <row r="3457">
          <cell r="D3457" t="str">
            <v>Phạm Công Khánh</v>
          </cell>
          <cell r="AF3457" t="str">
            <v>XE00386</v>
          </cell>
          <cell r="AH3457">
            <v>9.82</v>
          </cell>
          <cell r="AW3457" t="str">
            <v>Phạm Công Khánh15</v>
          </cell>
          <cell r="AX3457" t="str">
            <v>Hằng</v>
          </cell>
        </row>
        <row r="3458">
          <cell r="D3458" t="str">
            <v>Nguyễn Duy Phương</v>
          </cell>
          <cell r="AF3458" t="str">
            <v>XE00308</v>
          </cell>
          <cell r="AH3458">
            <v>9.82</v>
          </cell>
          <cell r="AW3458" t="str">
            <v>Nguyễn Duy Phương15</v>
          </cell>
          <cell r="AX3458" t="str">
            <v>Hằng</v>
          </cell>
        </row>
        <row r="3459">
          <cell r="D3459" t="str">
            <v>Vũ Hoàng Long</v>
          </cell>
          <cell r="AF3459" t="str">
            <v>XE00312</v>
          </cell>
          <cell r="AH3459">
            <v>9.82</v>
          </cell>
          <cell r="AW3459" t="str">
            <v>Vũ Hoàng Long15</v>
          </cell>
          <cell r="AX3459" t="str">
            <v>Hằng</v>
          </cell>
        </row>
        <row r="3460">
          <cell r="D3460" t="str">
            <v>Lê Tuấn Linh</v>
          </cell>
          <cell r="AF3460" t="str">
            <v>XE00869</v>
          </cell>
          <cell r="AH3460">
            <v>9.82</v>
          </cell>
          <cell r="AW3460" t="str">
            <v>Lê Tuấn Linh15</v>
          </cell>
          <cell r="AX3460" t="str">
            <v>Hằng</v>
          </cell>
        </row>
        <row r="3461">
          <cell r="D3461" t="str">
            <v>Nguyễn Tiến Hưng</v>
          </cell>
          <cell r="AF3461" t="str">
            <v>XE00212</v>
          </cell>
          <cell r="AH3461">
            <v>9.02</v>
          </cell>
          <cell r="AW3461" t="str">
            <v>Nguyễn Tiến Hưng15</v>
          </cell>
          <cell r="AX3461" t="str">
            <v>Hằng</v>
          </cell>
        </row>
        <row r="3462">
          <cell r="D3462" t="str">
            <v>Dương Anh Đức</v>
          </cell>
          <cell r="AF3462" t="str">
            <v>XE01441</v>
          </cell>
          <cell r="AH3462">
            <v>9.02</v>
          </cell>
          <cell r="AW3462" t="str">
            <v>Dương Anh Đức15</v>
          </cell>
          <cell r="AX3462" t="str">
            <v>Hằng</v>
          </cell>
        </row>
        <row r="3463">
          <cell r="D3463" t="str">
            <v>Nguyễn Tuấn Trường</v>
          </cell>
          <cell r="AF3463" t="str">
            <v>XE00161</v>
          </cell>
          <cell r="AH3463">
            <v>9.42</v>
          </cell>
          <cell r="AW3463" t="str">
            <v>Nguyễn Tuấn Trường15</v>
          </cell>
          <cell r="AX3463" t="str">
            <v>Hằng</v>
          </cell>
        </row>
        <row r="3464">
          <cell r="D3464" t="str">
            <v>Nguyễn Văn Thành</v>
          </cell>
          <cell r="AF3464" t="str">
            <v>XE01278</v>
          </cell>
          <cell r="AH3464">
            <v>9.42</v>
          </cell>
          <cell r="AW3464" t="str">
            <v>Nguyễn Văn Thành16</v>
          </cell>
          <cell r="AX3464" t="str">
            <v>Hằng</v>
          </cell>
        </row>
        <row r="3465">
          <cell r="D3465" t="str">
            <v>Nguyễn Văn Võ</v>
          </cell>
          <cell r="AF3465" t="str">
            <v>XE01230</v>
          </cell>
          <cell r="AH3465">
            <v>9.82</v>
          </cell>
          <cell r="AW3465" t="str">
            <v>Nguyễn Văn Võ16</v>
          </cell>
          <cell r="AX3465" t="str">
            <v>Hằng</v>
          </cell>
        </row>
        <row r="3466">
          <cell r="D3466" t="str">
            <v>Tống Văn Hậu</v>
          </cell>
          <cell r="AF3466" t="str">
            <v>XE01088</v>
          </cell>
          <cell r="AH3466">
            <v>8.84</v>
          </cell>
          <cell r="AW3466" t="str">
            <v>Tống Văn Hậu16</v>
          </cell>
          <cell r="AX3466" t="str">
            <v>Hằng</v>
          </cell>
        </row>
        <row r="3467">
          <cell r="D3467" t="str">
            <v>Nguyễn Trung Hiếu</v>
          </cell>
          <cell r="AF3467" t="str">
            <v>XE00429</v>
          </cell>
          <cell r="AH3467">
            <v>8.84</v>
          </cell>
          <cell r="AW3467" t="str">
            <v>Nguyễn Trung Hiếu16</v>
          </cell>
          <cell r="AX3467" t="str">
            <v>Hằng</v>
          </cell>
        </row>
        <row r="3468">
          <cell r="D3468" t="str">
            <v>Lê Quang Minh</v>
          </cell>
          <cell r="AF3468" t="str">
            <v>XE01056</v>
          </cell>
          <cell r="AH3468">
            <v>9.82</v>
          </cell>
          <cell r="AW3468" t="str">
            <v>Lê Quang Minh4</v>
          </cell>
          <cell r="AX3468" t="str">
            <v>Hằng</v>
          </cell>
        </row>
        <row r="3469">
          <cell r="D3469" t="str">
            <v>Lê Quang Minh</v>
          </cell>
          <cell r="AF3469" t="str">
            <v>XE01056</v>
          </cell>
          <cell r="AH3469">
            <v>9.42</v>
          </cell>
          <cell r="AW3469" t="str">
            <v>Lê Quang Minh5</v>
          </cell>
          <cell r="AX3469" t="str">
            <v>Hằng</v>
          </cell>
        </row>
        <row r="3470">
          <cell r="D3470" t="str">
            <v>Lê Quang Minh</v>
          </cell>
          <cell r="AF3470" t="str">
            <v>XE01056</v>
          </cell>
          <cell r="AH3470">
            <v>8.2200000000000006</v>
          </cell>
          <cell r="AW3470" t="str">
            <v>Lê Quang Minh6</v>
          </cell>
          <cell r="AX3470" t="str">
            <v>Hằng</v>
          </cell>
        </row>
        <row r="3471">
          <cell r="D3471" t="str">
            <v>Đào Duy Nhất</v>
          </cell>
          <cell r="AF3471" t="str">
            <v>XE01062</v>
          </cell>
          <cell r="AH3471">
            <v>9.82</v>
          </cell>
          <cell r="AW3471" t="str">
            <v>Đào Duy Nhất10</v>
          </cell>
          <cell r="AX3471" t="str">
            <v>Hằng</v>
          </cell>
        </row>
        <row r="3472">
          <cell r="D3472" t="str">
            <v>Đào Duy Nhất</v>
          </cell>
          <cell r="AF3472" t="str">
            <v>XE01062</v>
          </cell>
          <cell r="AH3472">
            <v>9.42</v>
          </cell>
          <cell r="AW3472" t="str">
            <v>Đào Duy Nhất15</v>
          </cell>
          <cell r="AX3472" t="str">
            <v>Hằng</v>
          </cell>
        </row>
        <row r="3473">
          <cell r="D3473" t="str">
            <v>Phan Thái Sơn</v>
          </cell>
          <cell r="AF3473" t="str">
            <v>XE00026</v>
          </cell>
          <cell r="AH3473">
            <v>9.42</v>
          </cell>
          <cell r="AW3473" t="str">
            <v>Phan Thái Sơn13</v>
          </cell>
          <cell r="AX3473" t="str">
            <v>Hằng</v>
          </cell>
        </row>
        <row r="3474">
          <cell r="D3474" t="str">
            <v>Phan Thái Sơn</v>
          </cell>
          <cell r="AF3474" t="str">
            <v>XE00026</v>
          </cell>
          <cell r="AH3474">
            <v>9.82</v>
          </cell>
          <cell r="AW3474" t="str">
            <v>Phan Thái Sơn14</v>
          </cell>
          <cell r="AX3474" t="str">
            <v>Hằng</v>
          </cell>
        </row>
        <row r="3475">
          <cell r="D3475" t="str">
            <v>Đinh Văn Chung</v>
          </cell>
          <cell r="AF3475" t="str">
            <v>XE00122</v>
          </cell>
          <cell r="AH3475">
            <v>9.42</v>
          </cell>
          <cell r="AW3475" t="str">
            <v>Đinh Văn Chung13</v>
          </cell>
          <cell r="AX3475" t="str">
            <v>Hằng</v>
          </cell>
        </row>
        <row r="3476">
          <cell r="D3476" t="str">
            <v>Đinh Văn Chung</v>
          </cell>
          <cell r="AF3476" t="str">
            <v>XE00122</v>
          </cell>
          <cell r="AH3476">
            <v>9.82</v>
          </cell>
          <cell r="AW3476" t="str">
            <v>Đinh Văn Chung14</v>
          </cell>
          <cell r="AX3476" t="str">
            <v>Hằng</v>
          </cell>
        </row>
        <row r="3477">
          <cell r="D3477" t="str">
            <v>Lại Thế Thư</v>
          </cell>
          <cell r="AF3477" t="str">
            <v>XE01286</v>
          </cell>
          <cell r="AH3477">
            <v>9.42</v>
          </cell>
          <cell r="AW3477" t="str">
            <v>Lại Thế Thư15</v>
          </cell>
          <cell r="AX3477" t="str">
            <v>Hằng</v>
          </cell>
        </row>
        <row r="3478">
          <cell r="D3478" t="str">
            <v>Trần Xuân Bách</v>
          </cell>
          <cell r="AF3478" t="str">
            <v>XE01008</v>
          </cell>
          <cell r="AH3478">
            <v>9.82</v>
          </cell>
          <cell r="AW3478" t="str">
            <v>Trần Xuân Bách14</v>
          </cell>
          <cell r="AX3478" t="str">
            <v>Hằng</v>
          </cell>
        </row>
        <row r="3479">
          <cell r="D3479" t="str">
            <v>Trần Xuân Bách</v>
          </cell>
          <cell r="AF3479" t="str">
            <v>XE01008</v>
          </cell>
          <cell r="AH3479">
            <v>9.42</v>
          </cell>
          <cell r="AW3479" t="str">
            <v>Trần Xuân Bách15</v>
          </cell>
          <cell r="AX3479" t="str">
            <v>Hằng</v>
          </cell>
        </row>
        <row r="3480">
          <cell r="D3480" t="str">
            <v>Đào Đức Liêm</v>
          </cell>
          <cell r="AF3480" t="str">
            <v>XE00397</v>
          </cell>
          <cell r="AH3480">
            <v>9.42</v>
          </cell>
          <cell r="AW3480" t="str">
            <v>Đào Đức Liêm14</v>
          </cell>
          <cell r="AX3480" t="str">
            <v>Hằng</v>
          </cell>
        </row>
        <row r="3481">
          <cell r="D3481" t="str">
            <v>Nguyễn Quốc Thắng</v>
          </cell>
          <cell r="AF3481" t="str">
            <v>XE00495</v>
          </cell>
          <cell r="AH3481">
            <v>7.64</v>
          </cell>
          <cell r="AW3481" t="str">
            <v>Nguyễn Quốc Thắng15</v>
          </cell>
          <cell r="AX3481" t="str">
            <v>Hằng</v>
          </cell>
        </row>
        <row r="3482">
          <cell r="D3482" t="str">
            <v>Bùi Mạnh Hùng</v>
          </cell>
          <cell r="AF3482" t="str">
            <v>XE00978</v>
          </cell>
          <cell r="AH3482">
            <v>6.8400000000000007</v>
          </cell>
          <cell r="AW3482" t="str">
            <v>Bùi Mạnh Hùng15</v>
          </cell>
          <cell r="AX3482" t="str">
            <v>Hằng</v>
          </cell>
        </row>
        <row r="3483">
          <cell r="D3483" t="str">
            <v>Lò Văn Dương</v>
          </cell>
          <cell r="AF3483" t="str">
            <v>XE00913</v>
          </cell>
          <cell r="AH3483">
            <v>8.44</v>
          </cell>
          <cell r="AW3483" t="str">
            <v>Lò Văn Dương15</v>
          </cell>
          <cell r="AX3483" t="str">
            <v>Hằng</v>
          </cell>
        </row>
        <row r="3484">
          <cell r="D3484" t="str">
            <v>Nguyễn Việt Cường</v>
          </cell>
          <cell r="AF3484" t="str">
            <v>XE00345</v>
          </cell>
          <cell r="AH3484">
            <v>9.42</v>
          </cell>
          <cell r="AW3484" t="str">
            <v>Nguyễn Việt Cường15</v>
          </cell>
          <cell r="AX3484" t="str">
            <v>Hằng</v>
          </cell>
        </row>
        <row r="3485">
          <cell r="D3485" t="str">
            <v>Lê Minh Đức</v>
          </cell>
          <cell r="AF3485" t="str">
            <v>XE01688</v>
          </cell>
          <cell r="AH3485">
            <v>9.82</v>
          </cell>
          <cell r="AW3485" t="str">
            <v>Lê Minh Đức13</v>
          </cell>
          <cell r="AX3485" t="str">
            <v>Hằng</v>
          </cell>
        </row>
        <row r="3486">
          <cell r="D3486" t="str">
            <v>Lê Minh Đức</v>
          </cell>
          <cell r="AF3486" t="str">
            <v>XE01688</v>
          </cell>
          <cell r="AH3486">
            <v>7.6400000000000006</v>
          </cell>
          <cell r="AW3486" t="str">
            <v>Lê Minh Đức14</v>
          </cell>
          <cell r="AX3486" t="str">
            <v>Hằng</v>
          </cell>
        </row>
        <row r="3487">
          <cell r="D3487" t="str">
            <v>Nguyễn Thế Anh</v>
          </cell>
          <cell r="AF3487" t="str">
            <v>XE00383</v>
          </cell>
          <cell r="AH3487">
            <v>8.44</v>
          </cell>
          <cell r="AW3487" t="str">
            <v>Nguyễn Thế Anh14</v>
          </cell>
          <cell r="AX3487" t="str">
            <v>Hằng</v>
          </cell>
        </row>
        <row r="3488">
          <cell r="D3488" t="str">
            <v>Nguyễn Mạnh Cường</v>
          </cell>
          <cell r="AF3488" t="str">
            <v>XE01699</v>
          </cell>
          <cell r="AH3488">
            <v>9.42</v>
          </cell>
          <cell r="AW3488" t="str">
            <v>Nguyễn Mạnh Cường15</v>
          </cell>
          <cell r="AX3488" t="str">
            <v>Hằng</v>
          </cell>
        </row>
        <row r="3489">
          <cell r="D3489" t="str">
            <v>Nguyễn Văn Minh</v>
          </cell>
          <cell r="AF3489" t="str">
            <v>XE01570</v>
          </cell>
          <cell r="AH3489">
            <v>9.82</v>
          </cell>
          <cell r="AW3489" t="str">
            <v>Nguyễn Văn Minh14</v>
          </cell>
          <cell r="AX3489" t="str">
            <v>Hằng</v>
          </cell>
        </row>
        <row r="3490">
          <cell r="D3490" t="str">
            <v>Nguyễn Đức Tuấn</v>
          </cell>
          <cell r="AF3490" t="str">
            <v>XE00395</v>
          </cell>
          <cell r="AH3490">
            <v>9.82</v>
          </cell>
          <cell r="AW3490" t="str">
            <v>Nguyễn Đức Tuấn14</v>
          </cell>
          <cell r="AX3490" t="str">
            <v>Hằng</v>
          </cell>
        </row>
        <row r="3491">
          <cell r="D3491" t="str">
            <v>Nguyễn Đức Tuấn</v>
          </cell>
          <cell r="AF3491" t="str">
            <v>XE00395</v>
          </cell>
          <cell r="AH3491">
            <v>9.82</v>
          </cell>
          <cell r="AW3491" t="str">
            <v>Nguyễn Đức Tuấn15</v>
          </cell>
          <cell r="AX3491" t="str">
            <v>Hằng</v>
          </cell>
        </row>
        <row r="3492">
          <cell r="D3492" t="str">
            <v>Nguyễn Hùng Cường</v>
          </cell>
          <cell r="AF3492" t="str">
            <v>XE01333</v>
          </cell>
          <cell r="AH3492">
            <v>9.02</v>
          </cell>
          <cell r="AW3492" t="str">
            <v>Nguyễn Hùng Cường16</v>
          </cell>
          <cell r="AX3492" t="str">
            <v>Hằng</v>
          </cell>
        </row>
        <row r="3493">
          <cell r="D3493" t="str">
            <v>Nguyễn Minh Tuấn</v>
          </cell>
          <cell r="AF3493" t="str">
            <v>XE01562</v>
          </cell>
          <cell r="AH3493">
            <v>9.42</v>
          </cell>
          <cell r="AW3493" t="str">
            <v>Nguyễn Minh Tuấn16</v>
          </cell>
          <cell r="AX3493" t="str">
            <v>Hằng</v>
          </cell>
        </row>
        <row r="3494">
          <cell r="D3494" t="str">
            <v>Nguyễn Văn Thành</v>
          </cell>
          <cell r="AF3494" t="str">
            <v>XE01278</v>
          </cell>
          <cell r="AH3494">
            <v>9.02</v>
          </cell>
          <cell r="AW3494" t="str">
            <v>Nguyễn Văn Thành17</v>
          </cell>
          <cell r="AX3494" t="str">
            <v>Hằng</v>
          </cell>
        </row>
        <row r="3495">
          <cell r="D3495" t="str">
            <v>Trần Văn Sơn</v>
          </cell>
          <cell r="AF3495" t="str">
            <v>XE01427</v>
          </cell>
          <cell r="AH3495">
            <v>9.02</v>
          </cell>
          <cell r="AW3495" t="str">
            <v>Trần Văn Sơn16</v>
          </cell>
          <cell r="AX3495" t="str">
            <v>Hằng</v>
          </cell>
        </row>
        <row r="3496">
          <cell r="D3496" t="str">
            <v>Trần Quốc Toàn</v>
          </cell>
          <cell r="AF3496" t="str">
            <v>XE00901</v>
          </cell>
          <cell r="AH3496">
            <v>9.42</v>
          </cell>
          <cell r="AW3496" t="str">
            <v>Trần Quốc Toàn16</v>
          </cell>
          <cell r="AX3496" t="str">
            <v>Hằng</v>
          </cell>
        </row>
        <row r="3497">
          <cell r="D3497" t="str">
            <v>Lê Quang Thuỷ</v>
          </cell>
          <cell r="AF3497" t="str">
            <v>XE00557</v>
          </cell>
          <cell r="AH3497">
            <v>9.42</v>
          </cell>
          <cell r="AW3497" t="str">
            <v>Lê Quang Thuỷ16</v>
          </cell>
          <cell r="AX3497" t="str">
            <v>Hằng</v>
          </cell>
        </row>
        <row r="3498">
          <cell r="D3498" t="str">
            <v>Phạm Công Khánh</v>
          </cell>
          <cell r="AF3498" t="str">
            <v>XE00386</v>
          </cell>
          <cell r="AH3498">
            <v>9.42</v>
          </cell>
          <cell r="AW3498" t="str">
            <v>Phạm Công Khánh16</v>
          </cell>
          <cell r="AX3498" t="str">
            <v>Hằng</v>
          </cell>
        </row>
        <row r="3499">
          <cell r="D3499" t="str">
            <v>Nguyễn Duy Phương</v>
          </cell>
          <cell r="AF3499" t="str">
            <v>XE00308</v>
          </cell>
          <cell r="AH3499">
            <v>9.02</v>
          </cell>
          <cell r="AW3499" t="str">
            <v>Nguyễn Duy Phương16</v>
          </cell>
          <cell r="AX3499" t="str">
            <v>Hằng</v>
          </cell>
        </row>
        <row r="3500">
          <cell r="D3500" t="str">
            <v>Vũ Hoàng Long</v>
          </cell>
          <cell r="AF3500" t="str">
            <v>XE00312</v>
          </cell>
          <cell r="AH3500">
            <v>9.82</v>
          </cell>
          <cell r="AW3500" t="str">
            <v>Vũ Hoàng Long16</v>
          </cell>
          <cell r="AX3500" t="str">
            <v>Hằng</v>
          </cell>
        </row>
        <row r="3501">
          <cell r="D3501" t="str">
            <v>Lê Tuấn Linh</v>
          </cell>
          <cell r="AF3501" t="str">
            <v>XE00869</v>
          </cell>
          <cell r="AH3501">
            <v>9.42</v>
          </cell>
          <cell r="AW3501" t="str">
            <v>Lê Tuấn Linh16</v>
          </cell>
          <cell r="AX3501" t="str">
            <v>Hằng</v>
          </cell>
        </row>
        <row r="3502">
          <cell r="D3502" t="str">
            <v>Nguyễn Tiến Hưng</v>
          </cell>
          <cell r="AF3502" t="str">
            <v>XE00212</v>
          </cell>
          <cell r="AH3502">
            <v>9.02</v>
          </cell>
          <cell r="AW3502" t="str">
            <v>Nguyễn Tiến Hưng16</v>
          </cell>
          <cell r="AX3502" t="str">
            <v>Hằng</v>
          </cell>
        </row>
        <row r="3503">
          <cell r="D3503" t="str">
            <v>Dương Anh Đức</v>
          </cell>
          <cell r="AF3503" t="str">
            <v>XE01441</v>
          </cell>
          <cell r="AH3503">
            <v>9.02</v>
          </cell>
          <cell r="AW3503" t="str">
            <v>Dương Anh Đức16</v>
          </cell>
          <cell r="AX3503" t="str">
            <v>Hằng</v>
          </cell>
        </row>
        <row r="3504">
          <cell r="D3504" t="str">
            <v>Nguyễn Tuấn Trường</v>
          </cell>
          <cell r="AF3504" t="str">
            <v>XE00161</v>
          </cell>
          <cell r="AH3504">
            <v>9.82</v>
          </cell>
          <cell r="AW3504" t="str">
            <v>Nguyễn Tuấn Trường16</v>
          </cell>
          <cell r="AX3504" t="str">
            <v>Hằng</v>
          </cell>
        </row>
        <row r="3505">
          <cell r="D3505" t="str">
            <v>Nguyễn Văn Võ</v>
          </cell>
          <cell r="AF3505" t="str">
            <v>XE01230</v>
          </cell>
          <cell r="AH3505">
            <v>8.2200000000000006</v>
          </cell>
          <cell r="AW3505" t="str">
            <v>Nguyễn Văn Võ17</v>
          </cell>
          <cell r="AX3505" t="str">
            <v>Hằng</v>
          </cell>
        </row>
        <row r="3506">
          <cell r="D3506" t="str">
            <v>Tống Văn Hậu</v>
          </cell>
          <cell r="AF3506" t="str">
            <v>XE01088</v>
          </cell>
          <cell r="AH3506">
            <v>9.42</v>
          </cell>
          <cell r="AW3506" t="str">
            <v>Tống Văn Hậu17</v>
          </cell>
          <cell r="AX3506" t="str">
            <v>Hằng</v>
          </cell>
        </row>
        <row r="3507">
          <cell r="D3507" t="str">
            <v>Nguyễn Trung Hiếu</v>
          </cell>
          <cell r="AF3507" t="str">
            <v>XE00429</v>
          </cell>
          <cell r="AH3507">
            <v>9.82</v>
          </cell>
          <cell r="AW3507" t="str">
            <v>Nguyễn Trung Hiếu17</v>
          </cell>
          <cell r="AX3507" t="str">
            <v>Hằng</v>
          </cell>
        </row>
        <row r="3508">
          <cell r="D3508" t="str">
            <v>Lê Quang Minh</v>
          </cell>
          <cell r="AF3508" t="str">
            <v>XE01056</v>
          </cell>
          <cell r="AH3508">
            <v>9.82</v>
          </cell>
          <cell r="AW3508" t="str">
            <v>Lê Quang Minh7</v>
          </cell>
          <cell r="AX3508" t="str">
            <v>Hằng</v>
          </cell>
        </row>
        <row r="3509">
          <cell r="D3509" t="str">
            <v>Lê Quang Minh</v>
          </cell>
          <cell r="AF3509" t="str">
            <v>XE01056</v>
          </cell>
          <cell r="AH3509">
            <v>9.42</v>
          </cell>
          <cell r="AW3509" t="str">
            <v>Lê Quang Minh8</v>
          </cell>
          <cell r="AX3509" t="str">
            <v>Hằng</v>
          </cell>
        </row>
        <row r="3510">
          <cell r="D3510" t="str">
            <v>Phan Thái Sơn</v>
          </cell>
          <cell r="AF3510" t="str">
            <v>XE00026</v>
          </cell>
          <cell r="AH3510">
            <v>9.24</v>
          </cell>
          <cell r="AW3510" t="str">
            <v>Phan Thái Sơn15</v>
          </cell>
          <cell r="AX3510" t="str">
            <v>Hằng</v>
          </cell>
        </row>
        <row r="3511">
          <cell r="D3511" t="str">
            <v>Phan Thái Sơn</v>
          </cell>
          <cell r="AF3511" t="str">
            <v>XE00026</v>
          </cell>
          <cell r="AH3511">
            <v>9.82</v>
          </cell>
          <cell r="AW3511" t="str">
            <v>Phan Thái Sơn16</v>
          </cell>
          <cell r="AX3511" t="str">
            <v>Hằng</v>
          </cell>
        </row>
        <row r="3512">
          <cell r="D3512" t="str">
            <v>Đinh Văn Chung</v>
          </cell>
          <cell r="AF3512" t="str">
            <v>XE00122</v>
          </cell>
          <cell r="AH3512">
            <v>9.42</v>
          </cell>
          <cell r="AW3512" t="str">
            <v>Đinh Văn Chung15</v>
          </cell>
          <cell r="AX3512" t="str">
            <v>Hằng</v>
          </cell>
        </row>
        <row r="3513">
          <cell r="D3513" t="str">
            <v>Đinh Văn Chung</v>
          </cell>
          <cell r="AF3513" t="str">
            <v>XE00122</v>
          </cell>
          <cell r="AH3513">
            <v>9.42</v>
          </cell>
          <cell r="AW3513" t="str">
            <v>Đinh Văn Chung16</v>
          </cell>
          <cell r="AX3513" t="str">
            <v>Hằng</v>
          </cell>
        </row>
        <row r="3514">
          <cell r="D3514" t="str">
            <v>Đào Đức Liêm</v>
          </cell>
          <cell r="AF3514" t="str">
            <v>XE00397</v>
          </cell>
          <cell r="AH3514">
            <v>9.82</v>
          </cell>
          <cell r="AW3514" t="str">
            <v>Đào Đức Liêm15</v>
          </cell>
          <cell r="AX3514" t="str">
            <v>Hằng</v>
          </cell>
        </row>
        <row r="3515">
          <cell r="D3515" t="str">
            <v>Đào Đức Liêm</v>
          </cell>
          <cell r="AF3515" t="str">
            <v>XE00397</v>
          </cell>
          <cell r="AH3515">
            <v>9.82</v>
          </cell>
          <cell r="AW3515" t="str">
            <v>Đào Đức Liêm16</v>
          </cell>
          <cell r="AX3515" t="str">
            <v>Hằng</v>
          </cell>
        </row>
        <row r="3516">
          <cell r="D3516" t="str">
            <v>Lê Thanh Xuân</v>
          </cell>
          <cell r="AF3516" t="str">
            <v>XE01704</v>
          </cell>
          <cell r="AH3516">
            <v>9.82</v>
          </cell>
          <cell r="AW3516" t="str">
            <v>Lê Thanh Xuân16</v>
          </cell>
          <cell r="AX3516" t="str">
            <v>Hằng</v>
          </cell>
        </row>
        <row r="3517">
          <cell r="D3517" t="str">
            <v>Lại Thế Thư</v>
          </cell>
          <cell r="AF3517" t="str">
            <v>XE01286</v>
          </cell>
          <cell r="AH3517">
            <v>9.82</v>
          </cell>
          <cell r="AW3517" t="str">
            <v>Lại Thế Thư16</v>
          </cell>
          <cell r="AX3517" t="str">
            <v>Hằng</v>
          </cell>
        </row>
        <row r="3518">
          <cell r="D3518" t="str">
            <v>Lê Hùng Cường</v>
          </cell>
          <cell r="AF3518" t="str">
            <v>XE00188</v>
          </cell>
          <cell r="AH3518">
            <v>9.82</v>
          </cell>
          <cell r="AW3518" t="str">
            <v>Lê Hùng Cường16</v>
          </cell>
          <cell r="AX3518" t="str">
            <v>Hằng</v>
          </cell>
        </row>
        <row r="3519">
          <cell r="D3519" t="str">
            <v>Nguyễn Thiên Mạnh</v>
          </cell>
          <cell r="AF3519" t="str">
            <v>XE01182</v>
          </cell>
          <cell r="AH3519">
            <v>9.82</v>
          </cell>
          <cell r="AW3519" t="str">
            <v>Nguyễn Thiên Mạnh16</v>
          </cell>
          <cell r="AX3519" t="str">
            <v>Hằng</v>
          </cell>
        </row>
        <row r="3520">
          <cell r="D3520" t="str">
            <v>Nguyễn Quốc Thắng</v>
          </cell>
          <cell r="AF3520" t="str">
            <v>XE00495</v>
          </cell>
          <cell r="AH3520">
            <v>9.82</v>
          </cell>
          <cell r="AW3520" t="str">
            <v>Nguyễn Quốc Thắng16</v>
          </cell>
          <cell r="AX3520" t="str">
            <v>Hằng</v>
          </cell>
        </row>
        <row r="3521">
          <cell r="D3521" t="str">
            <v>Phạm Văn Thiêm</v>
          </cell>
          <cell r="AF3521" t="str">
            <v>XE01090</v>
          </cell>
          <cell r="AH3521">
            <v>9.42</v>
          </cell>
          <cell r="AW3521" t="str">
            <v>Phạm Văn Thiêm16</v>
          </cell>
          <cell r="AX3521" t="str">
            <v>Hằng</v>
          </cell>
        </row>
        <row r="3522">
          <cell r="D3522" t="str">
            <v>Đào Duy Nhất</v>
          </cell>
          <cell r="AF3522" t="str">
            <v>XE01062</v>
          </cell>
          <cell r="AH3522">
            <v>9.82</v>
          </cell>
          <cell r="AW3522" t="str">
            <v>Đào Duy Nhất16</v>
          </cell>
          <cell r="AX3522" t="str">
            <v>Hằng</v>
          </cell>
        </row>
        <row r="3523">
          <cell r="D3523" t="str">
            <v>Trần Ngọc Dũng</v>
          </cell>
          <cell r="AF3523" t="str">
            <v>XE01011</v>
          </cell>
          <cell r="AH3523">
            <v>7.24</v>
          </cell>
          <cell r="AW3523" t="str">
            <v>Trần Ngọc Dũng16</v>
          </cell>
          <cell r="AX3523" t="str">
            <v>Hằng</v>
          </cell>
        </row>
        <row r="3524">
          <cell r="D3524" t="str">
            <v>Trần Xuân Bách</v>
          </cell>
          <cell r="AF3524" t="str">
            <v>XE01008</v>
          </cell>
          <cell r="AH3524">
            <v>9.42</v>
          </cell>
          <cell r="AW3524" t="str">
            <v>Trần Xuân Bách16</v>
          </cell>
          <cell r="AX3524" t="str">
            <v>Hằng</v>
          </cell>
        </row>
        <row r="3525">
          <cell r="D3525" t="str">
            <v>Bùi Mạnh Hùng</v>
          </cell>
          <cell r="AF3525" t="str">
            <v>XE00978</v>
          </cell>
          <cell r="AH3525">
            <v>7.6400000000000006</v>
          </cell>
          <cell r="AW3525" t="str">
            <v>Bùi Mạnh Hùng16</v>
          </cell>
          <cell r="AX3525" t="str">
            <v>Hằng</v>
          </cell>
        </row>
        <row r="3526">
          <cell r="D3526" t="str">
            <v>Lò Văn Dương</v>
          </cell>
          <cell r="AF3526" t="str">
            <v>XE00913</v>
          </cell>
          <cell r="AH3526">
            <v>9.42</v>
          </cell>
          <cell r="AW3526" t="str">
            <v>Lò Văn Dương16</v>
          </cell>
          <cell r="AX3526" t="str">
            <v>Hằng</v>
          </cell>
        </row>
        <row r="3527">
          <cell r="D3527" t="str">
            <v>Nguyễn Việt Cường</v>
          </cell>
          <cell r="AF3527" t="str">
            <v>XE00345</v>
          </cell>
          <cell r="AH3527">
            <v>9.42</v>
          </cell>
          <cell r="AW3527" t="str">
            <v>Nguyễn Việt Cường16</v>
          </cell>
          <cell r="AX3527" t="str">
            <v>Hằng</v>
          </cell>
        </row>
        <row r="3528">
          <cell r="D3528" t="str">
            <v>Nguyễn Thế Anh</v>
          </cell>
          <cell r="AF3528" t="str">
            <v>XE00383</v>
          </cell>
          <cell r="AH3528">
            <v>8.84</v>
          </cell>
          <cell r="AW3528" t="str">
            <v>Nguyễn Thế Anh15</v>
          </cell>
          <cell r="AX3528" t="str">
            <v>Hằng</v>
          </cell>
        </row>
        <row r="3529">
          <cell r="D3529" t="str">
            <v>Nguyễn Thế Anh</v>
          </cell>
          <cell r="AF3529" t="str">
            <v>XE00383</v>
          </cell>
          <cell r="AH3529">
            <v>9.82</v>
          </cell>
          <cell r="AW3529" t="str">
            <v>Nguyễn Thế Anh16</v>
          </cell>
          <cell r="AX3529" t="str">
            <v>Hằng</v>
          </cell>
        </row>
        <row r="3530">
          <cell r="D3530" t="str">
            <v>Lê Minh Đức</v>
          </cell>
          <cell r="AF3530" t="str">
            <v>XE01688</v>
          </cell>
          <cell r="AH3530">
            <v>8.6199999999999992</v>
          </cell>
          <cell r="AW3530" t="str">
            <v>Lê Minh Đức15</v>
          </cell>
          <cell r="AX3530" t="str">
            <v>Hằng</v>
          </cell>
        </row>
        <row r="3531">
          <cell r="D3531" t="str">
            <v>Lê Minh Đức</v>
          </cell>
          <cell r="AF3531" t="str">
            <v>XE01688</v>
          </cell>
          <cell r="AH3531">
            <v>9.42</v>
          </cell>
          <cell r="AW3531" t="str">
            <v>Lê Minh Đức16</v>
          </cell>
          <cell r="AX3531" t="str">
            <v>Hằng</v>
          </cell>
        </row>
        <row r="3532">
          <cell r="D3532" t="str">
            <v>Nguyễn Văn Minh</v>
          </cell>
          <cell r="AF3532" t="str">
            <v>XE01570</v>
          </cell>
          <cell r="AH3532">
            <v>9.82</v>
          </cell>
          <cell r="AW3532" t="str">
            <v>Nguyễn Văn Minh15</v>
          </cell>
          <cell r="AX3532" t="str">
            <v>Hằng</v>
          </cell>
        </row>
        <row r="3533">
          <cell r="D3533" t="str">
            <v>Nguyễn Văn Minh</v>
          </cell>
          <cell r="AF3533" t="str">
            <v>XE01570</v>
          </cell>
          <cell r="AH3533">
            <v>9.42</v>
          </cell>
          <cell r="AW3533" t="str">
            <v>Nguyễn Văn Minh16</v>
          </cell>
          <cell r="AX3533" t="str">
            <v>Hằng</v>
          </cell>
        </row>
        <row r="3534">
          <cell r="D3534" t="str">
            <v>Nguyễn Mạnh Cường</v>
          </cell>
          <cell r="AF3534" t="str">
            <v>XE01699</v>
          </cell>
          <cell r="AH3534">
            <v>9.24</v>
          </cell>
          <cell r="AW3534" t="str">
            <v>Nguyễn Mạnh Cường16</v>
          </cell>
          <cell r="AX3534" t="str">
            <v>Hằng</v>
          </cell>
        </row>
        <row r="3535">
          <cell r="D3535" t="str">
            <v>Nguyễn Mạnh Cường</v>
          </cell>
          <cell r="AF3535" t="str">
            <v>XE01699</v>
          </cell>
          <cell r="AH3535">
            <v>9.42</v>
          </cell>
          <cell r="AW3535" t="str">
            <v>Nguyễn Mạnh Cường17</v>
          </cell>
          <cell r="AX3535" t="str">
            <v>Hằng</v>
          </cell>
        </row>
        <row r="3536">
          <cell r="D3536" t="str">
            <v>Nguyễn Hùng Cường</v>
          </cell>
          <cell r="AF3536" t="str">
            <v>XE01333</v>
          </cell>
          <cell r="AH3536">
            <v>9.82</v>
          </cell>
          <cell r="AW3536" t="str">
            <v>Nguyễn Hùng Cường17</v>
          </cell>
          <cell r="AX3536" t="str">
            <v>Hằng</v>
          </cell>
        </row>
        <row r="3537">
          <cell r="D3537" t="str">
            <v>Nguyễn Hùng Cường</v>
          </cell>
          <cell r="AF3537" t="str">
            <v>XE01333</v>
          </cell>
          <cell r="AH3537">
            <v>9.42</v>
          </cell>
          <cell r="AW3537" t="str">
            <v>Nguyễn Hùng Cường18</v>
          </cell>
          <cell r="AX3537" t="str">
            <v>Hằng</v>
          </cell>
        </row>
        <row r="3538">
          <cell r="D3538" t="str">
            <v>Nguyễn Minh Tuấn</v>
          </cell>
          <cell r="AF3538" t="str">
            <v>XE01562</v>
          </cell>
          <cell r="AH3538">
            <v>9.82</v>
          </cell>
          <cell r="AW3538" t="str">
            <v>Nguyễn Minh Tuấn17</v>
          </cell>
          <cell r="AX3538" t="str">
            <v>Hằng</v>
          </cell>
        </row>
        <row r="3539">
          <cell r="D3539" t="str">
            <v>Nguyễn Minh Tuấn</v>
          </cell>
          <cell r="AF3539" t="str">
            <v>XE01562</v>
          </cell>
          <cell r="AH3539">
            <v>9.02</v>
          </cell>
          <cell r="AW3539" t="str">
            <v>Nguyễn Minh Tuấn18</v>
          </cell>
          <cell r="AX3539" t="str">
            <v>Hằng</v>
          </cell>
        </row>
        <row r="3540">
          <cell r="D3540" t="str">
            <v>Nguyễn Đức Tuấn</v>
          </cell>
          <cell r="AF3540" t="str">
            <v>XE00395</v>
          </cell>
          <cell r="AH3540">
            <v>9.6</v>
          </cell>
          <cell r="AW3540" t="str">
            <v>Nguyễn Đức Tuấn16</v>
          </cell>
          <cell r="AX3540" t="str">
            <v>Hằng</v>
          </cell>
        </row>
        <row r="3541">
          <cell r="D3541" t="str">
            <v>Nguyễn Đức Tuấn</v>
          </cell>
          <cell r="AF3541" t="str">
            <v>XE00395</v>
          </cell>
          <cell r="AH3541">
            <v>9.02</v>
          </cell>
          <cell r="AW3541" t="str">
            <v>Nguyễn Đức Tuấn17</v>
          </cell>
          <cell r="AX3541" t="str">
            <v>Hằng</v>
          </cell>
        </row>
        <row r="3542">
          <cell r="D3542" t="str">
            <v>Trần Văn Sơn</v>
          </cell>
          <cell r="AF3542" t="str">
            <v>XE01427</v>
          </cell>
          <cell r="AH3542">
            <v>9.82</v>
          </cell>
          <cell r="AW3542" t="str">
            <v>Trần Văn Sơn17</v>
          </cell>
          <cell r="AX3542" t="str">
            <v>Hằng</v>
          </cell>
        </row>
        <row r="3543">
          <cell r="D3543" t="str">
            <v>Trần Văn Sơn</v>
          </cell>
          <cell r="AF3543" t="str">
            <v>XE01427</v>
          </cell>
          <cell r="AH3543">
            <v>9.42</v>
          </cell>
          <cell r="AW3543" t="str">
            <v>Trần Văn Sơn18</v>
          </cell>
          <cell r="AX3543" t="str">
            <v>Hằng</v>
          </cell>
        </row>
        <row r="3544">
          <cell r="D3544" t="str">
            <v>Lê Quang Thuỷ</v>
          </cell>
          <cell r="AF3544" t="str">
            <v>XE00557</v>
          </cell>
          <cell r="AH3544">
            <v>9.42</v>
          </cell>
          <cell r="AW3544" t="str">
            <v>Lê Quang Thuỷ17</v>
          </cell>
          <cell r="AX3544" t="str">
            <v>Hằng</v>
          </cell>
        </row>
        <row r="3545">
          <cell r="D3545" t="str">
            <v>Lê Quang Thuỷ</v>
          </cell>
          <cell r="AF3545" t="str">
            <v>XE00557</v>
          </cell>
          <cell r="AH3545">
            <v>9.02</v>
          </cell>
          <cell r="AW3545" t="str">
            <v>Lê Quang Thuỷ18</v>
          </cell>
          <cell r="AX3545" t="str">
            <v>Hằng</v>
          </cell>
        </row>
        <row r="3546">
          <cell r="D3546" t="str">
            <v>Phạm Công Khánh</v>
          </cell>
          <cell r="AF3546" t="str">
            <v>XE00386</v>
          </cell>
          <cell r="AH3546">
            <v>9.42</v>
          </cell>
          <cell r="AW3546" t="str">
            <v>Phạm Công Khánh17</v>
          </cell>
          <cell r="AX3546" t="str">
            <v>Hằng</v>
          </cell>
        </row>
        <row r="3547">
          <cell r="D3547" t="str">
            <v>Phạm Công Khánh</v>
          </cell>
          <cell r="AF3547" t="str">
            <v>XE00386</v>
          </cell>
          <cell r="AH3547">
            <v>9.42</v>
          </cell>
          <cell r="AW3547" t="str">
            <v>Phạm Công Khánh18</v>
          </cell>
          <cell r="AX3547" t="str">
            <v>Hằng</v>
          </cell>
        </row>
        <row r="3548">
          <cell r="D3548" t="str">
            <v>Nguyễn Duy Phương</v>
          </cell>
          <cell r="AF3548" t="str">
            <v>XE00308</v>
          </cell>
          <cell r="AH3548">
            <v>9.42</v>
          </cell>
          <cell r="AW3548" t="str">
            <v>Nguyễn Duy Phương17</v>
          </cell>
          <cell r="AX3548" t="str">
            <v>Hằng</v>
          </cell>
        </row>
        <row r="3549">
          <cell r="D3549" t="str">
            <v>Nguyễn Duy Phương</v>
          </cell>
          <cell r="AF3549" t="str">
            <v>XE00308</v>
          </cell>
          <cell r="AH3549">
            <v>8.2199999999999989</v>
          </cell>
          <cell r="AW3549" t="str">
            <v>Nguyễn Duy Phương18</v>
          </cell>
          <cell r="AX3549" t="str">
            <v>Hằng</v>
          </cell>
        </row>
        <row r="3550">
          <cell r="D3550" t="str">
            <v>Vũ Hoàng Long</v>
          </cell>
          <cell r="AF3550" t="str">
            <v>XE00312</v>
          </cell>
          <cell r="AH3550">
            <v>9.42</v>
          </cell>
          <cell r="AW3550" t="str">
            <v>Vũ Hoàng Long17</v>
          </cell>
          <cell r="AX3550" t="str">
            <v>Hằng</v>
          </cell>
        </row>
        <row r="3551">
          <cell r="D3551" t="str">
            <v>Vũ Hoàng Long</v>
          </cell>
          <cell r="AF3551" t="str">
            <v>XE00312</v>
          </cell>
          <cell r="AH3551">
            <v>9.82</v>
          </cell>
          <cell r="AW3551" t="str">
            <v>Vũ Hoàng Long18</v>
          </cell>
          <cell r="AX3551" t="str">
            <v>Hằng</v>
          </cell>
        </row>
        <row r="3552">
          <cell r="D3552" t="str">
            <v>Nguyễn Tuấn Trường</v>
          </cell>
          <cell r="AF3552" t="str">
            <v>XE00161</v>
          </cell>
          <cell r="AH3552">
            <v>9.42</v>
          </cell>
          <cell r="AW3552" t="str">
            <v>Nguyễn Tuấn Trường17</v>
          </cell>
          <cell r="AX3552" t="str">
            <v>Hằng</v>
          </cell>
        </row>
        <row r="3553">
          <cell r="D3553" t="str">
            <v>Nguyễn Tuấn Trường</v>
          </cell>
          <cell r="AF3553" t="str">
            <v>XE00161</v>
          </cell>
          <cell r="AH3553">
            <v>9.82</v>
          </cell>
          <cell r="AW3553" t="str">
            <v>Nguyễn Tuấn Trường18</v>
          </cell>
          <cell r="AX3553" t="str">
            <v>Hằng</v>
          </cell>
        </row>
        <row r="3554">
          <cell r="D3554" t="str">
            <v>Nguyễn Văn Thành</v>
          </cell>
          <cell r="AF3554" t="str">
            <v>XE01278</v>
          </cell>
          <cell r="AH3554">
            <v>9.42</v>
          </cell>
          <cell r="AW3554" t="str">
            <v>Nguyễn Văn Thành18</v>
          </cell>
          <cell r="AX3554" t="str">
            <v>Hằng</v>
          </cell>
        </row>
        <row r="3555">
          <cell r="D3555" t="str">
            <v>Nguyễn Văn Thành</v>
          </cell>
          <cell r="AF3555" t="str">
            <v>XE01278</v>
          </cell>
          <cell r="AH3555">
            <v>9.02</v>
          </cell>
          <cell r="AW3555" t="str">
            <v>Nguyễn Văn Thành19</v>
          </cell>
          <cell r="AX3555" t="str">
            <v>Hằng</v>
          </cell>
        </row>
        <row r="3556">
          <cell r="D3556" t="str">
            <v>Tống Văn Hậu</v>
          </cell>
          <cell r="AF3556" t="str">
            <v>XE01088</v>
          </cell>
          <cell r="AH3556">
            <v>7.24</v>
          </cell>
          <cell r="AW3556" t="str">
            <v>Tống Văn Hậu18</v>
          </cell>
          <cell r="AX3556" t="str">
            <v>Hằng</v>
          </cell>
        </row>
        <row r="3557">
          <cell r="D3557" t="str">
            <v>Tống Văn Hậu</v>
          </cell>
          <cell r="AF3557" t="str">
            <v>XE01088</v>
          </cell>
          <cell r="AH3557">
            <v>9.82</v>
          </cell>
          <cell r="AW3557" t="str">
            <v>Tống Văn Hậu19</v>
          </cell>
          <cell r="AX3557" t="str">
            <v>Hằng</v>
          </cell>
        </row>
        <row r="3558">
          <cell r="D3558" t="str">
            <v>Nguyễn Trung Hiếu</v>
          </cell>
          <cell r="AF3558" t="str">
            <v>XE00429</v>
          </cell>
          <cell r="AH3558">
            <v>9.02</v>
          </cell>
          <cell r="AW3558" t="str">
            <v>Nguyễn Trung Hiếu18</v>
          </cell>
          <cell r="AX3558" t="str">
            <v>Hằng</v>
          </cell>
        </row>
        <row r="3559">
          <cell r="D3559" t="str">
            <v>Lê Thanh Xuân</v>
          </cell>
          <cell r="AF3559" t="str">
            <v>XE01704</v>
          </cell>
          <cell r="AH3559">
            <v>9.42</v>
          </cell>
          <cell r="AW3559" t="str">
            <v>Lê Thanh Xuân17</v>
          </cell>
          <cell r="AX3559" t="str">
            <v>Hằng</v>
          </cell>
        </row>
        <row r="3560">
          <cell r="D3560" t="str">
            <v>Lại Thế Thư</v>
          </cell>
          <cell r="AF3560" t="str">
            <v>XE01286</v>
          </cell>
          <cell r="AH3560">
            <v>9.42</v>
          </cell>
          <cell r="AW3560" t="str">
            <v>Lại Thế Thư17</v>
          </cell>
          <cell r="AX3560" t="str">
            <v>Hằng</v>
          </cell>
        </row>
        <row r="3561">
          <cell r="D3561" t="str">
            <v>Lê Hùng Cường</v>
          </cell>
          <cell r="AF3561" t="str">
            <v>XE00188</v>
          </cell>
          <cell r="AH3561">
            <v>8.84</v>
          </cell>
          <cell r="AW3561" t="str">
            <v>Lê Hùng Cường17</v>
          </cell>
          <cell r="AX3561" t="str">
            <v>Hằng</v>
          </cell>
        </row>
        <row r="3562">
          <cell r="D3562" t="str">
            <v>Phan Thái Sơn</v>
          </cell>
          <cell r="AF3562" t="str">
            <v>XE00026</v>
          </cell>
          <cell r="AH3562">
            <v>8.84</v>
          </cell>
          <cell r="AW3562" t="str">
            <v>Phan Thái Sơn17</v>
          </cell>
          <cell r="AX3562" t="str">
            <v>Hằng</v>
          </cell>
        </row>
        <row r="3563">
          <cell r="D3563" t="str">
            <v>Nguyễn Quốc Thắng</v>
          </cell>
          <cell r="AF3563" t="str">
            <v>XE00495</v>
          </cell>
          <cell r="AH3563">
            <v>7.24</v>
          </cell>
          <cell r="AW3563" t="str">
            <v>Nguyễn Quốc Thắng17</v>
          </cell>
          <cell r="AX3563" t="str">
            <v>Hằng</v>
          </cell>
        </row>
        <row r="3564">
          <cell r="D3564" t="str">
            <v>Phạm Văn Thiêm</v>
          </cell>
          <cell r="AF3564" t="str">
            <v>XE01090</v>
          </cell>
          <cell r="AH3564">
            <v>9.82</v>
          </cell>
          <cell r="AW3564" t="str">
            <v>Phạm Văn Thiêm17</v>
          </cell>
          <cell r="AX3564" t="str">
            <v>Hằng</v>
          </cell>
        </row>
        <row r="3565">
          <cell r="D3565" t="str">
            <v>Trần Ngọc Dũng</v>
          </cell>
          <cell r="AF3565" t="str">
            <v>XE01011</v>
          </cell>
          <cell r="AH3565">
            <v>7.6400000000000006</v>
          </cell>
          <cell r="AW3565" t="str">
            <v>Trần Ngọc Dũng17</v>
          </cell>
          <cell r="AX3565" t="str">
            <v>Hằng</v>
          </cell>
        </row>
        <row r="3566">
          <cell r="D3566" t="str">
            <v>Trần Ngọc Dũng</v>
          </cell>
          <cell r="AF3566" t="str">
            <v>XE01011</v>
          </cell>
          <cell r="AH3566">
            <v>8.620000000000001</v>
          </cell>
          <cell r="AW3566" t="str">
            <v>Trần Ngọc Dũng18</v>
          </cell>
          <cell r="AX3566" t="str">
            <v>Hằng</v>
          </cell>
        </row>
        <row r="3567">
          <cell r="D3567" t="str">
            <v>Lò Văn Dương</v>
          </cell>
          <cell r="AF3567" t="str">
            <v>XE00913</v>
          </cell>
          <cell r="AH3567">
            <v>8.2200000000000006</v>
          </cell>
          <cell r="AW3567" t="str">
            <v>Lò Văn Dương17</v>
          </cell>
          <cell r="AX3567" t="str">
            <v>Hằng</v>
          </cell>
        </row>
        <row r="3568">
          <cell r="D3568" t="str">
            <v>Lò Văn Dương</v>
          </cell>
          <cell r="AF3568" t="str">
            <v>XE00913</v>
          </cell>
          <cell r="AH3568">
            <v>9.42</v>
          </cell>
          <cell r="AW3568" t="str">
            <v>Lò Văn Dương18</v>
          </cell>
          <cell r="AX3568" t="str">
            <v>Hằng</v>
          </cell>
        </row>
        <row r="3569">
          <cell r="D3569" t="str">
            <v>Lê Quang Minh</v>
          </cell>
          <cell r="AF3569" t="str">
            <v>XE01056</v>
          </cell>
          <cell r="AH3569">
            <v>9.82</v>
          </cell>
          <cell r="AW3569" t="str">
            <v>Lê Quang Minh9</v>
          </cell>
          <cell r="AX3569" t="str">
            <v>Hằng</v>
          </cell>
        </row>
        <row r="3570">
          <cell r="D3570" t="str">
            <v>Lê Quang Minh</v>
          </cell>
          <cell r="AF3570" t="str">
            <v>XE01056</v>
          </cell>
          <cell r="AH3570">
            <v>9.42</v>
          </cell>
          <cell r="AW3570" t="str">
            <v>Lê Quang Minh10</v>
          </cell>
          <cell r="AX3570" t="str">
            <v>Hằng</v>
          </cell>
        </row>
        <row r="3571">
          <cell r="D3571" t="str">
            <v>Đào Đức Liêm</v>
          </cell>
          <cell r="AF3571" t="str">
            <v>XE00397</v>
          </cell>
          <cell r="AH3571">
            <v>9.42</v>
          </cell>
          <cell r="AW3571" t="str">
            <v>Đào Đức Liêm17</v>
          </cell>
          <cell r="AX3571" t="str">
            <v>Hằng</v>
          </cell>
        </row>
        <row r="3572">
          <cell r="D3572" t="str">
            <v>Nguyễn Việt Cường</v>
          </cell>
          <cell r="AF3572" t="str">
            <v>XE00345</v>
          </cell>
          <cell r="AH3572">
            <v>9.82</v>
          </cell>
          <cell r="AW3572" t="str">
            <v>Nguyễn Việt Cường17</v>
          </cell>
          <cell r="AX3572" t="str">
            <v>Hằng</v>
          </cell>
        </row>
        <row r="3573">
          <cell r="D3573" t="str">
            <v>Nguyễn Thế Anh</v>
          </cell>
          <cell r="AF3573" t="str">
            <v>XE00383</v>
          </cell>
          <cell r="AH3573">
            <v>9.42</v>
          </cell>
          <cell r="AW3573" t="str">
            <v>Nguyễn Thế Anh17</v>
          </cell>
          <cell r="AX3573" t="str">
            <v>Hằng</v>
          </cell>
        </row>
        <row r="3574">
          <cell r="D3574" t="str">
            <v>Lê Minh Đức</v>
          </cell>
          <cell r="AF3574" t="str">
            <v>XE01688</v>
          </cell>
          <cell r="AH3574">
            <v>8.84</v>
          </cell>
          <cell r="AW3574" t="str">
            <v>Lê Minh Đức17</v>
          </cell>
          <cell r="AX3574" t="str">
            <v>Hằng</v>
          </cell>
        </row>
        <row r="3575">
          <cell r="D3575" t="str">
            <v>Nguyễn Văn Minh</v>
          </cell>
          <cell r="AF3575" t="str">
            <v>XE01570</v>
          </cell>
          <cell r="AH3575">
            <v>9.82</v>
          </cell>
          <cell r="AW3575" t="str">
            <v>Nguyễn Văn Minh17</v>
          </cell>
          <cell r="AX3575" t="str">
            <v>Hằng</v>
          </cell>
        </row>
        <row r="3576">
          <cell r="D3576" t="str">
            <v>Nguyễn Văn Minh</v>
          </cell>
          <cell r="AF3576" t="str">
            <v>XE01570</v>
          </cell>
          <cell r="AH3576">
            <v>9.82</v>
          </cell>
          <cell r="AW3576" t="str">
            <v>Nguyễn Văn Minh18</v>
          </cell>
          <cell r="AX3576" t="str">
            <v>Hằng</v>
          </cell>
        </row>
        <row r="3577">
          <cell r="D3577" t="str">
            <v>Nguyễn Mạnh Cường</v>
          </cell>
          <cell r="AF3577" t="str">
            <v>XE01699</v>
          </cell>
          <cell r="AH3577">
            <v>9.42</v>
          </cell>
          <cell r="AW3577" t="str">
            <v>Nguyễn Mạnh Cường18</v>
          </cell>
          <cell r="AX3577" t="str">
            <v>Hằng</v>
          </cell>
        </row>
        <row r="3578">
          <cell r="D3578" t="str">
            <v>Nguyễn Văn Võ</v>
          </cell>
          <cell r="AF3578" t="str">
            <v>XE01230</v>
          </cell>
          <cell r="AH3578">
            <v>9.42</v>
          </cell>
          <cell r="AW3578" t="str">
            <v>Nguyễn Văn Võ18</v>
          </cell>
          <cell r="AX3578" t="str">
            <v>Hằng</v>
          </cell>
        </row>
        <row r="3579">
          <cell r="D3579" t="str">
            <v>Nguyễn Văn Võ</v>
          </cell>
          <cell r="AF3579" t="str">
            <v>XE01230</v>
          </cell>
          <cell r="AH3579">
            <v>9.82</v>
          </cell>
          <cell r="AW3579" t="str">
            <v>Nguyễn Văn Võ19</v>
          </cell>
          <cell r="AX3579" t="str">
            <v>Hằng</v>
          </cell>
        </row>
        <row r="3580">
          <cell r="D3580" t="str">
            <v>Nguyễn Đức Tuấn</v>
          </cell>
          <cell r="AF3580" t="str">
            <v>XE00395</v>
          </cell>
          <cell r="AH3580">
            <v>9.42</v>
          </cell>
          <cell r="AW3580" t="str">
            <v>Nguyễn Đức Tuấn18</v>
          </cell>
          <cell r="AX3580" t="str">
            <v>Hằng</v>
          </cell>
        </row>
        <row r="3581">
          <cell r="D3581" t="str">
            <v>Nguyễn Đức Tuấn</v>
          </cell>
          <cell r="AF3581" t="str">
            <v>XE00395</v>
          </cell>
          <cell r="AH3581">
            <v>9.42</v>
          </cell>
          <cell r="AW3581" t="str">
            <v>Nguyễn Đức Tuấn19</v>
          </cell>
          <cell r="AX3581" t="str">
            <v>Hằng</v>
          </cell>
        </row>
        <row r="3582">
          <cell r="D3582" t="str">
            <v>Nguyễn Hùng Cường</v>
          </cell>
          <cell r="AF3582" t="str">
            <v>XE01333</v>
          </cell>
          <cell r="AH3582">
            <v>9.82</v>
          </cell>
          <cell r="AW3582" t="str">
            <v>Nguyễn Hùng Cường19</v>
          </cell>
          <cell r="AX3582" t="str">
            <v>Hằng</v>
          </cell>
        </row>
        <row r="3583">
          <cell r="D3583" t="str">
            <v>Nguyễn Minh Tuấn</v>
          </cell>
          <cell r="AF3583" t="str">
            <v>XE01562</v>
          </cell>
          <cell r="AH3583">
            <v>9.82</v>
          </cell>
          <cell r="AW3583" t="str">
            <v>Nguyễn Minh Tuấn19</v>
          </cell>
          <cell r="AX3583" t="str">
            <v>Hằng</v>
          </cell>
        </row>
        <row r="3584">
          <cell r="D3584" t="str">
            <v>Trần Văn Sơn</v>
          </cell>
          <cell r="AF3584" t="str">
            <v>XE01427</v>
          </cell>
          <cell r="AH3584">
            <v>9.82</v>
          </cell>
          <cell r="AW3584" t="str">
            <v>Trần Văn Sơn19</v>
          </cell>
          <cell r="AX3584" t="str">
            <v>Hằng</v>
          </cell>
        </row>
        <row r="3585">
          <cell r="D3585" t="str">
            <v>Lê Quang Thuỷ</v>
          </cell>
          <cell r="AF3585" t="str">
            <v>XE00557</v>
          </cell>
          <cell r="AH3585">
            <v>9.82</v>
          </cell>
          <cell r="AW3585" t="str">
            <v>Lê Quang Thuỷ19</v>
          </cell>
          <cell r="AX3585" t="str">
            <v>Hằng</v>
          </cell>
        </row>
        <row r="3586">
          <cell r="D3586" t="str">
            <v>Nguyễn Trung Hiếu</v>
          </cell>
          <cell r="AF3586" t="str">
            <v>XE00429</v>
          </cell>
          <cell r="AH3586">
            <v>9.42</v>
          </cell>
          <cell r="AW3586" t="str">
            <v>Nguyễn Trung Hiếu19</v>
          </cell>
          <cell r="AX3586" t="str">
            <v>Hằng</v>
          </cell>
        </row>
        <row r="3587">
          <cell r="D3587" t="str">
            <v>Phạm Công Khánh</v>
          </cell>
          <cell r="AF3587" t="str">
            <v>XE00386</v>
          </cell>
          <cell r="AH3587">
            <v>9.82</v>
          </cell>
          <cell r="AW3587" t="str">
            <v>Phạm Công Khánh19</v>
          </cell>
          <cell r="AX3587" t="str">
            <v>Hằng</v>
          </cell>
        </row>
        <row r="3588">
          <cell r="D3588" t="str">
            <v>Nguyễn Duy Phương</v>
          </cell>
          <cell r="AF3588" t="str">
            <v>XE00308</v>
          </cell>
          <cell r="AH3588">
            <v>9.02</v>
          </cell>
          <cell r="AW3588" t="str">
            <v>Nguyễn Duy Phương19</v>
          </cell>
          <cell r="AX3588" t="str">
            <v>Hằng</v>
          </cell>
        </row>
        <row r="3589">
          <cell r="D3589" t="str">
            <v>Vũ Hoàng Long</v>
          </cell>
          <cell r="AF3589" t="str">
            <v>XE00312</v>
          </cell>
          <cell r="AH3589">
            <v>9.42</v>
          </cell>
          <cell r="AW3589" t="str">
            <v>Vũ Hoàng Long19</v>
          </cell>
          <cell r="AX3589" t="str">
            <v>Hằng</v>
          </cell>
        </row>
        <row r="3590">
          <cell r="D3590" t="str">
            <v>Nguyễn Tuấn Trường</v>
          </cell>
          <cell r="AF3590" t="str">
            <v>XE00161</v>
          </cell>
          <cell r="AH3590">
            <v>9.82</v>
          </cell>
          <cell r="AW3590" t="str">
            <v>Nguyễn Tuấn Trường19</v>
          </cell>
          <cell r="AX3590" t="str">
            <v>Hằng</v>
          </cell>
        </row>
        <row r="3591">
          <cell r="D3591" t="str">
            <v>Nguyễn Văn Thành</v>
          </cell>
          <cell r="AF3591" t="str">
            <v>XE01278</v>
          </cell>
          <cell r="AH3591">
            <v>9.42</v>
          </cell>
          <cell r="AW3591" t="str">
            <v>Nguyễn Văn Thành20</v>
          </cell>
          <cell r="AX3591" t="str">
            <v>Hằng</v>
          </cell>
        </row>
        <row r="3592">
          <cell r="D3592" t="str">
            <v>Tống Văn Hậu</v>
          </cell>
          <cell r="AF3592" t="str">
            <v>XE01088</v>
          </cell>
          <cell r="AH3592">
            <v>9.42</v>
          </cell>
          <cell r="AW3592" t="str">
            <v>Tống Văn Hậu20</v>
          </cell>
          <cell r="AX3592" t="str">
            <v>Hằng</v>
          </cell>
        </row>
        <row r="3593">
          <cell r="D3593" t="str">
            <v>Nguyễn Quang Thanh</v>
          </cell>
          <cell r="AF3593" t="str">
            <v>XE01601</v>
          </cell>
          <cell r="AH3593">
            <v>9.02</v>
          </cell>
          <cell r="AW3593" t="str">
            <v>Nguyễn Quang Thanh13</v>
          </cell>
          <cell r="AX3593" t="str">
            <v>Hằng</v>
          </cell>
        </row>
        <row r="3594">
          <cell r="D3594" t="str">
            <v>Nguyễn Quang Thanh</v>
          </cell>
          <cell r="AF3594" t="str">
            <v>XE01601</v>
          </cell>
          <cell r="AH3594">
            <v>9.82</v>
          </cell>
          <cell r="AW3594" t="str">
            <v>Nguyễn Quang Thanh14</v>
          </cell>
          <cell r="AX3594" t="str">
            <v>Hằng</v>
          </cell>
        </row>
        <row r="3595">
          <cell r="D3595" t="str">
            <v>Nguyễn Quang Thanh</v>
          </cell>
          <cell r="AF3595" t="str">
            <v>XE01601</v>
          </cell>
          <cell r="AH3595">
            <v>9.82</v>
          </cell>
          <cell r="AW3595" t="str">
            <v>Nguyễn Quang Thanh15</v>
          </cell>
          <cell r="AX3595" t="str">
            <v>Hằng</v>
          </cell>
        </row>
        <row r="3596">
          <cell r="D3596" t="str">
            <v>Lê Quang Minh</v>
          </cell>
          <cell r="AF3596" t="str">
            <v>XE01056</v>
          </cell>
          <cell r="AH3596">
            <v>9.42</v>
          </cell>
          <cell r="AW3596" t="str">
            <v>Lê Quang Minh11</v>
          </cell>
          <cell r="AX3596" t="str">
            <v>Hằng</v>
          </cell>
        </row>
        <row r="3597">
          <cell r="D3597" t="str">
            <v>Lại Thế Thư</v>
          </cell>
          <cell r="AF3597" t="str">
            <v>XE01286</v>
          </cell>
          <cell r="AH3597">
            <v>9.82</v>
          </cell>
          <cell r="AW3597" t="str">
            <v>Lại Thế Thư18</v>
          </cell>
          <cell r="AX3597" t="str">
            <v>Hằng</v>
          </cell>
        </row>
        <row r="3598">
          <cell r="D3598" t="str">
            <v>Lại Thế Thư</v>
          </cell>
          <cell r="AF3598" t="str">
            <v>XE01286</v>
          </cell>
          <cell r="AH3598">
            <v>9.42</v>
          </cell>
          <cell r="AW3598" t="str">
            <v>Lại Thế Thư19</v>
          </cell>
          <cell r="AX3598" t="str">
            <v>Hằng</v>
          </cell>
        </row>
        <row r="3599">
          <cell r="D3599" t="str">
            <v>Lê Hùng Cường</v>
          </cell>
          <cell r="AF3599" t="str">
            <v>XE00188</v>
          </cell>
          <cell r="AH3599">
            <v>8.620000000000001</v>
          </cell>
          <cell r="AW3599" t="str">
            <v>Lê Hùng Cường18</v>
          </cell>
          <cell r="AX3599" t="str">
            <v>Hằng</v>
          </cell>
        </row>
        <row r="3600">
          <cell r="D3600" t="str">
            <v>Lê Hùng Cường</v>
          </cell>
          <cell r="AF3600" t="str">
            <v>XE00188</v>
          </cell>
          <cell r="AH3600">
            <v>9.24</v>
          </cell>
          <cell r="AW3600" t="str">
            <v>Lê Hùng Cường19</v>
          </cell>
          <cell r="AX3600" t="str">
            <v>Hằng</v>
          </cell>
        </row>
        <row r="3601">
          <cell r="D3601" t="str">
            <v>Phan Thái Sơn</v>
          </cell>
          <cell r="AF3601" t="str">
            <v>XE00026</v>
          </cell>
          <cell r="AH3601">
            <v>9.82</v>
          </cell>
          <cell r="AW3601" t="str">
            <v>Phan Thái Sơn18</v>
          </cell>
          <cell r="AX3601" t="str">
            <v>Hằng</v>
          </cell>
        </row>
        <row r="3602">
          <cell r="D3602" t="str">
            <v>Phan Thái Sơn</v>
          </cell>
          <cell r="AF3602" t="str">
            <v>XE00026</v>
          </cell>
          <cell r="AH3602">
            <v>9.82</v>
          </cell>
          <cell r="AW3602" t="str">
            <v>Phan Thái Sơn19</v>
          </cell>
          <cell r="AX3602" t="str">
            <v>Hằng</v>
          </cell>
        </row>
        <row r="3603">
          <cell r="D3603" t="str">
            <v>Phạm Văn Thiêm</v>
          </cell>
          <cell r="AF3603" t="str">
            <v>XE01090</v>
          </cell>
          <cell r="AH3603">
            <v>9.42</v>
          </cell>
          <cell r="AW3603" t="str">
            <v>Phạm Văn Thiêm18</v>
          </cell>
          <cell r="AX3603" t="str">
            <v>Hằng</v>
          </cell>
        </row>
        <row r="3604">
          <cell r="D3604" t="str">
            <v>Phạm Văn Thiêm</v>
          </cell>
          <cell r="AF3604" t="str">
            <v>XE01090</v>
          </cell>
          <cell r="AH3604">
            <v>9.42</v>
          </cell>
          <cell r="AW3604" t="str">
            <v>Phạm Văn Thiêm19</v>
          </cell>
          <cell r="AX3604" t="str">
            <v>Hằng</v>
          </cell>
        </row>
        <row r="3605">
          <cell r="D3605" t="str">
            <v>Đào Đức Liêm</v>
          </cell>
          <cell r="AF3605" t="str">
            <v>XE00397</v>
          </cell>
          <cell r="AH3605">
            <v>8.84</v>
          </cell>
          <cell r="AW3605" t="str">
            <v>Đào Đức Liêm18</v>
          </cell>
          <cell r="AX3605" t="str">
            <v>Hằng</v>
          </cell>
        </row>
        <row r="3606">
          <cell r="D3606" t="str">
            <v>Đào Đức Liêm</v>
          </cell>
          <cell r="AF3606" t="str">
            <v>XE00397</v>
          </cell>
          <cell r="AH3606">
            <v>9.42</v>
          </cell>
          <cell r="AW3606" t="str">
            <v>Đào Đức Liêm19</v>
          </cell>
          <cell r="AX3606" t="str">
            <v>Hằng</v>
          </cell>
        </row>
        <row r="3607">
          <cell r="D3607" t="str">
            <v>Nguyễn Việt Cường</v>
          </cell>
          <cell r="AF3607" t="str">
            <v>XE00345</v>
          </cell>
          <cell r="AH3607">
            <v>9.82</v>
          </cell>
          <cell r="AW3607" t="str">
            <v>Nguyễn Việt Cường18</v>
          </cell>
          <cell r="AX3607" t="str">
            <v>Hằng</v>
          </cell>
        </row>
        <row r="3608">
          <cell r="D3608" t="str">
            <v>Nguyễn Việt Cường</v>
          </cell>
          <cell r="AF3608" t="str">
            <v>XE00345</v>
          </cell>
          <cell r="AH3608">
            <v>9.42</v>
          </cell>
          <cell r="AW3608" t="str">
            <v>Nguyễn Việt Cường19</v>
          </cell>
          <cell r="AX3608" t="str">
            <v>Hằng</v>
          </cell>
        </row>
        <row r="3609">
          <cell r="D3609" t="str">
            <v>Trần Ngọc Dũng</v>
          </cell>
          <cell r="AF3609" t="str">
            <v>XE01011</v>
          </cell>
          <cell r="AH3609">
            <v>8.2200000000000006</v>
          </cell>
          <cell r="AW3609" t="str">
            <v>Trần Ngọc Dũng19</v>
          </cell>
          <cell r="AX3609" t="str">
            <v>Hằng</v>
          </cell>
        </row>
        <row r="3610">
          <cell r="D3610" t="str">
            <v>Trần Ngọc Dũng</v>
          </cell>
          <cell r="AF3610" t="str">
            <v>XE01011</v>
          </cell>
          <cell r="AH3610">
            <v>9.82</v>
          </cell>
          <cell r="AW3610" t="str">
            <v>Trần Ngọc Dũng20</v>
          </cell>
          <cell r="AX3610" t="str">
            <v>Hằng</v>
          </cell>
        </row>
        <row r="3611">
          <cell r="D3611" t="str">
            <v>Lò Văn Dương</v>
          </cell>
          <cell r="AF3611" t="str">
            <v>XE00913</v>
          </cell>
          <cell r="AH3611">
            <v>9.82</v>
          </cell>
          <cell r="AW3611" t="str">
            <v>Lò Văn Dương19</v>
          </cell>
          <cell r="AX3611" t="str">
            <v>Hằng</v>
          </cell>
        </row>
        <row r="3612">
          <cell r="D3612" t="str">
            <v>Lò Văn Dương</v>
          </cell>
          <cell r="AF3612" t="str">
            <v>XE00913</v>
          </cell>
          <cell r="AH3612">
            <v>9.82</v>
          </cell>
          <cell r="AW3612" t="str">
            <v>Lò Văn Dương20</v>
          </cell>
          <cell r="AX3612" t="str">
            <v>Hằng</v>
          </cell>
        </row>
        <row r="3613">
          <cell r="D3613" t="str">
            <v>Nguyễn Thế Anh</v>
          </cell>
          <cell r="AF3613" t="str">
            <v>XE00383</v>
          </cell>
          <cell r="AH3613">
            <v>9.82</v>
          </cell>
          <cell r="AW3613" t="str">
            <v>Nguyễn Thế Anh18</v>
          </cell>
          <cell r="AX3613" t="str">
            <v>Hằng</v>
          </cell>
        </row>
        <row r="3614">
          <cell r="D3614" t="str">
            <v>Nguyễn Thế Anh</v>
          </cell>
          <cell r="AF3614" t="str">
            <v>XE00383</v>
          </cell>
          <cell r="AH3614">
            <v>9.82</v>
          </cell>
          <cell r="AW3614" t="str">
            <v>Nguyễn Thế Anh19</v>
          </cell>
          <cell r="AX3614" t="str">
            <v>Hằng</v>
          </cell>
        </row>
        <row r="3615">
          <cell r="D3615" t="str">
            <v>Nguyễn Văn Minh</v>
          </cell>
          <cell r="AF3615" t="str">
            <v>XE01570</v>
          </cell>
          <cell r="AH3615">
            <v>9.82</v>
          </cell>
          <cell r="AW3615" t="str">
            <v>Nguyễn Văn Minh19</v>
          </cell>
          <cell r="AX3615" t="str">
            <v>Hằng</v>
          </cell>
        </row>
        <row r="3616">
          <cell r="D3616" t="str">
            <v>Nguyễn Hùng Cường</v>
          </cell>
          <cell r="AF3616" t="str">
            <v>XE01333</v>
          </cell>
          <cell r="AH3616">
            <v>9.82</v>
          </cell>
          <cell r="AW3616" t="str">
            <v>Nguyễn Hùng Cường20</v>
          </cell>
          <cell r="AX3616" t="str">
            <v>Hằng</v>
          </cell>
        </row>
        <row r="3617">
          <cell r="D3617" t="str">
            <v>Trần Văn Sơn</v>
          </cell>
          <cell r="AF3617" t="str">
            <v>XE01427</v>
          </cell>
          <cell r="AH3617">
            <v>9.82</v>
          </cell>
          <cell r="AW3617" t="str">
            <v>Trần Văn Sơn20</v>
          </cell>
          <cell r="AX3617" t="str">
            <v>Hằng</v>
          </cell>
        </row>
        <row r="3618">
          <cell r="D3618" t="str">
            <v>Nguyễn Tuấn Trường</v>
          </cell>
          <cell r="AF3618" t="str">
            <v>XE00161</v>
          </cell>
          <cell r="AH3618">
            <v>9.42</v>
          </cell>
          <cell r="AW3618" t="str">
            <v>Nguyễn Tuấn Trường20</v>
          </cell>
          <cell r="AX3618" t="str">
            <v>Hằng</v>
          </cell>
        </row>
        <row r="3619">
          <cell r="D3619" t="str">
            <v>Nguyễn Văn Thành</v>
          </cell>
          <cell r="AF3619" t="str">
            <v>XE01278</v>
          </cell>
          <cell r="AH3619">
            <v>9.42</v>
          </cell>
          <cell r="AW3619" t="str">
            <v>Nguyễn Văn Thành21</v>
          </cell>
          <cell r="AX3619" t="str">
            <v>Hằng</v>
          </cell>
        </row>
        <row r="3620">
          <cell r="D3620" t="str">
            <v>Trần Quốc Toàn</v>
          </cell>
          <cell r="AF3620" t="str">
            <v>XE00901</v>
          </cell>
          <cell r="AH3620">
            <v>9.42</v>
          </cell>
          <cell r="AW3620" t="str">
            <v>Trần Quốc Toàn17</v>
          </cell>
          <cell r="AX3620" t="str">
            <v>Hằng</v>
          </cell>
        </row>
        <row r="3621">
          <cell r="D3621" t="str">
            <v>Trần Quốc Toàn</v>
          </cell>
          <cell r="AF3621" t="str">
            <v>XE00901</v>
          </cell>
          <cell r="AH3621">
            <v>9.02</v>
          </cell>
          <cell r="AW3621" t="str">
            <v>Trần Quốc Toàn18</v>
          </cell>
          <cell r="AX3621" t="str">
            <v>Hằng</v>
          </cell>
        </row>
        <row r="3622">
          <cell r="D3622" t="str">
            <v>Dương Anh Đức</v>
          </cell>
          <cell r="AF3622" t="str">
            <v>XE01441</v>
          </cell>
          <cell r="AH3622">
            <v>9.42</v>
          </cell>
          <cell r="AW3622" t="str">
            <v>Dương Anh Đức17</v>
          </cell>
          <cell r="AX3622" t="str">
            <v>Hằng</v>
          </cell>
        </row>
        <row r="3623">
          <cell r="D3623" t="str">
            <v>Dương Anh Đức</v>
          </cell>
          <cell r="AF3623" t="str">
            <v>XE01441</v>
          </cell>
          <cell r="AH3623">
            <v>9.42</v>
          </cell>
          <cell r="AW3623" t="str">
            <v>Dương Anh Đức18</v>
          </cell>
          <cell r="AX3623" t="str">
            <v>Hằng</v>
          </cell>
        </row>
        <row r="3624">
          <cell r="D3624" t="str">
            <v>Nguyễn Minh Tuấn</v>
          </cell>
          <cell r="AF3624" t="str">
            <v>XE01562</v>
          </cell>
          <cell r="AH3624">
            <v>7.82</v>
          </cell>
          <cell r="AW3624" t="str">
            <v>Nguyễn Minh Tuấn20</v>
          </cell>
          <cell r="AX3624" t="str">
            <v>Hằng</v>
          </cell>
        </row>
        <row r="3625">
          <cell r="D3625" t="str">
            <v>Nguyễn Minh Tuấn</v>
          </cell>
          <cell r="AF3625" t="str">
            <v>XE01562</v>
          </cell>
          <cell r="AH3625">
            <v>8.84</v>
          </cell>
          <cell r="AW3625" t="str">
            <v>Nguyễn Minh Tuấn21</v>
          </cell>
          <cell r="AX3625" t="str">
            <v>Hằng</v>
          </cell>
        </row>
        <row r="3626">
          <cell r="D3626" t="str">
            <v>Nguyễn Văn Võ</v>
          </cell>
          <cell r="AF3626" t="str">
            <v>XE01230</v>
          </cell>
          <cell r="AH3626">
            <v>9.42</v>
          </cell>
          <cell r="AW3626" t="str">
            <v>Nguyễn Văn Võ20</v>
          </cell>
          <cell r="AX3626" t="str">
            <v>Hằng</v>
          </cell>
        </row>
        <row r="3627">
          <cell r="D3627" t="str">
            <v>Nguyễn Văn Võ</v>
          </cell>
          <cell r="AF3627" t="str">
            <v>XE01230</v>
          </cell>
          <cell r="AH3627">
            <v>9.82</v>
          </cell>
          <cell r="AW3627" t="str">
            <v>Nguyễn Văn Võ21</v>
          </cell>
          <cell r="AX3627" t="str">
            <v>Hằng</v>
          </cell>
        </row>
        <row r="3628">
          <cell r="D3628" t="str">
            <v>Nguyễn Đức Tuấn</v>
          </cell>
          <cell r="AF3628" t="str">
            <v>XE00395</v>
          </cell>
          <cell r="AH3628">
            <v>9.82</v>
          </cell>
          <cell r="AW3628" t="str">
            <v>Nguyễn Đức Tuấn20</v>
          </cell>
          <cell r="AX3628" t="str">
            <v>Hằng</v>
          </cell>
        </row>
        <row r="3629">
          <cell r="D3629" t="str">
            <v>Nguyễn Đức Tuấn</v>
          </cell>
          <cell r="AF3629" t="str">
            <v>XE00395</v>
          </cell>
          <cell r="AH3629">
            <v>9.02</v>
          </cell>
          <cell r="AW3629" t="str">
            <v>Nguyễn Đức Tuấn21</v>
          </cell>
          <cell r="AX3629" t="str">
            <v>Hằng</v>
          </cell>
        </row>
        <row r="3630">
          <cell r="D3630" t="str">
            <v>Lê Quang Thuỷ</v>
          </cell>
          <cell r="AF3630" t="str">
            <v>XE00557</v>
          </cell>
          <cell r="AH3630">
            <v>9.42</v>
          </cell>
          <cell r="AW3630" t="str">
            <v>Lê Quang Thuỷ20</v>
          </cell>
          <cell r="AX3630" t="str">
            <v>Hằng</v>
          </cell>
        </row>
        <row r="3631">
          <cell r="D3631" t="str">
            <v>Lê Quang Thuỷ</v>
          </cell>
          <cell r="AF3631" t="str">
            <v>XE00557</v>
          </cell>
          <cell r="AH3631">
            <v>9.42</v>
          </cell>
          <cell r="AW3631" t="str">
            <v>Lê Quang Thuỷ21</v>
          </cell>
          <cell r="AX3631" t="str">
            <v>Hằng</v>
          </cell>
        </row>
        <row r="3632">
          <cell r="D3632" t="str">
            <v>Nguyễn Trung Hiếu</v>
          </cell>
          <cell r="AF3632" t="str">
            <v>XE00429</v>
          </cell>
          <cell r="AH3632">
            <v>9.42</v>
          </cell>
          <cell r="AW3632" t="str">
            <v>Nguyễn Trung Hiếu20</v>
          </cell>
          <cell r="AX3632" t="str">
            <v>Hằng</v>
          </cell>
        </row>
        <row r="3633">
          <cell r="D3633" t="str">
            <v>Phạm Công Khánh</v>
          </cell>
          <cell r="AF3633" t="str">
            <v>XE00386</v>
          </cell>
          <cell r="AH3633">
            <v>9.42</v>
          </cell>
          <cell r="AW3633" t="str">
            <v>Phạm Công Khánh20</v>
          </cell>
          <cell r="AX3633" t="str">
            <v>Hằng</v>
          </cell>
        </row>
        <row r="3634">
          <cell r="D3634" t="str">
            <v>Nguyễn Duy Phương</v>
          </cell>
          <cell r="AF3634" t="str">
            <v>XE00308</v>
          </cell>
          <cell r="AH3634">
            <v>9.42</v>
          </cell>
          <cell r="AW3634" t="str">
            <v>Nguyễn Duy Phương20</v>
          </cell>
          <cell r="AX3634" t="str">
            <v>Hằng</v>
          </cell>
        </row>
        <row r="3635">
          <cell r="D3635" t="str">
            <v>Vũ Hoàng Long</v>
          </cell>
          <cell r="AF3635" t="str">
            <v>XE00312</v>
          </cell>
          <cell r="AH3635">
            <v>9.82</v>
          </cell>
          <cell r="AW3635" t="str">
            <v>Vũ Hoàng Long20</v>
          </cell>
          <cell r="AX3635" t="str">
            <v>Hằng</v>
          </cell>
        </row>
        <row r="3636">
          <cell r="D3636" t="str">
            <v>Nguyễn Hùng Cường</v>
          </cell>
          <cell r="AF3636" t="str">
            <v>XE01333</v>
          </cell>
          <cell r="AH3636">
            <v>8.6199999999999992</v>
          </cell>
          <cell r="AW3636" t="str">
            <v>Nguyễn Hùng Cường21</v>
          </cell>
          <cell r="AX3636" t="str">
            <v>Hằng</v>
          </cell>
        </row>
        <row r="3637">
          <cell r="D3637" t="str">
            <v>Trần Văn Sơn</v>
          </cell>
          <cell r="AF3637" t="str">
            <v>XE01427</v>
          </cell>
          <cell r="AH3637">
            <v>9.82</v>
          </cell>
          <cell r="AW3637" t="str">
            <v>Trần Văn Sơn21</v>
          </cell>
          <cell r="AX3637" t="str">
            <v>Hằng</v>
          </cell>
        </row>
        <row r="3638">
          <cell r="D3638" t="str">
            <v>Nguyễn Tuấn Trường</v>
          </cell>
          <cell r="AF3638" t="str">
            <v>XE00161</v>
          </cell>
          <cell r="AH3638">
            <v>9.82</v>
          </cell>
          <cell r="AW3638" t="str">
            <v>Nguyễn Tuấn Trường21</v>
          </cell>
          <cell r="AX3638" t="str">
            <v>Hằng</v>
          </cell>
        </row>
        <row r="3639">
          <cell r="D3639" t="str">
            <v>Nguyễn Văn Thành</v>
          </cell>
          <cell r="AF3639" t="str">
            <v>XE01278</v>
          </cell>
          <cell r="AH3639">
            <v>9.42</v>
          </cell>
          <cell r="AW3639" t="str">
            <v>Nguyễn Văn Thành22</v>
          </cell>
          <cell r="AX3639" t="str">
            <v>Hằng</v>
          </cell>
        </row>
        <row r="3640">
          <cell r="D3640" t="str">
            <v>Lê Quang Minh</v>
          </cell>
          <cell r="AF3640" t="str">
            <v>XE01056</v>
          </cell>
          <cell r="AH3640">
            <v>9.82</v>
          </cell>
          <cell r="AW3640" t="str">
            <v>Lê Quang Minh12</v>
          </cell>
          <cell r="AX3640" t="str">
            <v>Hằng</v>
          </cell>
        </row>
        <row r="3641">
          <cell r="D3641" t="str">
            <v>Lê Quang Minh</v>
          </cell>
          <cell r="AF3641" t="str">
            <v>XE01056</v>
          </cell>
          <cell r="AH3641">
            <v>7.6400000000000006</v>
          </cell>
          <cell r="AW3641" t="str">
            <v>Lê Quang Minh13</v>
          </cell>
          <cell r="AX3641" t="str">
            <v>Hằng</v>
          </cell>
        </row>
        <row r="3642">
          <cell r="D3642" t="str">
            <v>Nguyễn Quang Thanh</v>
          </cell>
          <cell r="AF3642" t="str">
            <v>XE01601</v>
          </cell>
          <cell r="AH3642">
            <v>9.82</v>
          </cell>
          <cell r="AW3642" t="str">
            <v>Nguyễn Quang Thanh16</v>
          </cell>
          <cell r="AX3642" t="str">
            <v>Hằng</v>
          </cell>
        </row>
        <row r="3643">
          <cell r="D3643" t="str">
            <v>Nguyễn Quang Thanh</v>
          </cell>
          <cell r="AF3643" t="str">
            <v>XE01601</v>
          </cell>
          <cell r="AH3643">
            <v>9.42</v>
          </cell>
          <cell r="AW3643" t="str">
            <v>Nguyễn Quang Thanh17</v>
          </cell>
          <cell r="AX3643" t="str">
            <v>Hằng</v>
          </cell>
        </row>
        <row r="3644">
          <cell r="D3644" t="str">
            <v>Nguyễn Quang Thanh</v>
          </cell>
          <cell r="AF3644" t="str">
            <v>XE01601</v>
          </cell>
          <cell r="AH3644">
            <v>9.82</v>
          </cell>
          <cell r="AW3644" t="str">
            <v>Nguyễn Quang Thanh18</v>
          </cell>
          <cell r="AX3644" t="str">
            <v>Hằng</v>
          </cell>
        </row>
        <row r="3645">
          <cell r="D3645" t="str">
            <v>Nguyễn Thiên Mạnh</v>
          </cell>
          <cell r="AF3645" t="str">
            <v>XE01182</v>
          </cell>
          <cell r="AH3645">
            <v>9.82</v>
          </cell>
          <cell r="AW3645" t="str">
            <v>Nguyễn Thiên Mạnh17</v>
          </cell>
          <cell r="AX3645" t="str">
            <v>Hằng</v>
          </cell>
        </row>
        <row r="3646">
          <cell r="D3646" t="str">
            <v>Nguyễn Thiên Mạnh</v>
          </cell>
          <cell r="AF3646" t="str">
            <v>XE01182</v>
          </cell>
          <cell r="AH3646">
            <v>9.42</v>
          </cell>
          <cell r="AW3646" t="str">
            <v>Nguyễn Thiên Mạnh18</v>
          </cell>
          <cell r="AX3646" t="str">
            <v>Hằng</v>
          </cell>
        </row>
        <row r="3647">
          <cell r="D3647" t="str">
            <v>Đào Duy Nhất</v>
          </cell>
          <cell r="AF3647" t="str">
            <v>XE01062</v>
          </cell>
          <cell r="AH3647">
            <v>9.42</v>
          </cell>
          <cell r="AW3647" t="str">
            <v>Đào Duy Nhất18</v>
          </cell>
          <cell r="AX3647" t="str">
            <v>Hằng</v>
          </cell>
        </row>
        <row r="3648">
          <cell r="D3648" t="str">
            <v>Đào Duy Nhất</v>
          </cell>
          <cell r="AF3648" t="str">
            <v>XE01062</v>
          </cell>
          <cell r="AH3648">
            <v>9.82</v>
          </cell>
          <cell r="AW3648" t="str">
            <v>Đào Duy Nhất17</v>
          </cell>
          <cell r="AX3648" t="str">
            <v>Hằng</v>
          </cell>
        </row>
        <row r="3649">
          <cell r="D3649" t="str">
            <v>Nguyễn Quốc Thắng</v>
          </cell>
          <cell r="AF3649" t="str">
            <v>XE00495</v>
          </cell>
          <cell r="AH3649">
            <v>9.82</v>
          </cell>
          <cell r="AW3649" t="str">
            <v>Nguyễn Quốc Thắng18</v>
          </cell>
          <cell r="AX3649" t="str">
            <v>Hằng</v>
          </cell>
        </row>
        <row r="3650">
          <cell r="D3650" t="str">
            <v>Nguyễn Quốc Thắng</v>
          </cell>
          <cell r="AF3650" t="str">
            <v>XE00495</v>
          </cell>
          <cell r="AH3650">
            <v>9.82</v>
          </cell>
          <cell r="AW3650" t="str">
            <v>Nguyễn Quốc Thắng19</v>
          </cell>
          <cell r="AX3650" t="str">
            <v>Hằng</v>
          </cell>
        </row>
        <row r="3651">
          <cell r="D3651" t="str">
            <v>Lại Thế Thư</v>
          </cell>
          <cell r="AF3651" t="str">
            <v>XE01286</v>
          </cell>
          <cell r="AH3651">
            <v>9.42</v>
          </cell>
          <cell r="AW3651" t="str">
            <v>Lại Thế Thư20</v>
          </cell>
          <cell r="AX3651" t="str">
            <v>Hằng</v>
          </cell>
        </row>
        <row r="3652">
          <cell r="D3652" t="str">
            <v>Lê Hùng Cường</v>
          </cell>
          <cell r="AF3652" t="str">
            <v>XE00188</v>
          </cell>
          <cell r="AH3652">
            <v>9.02</v>
          </cell>
          <cell r="AW3652" t="str">
            <v>Lê Hùng Cường20</v>
          </cell>
          <cell r="AX3652" t="str">
            <v>Hằng</v>
          </cell>
        </row>
        <row r="3653">
          <cell r="D3653" t="str">
            <v>Phan Thái Sơn</v>
          </cell>
          <cell r="AF3653" t="str">
            <v>XE00026</v>
          </cell>
          <cell r="AH3653">
            <v>9.82</v>
          </cell>
          <cell r="AW3653" t="str">
            <v>Phan Thái Sơn20</v>
          </cell>
          <cell r="AX3653" t="str">
            <v>Hằng</v>
          </cell>
        </row>
        <row r="3654">
          <cell r="D3654" t="str">
            <v>Đào Đức Liêm</v>
          </cell>
          <cell r="AF3654" t="str">
            <v>XE00397</v>
          </cell>
          <cell r="AH3654">
            <v>8.6199999999999992</v>
          </cell>
          <cell r="AW3654" t="str">
            <v>Đào Đức Liêm20</v>
          </cell>
          <cell r="AX3654" t="str">
            <v>Hằng</v>
          </cell>
        </row>
        <row r="3655">
          <cell r="D3655" t="str">
            <v>Nguyễn Việt Cường</v>
          </cell>
          <cell r="AF3655" t="str">
            <v>XE00345</v>
          </cell>
          <cell r="AH3655">
            <v>9.42</v>
          </cell>
          <cell r="AW3655" t="str">
            <v>Nguyễn Việt Cường20</v>
          </cell>
          <cell r="AX3655" t="str">
            <v>Hằng</v>
          </cell>
        </row>
        <row r="3656">
          <cell r="D3656" t="str">
            <v>Trần Ngọc Dũng</v>
          </cell>
          <cell r="AF3656" t="str">
            <v>XE01011</v>
          </cell>
          <cell r="AH3656">
            <v>9.42</v>
          </cell>
          <cell r="AW3656" t="str">
            <v>Trần Ngọc Dũng21</v>
          </cell>
          <cell r="AX3656" t="str">
            <v>Hằng</v>
          </cell>
        </row>
        <row r="3657">
          <cell r="D3657" t="str">
            <v>Lò Văn Dương</v>
          </cell>
          <cell r="AF3657" t="str">
            <v>XE00913</v>
          </cell>
          <cell r="AH3657">
            <v>9.02</v>
          </cell>
          <cell r="AW3657" t="str">
            <v>Lò Văn Dương21</v>
          </cell>
          <cell r="AX3657" t="str">
            <v>Hằng</v>
          </cell>
        </row>
        <row r="3658">
          <cell r="D3658" t="str">
            <v>Nguyễn Văn Minh</v>
          </cell>
          <cell r="AF3658" t="str">
            <v>XE01570</v>
          </cell>
          <cell r="AH3658">
            <v>9.42</v>
          </cell>
          <cell r="AW3658" t="str">
            <v>Nguyễn Văn Minh20</v>
          </cell>
          <cell r="AX3658" t="str">
            <v>Hằng</v>
          </cell>
        </row>
        <row r="3659">
          <cell r="D3659" t="str">
            <v>Nguyễn Văn Minh</v>
          </cell>
          <cell r="AF3659" t="str">
            <v>XE01570</v>
          </cell>
          <cell r="AH3659">
            <v>9.82</v>
          </cell>
          <cell r="AW3659" t="str">
            <v>Nguyễn Văn Minh21</v>
          </cell>
          <cell r="AX3659" t="str">
            <v>Hằng</v>
          </cell>
        </row>
        <row r="3660">
          <cell r="D3660" t="str">
            <v>Lê Tuấn Linh</v>
          </cell>
          <cell r="AF3660" t="str">
            <v>XE00869</v>
          </cell>
          <cell r="AH3660">
            <v>9.24</v>
          </cell>
          <cell r="AW3660" t="str">
            <v>Lê Tuấn Linh17</v>
          </cell>
          <cell r="AX3660" t="str">
            <v>Hằng</v>
          </cell>
        </row>
        <row r="3661">
          <cell r="D3661" t="str">
            <v>Lê Tuấn Linh</v>
          </cell>
          <cell r="AF3661" t="str">
            <v>XE00869</v>
          </cell>
          <cell r="AH3661">
            <v>9.42</v>
          </cell>
          <cell r="AW3661" t="str">
            <v>Lê Tuấn Linh18</v>
          </cell>
          <cell r="AX3661" t="str">
            <v>Hằng</v>
          </cell>
        </row>
        <row r="3662">
          <cell r="D3662" t="str">
            <v>Trần Quốc Toàn</v>
          </cell>
          <cell r="AF3662" t="str">
            <v>XE00901</v>
          </cell>
          <cell r="AH3662">
            <v>9.82</v>
          </cell>
          <cell r="AW3662" t="str">
            <v>Trần Quốc Toàn19</v>
          </cell>
          <cell r="AX3662" t="str">
            <v>Hằng</v>
          </cell>
        </row>
        <row r="3663">
          <cell r="D3663" t="str">
            <v>Trần Quốc Toàn</v>
          </cell>
          <cell r="AF3663" t="str">
            <v>XE00901</v>
          </cell>
          <cell r="AH3663">
            <v>9.42</v>
          </cell>
          <cell r="AW3663" t="str">
            <v>Trần Quốc Toàn20</v>
          </cell>
          <cell r="AX3663" t="str">
            <v>Hằng</v>
          </cell>
        </row>
        <row r="3664">
          <cell r="D3664" t="str">
            <v>Dương Anh Đức</v>
          </cell>
          <cell r="AF3664" t="str">
            <v>XE01441</v>
          </cell>
          <cell r="AH3664">
            <v>9.42</v>
          </cell>
          <cell r="AW3664" t="str">
            <v>Dương Anh Đức19</v>
          </cell>
          <cell r="AX3664" t="str">
            <v>Hằng</v>
          </cell>
        </row>
        <row r="3665">
          <cell r="D3665" t="str">
            <v>Dương Anh Đức</v>
          </cell>
          <cell r="AF3665" t="str">
            <v>XE01441</v>
          </cell>
          <cell r="AH3665">
            <v>9.02</v>
          </cell>
          <cell r="AW3665" t="str">
            <v>Dương Anh Đức20</v>
          </cell>
          <cell r="AX3665" t="str">
            <v>Hằng</v>
          </cell>
        </row>
        <row r="3666">
          <cell r="D3666" t="str">
            <v>Tống Văn Hậu</v>
          </cell>
          <cell r="AF3666" t="str">
            <v>XE01088</v>
          </cell>
          <cell r="AH3666">
            <v>9.42</v>
          </cell>
          <cell r="AW3666" t="str">
            <v>Tống Văn Hậu21</v>
          </cell>
          <cell r="AX3666" t="str">
            <v>Hằng</v>
          </cell>
        </row>
        <row r="3667">
          <cell r="D3667" t="str">
            <v>Nguyễn Trung Hiếu</v>
          </cell>
          <cell r="AF3667" t="str">
            <v>XE00429</v>
          </cell>
          <cell r="AH3667">
            <v>9.42</v>
          </cell>
          <cell r="AW3667" t="str">
            <v>Nguyễn Trung Hiếu21</v>
          </cell>
          <cell r="AX3667" t="str">
            <v>Hằng</v>
          </cell>
        </row>
        <row r="3668">
          <cell r="D3668" t="str">
            <v>Phạm Công Khánh</v>
          </cell>
          <cell r="AF3668" t="str">
            <v>XE00386</v>
          </cell>
          <cell r="AH3668">
            <v>9.42</v>
          </cell>
          <cell r="AW3668" t="str">
            <v>Phạm Công Khánh21</v>
          </cell>
          <cell r="AX3668" t="str">
            <v>Hằng</v>
          </cell>
        </row>
        <row r="3669">
          <cell r="D3669" t="str">
            <v>Nguyễn Duy Phương</v>
          </cell>
          <cell r="AF3669" t="str">
            <v>XE00308</v>
          </cell>
          <cell r="AH3669">
            <v>8.84</v>
          </cell>
          <cell r="AW3669" t="str">
            <v>Nguyễn Duy Phương21</v>
          </cell>
          <cell r="AX3669" t="str">
            <v>Hằng</v>
          </cell>
        </row>
        <row r="3670">
          <cell r="D3670" t="str">
            <v>Vũ Hoàng Long</v>
          </cell>
          <cell r="AF3670" t="str">
            <v>XE00312</v>
          </cell>
          <cell r="AH3670">
            <v>9.42</v>
          </cell>
          <cell r="AW3670" t="str">
            <v>Vũ Hoàng Long21</v>
          </cell>
          <cell r="AX3670" t="str">
            <v>Hằng</v>
          </cell>
        </row>
        <row r="3671">
          <cell r="D3671" t="str">
            <v>Nguyễn Hùng Cường</v>
          </cell>
          <cell r="AF3671" t="str">
            <v>XE01333</v>
          </cell>
          <cell r="AH3671">
            <v>9.42</v>
          </cell>
          <cell r="AW3671" t="str">
            <v>Nguyễn Hùng Cường22</v>
          </cell>
          <cell r="AX3671" t="str">
            <v>Hằng</v>
          </cell>
        </row>
        <row r="3672">
          <cell r="D3672" t="str">
            <v>Nguyễn Minh Tuấn</v>
          </cell>
          <cell r="AF3672" t="str">
            <v>XE01562</v>
          </cell>
          <cell r="AH3672">
            <v>7.22</v>
          </cell>
          <cell r="AW3672" t="str">
            <v>Nguyễn Minh Tuấn22</v>
          </cell>
          <cell r="AX3672" t="str">
            <v>Hằng</v>
          </cell>
        </row>
        <row r="3673">
          <cell r="D3673" t="str">
            <v>Trần Văn Sơn</v>
          </cell>
          <cell r="AF3673" t="str">
            <v>XE01427</v>
          </cell>
          <cell r="AH3673">
            <v>9.82</v>
          </cell>
          <cell r="AW3673" t="str">
            <v>Trần Văn Sơn22</v>
          </cell>
          <cell r="AX3673" t="str">
            <v>Hằng</v>
          </cell>
        </row>
        <row r="3674">
          <cell r="D3674" t="str">
            <v>Nguyễn Văn Võ</v>
          </cell>
          <cell r="AF3674" t="str">
            <v>XE01230</v>
          </cell>
          <cell r="AH3674">
            <v>9.82</v>
          </cell>
          <cell r="AW3674" t="str">
            <v>Nguyễn Văn Võ22</v>
          </cell>
          <cell r="AX3674" t="str">
            <v>Hằng</v>
          </cell>
        </row>
        <row r="3675">
          <cell r="D3675" t="str">
            <v>Nguyễn Đức Tuấn</v>
          </cell>
          <cell r="AF3675" t="str">
            <v>XE00395</v>
          </cell>
          <cell r="AH3675">
            <v>9.82</v>
          </cell>
          <cell r="AW3675" t="str">
            <v>Nguyễn Đức Tuấn22</v>
          </cell>
          <cell r="AX3675" t="str">
            <v>Hằng</v>
          </cell>
        </row>
        <row r="3676">
          <cell r="D3676" t="str">
            <v>Lê Quang Thuỷ</v>
          </cell>
          <cell r="AF3676" t="str">
            <v>XE00557</v>
          </cell>
          <cell r="AH3676">
            <v>9.42</v>
          </cell>
          <cell r="AW3676" t="str">
            <v>Lê Quang Thuỷ22</v>
          </cell>
          <cell r="AX3676" t="str">
            <v>Hằng</v>
          </cell>
        </row>
        <row r="3677">
          <cell r="D3677" t="str">
            <v>Nguyễn Tuấn Trường</v>
          </cell>
          <cell r="AF3677" t="str">
            <v>XE00161</v>
          </cell>
          <cell r="AH3677">
            <v>9.82</v>
          </cell>
          <cell r="AW3677" t="str">
            <v>Nguyễn Tuấn Trường22</v>
          </cell>
          <cell r="AX3677" t="str">
            <v>Hằng</v>
          </cell>
        </row>
        <row r="3678">
          <cell r="D3678" t="str">
            <v>Nguyễn Văn Thành</v>
          </cell>
          <cell r="AF3678" t="str">
            <v>XE01278</v>
          </cell>
          <cell r="AH3678">
            <v>9.82</v>
          </cell>
          <cell r="AW3678" t="str">
            <v>Nguyễn Văn Thành23</v>
          </cell>
          <cell r="AX3678" t="str">
            <v>Hằng</v>
          </cell>
        </row>
        <row r="3679">
          <cell r="D3679" t="str">
            <v>Lê Quang Minh</v>
          </cell>
          <cell r="AF3679" t="str">
            <v>XE01056</v>
          </cell>
          <cell r="AH3679">
            <v>9.02</v>
          </cell>
          <cell r="AW3679" t="str">
            <v>Lê Quang Minh14</v>
          </cell>
          <cell r="AX3679" t="str">
            <v>Hằng</v>
          </cell>
        </row>
        <row r="3680">
          <cell r="D3680" t="str">
            <v>Lê Quang Minh</v>
          </cell>
          <cell r="AF3680" t="str">
            <v>XE01056</v>
          </cell>
          <cell r="AH3680">
            <v>9.82</v>
          </cell>
          <cell r="AW3680" t="str">
            <v>Lê Quang Minh15</v>
          </cell>
          <cell r="AX3680" t="str">
            <v>Hằng</v>
          </cell>
        </row>
        <row r="3681">
          <cell r="D3681" t="str">
            <v>Trần Xuân Bách</v>
          </cell>
          <cell r="AF3681" t="str">
            <v>XE01008</v>
          </cell>
          <cell r="AH3681">
            <v>9.42</v>
          </cell>
          <cell r="AW3681" t="str">
            <v>Trần Xuân Bách17</v>
          </cell>
          <cell r="AX3681" t="str">
            <v>Hằng</v>
          </cell>
        </row>
        <row r="3682">
          <cell r="D3682" t="str">
            <v>Trần Xuân Bách</v>
          </cell>
          <cell r="AF3682" t="str">
            <v>XE01008</v>
          </cell>
          <cell r="AH3682">
            <v>9.02</v>
          </cell>
          <cell r="AW3682" t="str">
            <v>Trần Xuân Bách18</v>
          </cell>
          <cell r="AX3682" t="str">
            <v>Hằng</v>
          </cell>
        </row>
        <row r="3683">
          <cell r="D3683" t="str">
            <v>Bùi Mạnh Hùng</v>
          </cell>
          <cell r="AF3683" t="str">
            <v>XE00978</v>
          </cell>
          <cell r="AH3683">
            <v>9.42</v>
          </cell>
          <cell r="AW3683" t="str">
            <v>Bùi Mạnh Hùng17</v>
          </cell>
          <cell r="AX3683" t="str">
            <v>Hằng</v>
          </cell>
        </row>
        <row r="3684">
          <cell r="D3684" t="str">
            <v>Bùi Mạnh Hùng</v>
          </cell>
          <cell r="AF3684" t="str">
            <v>XE00978</v>
          </cell>
          <cell r="AH3684">
            <v>9.82</v>
          </cell>
          <cell r="AW3684" t="str">
            <v>Bùi Mạnh Hùng18</v>
          </cell>
          <cell r="AX3684" t="str">
            <v>Hằng</v>
          </cell>
        </row>
        <row r="3685">
          <cell r="D3685" t="str">
            <v>Đinh Văn Chung</v>
          </cell>
          <cell r="AF3685" t="str">
            <v>XE00122</v>
          </cell>
          <cell r="AH3685">
            <v>9.82</v>
          </cell>
          <cell r="AW3685" t="str">
            <v>Đinh Văn Chung17</v>
          </cell>
          <cell r="AX3685" t="str">
            <v>Hằng</v>
          </cell>
        </row>
        <row r="3686">
          <cell r="D3686" t="str">
            <v>Đinh Văn Chung</v>
          </cell>
          <cell r="AF3686" t="str">
            <v>XE00122</v>
          </cell>
          <cell r="AH3686">
            <v>8.84</v>
          </cell>
          <cell r="AW3686" t="str">
            <v>Đinh Văn Chung18</v>
          </cell>
          <cell r="AX3686" t="str">
            <v>Hằng</v>
          </cell>
        </row>
        <row r="3687">
          <cell r="D3687" t="str">
            <v>Lê Thanh Xuân</v>
          </cell>
          <cell r="AF3687" t="str">
            <v>XE01704</v>
          </cell>
          <cell r="AH3687">
            <v>9.42</v>
          </cell>
          <cell r="AW3687" t="str">
            <v>Lê Thanh Xuân18</v>
          </cell>
          <cell r="AX3687" t="str">
            <v>Hằng</v>
          </cell>
        </row>
        <row r="3688">
          <cell r="D3688" t="str">
            <v>Lê Thanh Xuân</v>
          </cell>
          <cell r="AF3688" t="str">
            <v>XE01704</v>
          </cell>
          <cell r="AH3688">
            <v>8.620000000000001</v>
          </cell>
          <cell r="AW3688" t="str">
            <v>Lê Thanh Xuân19</v>
          </cell>
          <cell r="AX3688" t="str">
            <v>Hằng</v>
          </cell>
        </row>
        <row r="3689">
          <cell r="D3689" t="str">
            <v>Nguyễn Quang Thanh</v>
          </cell>
          <cell r="AF3689" t="str">
            <v>XE01601</v>
          </cell>
          <cell r="AH3689">
            <v>9.82</v>
          </cell>
          <cell r="AW3689" t="str">
            <v>Nguyễn Quang Thanh19</v>
          </cell>
          <cell r="AX3689" t="str">
            <v>Hằng</v>
          </cell>
        </row>
        <row r="3690">
          <cell r="D3690" t="str">
            <v>Nguyễn Quang Thanh</v>
          </cell>
          <cell r="AF3690" t="str">
            <v>XE01601</v>
          </cell>
          <cell r="AH3690">
            <v>8.84</v>
          </cell>
          <cell r="AW3690" t="str">
            <v>Nguyễn Quang Thanh20</v>
          </cell>
          <cell r="AX3690" t="str">
            <v>Hằng</v>
          </cell>
        </row>
        <row r="3691">
          <cell r="D3691" t="str">
            <v>Nguyễn Thiên Mạnh</v>
          </cell>
          <cell r="AF3691" t="str">
            <v>XE01182</v>
          </cell>
          <cell r="AH3691">
            <v>9.42</v>
          </cell>
          <cell r="AW3691" t="str">
            <v>Nguyễn Thiên Mạnh19</v>
          </cell>
          <cell r="AX3691" t="str">
            <v>Hằng</v>
          </cell>
        </row>
        <row r="3692">
          <cell r="D3692" t="str">
            <v>Nguyễn Thiên Mạnh</v>
          </cell>
          <cell r="AF3692" t="str">
            <v>XE01182</v>
          </cell>
          <cell r="AH3692">
            <v>9.02</v>
          </cell>
          <cell r="AW3692" t="str">
            <v>Nguyễn Thiên Mạnh20</v>
          </cell>
          <cell r="AX3692" t="str">
            <v>Hằng</v>
          </cell>
        </row>
        <row r="3693">
          <cell r="D3693" t="str">
            <v>Đào Duy Nhất</v>
          </cell>
          <cell r="AF3693" t="str">
            <v>XE01062</v>
          </cell>
          <cell r="AH3693">
            <v>9.42</v>
          </cell>
          <cell r="AW3693" t="str">
            <v>Đào Duy Nhất19</v>
          </cell>
          <cell r="AX3693" t="str">
            <v>Hằng</v>
          </cell>
        </row>
        <row r="3694">
          <cell r="D3694" t="str">
            <v>Nguyễn Quốc Thắng</v>
          </cell>
          <cell r="AF3694" t="str">
            <v>XE00495</v>
          </cell>
          <cell r="AH3694">
            <v>8.44</v>
          </cell>
          <cell r="AW3694" t="str">
            <v>Nguyễn Quốc Thắng20</v>
          </cell>
          <cell r="AX3694" t="str">
            <v>Hằng</v>
          </cell>
        </row>
        <row r="3695">
          <cell r="D3695" t="str">
            <v>Phạm Văn Thiêm</v>
          </cell>
          <cell r="AF3695" t="str">
            <v>XE01090</v>
          </cell>
          <cell r="AH3695">
            <v>9.42</v>
          </cell>
          <cell r="AW3695" t="str">
            <v>Phạm Văn Thiêm20</v>
          </cell>
          <cell r="AX3695" t="str">
            <v>Hằng</v>
          </cell>
        </row>
        <row r="3696">
          <cell r="D3696" t="str">
            <v>Lại Thế Thư</v>
          </cell>
          <cell r="AF3696" t="str">
            <v>XE01286</v>
          </cell>
          <cell r="AH3696">
            <v>9.02</v>
          </cell>
          <cell r="AW3696" t="str">
            <v>Lại Thế Thư21</v>
          </cell>
          <cell r="AX3696" t="str">
            <v>Hằng</v>
          </cell>
        </row>
        <row r="3697">
          <cell r="D3697" t="str">
            <v>Lê Hùng Cường</v>
          </cell>
          <cell r="AF3697" t="str">
            <v>XE00188</v>
          </cell>
          <cell r="AH3697">
            <v>9.82</v>
          </cell>
          <cell r="AW3697" t="str">
            <v>Lê Hùng Cường21</v>
          </cell>
          <cell r="AX3697" t="str">
            <v>Hằng</v>
          </cell>
        </row>
        <row r="3698">
          <cell r="D3698" t="str">
            <v>Phan Thái Sơn</v>
          </cell>
          <cell r="AF3698" t="str">
            <v>XE00026</v>
          </cell>
          <cell r="AH3698">
            <v>9.6199999999999992</v>
          </cell>
          <cell r="AW3698" t="str">
            <v>Phan Thái Sơn21</v>
          </cell>
          <cell r="AX3698" t="str">
            <v>Hằng</v>
          </cell>
        </row>
        <row r="3699">
          <cell r="D3699" t="str">
            <v>Đào Đức Liêm</v>
          </cell>
          <cell r="AF3699" t="str">
            <v>XE00397</v>
          </cell>
          <cell r="AH3699">
            <v>9.42</v>
          </cell>
          <cell r="AW3699" t="str">
            <v>Đào Đức Liêm21</v>
          </cell>
          <cell r="AX3699" t="str">
            <v>Hằng</v>
          </cell>
        </row>
        <row r="3700">
          <cell r="D3700" t="str">
            <v>Nguyễn Việt Cường</v>
          </cell>
          <cell r="AF3700" t="str">
            <v>XE00345</v>
          </cell>
          <cell r="AH3700">
            <v>8.84</v>
          </cell>
          <cell r="AW3700" t="str">
            <v>Nguyễn Việt Cường21</v>
          </cell>
          <cell r="AX3700" t="str">
            <v>Hằng</v>
          </cell>
        </row>
        <row r="3701">
          <cell r="D3701" t="str">
            <v>Lê Minh Đức</v>
          </cell>
          <cell r="AF3701" t="str">
            <v>XE01688</v>
          </cell>
          <cell r="AH3701">
            <v>9.42</v>
          </cell>
          <cell r="AW3701" t="str">
            <v>Lê Minh Đức18</v>
          </cell>
          <cell r="AX3701" t="str">
            <v>Hằng</v>
          </cell>
        </row>
        <row r="3702">
          <cell r="D3702" t="str">
            <v>Lê Minh Đức</v>
          </cell>
          <cell r="AF3702" t="str">
            <v>XE01688</v>
          </cell>
          <cell r="AH3702">
            <v>9.02</v>
          </cell>
          <cell r="AW3702" t="str">
            <v>Lê Minh Đức19</v>
          </cell>
          <cell r="AX3702" t="str">
            <v>Hằng</v>
          </cell>
        </row>
        <row r="3703">
          <cell r="D3703" t="str">
            <v>Nguyễn Mạnh Cường</v>
          </cell>
          <cell r="AF3703" t="str">
            <v>XE01699</v>
          </cell>
          <cell r="AH3703">
            <v>9.2199999999999989</v>
          </cell>
          <cell r="AW3703" t="str">
            <v>Nguyễn Mạnh Cường19</v>
          </cell>
          <cell r="AX3703" t="str">
            <v>Hằng</v>
          </cell>
        </row>
        <row r="3704">
          <cell r="D3704" t="str">
            <v>Nguyễn Thế Anh</v>
          </cell>
          <cell r="AF3704" t="str">
            <v>XE00383</v>
          </cell>
          <cell r="AH3704">
            <v>9.82</v>
          </cell>
          <cell r="AW3704" t="str">
            <v>Nguyễn Thế Anh20</v>
          </cell>
          <cell r="AX3704" t="str">
            <v>Hằng</v>
          </cell>
        </row>
        <row r="3705">
          <cell r="D3705" t="str">
            <v>Lê Tuấn Linh</v>
          </cell>
          <cell r="AF3705" t="str">
            <v>XE00869</v>
          </cell>
          <cell r="AH3705">
            <v>9.42</v>
          </cell>
          <cell r="AW3705" t="str">
            <v>Lê Tuấn Linh19</v>
          </cell>
          <cell r="AX3705" t="str">
            <v>Hằng</v>
          </cell>
        </row>
        <row r="3706">
          <cell r="D3706" t="str">
            <v>Lê Tuấn Linh</v>
          </cell>
          <cell r="AF3706" t="str">
            <v>XE00869</v>
          </cell>
          <cell r="AH3706">
            <v>9.24</v>
          </cell>
          <cell r="AW3706" t="str">
            <v>Lê Tuấn Linh20</v>
          </cell>
          <cell r="AX3706" t="str">
            <v>Hằng</v>
          </cell>
        </row>
        <row r="3707">
          <cell r="D3707" t="str">
            <v>Dương Anh Đức</v>
          </cell>
          <cell r="AF3707" t="str">
            <v>XE01441</v>
          </cell>
          <cell r="AH3707">
            <v>9.42</v>
          </cell>
          <cell r="AW3707" t="str">
            <v>Dương Anh Đức21</v>
          </cell>
          <cell r="AX3707" t="str">
            <v>Hằng</v>
          </cell>
        </row>
        <row r="3708">
          <cell r="D3708" t="str">
            <v>Dương Anh Đức</v>
          </cell>
          <cell r="AF3708" t="str">
            <v>XE01441</v>
          </cell>
          <cell r="AH3708">
            <v>9.82</v>
          </cell>
          <cell r="AW3708" t="str">
            <v>Dương Anh Đức22</v>
          </cell>
          <cell r="AX3708" t="str">
            <v>Hằng</v>
          </cell>
        </row>
        <row r="3709">
          <cell r="D3709" t="str">
            <v>Trần Quốc Toàn</v>
          </cell>
          <cell r="AF3709" t="str">
            <v>XE00901</v>
          </cell>
          <cell r="AH3709">
            <v>9.82</v>
          </cell>
          <cell r="AW3709" t="str">
            <v>Trần Quốc Toàn21</v>
          </cell>
          <cell r="AX3709" t="str">
            <v>Hằng</v>
          </cell>
        </row>
        <row r="3710">
          <cell r="D3710" t="str">
            <v>Trần Quốc Toàn</v>
          </cell>
          <cell r="AF3710" t="str">
            <v>XE00901</v>
          </cell>
          <cell r="AH3710">
            <v>9.42</v>
          </cell>
          <cell r="AW3710" t="str">
            <v>Trần Quốc Toàn22</v>
          </cell>
          <cell r="AX3710" t="str">
            <v>Hằng</v>
          </cell>
        </row>
        <row r="3711">
          <cell r="D3711" t="str">
            <v>Tống Văn Hậu</v>
          </cell>
          <cell r="AF3711" t="str">
            <v>XE01088</v>
          </cell>
          <cell r="AH3711">
            <v>9.82</v>
          </cell>
          <cell r="AW3711" t="str">
            <v>Tống Văn Hậu22</v>
          </cell>
          <cell r="AX3711" t="str">
            <v>Hằng</v>
          </cell>
        </row>
        <row r="3712">
          <cell r="D3712" t="str">
            <v>Nguyễn Trung Hiếu</v>
          </cell>
          <cell r="AF3712" t="str">
            <v>XE00429</v>
          </cell>
          <cell r="AH3712">
            <v>9.42</v>
          </cell>
          <cell r="AW3712" t="str">
            <v>Nguyễn Trung Hiếu22</v>
          </cell>
          <cell r="AX3712" t="str">
            <v>Hằng</v>
          </cell>
        </row>
        <row r="3713">
          <cell r="D3713" t="str">
            <v>Phạm Công Khánh</v>
          </cell>
          <cell r="AF3713" t="str">
            <v>XE00386</v>
          </cell>
          <cell r="AH3713">
            <v>9.42</v>
          </cell>
          <cell r="AW3713" t="str">
            <v>Phạm Công Khánh22</v>
          </cell>
          <cell r="AX3713" t="str">
            <v>Hằng</v>
          </cell>
        </row>
        <row r="3714">
          <cell r="D3714" t="str">
            <v>Nguyễn Duy Phương</v>
          </cell>
          <cell r="AF3714" t="str">
            <v>XE00308</v>
          </cell>
          <cell r="AH3714">
            <v>9.42</v>
          </cell>
          <cell r="AW3714" t="str">
            <v>Nguyễn Duy Phương22</v>
          </cell>
          <cell r="AX3714" t="str">
            <v>Hằng</v>
          </cell>
        </row>
        <row r="3715">
          <cell r="D3715" t="str">
            <v>Vũ Hoàng Long</v>
          </cell>
          <cell r="AF3715" t="str">
            <v>XE00312</v>
          </cell>
          <cell r="AH3715">
            <v>9.42</v>
          </cell>
          <cell r="AW3715" t="str">
            <v>Vũ Hoàng Long22</v>
          </cell>
          <cell r="AX3715" t="str">
            <v>Hằng</v>
          </cell>
        </row>
        <row r="3716">
          <cell r="D3716" t="str">
            <v>Nguyễn Hùng Cường</v>
          </cell>
          <cell r="AF3716" t="str">
            <v>XE01333</v>
          </cell>
          <cell r="AH3716">
            <v>9.82</v>
          </cell>
          <cell r="AW3716" t="str">
            <v>Nguyễn Hùng Cường23</v>
          </cell>
          <cell r="AX3716" t="str">
            <v>Hằng</v>
          </cell>
        </row>
        <row r="3717">
          <cell r="D3717" t="str">
            <v>Nguyễn Minh Tuấn</v>
          </cell>
          <cell r="AF3717" t="str">
            <v>XE01562</v>
          </cell>
          <cell r="AH3717">
            <v>9.02</v>
          </cell>
          <cell r="AW3717" t="str">
            <v>Nguyễn Minh Tuấn23</v>
          </cell>
          <cell r="AX3717" t="str">
            <v>Hằng</v>
          </cell>
        </row>
        <row r="3718">
          <cell r="D3718" t="str">
            <v>Trần Văn Sơn</v>
          </cell>
          <cell r="AF3718" t="str">
            <v>XE01427</v>
          </cell>
          <cell r="AH3718">
            <v>9.02</v>
          </cell>
          <cell r="AW3718" t="str">
            <v>Trần Văn Sơn23</v>
          </cell>
          <cell r="AX3718" t="str">
            <v>Hằng</v>
          </cell>
        </row>
        <row r="3719">
          <cell r="D3719" t="str">
            <v>Nguyễn Văn Võ</v>
          </cell>
          <cell r="AF3719" t="str">
            <v>XE01230</v>
          </cell>
          <cell r="AH3719">
            <v>9.6199999999999992</v>
          </cell>
          <cell r="AW3719" t="str">
            <v>Nguyễn Văn Võ23</v>
          </cell>
          <cell r="AX3719" t="str">
            <v>Hằng</v>
          </cell>
        </row>
        <row r="3720">
          <cell r="D3720" t="str">
            <v>Nguyễn Đức Tuấn</v>
          </cell>
          <cell r="AF3720" t="str">
            <v>XE00395</v>
          </cell>
          <cell r="AH3720">
            <v>9.82</v>
          </cell>
          <cell r="AW3720" t="str">
            <v>Nguyễn Đức Tuấn23</v>
          </cell>
          <cell r="AX3720" t="str">
            <v>Hằng</v>
          </cell>
        </row>
        <row r="3721">
          <cell r="D3721" t="str">
            <v>Lê Quang Thuỷ</v>
          </cell>
          <cell r="AF3721" t="str">
            <v>XE00557</v>
          </cell>
          <cell r="AH3721">
            <v>9.82</v>
          </cell>
          <cell r="AW3721" t="str">
            <v>Lê Quang Thuỷ23</v>
          </cell>
          <cell r="AX3721" t="str">
            <v>Hằng</v>
          </cell>
        </row>
        <row r="3722">
          <cell r="D3722" t="str">
            <v>Nguyễn Tuấn Trường</v>
          </cell>
          <cell r="AF3722" t="str">
            <v>XE00161</v>
          </cell>
          <cell r="AH3722">
            <v>9.82</v>
          </cell>
          <cell r="AW3722" t="str">
            <v>Nguyễn Tuấn Trường23</v>
          </cell>
          <cell r="AX3722" t="str">
            <v>Hằng</v>
          </cell>
        </row>
        <row r="3723">
          <cell r="D3723" t="str">
            <v>Lê Quang Minh</v>
          </cell>
          <cell r="AF3723" t="str">
            <v>XE01056</v>
          </cell>
          <cell r="AH3723">
            <v>9.42</v>
          </cell>
          <cell r="AW3723" t="str">
            <v>Lê Quang Minh16</v>
          </cell>
          <cell r="AX3723" t="str">
            <v>Hằng</v>
          </cell>
        </row>
        <row r="3724">
          <cell r="D3724" t="str">
            <v>Trần Xuân Bách</v>
          </cell>
          <cell r="AF3724" t="str">
            <v>XE01008</v>
          </cell>
          <cell r="AH3724">
            <v>9.82</v>
          </cell>
          <cell r="AW3724" t="str">
            <v>Trần Xuân Bách19</v>
          </cell>
          <cell r="AX3724" t="str">
            <v>Hằng</v>
          </cell>
        </row>
        <row r="3725">
          <cell r="D3725" t="str">
            <v>Trần Xuân Bách</v>
          </cell>
          <cell r="AF3725" t="str">
            <v>XE01008</v>
          </cell>
          <cell r="AH3725">
            <v>8.44</v>
          </cell>
          <cell r="AW3725" t="str">
            <v>Trần Xuân Bách20</v>
          </cell>
          <cell r="AX3725" t="str">
            <v>Hằng</v>
          </cell>
        </row>
        <row r="3726">
          <cell r="D3726" t="str">
            <v>Bùi Mạnh Hùng</v>
          </cell>
          <cell r="AF3726" t="str">
            <v>XE00978</v>
          </cell>
          <cell r="AH3726">
            <v>8.64</v>
          </cell>
          <cell r="AW3726" t="str">
            <v>Bùi Mạnh Hùng19</v>
          </cell>
          <cell r="AX3726" t="str">
            <v>Hằng</v>
          </cell>
        </row>
        <row r="3727">
          <cell r="D3727" t="str">
            <v>Bùi Mạnh Hùng</v>
          </cell>
          <cell r="AF3727" t="str">
            <v>XE00978</v>
          </cell>
          <cell r="AH3727">
            <v>8.84</v>
          </cell>
          <cell r="AW3727" t="str">
            <v>Bùi Mạnh Hùng20</v>
          </cell>
          <cell r="AX3727" t="str">
            <v>Hằng</v>
          </cell>
        </row>
        <row r="3728">
          <cell r="D3728" t="str">
            <v>Đinh Văn Chung</v>
          </cell>
          <cell r="AF3728" t="str">
            <v>XE00122</v>
          </cell>
          <cell r="AH3728">
            <v>9.82</v>
          </cell>
          <cell r="AW3728" t="str">
            <v>Đinh Văn Chung19</v>
          </cell>
          <cell r="AX3728" t="str">
            <v>Hằng</v>
          </cell>
        </row>
        <row r="3729">
          <cell r="D3729" t="str">
            <v>Đinh Văn Chung</v>
          </cell>
          <cell r="AF3729" t="str">
            <v>XE00122</v>
          </cell>
          <cell r="AH3729">
            <v>9.82</v>
          </cell>
          <cell r="AW3729" t="str">
            <v>Đinh Văn Chung20</v>
          </cell>
          <cell r="AX3729" t="str">
            <v>Hằng</v>
          </cell>
        </row>
        <row r="3730">
          <cell r="D3730" t="str">
            <v>Đào Duy Nhất</v>
          </cell>
          <cell r="AF3730" t="str">
            <v>XE01062</v>
          </cell>
          <cell r="AH3730">
            <v>9.82</v>
          </cell>
          <cell r="AW3730" t="str">
            <v>Đào Duy Nhất21</v>
          </cell>
          <cell r="AX3730" t="str">
            <v>Hằng</v>
          </cell>
        </row>
        <row r="3731">
          <cell r="D3731" t="str">
            <v>Đào Duy Nhất</v>
          </cell>
          <cell r="AF3731" t="str">
            <v>XE01062</v>
          </cell>
          <cell r="AH3731">
            <v>8.44</v>
          </cell>
          <cell r="AW3731" t="str">
            <v>Đào Duy Nhất20</v>
          </cell>
          <cell r="AX3731" t="str">
            <v>Hằng</v>
          </cell>
        </row>
        <row r="3732">
          <cell r="D3732" t="str">
            <v>Lê Thanh Xuân</v>
          </cell>
          <cell r="AF3732" t="str">
            <v>XE01704</v>
          </cell>
          <cell r="AH3732">
            <v>9.82</v>
          </cell>
          <cell r="AW3732" t="str">
            <v>Lê Thanh Xuân20</v>
          </cell>
          <cell r="AX3732" t="str">
            <v>Hằng</v>
          </cell>
        </row>
        <row r="3733">
          <cell r="D3733" t="str">
            <v>Lê Thanh Xuân</v>
          </cell>
          <cell r="AF3733" t="str">
            <v>XE01704</v>
          </cell>
          <cell r="AH3733">
            <v>9.6199999999999992</v>
          </cell>
          <cell r="AW3733" t="str">
            <v>Lê Thanh Xuân21</v>
          </cell>
          <cell r="AX3733" t="str">
            <v>Hằng</v>
          </cell>
        </row>
        <row r="3734">
          <cell r="D3734" t="str">
            <v>Nguyễn Quang Thanh</v>
          </cell>
          <cell r="AF3734" t="str">
            <v>XE01601</v>
          </cell>
          <cell r="AH3734">
            <v>9.42</v>
          </cell>
          <cell r="AW3734" t="str">
            <v>Nguyễn Quang Thanh21</v>
          </cell>
          <cell r="AX3734" t="str">
            <v>Hằng</v>
          </cell>
        </row>
        <row r="3735">
          <cell r="D3735" t="str">
            <v>Nguyễn Thiên Mạnh</v>
          </cell>
          <cell r="AF3735" t="str">
            <v>XE01182</v>
          </cell>
          <cell r="AH3735">
            <v>9.82</v>
          </cell>
          <cell r="AW3735" t="str">
            <v>Nguyễn Thiên Mạnh21</v>
          </cell>
          <cell r="AX3735" t="str">
            <v>Hằng</v>
          </cell>
        </row>
        <row r="3736">
          <cell r="D3736" t="str">
            <v>Nguyễn Quốc Thắng</v>
          </cell>
          <cell r="AF3736" t="str">
            <v>XE00495</v>
          </cell>
          <cell r="AH3736">
            <v>9.82</v>
          </cell>
          <cell r="AW3736" t="str">
            <v>Nguyễn Quốc Thắng21</v>
          </cell>
          <cell r="AX3736" t="str">
            <v>Hằng</v>
          </cell>
        </row>
        <row r="3737">
          <cell r="D3737" t="str">
            <v>Phạm Văn Thiêm</v>
          </cell>
          <cell r="AF3737" t="str">
            <v>XE01090</v>
          </cell>
          <cell r="AH3737">
            <v>9.42</v>
          </cell>
          <cell r="AW3737" t="str">
            <v>Phạm Văn Thiêm21</v>
          </cell>
          <cell r="AX3737" t="str">
            <v>Hằng</v>
          </cell>
        </row>
        <row r="3738">
          <cell r="D3738" t="str">
            <v>Lại Thế Thư</v>
          </cell>
          <cell r="AF3738" t="str">
            <v>XE01286</v>
          </cell>
          <cell r="AH3738">
            <v>7.62</v>
          </cell>
          <cell r="AW3738" t="str">
            <v>Lại Thế Thư22</v>
          </cell>
          <cell r="AX3738" t="str">
            <v>Hằng</v>
          </cell>
        </row>
        <row r="3739">
          <cell r="D3739" t="str">
            <v>Lê Hùng Cường</v>
          </cell>
          <cell r="AF3739" t="str">
            <v>XE00188</v>
          </cell>
          <cell r="AH3739">
            <v>9.82</v>
          </cell>
          <cell r="AW3739" t="str">
            <v>Lê Hùng Cường22</v>
          </cell>
          <cell r="AX3739" t="str">
            <v>Hằng</v>
          </cell>
        </row>
        <row r="3740">
          <cell r="D3740" t="str">
            <v>Phan Thái Sơn</v>
          </cell>
          <cell r="AF3740" t="str">
            <v>XE00026</v>
          </cell>
          <cell r="AH3740">
            <v>9.82</v>
          </cell>
          <cell r="AW3740" t="str">
            <v>Phan Thái Sơn22</v>
          </cell>
          <cell r="AX3740" t="str">
            <v>Hằng</v>
          </cell>
        </row>
        <row r="3741">
          <cell r="D3741" t="str">
            <v>Trần Ngọc Dũng</v>
          </cell>
          <cell r="AF3741" t="str">
            <v>XE01011</v>
          </cell>
          <cell r="AH3741">
            <v>9.379999999999999</v>
          </cell>
          <cell r="AW3741" t="str">
            <v>Trần Ngọc Dũng22</v>
          </cell>
          <cell r="AX3741" t="str">
            <v>Hằng</v>
          </cell>
        </row>
        <row r="3742">
          <cell r="D3742" t="str">
            <v>Lò Văn Dương</v>
          </cell>
          <cell r="AF3742" t="str">
            <v>XE00913</v>
          </cell>
          <cell r="AH3742">
            <v>9.02</v>
          </cell>
          <cell r="AW3742" t="str">
            <v>Lò Văn Dương22</v>
          </cell>
          <cell r="AX3742" t="str">
            <v>Hằng</v>
          </cell>
        </row>
        <row r="3743">
          <cell r="D3743" t="str">
            <v>Đào Đức Liêm</v>
          </cell>
          <cell r="AF3743" t="str">
            <v>XE00397</v>
          </cell>
          <cell r="AH3743">
            <v>9.42</v>
          </cell>
          <cell r="AW3743" t="str">
            <v>Đào Đức Liêm22</v>
          </cell>
          <cell r="AX3743" t="str">
            <v>Hằng</v>
          </cell>
        </row>
        <row r="3744">
          <cell r="D3744" t="str">
            <v>Nguyễn Việt Cường</v>
          </cell>
          <cell r="AF3744" t="str">
            <v>XE00345</v>
          </cell>
          <cell r="AH3744">
            <v>9.02</v>
          </cell>
          <cell r="AW3744" t="str">
            <v>Nguyễn Việt Cường22</v>
          </cell>
          <cell r="AX3744" t="str">
            <v>Hằng</v>
          </cell>
        </row>
        <row r="3745">
          <cell r="D3745" t="str">
            <v>Nguyễn Mạnh Cường</v>
          </cell>
          <cell r="AF3745" t="str">
            <v>XE01699</v>
          </cell>
          <cell r="AH3745">
            <v>9.82</v>
          </cell>
          <cell r="AW3745" t="str">
            <v>Nguyễn Mạnh Cường20</v>
          </cell>
          <cell r="AX3745" t="str">
            <v>Hằng</v>
          </cell>
        </row>
        <row r="3746">
          <cell r="D3746" t="str">
            <v>Nguyễn Mạnh Cường</v>
          </cell>
          <cell r="AF3746" t="str">
            <v>XE01699</v>
          </cell>
          <cell r="AH3746">
            <v>9.42</v>
          </cell>
          <cell r="AW3746" t="str">
            <v>Nguyễn Mạnh Cường21</v>
          </cell>
          <cell r="AX3746" t="str">
            <v>Hằng</v>
          </cell>
        </row>
        <row r="3747">
          <cell r="D3747" t="str">
            <v>Lê Minh Đức</v>
          </cell>
          <cell r="AF3747" t="str">
            <v>XE01688</v>
          </cell>
          <cell r="AH3747">
            <v>9.24</v>
          </cell>
          <cell r="AW3747" t="str">
            <v>Lê Minh Đức20</v>
          </cell>
          <cell r="AX3747" t="str">
            <v>Hằng</v>
          </cell>
        </row>
        <row r="3748">
          <cell r="D3748" t="str">
            <v>Lê Minh Đức</v>
          </cell>
          <cell r="AF3748" t="str">
            <v>XE01688</v>
          </cell>
          <cell r="AH3748">
            <v>9.82</v>
          </cell>
          <cell r="AW3748" t="str">
            <v>Lê Minh Đức21</v>
          </cell>
          <cell r="AX3748" t="str">
            <v>Hằng</v>
          </cell>
        </row>
        <row r="3749">
          <cell r="D3749" t="str">
            <v>Nguyễn Thế Anh</v>
          </cell>
          <cell r="AF3749" t="str">
            <v>XE00383</v>
          </cell>
          <cell r="AH3749">
            <v>9.82</v>
          </cell>
          <cell r="AW3749" t="str">
            <v>Nguyễn Thế Anh21</v>
          </cell>
          <cell r="AX3749" t="str">
            <v>Hằng</v>
          </cell>
        </row>
        <row r="3750">
          <cell r="D3750" t="str">
            <v>Nguyễn Thế Anh</v>
          </cell>
          <cell r="AF3750" t="str">
            <v>XE00383</v>
          </cell>
          <cell r="AH3750">
            <v>9.02</v>
          </cell>
          <cell r="AW3750" t="str">
            <v>Nguyễn Thế Anh22</v>
          </cell>
          <cell r="AX3750" t="str">
            <v>Hằng</v>
          </cell>
        </row>
        <row r="3751">
          <cell r="D3751" t="str">
            <v>Nguyễn Văn Minh</v>
          </cell>
          <cell r="AF3751" t="str">
            <v>XE01570</v>
          </cell>
          <cell r="AH3751">
            <v>9.82</v>
          </cell>
          <cell r="AW3751" t="str">
            <v>Nguyễn Văn Minh22</v>
          </cell>
          <cell r="AX3751" t="str">
            <v>Hằng</v>
          </cell>
        </row>
        <row r="3752">
          <cell r="D3752" t="str">
            <v>Nguyễn Quốc Thắng</v>
          </cell>
          <cell r="AF3752" t="str">
            <v>XE00495</v>
          </cell>
          <cell r="AH3752">
            <v>9.82</v>
          </cell>
          <cell r="AW3752" t="str">
            <v>Nguyễn Quốc Thắng22</v>
          </cell>
          <cell r="AX3752" t="str">
            <v>Hằng</v>
          </cell>
        </row>
        <row r="3753">
          <cell r="D3753" t="str">
            <v>Nguyễn Thiên Mạnh</v>
          </cell>
          <cell r="AF3753" t="str">
            <v>XE01182</v>
          </cell>
          <cell r="AH3753">
            <v>7.82</v>
          </cell>
          <cell r="AW3753" t="str">
            <v>Nguyễn Thiên Mạnh22</v>
          </cell>
          <cell r="AX3753" t="str">
            <v>Hằng</v>
          </cell>
        </row>
        <row r="3754">
          <cell r="D3754" t="str">
            <v>Nguyễn Quang Thanh</v>
          </cell>
          <cell r="AF3754" t="str">
            <v>XE01601</v>
          </cell>
          <cell r="AH3754">
            <v>9.42</v>
          </cell>
          <cell r="AW3754" t="str">
            <v>Nguyễn Quang Thanh22</v>
          </cell>
          <cell r="AX3754" t="str">
            <v>Hằng</v>
          </cell>
        </row>
        <row r="3755">
          <cell r="D3755" t="str">
            <v>Trần Quốc Toàn</v>
          </cell>
          <cell r="AF3755" t="str">
            <v>XE00901</v>
          </cell>
          <cell r="AH3755">
            <v>9.42</v>
          </cell>
          <cell r="AW3755" t="str">
            <v>Trần Quốc Toàn23</v>
          </cell>
          <cell r="AX3755" t="str">
            <v>Hằng</v>
          </cell>
        </row>
        <row r="3756">
          <cell r="D3756" t="str">
            <v>Tống Văn Hậu</v>
          </cell>
          <cell r="AF3756" t="str">
            <v>XE01088</v>
          </cell>
          <cell r="AH3756">
            <v>9.82</v>
          </cell>
          <cell r="AW3756" t="str">
            <v>Tống Văn Hậu23</v>
          </cell>
          <cell r="AX3756" t="str">
            <v>Hằng</v>
          </cell>
        </row>
        <row r="3757">
          <cell r="D3757" t="str">
            <v>Nguyễn Trung Hiếu</v>
          </cell>
          <cell r="AF3757" t="str">
            <v>XE00429</v>
          </cell>
          <cell r="AH3757">
            <v>9.42</v>
          </cell>
          <cell r="AW3757" t="str">
            <v>Nguyễn Trung Hiếu23</v>
          </cell>
          <cell r="AX3757" t="str">
            <v>Hằng</v>
          </cell>
        </row>
        <row r="3758">
          <cell r="D3758" t="str">
            <v>Phạm Công Khánh</v>
          </cell>
          <cell r="AF3758" t="str">
            <v>XE00386</v>
          </cell>
          <cell r="AH3758">
            <v>9.82</v>
          </cell>
          <cell r="AW3758" t="str">
            <v>Phạm Công Khánh23</v>
          </cell>
          <cell r="AX3758" t="str">
            <v>Hằng</v>
          </cell>
        </row>
        <row r="3759">
          <cell r="D3759" t="str">
            <v>Nguyễn Duy Phương</v>
          </cell>
          <cell r="AF3759" t="str">
            <v>XE00308</v>
          </cell>
          <cell r="AH3759">
            <v>8.84</v>
          </cell>
          <cell r="AW3759" t="str">
            <v>Nguyễn Duy Phương23</v>
          </cell>
          <cell r="AX3759" t="str">
            <v>Hằng</v>
          </cell>
        </row>
        <row r="3760">
          <cell r="D3760" t="str">
            <v>Vũ Hoàng Long</v>
          </cell>
          <cell r="AF3760" t="str">
            <v>XE00312</v>
          </cell>
          <cell r="AH3760">
            <v>9.82</v>
          </cell>
          <cell r="AW3760" t="str">
            <v>Vũ Hoàng Long23</v>
          </cell>
          <cell r="AX3760" t="str">
            <v>Hằng</v>
          </cell>
        </row>
        <row r="3761">
          <cell r="D3761" t="str">
            <v>Dương Anh Đức</v>
          </cell>
          <cell r="AF3761" t="str">
            <v>XE01441</v>
          </cell>
          <cell r="AH3761">
            <v>9.82</v>
          </cell>
          <cell r="AW3761" t="str">
            <v>Dương Anh Đức23</v>
          </cell>
          <cell r="AX3761" t="str">
            <v>Hằng</v>
          </cell>
        </row>
        <row r="3762">
          <cell r="D3762" t="str">
            <v>Nguyễn Hùng Cường</v>
          </cell>
          <cell r="AF3762" t="str">
            <v>XE01333</v>
          </cell>
          <cell r="AH3762">
            <v>8.84</v>
          </cell>
          <cell r="AW3762" t="str">
            <v>Nguyễn Hùng Cường24</v>
          </cell>
          <cell r="AX3762" t="str">
            <v>Hằng</v>
          </cell>
        </row>
        <row r="3763">
          <cell r="D3763" t="str">
            <v>Nguyễn Minh Tuấn</v>
          </cell>
          <cell r="AF3763" t="str">
            <v>XE01562</v>
          </cell>
          <cell r="AH3763">
            <v>9.82</v>
          </cell>
          <cell r="AW3763" t="str">
            <v>Nguyễn Minh Tuấn24</v>
          </cell>
          <cell r="AX3763" t="str">
            <v>Hằng</v>
          </cell>
        </row>
        <row r="3764">
          <cell r="D3764" t="str">
            <v>Trần Văn Sơn</v>
          </cell>
          <cell r="AF3764" t="str">
            <v>XE01427</v>
          </cell>
          <cell r="AH3764">
            <v>9.82</v>
          </cell>
          <cell r="AW3764" t="str">
            <v>Trần Văn Sơn24</v>
          </cell>
          <cell r="AX3764" t="str">
            <v>Hằng</v>
          </cell>
        </row>
        <row r="3765">
          <cell r="D3765" t="str">
            <v>Nguyễn Văn Thành</v>
          </cell>
          <cell r="AF3765" t="str">
            <v>XE01278</v>
          </cell>
          <cell r="AH3765">
            <v>9.42</v>
          </cell>
          <cell r="AW3765" t="str">
            <v>Nguyễn Văn Thành24</v>
          </cell>
          <cell r="AX3765" t="str">
            <v>Hằng</v>
          </cell>
        </row>
        <row r="3766">
          <cell r="D3766" t="str">
            <v>Nguyễn Văn Võ</v>
          </cell>
          <cell r="AF3766" t="str">
            <v>XE01230</v>
          </cell>
          <cell r="AH3766">
            <v>9.82</v>
          </cell>
          <cell r="AW3766" t="str">
            <v>Nguyễn Văn Võ24</v>
          </cell>
          <cell r="AX3766" t="str">
            <v>Hằng</v>
          </cell>
        </row>
        <row r="3767">
          <cell r="D3767" t="str">
            <v>Nguyễn Đức Tuấn</v>
          </cell>
          <cell r="AF3767" t="str">
            <v>XE00395</v>
          </cell>
          <cell r="AH3767">
            <v>9.42</v>
          </cell>
          <cell r="AW3767" t="str">
            <v>Nguyễn Đức Tuấn24</v>
          </cell>
          <cell r="AX3767" t="str">
            <v>Hằng</v>
          </cell>
        </row>
        <row r="3768">
          <cell r="D3768" t="str">
            <v>Lê Quang Thuỷ</v>
          </cell>
          <cell r="AF3768" t="str">
            <v>XE00557</v>
          </cell>
          <cell r="AH3768">
            <v>8.84</v>
          </cell>
          <cell r="AW3768" t="str">
            <v>Lê Quang Thuỷ24</v>
          </cell>
          <cell r="AX3768" t="str">
            <v>Hằng</v>
          </cell>
        </row>
        <row r="3769">
          <cell r="D3769" t="str">
            <v>Nguyễn Tuấn Trường</v>
          </cell>
          <cell r="AF3769" t="str">
            <v>XE00161</v>
          </cell>
          <cell r="AH3769">
            <v>9.82</v>
          </cell>
          <cell r="AW3769" t="str">
            <v>Nguyễn Tuấn Trường24</v>
          </cell>
          <cell r="AX3769" t="str">
            <v>Hằng</v>
          </cell>
        </row>
        <row r="3770">
          <cell r="D3770" t="str">
            <v>Lê Quang Minh</v>
          </cell>
          <cell r="AF3770" t="str">
            <v>XE01056</v>
          </cell>
          <cell r="AH3770">
            <v>9.02</v>
          </cell>
          <cell r="AW3770" t="str">
            <v>Lê Quang Minh17</v>
          </cell>
          <cell r="AX3770" t="str">
            <v>Hằng</v>
          </cell>
        </row>
        <row r="3771">
          <cell r="D3771" t="str">
            <v>Trần Xuân Bách</v>
          </cell>
          <cell r="AF3771" t="str">
            <v>XE01008</v>
          </cell>
          <cell r="AH3771">
            <v>9.82</v>
          </cell>
          <cell r="AW3771" t="str">
            <v>Trần Xuân Bách21</v>
          </cell>
          <cell r="AX3771" t="str">
            <v>Hằng</v>
          </cell>
        </row>
        <row r="3772">
          <cell r="D3772" t="str">
            <v>Trần Xuân Bách</v>
          </cell>
          <cell r="AF3772" t="str">
            <v>XE01008</v>
          </cell>
          <cell r="AH3772">
            <v>9.42</v>
          </cell>
          <cell r="AW3772" t="str">
            <v>Trần Xuân Bách22</v>
          </cell>
          <cell r="AX3772" t="str">
            <v>Hằng</v>
          </cell>
        </row>
        <row r="3773">
          <cell r="D3773" t="str">
            <v>Bùi Mạnh Hùng</v>
          </cell>
          <cell r="AF3773" t="str">
            <v>XE00978</v>
          </cell>
          <cell r="AH3773">
            <v>9.82</v>
          </cell>
          <cell r="AW3773" t="str">
            <v>Bùi Mạnh Hùng21</v>
          </cell>
          <cell r="AX3773" t="str">
            <v>Hằng</v>
          </cell>
        </row>
        <row r="3774">
          <cell r="D3774" t="str">
            <v>Bùi Mạnh Hùng</v>
          </cell>
          <cell r="AF3774" t="str">
            <v>XE00978</v>
          </cell>
          <cell r="AH3774">
            <v>9.0399999999999991</v>
          </cell>
          <cell r="AW3774" t="str">
            <v>Bùi Mạnh Hùng22</v>
          </cell>
          <cell r="AX3774" t="str">
            <v>Hằng</v>
          </cell>
        </row>
        <row r="3775">
          <cell r="D3775" t="str">
            <v>Lê Thanh Xuân</v>
          </cell>
          <cell r="AF3775" t="str">
            <v>XE01704</v>
          </cell>
          <cell r="AH3775">
            <v>8.02</v>
          </cell>
          <cell r="AW3775" t="str">
            <v>Lê Thanh Xuân22</v>
          </cell>
          <cell r="AX3775" t="str">
            <v>Hằng</v>
          </cell>
        </row>
        <row r="3776">
          <cell r="D3776" t="str">
            <v>Lê Thanh Xuân</v>
          </cell>
          <cell r="AF3776" t="str">
            <v>XE01704</v>
          </cell>
          <cell r="AH3776">
            <v>7.82</v>
          </cell>
          <cell r="AW3776" t="str">
            <v>Lê Thanh Xuân23</v>
          </cell>
          <cell r="AX3776" t="str">
            <v>Hằng</v>
          </cell>
        </row>
        <row r="3777">
          <cell r="D3777" t="str">
            <v>Phạm Văn Thiêm</v>
          </cell>
          <cell r="AF3777" t="str">
            <v>XE01090</v>
          </cell>
          <cell r="AH3777">
            <v>9.82</v>
          </cell>
          <cell r="AW3777" t="str">
            <v>Phạm Văn Thiêm22</v>
          </cell>
          <cell r="AX3777" t="str">
            <v>Hằng</v>
          </cell>
        </row>
        <row r="3778">
          <cell r="D3778" t="str">
            <v>Phạm Văn Thiêm</v>
          </cell>
          <cell r="AF3778" t="str">
            <v>XE01090</v>
          </cell>
          <cell r="AH3778">
            <v>8.620000000000001</v>
          </cell>
          <cell r="AW3778" t="str">
            <v>Phạm Văn Thiêm23</v>
          </cell>
          <cell r="AX3778" t="str">
            <v>Hằng</v>
          </cell>
        </row>
        <row r="3779">
          <cell r="D3779" t="str">
            <v>Đào Duy Nhất</v>
          </cell>
          <cell r="AF3779" t="str">
            <v>XE01062</v>
          </cell>
          <cell r="AH3779">
            <v>8.84</v>
          </cell>
          <cell r="AW3779" t="str">
            <v>Đào Duy Nhất23</v>
          </cell>
          <cell r="AX3779" t="str">
            <v>Hằng</v>
          </cell>
        </row>
        <row r="3780">
          <cell r="D3780" t="str">
            <v>Đào Duy Nhất</v>
          </cell>
          <cell r="AF3780" t="str">
            <v>XE01062</v>
          </cell>
          <cell r="AH3780">
            <v>9.82</v>
          </cell>
          <cell r="AW3780" t="str">
            <v>Đào Duy Nhất22</v>
          </cell>
          <cell r="AX3780" t="str">
            <v>Hằng</v>
          </cell>
        </row>
        <row r="3781">
          <cell r="D3781" t="str">
            <v>Lại Thế Thư</v>
          </cell>
          <cell r="AF3781" t="str">
            <v>XE01286</v>
          </cell>
          <cell r="AH3781">
            <v>7.6400000000000006</v>
          </cell>
          <cell r="AW3781" t="str">
            <v>Lại Thế Thư23</v>
          </cell>
          <cell r="AX3781" t="str">
            <v>Hằng</v>
          </cell>
        </row>
        <row r="3782">
          <cell r="D3782" t="str">
            <v>Lê Hùng Cường</v>
          </cell>
          <cell r="AF3782" t="str">
            <v>XE00188</v>
          </cell>
          <cell r="AH3782">
            <v>8.64</v>
          </cell>
          <cell r="AW3782" t="str">
            <v>Lê Hùng Cường23</v>
          </cell>
          <cell r="AX3782" t="str">
            <v>Hằng</v>
          </cell>
        </row>
        <row r="3783">
          <cell r="D3783" t="str">
            <v>Phan Thái Sơn</v>
          </cell>
          <cell r="AF3783" t="str">
            <v>XE00026</v>
          </cell>
          <cell r="AH3783">
            <v>9.42</v>
          </cell>
          <cell r="AW3783" t="str">
            <v>Phan Thái Sơn23</v>
          </cell>
          <cell r="AX3783" t="str">
            <v>Hằng</v>
          </cell>
        </row>
        <row r="3784">
          <cell r="D3784" t="str">
            <v>Nguyễn Thiên Mạnh</v>
          </cell>
          <cell r="AF3784" t="str">
            <v>XE01182</v>
          </cell>
          <cell r="AH3784">
            <v>9.82</v>
          </cell>
          <cell r="AW3784" t="str">
            <v>Nguyễn Thiên Mạnh23</v>
          </cell>
          <cell r="AX3784" t="str">
            <v>Hằng</v>
          </cell>
        </row>
        <row r="3785">
          <cell r="D3785" t="str">
            <v>Nguyễn Quốc Thắng</v>
          </cell>
          <cell r="AF3785" t="str">
            <v>XE00495</v>
          </cell>
          <cell r="AH3785">
            <v>9.6199999999999992</v>
          </cell>
          <cell r="AW3785" t="str">
            <v>Nguyễn Quốc Thắng23</v>
          </cell>
          <cell r="AX3785" t="str">
            <v>Hằng</v>
          </cell>
        </row>
        <row r="3786">
          <cell r="D3786" t="str">
            <v>Trần Ngọc Dũng</v>
          </cell>
          <cell r="AF3786" t="str">
            <v>XE01011</v>
          </cell>
          <cell r="AH3786">
            <v>9.2199999999999989</v>
          </cell>
          <cell r="AW3786" t="str">
            <v>Trần Ngọc Dũng23</v>
          </cell>
          <cell r="AX3786" t="str">
            <v>Hằng</v>
          </cell>
        </row>
        <row r="3787">
          <cell r="D3787" t="str">
            <v>Lò Văn Dương</v>
          </cell>
          <cell r="AF3787" t="str">
            <v>XE00913</v>
          </cell>
          <cell r="AH3787">
            <v>8.44</v>
          </cell>
          <cell r="AW3787" t="str">
            <v>Lò Văn Dương23</v>
          </cell>
          <cell r="AX3787" t="str">
            <v>Hằng</v>
          </cell>
        </row>
        <row r="3788">
          <cell r="D3788" t="str">
            <v>Đào Đức Liêm</v>
          </cell>
          <cell r="AF3788" t="str">
            <v>XE00397</v>
          </cell>
          <cell r="AH3788">
            <v>9.82</v>
          </cell>
          <cell r="AW3788" t="str">
            <v>Đào Đức Liêm23</v>
          </cell>
          <cell r="AX3788" t="str">
            <v>Hằng</v>
          </cell>
        </row>
        <row r="3789">
          <cell r="D3789" t="str">
            <v>Nguyễn Việt Cường</v>
          </cell>
          <cell r="AF3789" t="str">
            <v>XE00345</v>
          </cell>
          <cell r="AH3789">
            <v>9.82</v>
          </cell>
          <cell r="AW3789" t="str">
            <v>Nguyễn Việt Cường23</v>
          </cell>
          <cell r="AX3789" t="str">
            <v>Hằng</v>
          </cell>
        </row>
        <row r="3790">
          <cell r="D3790" t="str">
            <v>Lê Minh Đức</v>
          </cell>
          <cell r="AF3790" t="str">
            <v>XE01688</v>
          </cell>
          <cell r="AH3790">
            <v>9.82</v>
          </cell>
          <cell r="AW3790" t="str">
            <v>Lê Minh Đức22</v>
          </cell>
          <cell r="AX3790" t="str">
            <v>Hằng</v>
          </cell>
        </row>
        <row r="3791">
          <cell r="D3791" t="str">
            <v>Lê Minh Đức</v>
          </cell>
          <cell r="AF3791" t="str">
            <v>XE01688</v>
          </cell>
          <cell r="AH3791">
            <v>9.2199999999999989</v>
          </cell>
          <cell r="AW3791" t="str">
            <v>Lê Minh Đức23</v>
          </cell>
          <cell r="AX3791" t="str">
            <v>Hằng</v>
          </cell>
        </row>
        <row r="3792">
          <cell r="D3792" t="str">
            <v>Nguyễn Mạnh Cường</v>
          </cell>
          <cell r="AF3792" t="str">
            <v>XE01699</v>
          </cell>
          <cell r="AH3792">
            <v>9.82</v>
          </cell>
          <cell r="AW3792" t="str">
            <v>Nguyễn Mạnh Cường22</v>
          </cell>
          <cell r="AX3792" t="str">
            <v>Hằng</v>
          </cell>
        </row>
        <row r="3793">
          <cell r="D3793" t="str">
            <v>Nguyễn Mạnh Cường</v>
          </cell>
          <cell r="AF3793" t="str">
            <v>XE01699</v>
          </cell>
          <cell r="AH3793">
            <v>9.02</v>
          </cell>
          <cell r="AW3793" t="str">
            <v>Nguyễn Mạnh Cường23</v>
          </cell>
          <cell r="AX3793" t="str">
            <v>Hằng</v>
          </cell>
        </row>
        <row r="3794">
          <cell r="D3794" t="str">
            <v>Nguyễn Thế Anh</v>
          </cell>
          <cell r="AF3794" t="str">
            <v>XE00383</v>
          </cell>
          <cell r="AH3794">
            <v>9.42</v>
          </cell>
          <cell r="AW3794" t="str">
            <v>Nguyễn Thế Anh23</v>
          </cell>
          <cell r="AX3794" t="str">
            <v>Hằng</v>
          </cell>
        </row>
        <row r="3795">
          <cell r="D3795" t="str">
            <v>Nguyễn Văn Minh</v>
          </cell>
          <cell r="AF3795" t="str">
            <v>XE01570</v>
          </cell>
          <cell r="AH3795">
            <v>9.82</v>
          </cell>
          <cell r="AW3795" t="str">
            <v>Nguyễn Văn Minh23</v>
          </cell>
          <cell r="AX3795" t="str">
            <v>Hằng</v>
          </cell>
        </row>
        <row r="3796">
          <cell r="D3796" t="str">
            <v>Dương Anh Đức</v>
          </cell>
          <cell r="AF3796" t="str">
            <v>XE01441</v>
          </cell>
          <cell r="AH3796">
            <v>9.82</v>
          </cell>
          <cell r="AW3796" t="str">
            <v>Dương Anh Đức24</v>
          </cell>
          <cell r="AX3796" t="str">
            <v>Hằng</v>
          </cell>
        </row>
        <row r="3797">
          <cell r="D3797" t="str">
            <v>Nguyễn Tiến Hưng</v>
          </cell>
          <cell r="AF3797" t="str">
            <v>XE00212</v>
          </cell>
          <cell r="AH3797">
            <v>9.82</v>
          </cell>
          <cell r="AW3797" t="str">
            <v>Nguyễn Tiến Hưng17</v>
          </cell>
          <cell r="AX3797" t="str">
            <v>Hằng</v>
          </cell>
        </row>
        <row r="3798">
          <cell r="D3798" t="str">
            <v>Trần Quốc Toàn</v>
          </cell>
          <cell r="AF3798" t="str">
            <v>XE00901</v>
          </cell>
          <cell r="AH3798">
            <v>9.82</v>
          </cell>
          <cell r="AW3798" t="str">
            <v>Trần Quốc Toàn24</v>
          </cell>
          <cell r="AX3798" t="str">
            <v>Hằng</v>
          </cell>
        </row>
        <row r="3799">
          <cell r="D3799" t="str">
            <v>Nguyễn Trung Hiếu</v>
          </cell>
          <cell r="AF3799" t="str">
            <v>XE00429</v>
          </cell>
          <cell r="AH3799">
            <v>8.2200000000000006</v>
          </cell>
          <cell r="AW3799" t="str">
            <v>Nguyễn Trung Hiếu24</v>
          </cell>
          <cell r="AX3799" t="str">
            <v>Hằng</v>
          </cell>
        </row>
        <row r="3800">
          <cell r="D3800" t="str">
            <v>Phạm Công Khánh</v>
          </cell>
          <cell r="AF3800" t="str">
            <v>XE00386</v>
          </cell>
          <cell r="AH3800">
            <v>9.82</v>
          </cell>
          <cell r="AW3800" t="str">
            <v>Phạm Công Khánh24</v>
          </cell>
          <cell r="AX3800" t="str">
            <v>Hằng</v>
          </cell>
        </row>
        <row r="3801">
          <cell r="D3801" t="str">
            <v>Nguyễn Duy Phương</v>
          </cell>
          <cell r="AF3801" t="str">
            <v>XE00308</v>
          </cell>
          <cell r="AH3801">
            <v>8.84</v>
          </cell>
          <cell r="AW3801" t="str">
            <v>Nguyễn Duy Phương24</v>
          </cell>
          <cell r="AX3801" t="str">
            <v>Hằng</v>
          </cell>
        </row>
        <row r="3802">
          <cell r="D3802" t="str">
            <v>Vũ Hoàng Long</v>
          </cell>
          <cell r="AF3802" t="str">
            <v>XE00312</v>
          </cell>
          <cell r="AH3802">
            <v>8.44</v>
          </cell>
          <cell r="AW3802" t="str">
            <v>Vũ Hoàng Long24</v>
          </cell>
          <cell r="AX3802" t="str">
            <v>Hằng</v>
          </cell>
        </row>
        <row r="3803">
          <cell r="D3803" t="str">
            <v>Nguyễn Hùng Cường</v>
          </cell>
          <cell r="AF3803" t="str">
            <v>XE01333</v>
          </cell>
          <cell r="AH3803">
            <v>9.42</v>
          </cell>
          <cell r="AW3803" t="str">
            <v>Nguyễn Hùng Cường25</v>
          </cell>
          <cell r="AX3803" t="str">
            <v>Hằng</v>
          </cell>
        </row>
        <row r="3804">
          <cell r="D3804" t="str">
            <v>Nguyễn Minh Tuấn</v>
          </cell>
          <cell r="AF3804" t="str">
            <v>XE01562</v>
          </cell>
          <cell r="AH3804">
            <v>9.82</v>
          </cell>
          <cell r="AW3804" t="str">
            <v>Nguyễn Minh Tuấn25</v>
          </cell>
          <cell r="AX3804" t="str">
            <v>Hằng</v>
          </cell>
        </row>
        <row r="3805">
          <cell r="D3805" t="str">
            <v>Trần Văn Sơn</v>
          </cell>
          <cell r="AF3805" t="str">
            <v>XE01427</v>
          </cell>
          <cell r="AH3805">
            <v>8.84</v>
          </cell>
          <cell r="AW3805" t="str">
            <v>Trần Văn Sơn25</v>
          </cell>
          <cell r="AX3805" t="str">
            <v>Hằng</v>
          </cell>
        </row>
        <row r="3806">
          <cell r="D3806" t="str">
            <v>Nguyễn Văn Thành</v>
          </cell>
          <cell r="AF3806" t="str">
            <v>XE01278</v>
          </cell>
          <cell r="AH3806">
            <v>9.82</v>
          </cell>
          <cell r="AW3806" t="str">
            <v>Nguyễn Văn Thành25</v>
          </cell>
          <cell r="AX3806" t="str">
            <v>Hằng</v>
          </cell>
        </row>
        <row r="3807">
          <cell r="D3807" t="str">
            <v>Nguyễn Văn Võ</v>
          </cell>
          <cell r="AF3807" t="str">
            <v>XE01230</v>
          </cell>
          <cell r="AH3807">
            <v>9.02</v>
          </cell>
          <cell r="AW3807" t="str">
            <v>Nguyễn Văn Võ25</v>
          </cell>
          <cell r="AX3807" t="str">
            <v>Hằng</v>
          </cell>
        </row>
        <row r="3808">
          <cell r="D3808" t="str">
            <v>Nguyễn Đức Tuấn</v>
          </cell>
          <cell r="AF3808" t="str">
            <v>XE00395</v>
          </cell>
          <cell r="AH3808">
            <v>9.82</v>
          </cell>
          <cell r="AW3808" t="str">
            <v>Nguyễn Đức Tuấn25</v>
          </cell>
          <cell r="AX3808" t="str">
            <v>Hằng</v>
          </cell>
        </row>
        <row r="3809">
          <cell r="D3809" t="str">
            <v>Lê Quang Thuỷ</v>
          </cell>
          <cell r="AF3809" t="str">
            <v>XE00557</v>
          </cell>
          <cell r="AH3809">
            <v>8.2200000000000006</v>
          </cell>
          <cell r="AW3809" t="str">
            <v>Lê Quang Thuỷ25</v>
          </cell>
          <cell r="AX3809" t="str">
            <v>Hằng</v>
          </cell>
        </row>
        <row r="3810">
          <cell r="D3810" t="str">
            <v>Dương Anh Đức</v>
          </cell>
          <cell r="AF3810" t="str">
            <v>XE01441</v>
          </cell>
          <cell r="AH3810">
            <v>9.82</v>
          </cell>
          <cell r="AW3810" t="str">
            <v>Dương Anh Đức25</v>
          </cell>
          <cell r="AX3810" t="str">
            <v>Hằng</v>
          </cell>
        </row>
        <row r="3811">
          <cell r="D3811" t="str">
            <v>Nguyễn Tuấn Trường</v>
          </cell>
          <cell r="AF3811" t="str">
            <v>XE00161</v>
          </cell>
          <cell r="AH3811">
            <v>9.42</v>
          </cell>
          <cell r="AW3811" t="str">
            <v>Nguyễn Tuấn Trường25</v>
          </cell>
          <cell r="AX3811" t="str">
            <v>Hằng</v>
          </cell>
        </row>
        <row r="3812">
          <cell r="D3812" t="str">
            <v>Lê Quang Minh</v>
          </cell>
          <cell r="AF3812" t="str">
            <v>XE01056</v>
          </cell>
          <cell r="AH3812">
            <v>9.42</v>
          </cell>
          <cell r="AW3812" t="str">
            <v>Lê Quang Minh18</v>
          </cell>
          <cell r="AX3812" t="str">
            <v>Hằng</v>
          </cell>
        </row>
        <row r="3813">
          <cell r="D3813" t="str">
            <v>Trần Xuân Bách</v>
          </cell>
          <cell r="AF3813" t="str">
            <v>XE01008</v>
          </cell>
          <cell r="AH3813">
            <v>9.82</v>
          </cell>
          <cell r="AW3813" t="str">
            <v>Trần Xuân Bách23</v>
          </cell>
          <cell r="AX3813" t="str">
            <v>Hằng</v>
          </cell>
        </row>
        <row r="3814">
          <cell r="D3814" t="str">
            <v>Trần Xuân Bách</v>
          </cell>
          <cell r="AF3814" t="str">
            <v>XE01008</v>
          </cell>
          <cell r="AH3814">
            <v>9.82</v>
          </cell>
          <cell r="AW3814" t="str">
            <v>Trần Xuân Bách24</v>
          </cell>
          <cell r="AX3814" t="str">
            <v>Hằng</v>
          </cell>
        </row>
        <row r="3815">
          <cell r="D3815" t="str">
            <v>Lê Thanh Xuân</v>
          </cell>
          <cell r="AF3815" t="str">
            <v>XE01704</v>
          </cell>
          <cell r="AH3815">
            <v>9.42</v>
          </cell>
          <cell r="AW3815" t="str">
            <v>Lê Thanh Xuân24</v>
          </cell>
          <cell r="AX3815" t="str">
            <v>Hằng</v>
          </cell>
        </row>
        <row r="3816">
          <cell r="D3816" t="str">
            <v>Lê Hùng Cường</v>
          </cell>
          <cell r="AF3816" t="str">
            <v>XE00188</v>
          </cell>
          <cell r="AH3816">
            <v>9.42</v>
          </cell>
          <cell r="AW3816" t="str">
            <v>Lê Hùng Cường24</v>
          </cell>
          <cell r="AX3816" t="str">
            <v>Hằng</v>
          </cell>
        </row>
        <row r="3817">
          <cell r="D3817" t="str">
            <v>Phan Thái Sơn</v>
          </cell>
          <cell r="AF3817" t="str">
            <v>XE00026</v>
          </cell>
          <cell r="AH3817">
            <v>9.82</v>
          </cell>
          <cell r="AW3817" t="str">
            <v>Phan Thái Sơn24</v>
          </cell>
          <cell r="AX3817" t="str">
            <v>Hằng</v>
          </cell>
        </row>
        <row r="3818">
          <cell r="D3818" t="str">
            <v>Nguyễn Thiên Mạnh</v>
          </cell>
          <cell r="AF3818" t="str">
            <v>XE01182</v>
          </cell>
          <cell r="AH3818">
            <v>8.82</v>
          </cell>
          <cell r="AW3818" t="str">
            <v>Nguyễn Thiên Mạnh24</v>
          </cell>
          <cell r="AX3818" t="str">
            <v>Hằng</v>
          </cell>
        </row>
        <row r="3819">
          <cell r="D3819" t="str">
            <v>Phạm Văn Thiêm</v>
          </cell>
          <cell r="AF3819" t="str">
            <v>XE01090</v>
          </cell>
          <cell r="AH3819">
            <v>9.82</v>
          </cell>
          <cell r="AW3819" t="str">
            <v>Phạm Văn Thiêm24</v>
          </cell>
          <cell r="AX3819" t="str">
            <v>Hằng</v>
          </cell>
        </row>
        <row r="3820">
          <cell r="D3820" t="str">
            <v>Đào Duy Nhất</v>
          </cell>
          <cell r="AF3820" t="str">
            <v>XE01062</v>
          </cell>
          <cell r="AH3820">
            <v>9.02</v>
          </cell>
          <cell r="AW3820" t="str">
            <v>Đào Duy Nhất24</v>
          </cell>
          <cell r="AX3820" t="str">
            <v>Hằng</v>
          </cell>
        </row>
        <row r="3821">
          <cell r="D3821" t="str">
            <v>Trần Ngọc Dũng</v>
          </cell>
          <cell r="AF3821" t="str">
            <v>XE01011</v>
          </cell>
          <cell r="AH3821">
            <v>8.2200000000000006</v>
          </cell>
          <cell r="AW3821" t="str">
            <v>Trần Ngọc Dũng24</v>
          </cell>
          <cell r="AX3821" t="str">
            <v>Hằng</v>
          </cell>
        </row>
        <row r="3822">
          <cell r="D3822" t="str">
            <v>Lò Văn Dương</v>
          </cell>
          <cell r="AF3822" t="str">
            <v>XE00913</v>
          </cell>
          <cell r="AH3822">
            <v>7.82</v>
          </cell>
          <cell r="AW3822" t="str">
            <v>Lò Văn Dương24</v>
          </cell>
          <cell r="AX3822" t="str">
            <v>Hằng</v>
          </cell>
        </row>
        <row r="3823">
          <cell r="D3823" t="str">
            <v>Đào Đức Liêm</v>
          </cell>
          <cell r="AF3823" t="str">
            <v>XE00397</v>
          </cell>
          <cell r="AH3823">
            <v>9.02</v>
          </cell>
          <cell r="AW3823" t="str">
            <v>Đào Đức Liêm24</v>
          </cell>
          <cell r="AX3823" t="str">
            <v>Hằng</v>
          </cell>
        </row>
        <row r="3824">
          <cell r="D3824" t="str">
            <v>Nguyễn Việt Cường</v>
          </cell>
          <cell r="AF3824" t="str">
            <v>XE00345</v>
          </cell>
          <cell r="AH3824">
            <v>9.02</v>
          </cell>
          <cell r="AW3824" t="str">
            <v>Nguyễn Việt Cường24</v>
          </cell>
          <cell r="AX3824" t="str">
            <v>Hằng</v>
          </cell>
        </row>
        <row r="3825">
          <cell r="D3825" t="str">
            <v>Nguyễn Thế Anh</v>
          </cell>
          <cell r="AF3825" t="str">
            <v>XE00383</v>
          </cell>
          <cell r="AH3825">
            <v>9.42</v>
          </cell>
          <cell r="AW3825" t="str">
            <v>Nguyễn Thế Anh24</v>
          </cell>
          <cell r="AX3825" t="str">
            <v>Hằng</v>
          </cell>
        </row>
        <row r="3826">
          <cell r="D3826" t="str">
            <v>Nguyễn Mạnh Cường</v>
          </cell>
          <cell r="AF3826" t="str">
            <v>XE01699</v>
          </cell>
          <cell r="AH3826">
            <v>9.82</v>
          </cell>
          <cell r="AW3826" t="str">
            <v>Nguyễn Mạnh Cường24</v>
          </cell>
          <cell r="AX3826" t="str">
            <v>Hằng</v>
          </cell>
        </row>
        <row r="3827">
          <cell r="D3827" t="str">
            <v>Lê Minh Đức</v>
          </cell>
          <cell r="AF3827" t="str">
            <v>XE01688</v>
          </cell>
          <cell r="AH3827">
            <v>9.42</v>
          </cell>
          <cell r="AW3827" t="str">
            <v>Lê Minh Đức24</v>
          </cell>
          <cell r="AX3827" t="str">
            <v>Hằng</v>
          </cell>
        </row>
        <row r="3828">
          <cell r="D3828" t="str">
            <v>Nguyễn Văn Minh</v>
          </cell>
          <cell r="AF3828" t="str">
            <v>XE01570</v>
          </cell>
          <cell r="AH3828">
            <v>8.44</v>
          </cell>
          <cell r="AW3828" t="str">
            <v>Nguyễn Văn Minh24</v>
          </cell>
          <cell r="AX3828" t="str">
            <v>Hằng</v>
          </cell>
        </row>
        <row r="3829">
          <cell r="D3829" t="str">
            <v>Nguyễn Tiến Hưng</v>
          </cell>
          <cell r="AF3829" t="str">
            <v>XE00212</v>
          </cell>
          <cell r="AH3829">
            <v>9.42</v>
          </cell>
          <cell r="AW3829" t="str">
            <v>Nguyễn Tiến Hưng18</v>
          </cell>
          <cell r="AX3829" t="str">
            <v>Hằng</v>
          </cell>
        </row>
        <row r="3830">
          <cell r="D3830" t="str">
            <v>Nguyễn Tiến Hưng</v>
          </cell>
          <cell r="AF3830" t="str">
            <v>XE00212</v>
          </cell>
          <cell r="AH3830">
            <v>9.42</v>
          </cell>
          <cell r="AW3830" t="str">
            <v>Nguyễn Tiến Hưng19</v>
          </cell>
          <cell r="AX3830" t="str">
            <v>Hằng</v>
          </cell>
        </row>
        <row r="3831">
          <cell r="D3831" t="str">
            <v>Nguyễn Trung Hiếu</v>
          </cell>
          <cell r="AF3831" t="str">
            <v>XE00429</v>
          </cell>
          <cell r="AH3831">
            <v>9.82</v>
          </cell>
          <cell r="AW3831" t="str">
            <v>Nguyễn Trung Hiếu25</v>
          </cell>
          <cell r="AX3831" t="str">
            <v>Hằng</v>
          </cell>
        </row>
        <row r="3832">
          <cell r="D3832" t="str">
            <v>Phạm Công Khánh</v>
          </cell>
          <cell r="AF3832" t="str">
            <v>XE00386</v>
          </cell>
          <cell r="AH3832">
            <v>9.82</v>
          </cell>
          <cell r="AW3832" t="str">
            <v>Phạm Công Khánh25</v>
          </cell>
          <cell r="AX3832" t="str">
            <v>Hằng</v>
          </cell>
        </row>
        <row r="3833">
          <cell r="D3833" t="str">
            <v>Nguyễn Duy Phương</v>
          </cell>
          <cell r="AF3833" t="str">
            <v>XE00308</v>
          </cell>
          <cell r="AH3833">
            <v>9.42</v>
          </cell>
          <cell r="AW3833" t="str">
            <v>Nguyễn Duy Phương25</v>
          </cell>
          <cell r="AX3833" t="str">
            <v>Hằng</v>
          </cell>
        </row>
        <row r="3834">
          <cell r="D3834" t="str">
            <v>Vũ Hoàng Long</v>
          </cell>
          <cell r="AF3834" t="str">
            <v>XE00312</v>
          </cell>
          <cell r="AH3834">
            <v>9.42</v>
          </cell>
          <cell r="AW3834" t="str">
            <v>Vũ Hoàng Long25</v>
          </cell>
          <cell r="AX3834" t="str">
            <v>Hằng</v>
          </cell>
        </row>
        <row r="3835">
          <cell r="D3835" t="str">
            <v>Lê Quang Minh</v>
          </cell>
          <cell r="AF3835" t="str">
            <v>XE01056</v>
          </cell>
          <cell r="AH3835">
            <v>7.6400000000000006</v>
          </cell>
          <cell r="AW3835" t="str">
            <v>Lê Quang Minh19</v>
          </cell>
          <cell r="AX3835" t="str">
            <v>Hằng</v>
          </cell>
        </row>
        <row r="3836">
          <cell r="D3836" t="str">
            <v>Lê Thanh Xuân</v>
          </cell>
          <cell r="AF3836" t="str">
            <v>XE01704</v>
          </cell>
          <cell r="AH3836">
            <v>8.2200000000000006</v>
          </cell>
          <cell r="AW3836" t="str">
            <v>Lê Thanh Xuân25</v>
          </cell>
          <cell r="AX3836" t="str">
            <v>Hằng</v>
          </cell>
        </row>
        <row r="3837">
          <cell r="D3837" t="str">
            <v>Lê Hùng Cường</v>
          </cell>
          <cell r="AF3837" t="str">
            <v>XE00188</v>
          </cell>
          <cell r="AH3837">
            <v>9.82</v>
          </cell>
          <cell r="AW3837" t="str">
            <v>Lê Hùng Cường25</v>
          </cell>
          <cell r="AX3837" t="str">
            <v>Hằng</v>
          </cell>
        </row>
        <row r="3838">
          <cell r="D3838" t="str">
            <v>Phan Thái Sơn</v>
          </cell>
          <cell r="AF3838" t="str">
            <v>XE00026</v>
          </cell>
          <cell r="AH3838">
            <v>9.82</v>
          </cell>
          <cell r="AW3838" t="str">
            <v>Phan Thái Sơn25</v>
          </cell>
          <cell r="AX3838" t="str">
            <v>Hằng</v>
          </cell>
        </row>
        <row r="3839">
          <cell r="D3839" t="str">
            <v>Nguyễn Thiên Mạnh</v>
          </cell>
          <cell r="AF3839" t="str">
            <v>XE01182</v>
          </cell>
          <cell r="AH3839">
            <v>9.82</v>
          </cell>
          <cell r="AW3839" t="str">
            <v>Nguyễn Thiên Mạnh25</v>
          </cell>
          <cell r="AX3839" t="str">
            <v>Hằng</v>
          </cell>
        </row>
        <row r="3840">
          <cell r="D3840" t="str">
            <v>Phạm Văn Thiêm</v>
          </cell>
          <cell r="AF3840" t="str">
            <v>XE01090</v>
          </cell>
          <cell r="AH3840">
            <v>10</v>
          </cell>
          <cell r="AW3840" t="str">
            <v>Phạm Văn Thiêm25</v>
          </cell>
          <cell r="AX3840" t="str">
            <v>Hằng</v>
          </cell>
        </row>
        <row r="3841">
          <cell r="D3841" t="str">
            <v>Đào Duy Nhất</v>
          </cell>
          <cell r="AF3841" t="str">
            <v>XE01062</v>
          </cell>
          <cell r="AH3841">
            <v>9.82</v>
          </cell>
          <cell r="AW3841" t="str">
            <v>Đào Duy Nhất25</v>
          </cell>
          <cell r="AX3841" t="str">
            <v>Hằng</v>
          </cell>
        </row>
        <row r="3842">
          <cell r="D3842" t="str">
            <v>Trần Ngọc Dũng</v>
          </cell>
          <cell r="AF3842" t="str">
            <v>XE01011</v>
          </cell>
          <cell r="AH3842">
            <v>8.620000000000001</v>
          </cell>
          <cell r="AW3842" t="str">
            <v>Trần Ngọc Dũng25</v>
          </cell>
          <cell r="AX3842" t="str">
            <v>Hằng</v>
          </cell>
        </row>
        <row r="3843">
          <cell r="D3843" t="str">
            <v>Lò Văn Dương</v>
          </cell>
          <cell r="AF3843" t="str">
            <v>XE00913</v>
          </cell>
          <cell r="AH3843">
            <v>9.02</v>
          </cell>
          <cell r="AW3843" t="str">
            <v>Lò Văn Dương25</v>
          </cell>
          <cell r="AX3843" t="str">
            <v>Hằng</v>
          </cell>
        </row>
        <row r="3844">
          <cell r="D3844" t="str">
            <v>Đào Đức Liêm</v>
          </cell>
          <cell r="AF3844" t="str">
            <v>XE00397</v>
          </cell>
          <cell r="AH3844">
            <v>8.6199999999999992</v>
          </cell>
          <cell r="AW3844" t="str">
            <v>Đào Đức Liêm25</v>
          </cell>
          <cell r="AX3844" t="str">
            <v>Hằng</v>
          </cell>
        </row>
        <row r="3845">
          <cell r="D3845" t="str">
            <v>Nguyễn Việt Cường</v>
          </cell>
          <cell r="AF3845" t="str">
            <v>XE00345</v>
          </cell>
          <cell r="AH3845">
            <v>9.02</v>
          </cell>
          <cell r="AW3845" t="str">
            <v>Nguyễn Việt Cường25</v>
          </cell>
          <cell r="AX3845" t="str">
            <v>Hằng</v>
          </cell>
        </row>
        <row r="3846">
          <cell r="D3846" t="str">
            <v>Nguyễn Thế Anh</v>
          </cell>
          <cell r="AF3846" t="str">
            <v>XE00383</v>
          </cell>
          <cell r="AH3846">
            <v>9.24</v>
          </cell>
          <cell r="AW3846" t="str">
            <v>Nguyễn Thế Anh25</v>
          </cell>
          <cell r="AX3846" t="str">
            <v>Hằng</v>
          </cell>
        </row>
        <row r="3847">
          <cell r="D3847" t="str">
            <v>Nguyễn Mạnh Cường</v>
          </cell>
          <cell r="AF3847" t="str">
            <v>XE01699</v>
          </cell>
          <cell r="AH3847">
            <v>9.02</v>
          </cell>
          <cell r="AW3847" t="str">
            <v>Nguyễn Mạnh Cường25</v>
          </cell>
          <cell r="AX3847" t="str">
            <v>Hằng</v>
          </cell>
        </row>
        <row r="3848">
          <cell r="D3848" t="str">
            <v>Lê Minh Đức</v>
          </cell>
          <cell r="AF3848" t="str">
            <v>XE01688</v>
          </cell>
          <cell r="AH3848">
            <v>9.82</v>
          </cell>
          <cell r="AW3848" t="str">
            <v>Lê Minh Đức25</v>
          </cell>
          <cell r="AX3848" t="str">
            <v>Hằng</v>
          </cell>
        </row>
        <row r="3849">
          <cell r="D3849" t="str">
            <v>Nguyễn Văn Minh</v>
          </cell>
          <cell r="AF3849" t="str">
            <v>XE01570</v>
          </cell>
          <cell r="AH3849">
            <v>9.6199999999999992</v>
          </cell>
          <cell r="AW3849" t="str">
            <v>Nguyễn Văn Minh25</v>
          </cell>
          <cell r="AX3849" t="str">
            <v>Hằng</v>
          </cell>
        </row>
        <row r="3850">
          <cell r="D3850" t="str">
            <v>Nguyễn Tiến Hưng</v>
          </cell>
          <cell r="AF3850" t="str">
            <v>XE00212</v>
          </cell>
          <cell r="AH3850">
            <v>9.42</v>
          </cell>
          <cell r="AW3850" t="str">
            <v>Nguyễn Tiến Hưng20</v>
          </cell>
          <cell r="AX3850" t="str">
            <v>Hằng</v>
          </cell>
        </row>
        <row r="3851">
          <cell r="D3851" t="str">
            <v>Nguyễn Tiến Hưng</v>
          </cell>
          <cell r="AF3851" t="str">
            <v>XE00212</v>
          </cell>
          <cell r="AH3851">
            <v>9.42</v>
          </cell>
          <cell r="AW3851" t="str">
            <v>Nguyễn Tiến Hưng21</v>
          </cell>
          <cell r="AX3851" t="str">
            <v>Hằng</v>
          </cell>
        </row>
        <row r="3852">
          <cell r="D3852" t="str">
            <v>Lê Tuấn Linh</v>
          </cell>
          <cell r="AF3852" t="str">
            <v>XE00869</v>
          </cell>
          <cell r="AH3852">
            <v>9.82</v>
          </cell>
          <cell r="AW3852" t="str">
            <v>Lê Tuấn Linh21</v>
          </cell>
          <cell r="AX3852" t="str">
            <v>Hằng</v>
          </cell>
        </row>
        <row r="3853">
          <cell r="D3853" t="str">
            <v>Lê Tuấn Linh</v>
          </cell>
          <cell r="AF3853" t="str">
            <v>XE00869</v>
          </cell>
          <cell r="AH3853">
            <v>8.2200000000000006</v>
          </cell>
          <cell r="AW3853" t="str">
            <v>Lê Tuấn Linh22</v>
          </cell>
          <cell r="AX3853" t="str">
            <v>Hằng</v>
          </cell>
        </row>
        <row r="3854">
          <cell r="D3854" t="str">
            <v>Tống Văn Hậu</v>
          </cell>
          <cell r="AF3854" t="str">
            <v>XE01088</v>
          </cell>
          <cell r="AH3854">
            <v>9.82</v>
          </cell>
          <cell r="AW3854" t="str">
            <v>Tống Văn Hậu24</v>
          </cell>
          <cell r="AX3854" t="str">
            <v>Hằng</v>
          </cell>
        </row>
        <row r="3855">
          <cell r="D3855" t="str">
            <v>Tống Văn Hậu</v>
          </cell>
          <cell r="AF3855" t="str">
            <v>XE01088</v>
          </cell>
          <cell r="AH3855">
            <v>9.42</v>
          </cell>
          <cell r="AW3855" t="str">
            <v>Tống Văn Hậu25</v>
          </cell>
          <cell r="AX3855" t="str">
            <v>Hằng</v>
          </cell>
        </row>
        <row r="3856">
          <cell r="D3856" t="str">
            <v>Trần Quốc Toàn</v>
          </cell>
          <cell r="AF3856" t="str">
            <v>XE00901</v>
          </cell>
          <cell r="AH3856">
            <v>9.42</v>
          </cell>
          <cell r="AW3856" t="str">
            <v>Trần Quốc Toàn25</v>
          </cell>
          <cell r="AX3856" t="str">
            <v>Hằng</v>
          </cell>
        </row>
        <row r="3857">
          <cell r="D3857" t="str">
            <v>Lê Quang Minh</v>
          </cell>
          <cell r="AF3857" t="str">
            <v>XE01056</v>
          </cell>
          <cell r="AH3857">
            <v>9.42</v>
          </cell>
          <cell r="AW3857" t="str">
            <v>Lê Quang Minh20</v>
          </cell>
          <cell r="AX3857" t="str">
            <v>Hằng</v>
          </cell>
        </row>
        <row r="3858">
          <cell r="D3858" t="str">
            <v>Lê Quang Minh</v>
          </cell>
          <cell r="AF3858" t="str">
            <v>XE01056</v>
          </cell>
          <cell r="AH3858">
            <v>9.42</v>
          </cell>
          <cell r="AW3858" t="str">
            <v>Lê Quang Minh21</v>
          </cell>
          <cell r="AX3858" t="str">
            <v>Hằng</v>
          </cell>
        </row>
        <row r="3859">
          <cell r="D3859" t="str">
            <v>Đinh Văn Chung</v>
          </cell>
          <cell r="AF3859" t="str">
            <v>XE00122</v>
          </cell>
          <cell r="AH3859">
            <v>9.7199999999999989</v>
          </cell>
          <cell r="AW3859" t="str">
            <v>Đinh Văn Chung21</v>
          </cell>
          <cell r="AX3859" t="str">
            <v>Hằng</v>
          </cell>
        </row>
        <row r="3860">
          <cell r="D3860" t="str">
            <v>Đinh Văn Chung</v>
          </cell>
          <cell r="AF3860" t="str">
            <v>XE00122</v>
          </cell>
          <cell r="AH3860">
            <v>9.6199999999999992</v>
          </cell>
          <cell r="AW3860" t="str">
            <v>Đinh Văn Chung22</v>
          </cell>
          <cell r="AX3860" t="str">
            <v>Hằng</v>
          </cell>
        </row>
        <row r="3861">
          <cell r="D3861" t="str">
            <v>Lại Thế Thư</v>
          </cell>
          <cell r="AF3861" t="str">
            <v>XE01286</v>
          </cell>
          <cell r="AH3861">
            <v>7.6400000000000006</v>
          </cell>
          <cell r="AW3861" t="str">
            <v>Lại Thế Thư24</v>
          </cell>
          <cell r="AX3861" t="str">
            <v>Hằng</v>
          </cell>
        </row>
        <row r="3862">
          <cell r="D3862" t="str">
            <v>Lại Thế Thư</v>
          </cell>
          <cell r="AF3862" t="str">
            <v>XE01286</v>
          </cell>
          <cell r="AH3862">
            <v>9.82</v>
          </cell>
          <cell r="AW3862" t="str">
            <v>Lại Thế Thư25</v>
          </cell>
          <cell r="AX3862" t="str">
            <v>Hằng</v>
          </cell>
        </row>
        <row r="3863">
          <cell r="D3863" t="str">
            <v>Nguyễn Quốc Thắng</v>
          </cell>
          <cell r="AF3863" t="str">
            <v>XE00495</v>
          </cell>
          <cell r="AH3863">
            <v>9.82</v>
          </cell>
          <cell r="AW3863" t="str">
            <v>Nguyễn Quốc Thắng24</v>
          </cell>
          <cell r="AX3863" t="str">
            <v>Hằng</v>
          </cell>
        </row>
        <row r="3864">
          <cell r="D3864" t="str">
            <v>Nguyễn Quốc Thắng</v>
          </cell>
          <cell r="AF3864" t="str">
            <v>XE00495</v>
          </cell>
          <cell r="AH3864">
            <v>8.84</v>
          </cell>
          <cell r="AW3864" t="str">
            <v>Nguyễn Quốc Thắng25</v>
          </cell>
          <cell r="AX3864" t="str">
            <v>Hằng</v>
          </cell>
        </row>
        <row r="3865">
          <cell r="D3865" t="str">
            <v>Nguyễn Khắc Thường</v>
          </cell>
          <cell r="AF3865" t="str">
            <v>XE01758</v>
          </cell>
          <cell r="AH3865">
            <v>9.42</v>
          </cell>
          <cell r="AW3865" t="str">
            <v>Nguyễn Khắc Thường1</v>
          </cell>
          <cell r="AX3865" t="str">
            <v>Hằng</v>
          </cell>
        </row>
        <row r="3866">
          <cell r="D3866" t="str">
            <v>Nguyễn Tiến Hưng</v>
          </cell>
          <cell r="AF3866" t="str">
            <v>XE00212</v>
          </cell>
          <cell r="AH3866">
            <v>8.2200000000000006</v>
          </cell>
          <cell r="AW3866" t="str">
            <v>Nguyễn Tiến Hưng22</v>
          </cell>
          <cell r="AX3866" t="str">
            <v>Hằng</v>
          </cell>
        </row>
        <row r="3867">
          <cell r="D3867" t="str">
            <v>Nguyễn Tiến Hưng</v>
          </cell>
          <cell r="AF3867" t="str">
            <v>XE00212</v>
          </cell>
          <cell r="AH3867">
            <v>9.6199999999999992</v>
          </cell>
          <cell r="AW3867" t="str">
            <v>Nguyễn Tiến Hưng23</v>
          </cell>
          <cell r="AX3867" t="str">
            <v>Hằng</v>
          </cell>
        </row>
        <row r="3868">
          <cell r="D3868" t="str">
            <v>Lê Tuấn Linh</v>
          </cell>
          <cell r="AF3868" t="str">
            <v>XE00869</v>
          </cell>
          <cell r="AH3868">
            <v>9.32</v>
          </cell>
          <cell r="AW3868" t="str">
            <v>Lê Tuấn Linh23</v>
          </cell>
          <cell r="AX3868" t="str">
            <v>Hằng</v>
          </cell>
        </row>
        <row r="3869">
          <cell r="D3869" t="str">
            <v>Lê Tuấn Linh</v>
          </cell>
          <cell r="AF3869" t="str">
            <v>XE00869</v>
          </cell>
          <cell r="AH3869">
            <v>9.82</v>
          </cell>
          <cell r="AW3869" t="str">
            <v>Lê Tuấn Linh24</v>
          </cell>
          <cell r="AX3869" t="str">
            <v>Hằng</v>
          </cell>
        </row>
        <row r="3870">
          <cell r="D3870" t="str">
            <v>Nguyễn Khắc Thường</v>
          </cell>
          <cell r="AF3870" t="str">
            <v>XE01758</v>
          </cell>
          <cell r="AH3870">
            <v>8.84</v>
          </cell>
          <cell r="AW3870" t="str">
            <v>Nguyễn Khắc Thường2</v>
          </cell>
          <cell r="AX3870" t="str">
            <v>Hằng</v>
          </cell>
        </row>
        <row r="3871">
          <cell r="D3871" t="str">
            <v>Lê Quang Minh</v>
          </cell>
          <cell r="AF3871" t="str">
            <v>XE01056</v>
          </cell>
          <cell r="AH3871">
            <v>9.82</v>
          </cell>
          <cell r="AW3871" t="str">
            <v>Lê Quang Minh22</v>
          </cell>
          <cell r="AX3871" t="str">
            <v>Hằng</v>
          </cell>
        </row>
        <row r="3872">
          <cell r="D3872" t="str">
            <v>Lê Quang Minh</v>
          </cell>
          <cell r="AF3872" t="str">
            <v>XE01056</v>
          </cell>
          <cell r="AH3872">
            <v>9.02</v>
          </cell>
          <cell r="AW3872" t="str">
            <v>Lê Quang Minh23</v>
          </cell>
          <cell r="AX3872" t="str">
            <v>Hằng</v>
          </cell>
        </row>
        <row r="3873">
          <cell r="D3873" t="str">
            <v>Nguyễn Quang Thanh</v>
          </cell>
          <cell r="AF3873" t="str">
            <v>XE01601</v>
          </cell>
          <cell r="AH3873">
            <v>9.42</v>
          </cell>
          <cell r="AW3873" t="str">
            <v>Nguyễn Quang Thanh23</v>
          </cell>
          <cell r="AX3873" t="str">
            <v>Hằng</v>
          </cell>
        </row>
        <row r="3874">
          <cell r="D3874" t="str">
            <v>Nguyễn Quang Thanh</v>
          </cell>
          <cell r="AF3874" t="str">
            <v>XE01601</v>
          </cell>
          <cell r="AH3874">
            <v>8.2200000000000006</v>
          </cell>
          <cell r="AW3874" t="str">
            <v>Nguyễn Quang Thanh24</v>
          </cell>
          <cell r="AX3874" t="str">
            <v>Hằng</v>
          </cell>
        </row>
        <row r="3875">
          <cell r="D3875" t="str">
            <v>Bùi Mạnh Hùng</v>
          </cell>
          <cell r="AF3875" t="str">
            <v>XE00978</v>
          </cell>
          <cell r="AH3875">
            <v>9.02</v>
          </cell>
          <cell r="AW3875" t="str">
            <v>Bùi Mạnh Hùng23</v>
          </cell>
          <cell r="AX3875" t="str">
            <v>Hằng</v>
          </cell>
        </row>
        <row r="3876">
          <cell r="D3876" t="str">
            <v>Bùi Mạnh Hùng</v>
          </cell>
          <cell r="AF3876" t="str">
            <v>XE00978</v>
          </cell>
          <cell r="AH3876">
            <v>9.82</v>
          </cell>
          <cell r="AW3876" t="str">
            <v>Bùi Mạnh Hùng24</v>
          </cell>
          <cell r="AX3876" t="str">
            <v>Hằng</v>
          </cell>
        </row>
        <row r="3877">
          <cell r="D3877" t="str">
            <v>Đinh Văn Chung</v>
          </cell>
          <cell r="AF3877" t="str">
            <v>XE00122</v>
          </cell>
          <cell r="AH3877">
            <v>9.42</v>
          </cell>
          <cell r="AW3877" t="str">
            <v>Đinh Văn Chung23</v>
          </cell>
          <cell r="AX3877" t="str">
            <v>Hằng</v>
          </cell>
        </row>
        <row r="3878">
          <cell r="D3878" t="str">
            <v>Đinh Văn Chung</v>
          </cell>
          <cell r="AF3878" t="str">
            <v>XE00122</v>
          </cell>
          <cell r="AH3878">
            <v>9.82</v>
          </cell>
          <cell r="AW3878" t="str">
            <v>Đinh Văn Chung24</v>
          </cell>
          <cell r="AX3878" t="str">
            <v>Hằng</v>
          </cell>
        </row>
        <row r="3879">
          <cell r="D3879" t="str">
            <v>Trần Xuân Bách</v>
          </cell>
          <cell r="AF3879" t="str">
            <v>XE01008</v>
          </cell>
          <cell r="AH3879">
            <v>9.42</v>
          </cell>
          <cell r="AW3879" t="str">
            <v>Trần Xuân Bách25</v>
          </cell>
          <cell r="AX3879" t="str">
            <v>Hằng</v>
          </cell>
        </row>
        <row r="3880">
          <cell r="D3880" t="str">
            <v>Nguyễn Tiến Hưng</v>
          </cell>
          <cell r="AF3880" t="str">
            <v>XE00212</v>
          </cell>
          <cell r="AH3880">
            <v>9.42</v>
          </cell>
          <cell r="AW3880" t="str">
            <v>Nguyễn Tiến Hưng24</v>
          </cell>
          <cell r="AX3880" t="str">
            <v>Hằng</v>
          </cell>
        </row>
        <row r="3881">
          <cell r="D3881" t="str">
            <v>Nguyễn Tiến Hưng</v>
          </cell>
          <cell r="AF3881" t="str">
            <v>XE00212</v>
          </cell>
          <cell r="AH3881">
            <v>8.44</v>
          </cell>
          <cell r="AW3881" t="str">
            <v>Nguyễn Tiến Hưng25</v>
          </cell>
          <cell r="AX3881" t="str">
            <v>Hằng</v>
          </cell>
        </row>
        <row r="3882">
          <cell r="D3882" t="str">
            <v>Lê Tuấn Linh</v>
          </cell>
          <cell r="AF3882" t="str">
            <v>XE00869</v>
          </cell>
          <cell r="AH3882">
            <v>9.42</v>
          </cell>
          <cell r="AW3882" t="str">
            <v>Lê Tuấn Linh25</v>
          </cell>
          <cell r="AX3882" t="str">
            <v>Hằng</v>
          </cell>
        </row>
        <row r="3883">
          <cell r="D3883" t="str">
            <v>Nguyễn Khắc Thường</v>
          </cell>
          <cell r="AF3883" t="str">
            <v>XE01758</v>
          </cell>
          <cell r="AH3883">
            <v>8.84</v>
          </cell>
          <cell r="AW3883" t="str">
            <v>Nguyễn Khắc Thường3</v>
          </cell>
          <cell r="AX3883" t="str">
            <v>Hằng</v>
          </cell>
        </row>
        <row r="3884">
          <cell r="D3884" t="str">
            <v>Lê Quang Minh</v>
          </cell>
          <cell r="AF3884" t="str">
            <v>XE01056</v>
          </cell>
          <cell r="AH3884">
            <v>9.42</v>
          </cell>
          <cell r="AW3884" t="str">
            <v>Lê Quang Minh24</v>
          </cell>
          <cell r="AX3884" t="str">
            <v>Hằng</v>
          </cell>
        </row>
        <row r="3885">
          <cell r="D3885" t="str">
            <v>Lê Quang Minh</v>
          </cell>
          <cell r="AF3885" t="str">
            <v>XE01056</v>
          </cell>
          <cell r="AH3885">
            <v>9.42</v>
          </cell>
          <cell r="AW3885" t="str">
            <v>Lê Quang Minh25</v>
          </cell>
          <cell r="AX3885" t="str">
            <v>Hằng</v>
          </cell>
        </row>
        <row r="3886">
          <cell r="D3886" t="str">
            <v>Bùi Mạnh Hùng</v>
          </cell>
          <cell r="AF3886" t="str">
            <v>XE00978</v>
          </cell>
          <cell r="AH3886">
            <v>9.42</v>
          </cell>
          <cell r="AW3886" t="str">
            <v>Bùi Mạnh Hùng25</v>
          </cell>
          <cell r="AX3886" t="str">
            <v>Hằng</v>
          </cell>
        </row>
        <row r="3887">
          <cell r="D3887" t="str">
            <v>Đinh Văn Chung</v>
          </cell>
          <cell r="AF3887" t="str">
            <v>XE00122</v>
          </cell>
          <cell r="AH3887">
            <v>9.02</v>
          </cell>
          <cell r="AW3887" t="str">
            <v>Đinh Văn Chung25</v>
          </cell>
          <cell r="AX3887" t="str">
            <v>Hằng</v>
          </cell>
        </row>
        <row r="3888">
          <cell r="D3888" t="str">
            <v>Nguyễn Quang Thanh</v>
          </cell>
          <cell r="AF3888" t="str">
            <v>XE01601</v>
          </cell>
          <cell r="AH3888">
            <v>9.82</v>
          </cell>
          <cell r="AW3888" t="str">
            <v>Nguyễn Quang Thanh25</v>
          </cell>
          <cell r="AX3888" t="str">
            <v>Hằng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C_ ĐG LX"/>
      <sheetName val="DATA"/>
      <sheetName val="NhanVienView (2)"/>
      <sheetName val="Total"/>
      <sheetName val="Sheet1"/>
      <sheetName val="Mẫu"/>
      <sheetName val="Mẫu hỏi"/>
      <sheetName val="Mẫu Gọi"/>
    </sheetNames>
    <sheetDataSet>
      <sheetData sheetId="0" refreshError="1">
        <row r="3">
          <cell r="G3">
            <v>1</v>
          </cell>
          <cell r="H3">
            <v>2</v>
          </cell>
          <cell r="I3">
            <v>3</v>
          </cell>
          <cell r="J3">
            <v>4</v>
          </cell>
          <cell r="K3">
            <v>5</v>
          </cell>
          <cell r="L3">
            <v>6</v>
          </cell>
          <cell r="M3">
            <v>7</v>
          </cell>
          <cell r="N3">
            <v>8</v>
          </cell>
          <cell r="O3">
            <v>9</v>
          </cell>
        </row>
        <row r="29">
          <cell r="C29" t="str">
            <v>Đặng Hồng Thuỷ</v>
          </cell>
        </row>
        <row r="30">
          <cell r="C30" t="str">
            <v>Trần Nam</v>
          </cell>
        </row>
        <row r="31">
          <cell r="C31" t="str">
            <v>Phạm Thế Anh</v>
          </cell>
        </row>
        <row r="32">
          <cell r="C32" t="str">
            <v>Nguyễn Xuân Thắng</v>
          </cell>
        </row>
        <row r="33">
          <cell r="C33" t="str">
            <v>Nguyễn Thanh Sơn</v>
          </cell>
        </row>
      </sheetData>
      <sheetData sheetId="1" refreshError="1">
        <row r="1">
          <cell r="D1" t="str">
            <v>Lái xe</v>
          </cell>
          <cell r="AF1" t="str">
            <v>Mã nhân viên lái xe</v>
          </cell>
          <cell r="AH1" t="str">
            <v>TỔNG ĐIỂM ĐÁNH GIÁ</v>
          </cell>
          <cell r="AW1" t="str">
            <v>Số lượt phiếu đánh giá</v>
          </cell>
        </row>
        <row r="2">
          <cell r="D2" t="str">
            <v>Trần Mạnh Linh</v>
          </cell>
          <cell r="AF2" t="str">
            <v>XE01660</v>
          </cell>
          <cell r="AH2">
            <v>9.42</v>
          </cell>
          <cell r="AW2" t="str">
            <v>Trần Mạnh Linh1</v>
          </cell>
        </row>
        <row r="3">
          <cell r="D3" t="str">
            <v>Phạm Thanh Tùng</v>
          </cell>
          <cell r="AF3" t="str">
            <v>XE01402</v>
          </cell>
          <cell r="AH3">
            <v>9.42</v>
          </cell>
          <cell r="AW3" t="str">
            <v>Phạm Thanh Tùng1</v>
          </cell>
        </row>
        <row r="4">
          <cell r="D4" t="str">
            <v>Phạm Viết Thắng</v>
          </cell>
          <cell r="AF4" t="str">
            <v>XE01596</v>
          </cell>
          <cell r="AH4">
            <v>9.42</v>
          </cell>
          <cell r="AW4" t="str">
            <v>Phạm Viết Thắng1</v>
          </cell>
        </row>
        <row r="5">
          <cell r="D5" t="str">
            <v>Vũ Văn Tuyến</v>
          </cell>
          <cell r="AF5" t="str">
            <v>XE01502</v>
          </cell>
          <cell r="AH5">
            <v>10</v>
          </cell>
          <cell r="AW5" t="str">
            <v>Vũ Văn Tuyến1</v>
          </cell>
        </row>
        <row r="6">
          <cell r="D6" t="str">
            <v>Nguyễn Thanh Sơn</v>
          </cell>
          <cell r="AF6" t="str">
            <v>XE01468</v>
          </cell>
          <cell r="AH6">
            <v>10</v>
          </cell>
          <cell r="AW6" t="str">
            <v>Nguyễn Thanh Sơn1</v>
          </cell>
        </row>
        <row r="7">
          <cell r="D7" t="str">
            <v>Nguyễn Xuân Thắng</v>
          </cell>
          <cell r="AF7" t="str">
            <v>XE00046</v>
          </cell>
          <cell r="AH7">
            <v>9.42</v>
          </cell>
          <cell r="AW7" t="str">
            <v>Nguyễn Xuân Thắng1</v>
          </cell>
        </row>
        <row r="8">
          <cell r="D8" t="str">
            <v>Phạm Thế Anh</v>
          </cell>
          <cell r="AF8" t="str">
            <v>XE00298</v>
          </cell>
          <cell r="AH8">
            <v>9.42</v>
          </cell>
          <cell r="AW8" t="str">
            <v>Phạm Thế Anh1</v>
          </cell>
        </row>
        <row r="9">
          <cell r="D9" t="str">
            <v>Trần Nam</v>
          </cell>
          <cell r="AF9" t="str">
            <v>XE00130</v>
          </cell>
          <cell r="AH9">
            <v>9.42</v>
          </cell>
          <cell r="AW9" t="str">
            <v>Trần Nam1</v>
          </cell>
        </row>
        <row r="10">
          <cell r="D10" t="str">
            <v>Đặng Hồng Thuỷ</v>
          </cell>
          <cell r="AF10" t="str">
            <v>XE01385</v>
          </cell>
          <cell r="AH10">
            <v>9.82</v>
          </cell>
          <cell r="AW10" t="str">
            <v>Đặng Hồng Thuỷ1</v>
          </cell>
        </row>
        <row r="11">
          <cell r="D11" t="str">
            <v>Trần Đức Toản</v>
          </cell>
          <cell r="AF11" t="str">
            <v>XE01314</v>
          </cell>
          <cell r="AH11">
            <v>8.84</v>
          </cell>
          <cell r="AW11" t="str">
            <v>Trần Đức Toản1</v>
          </cell>
        </row>
        <row r="12">
          <cell r="D12" t="str">
            <v>Phạm Quốc Hội</v>
          </cell>
          <cell r="AF12" t="str">
            <v>XE01229</v>
          </cell>
          <cell r="AH12">
            <v>10</v>
          </cell>
          <cell r="AW12" t="str">
            <v>Phạm Quốc Hội1</v>
          </cell>
        </row>
        <row r="13">
          <cell r="D13" t="str">
            <v>Cù Xuân Duy</v>
          </cell>
          <cell r="AF13" t="str">
            <v>XE00887</v>
          </cell>
          <cell r="AH13">
            <v>10</v>
          </cell>
          <cell r="AW13" t="str">
            <v>Cù Xuân Duy1</v>
          </cell>
        </row>
        <row r="14">
          <cell r="D14" t="str">
            <v>Vũ Việt Hùng</v>
          </cell>
          <cell r="AF14" t="str">
            <v>XE00812</v>
          </cell>
          <cell r="AH14">
            <v>8.84</v>
          </cell>
          <cell r="AW14" t="str">
            <v>Vũ Việt Hùng1</v>
          </cell>
        </row>
        <row r="15">
          <cell r="D15" t="str">
            <v>Nguyễn Đức Thanh</v>
          </cell>
          <cell r="AF15" t="str">
            <v>XE00627</v>
          </cell>
          <cell r="AH15">
            <v>9.42</v>
          </cell>
          <cell r="AW15" t="str">
            <v>Nguyễn Đức Thanh1</v>
          </cell>
        </row>
        <row r="16">
          <cell r="D16" t="str">
            <v>Lê Trường Doanh</v>
          </cell>
          <cell r="AF16" t="str">
            <v>XE00581</v>
          </cell>
          <cell r="AH16">
            <v>9.02</v>
          </cell>
          <cell r="AW16" t="str">
            <v>Lê Trường Doanh1</v>
          </cell>
        </row>
        <row r="17">
          <cell r="D17" t="str">
            <v>Nguyễn Ngọc Hưng</v>
          </cell>
          <cell r="AF17" t="str">
            <v>XE00559</v>
          </cell>
          <cell r="AH17">
            <v>10</v>
          </cell>
          <cell r="AW17" t="str">
            <v>Nguyễn Ngọc Hưng1</v>
          </cell>
        </row>
        <row r="18">
          <cell r="D18" t="str">
            <v>Nguyễn Thành Đạt</v>
          </cell>
          <cell r="AF18" t="str">
            <v>XE00256</v>
          </cell>
          <cell r="AH18">
            <v>9.82</v>
          </cell>
          <cell r="AW18" t="str">
            <v>Nguyễn Thành Đạt1</v>
          </cell>
        </row>
        <row r="19">
          <cell r="D19" t="str">
            <v>Lê Văn Diện</v>
          </cell>
          <cell r="AF19" t="str">
            <v>XE00098</v>
          </cell>
          <cell r="AH19">
            <v>9.42</v>
          </cell>
          <cell r="AW19" t="str">
            <v>Lê Văn Diện1</v>
          </cell>
        </row>
        <row r="20">
          <cell r="D20" t="str">
            <v>Trịnh Xuân Đức</v>
          </cell>
          <cell r="AF20" t="str">
            <v>XE00109</v>
          </cell>
          <cell r="AH20">
            <v>10</v>
          </cell>
          <cell r="AW20" t="str">
            <v>Trịnh Xuân Đức1</v>
          </cell>
        </row>
        <row r="21">
          <cell r="D21" t="str">
            <v>Nguyễn Việt Trung</v>
          </cell>
          <cell r="AF21" t="str">
            <v>XE00137</v>
          </cell>
          <cell r="AH21">
            <v>8.44</v>
          </cell>
          <cell r="AW21" t="str">
            <v>Nguyễn Việt Trung1</v>
          </cell>
        </row>
        <row r="22">
          <cell r="D22" t="str">
            <v>Phan Đăng Quang</v>
          </cell>
          <cell r="AF22" t="str">
            <v>XE00195</v>
          </cell>
          <cell r="AH22">
            <v>9.64</v>
          </cell>
          <cell r="AW22" t="str">
            <v>Phan Đăng Quang1</v>
          </cell>
        </row>
        <row r="23">
          <cell r="D23" t="str">
            <v>Lê Trọng Giáp</v>
          </cell>
          <cell r="AF23" t="str">
            <v>XE00020</v>
          </cell>
          <cell r="AH23">
            <v>9.82</v>
          </cell>
          <cell r="AW23" t="str">
            <v>Lê Trọng Giáp1</v>
          </cell>
        </row>
        <row r="24">
          <cell r="D24" t="str">
            <v>Lê Hữu Bích</v>
          </cell>
          <cell r="AF24" t="str">
            <v>XE00050</v>
          </cell>
          <cell r="AH24">
            <v>9.82</v>
          </cell>
          <cell r="AW24" t="str">
            <v>Lê Hữu Bích1</v>
          </cell>
        </row>
        <row r="25">
          <cell r="D25" t="str">
            <v>Tống Văn Nam</v>
          </cell>
          <cell r="AF25" t="str">
            <v>XE00019</v>
          </cell>
          <cell r="AH25">
            <v>9.42</v>
          </cell>
          <cell r="AW25" t="str">
            <v>Tống Văn Nam1</v>
          </cell>
        </row>
        <row r="26">
          <cell r="D26" t="str">
            <v>Nguyễn Ngọc Trường</v>
          </cell>
          <cell r="AF26" t="str">
            <v>XE00240</v>
          </cell>
          <cell r="AH26">
            <v>9.02</v>
          </cell>
          <cell r="AW26" t="str">
            <v>Nguyễn Ngọc Trường1</v>
          </cell>
        </row>
        <row r="27">
          <cell r="D27" t="str">
            <v>Đặng Ngọc Toàn</v>
          </cell>
          <cell r="AF27" t="str">
            <v>XE00138</v>
          </cell>
          <cell r="AH27">
            <v>9.02</v>
          </cell>
          <cell r="AW27" t="str">
            <v>Đặng Ngọc Toàn1</v>
          </cell>
        </row>
        <row r="28">
          <cell r="D28" t="str">
            <v>Trần Đình Vượng</v>
          </cell>
          <cell r="AF28" t="str">
            <v>XE01155</v>
          </cell>
          <cell r="AH28">
            <v>9.82</v>
          </cell>
          <cell r="AW28" t="str">
            <v>Trần Đình Vượng1</v>
          </cell>
        </row>
        <row r="29">
          <cell r="D29" t="str">
            <v>Hoàng Ngọc Cường</v>
          </cell>
          <cell r="AF29" t="str">
            <v>XE00703</v>
          </cell>
          <cell r="AH29">
            <v>9.82</v>
          </cell>
          <cell r="AW29" t="str">
            <v>Hoàng Ngọc Cường1</v>
          </cell>
        </row>
        <row r="30">
          <cell r="D30" t="str">
            <v>Nguyễn Văn Thế</v>
          </cell>
          <cell r="AF30" t="str">
            <v>XE00600</v>
          </cell>
          <cell r="AH30">
            <v>10</v>
          </cell>
          <cell r="AW30" t="str">
            <v>Nguyễn Văn Thế1</v>
          </cell>
        </row>
        <row r="31">
          <cell r="D31" t="str">
            <v>Trần Thanh An</v>
          </cell>
          <cell r="AF31" t="str">
            <v>XE00113</v>
          </cell>
          <cell r="AH31">
            <v>9.82</v>
          </cell>
          <cell r="AW31" t="str">
            <v>Trần Thanh An1</v>
          </cell>
        </row>
        <row r="32">
          <cell r="D32" t="str">
            <v>Ngô Quốc Hùng</v>
          </cell>
          <cell r="AF32" t="str">
            <v>XE00024</v>
          </cell>
          <cell r="AH32">
            <v>9.42</v>
          </cell>
          <cell r="AW32" t="str">
            <v>Ngô Quốc Hùng1</v>
          </cell>
        </row>
        <row r="33">
          <cell r="D33" t="str">
            <v>Phạm Văn Vũ</v>
          </cell>
          <cell r="AF33" t="str">
            <v>XE00042</v>
          </cell>
          <cell r="AH33">
            <v>9.82</v>
          </cell>
          <cell r="AW33" t="str">
            <v>Phạm Văn Vũ1</v>
          </cell>
        </row>
        <row r="34">
          <cell r="D34" t="str">
            <v>Phạm Văn Vũ</v>
          </cell>
          <cell r="AF34" t="str">
            <v>XE00042</v>
          </cell>
          <cell r="AH34">
            <v>10</v>
          </cell>
          <cell r="AW34" t="str">
            <v>Phạm Văn Vũ2</v>
          </cell>
        </row>
        <row r="35">
          <cell r="D35" t="str">
            <v>Nguyễn Văn Hùng</v>
          </cell>
          <cell r="AF35" t="str">
            <v>XE00083</v>
          </cell>
          <cell r="AH35">
            <v>10</v>
          </cell>
          <cell r="AW35" t="str">
            <v>Nguyễn Văn Hùng1</v>
          </cell>
        </row>
        <row r="36">
          <cell r="D36" t="str">
            <v>Nguyễn Văn Hùng</v>
          </cell>
          <cell r="AF36" t="str">
            <v>XE00083</v>
          </cell>
          <cell r="AH36">
            <v>10</v>
          </cell>
          <cell r="AW36" t="str">
            <v>Nguyễn Văn Hùng2</v>
          </cell>
        </row>
        <row r="37">
          <cell r="D37" t="str">
            <v>Phạm Quang Trung</v>
          </cell>
          <cell r="AF37" t="str">
            <v>XE00041</v>
          </cell>
          <cell r="AH37">
            <v>9.42</v>
          </cell>
          <cell r="AW37" t="str">
            <v>Phạm Quang Trung1</v>
          </cell>
        </row>
        <row r="38">
          <cell r="D38" t="str">
            <v>Phạm Quang Trung</v>
          </cell>
          <cell r="AF38" t="str">
            <v>XE00041</v>
          </cell>
          <cell r="AH38">
            <v>9.02</v>
          </cell>
          <cell r="AW38" t="str">
            <v>Phạm Quang Trung2</v>
          </cell>
        </row>
        <row r="39">
          <cell r="D39" t="str">
            <v>Trần Đức Triều</v>
          </cell>
          <cell r="AF39" t="str">
            <v>XE00080</v>
          </cell>
          <cell r="AH39">
            <v>9.82</v>
          </cell>
          <cell r="AW39" t="str">
            <v>Trần Đức Triều1</v>
          </cell>
        </row>
        <row r="40">
          <cell r="D40" t="str">
            <v>Trần Đức Triều</v>
          </cell>
          <cell r="AF40" t="str">
            <v>XE00080</v>
          </cell>
          <cell r="AH40">
            <v>9.02</v>
          </cell>
          <cell r="AW40" t="str">
            <v>Trần Đức Triều2</v>
          </cell>
        </row>
        <row r="41">
          <cell r="D41" t="str">
            <v>Bùi Quý Phúc</v>
          </cell>
          <cell r="AF41" t="str">
            <v>XE00077</v>
          </cell>
          <cell r="AH41">
            <v>9.6</v>
          </cell>
          <cell r="AW41" t="str">
            <v>Bùi Quý Phúc1</v>
          </cell>
        </row>
        <row r="42">
          <cell r="D42" t="str">
            <v>Bùi Quý Phúc</v>
          </cell>
          <cell r="AF42" t="str">
            <v>XE00077</v>
          </cell>
          <cell r="AH42">
            <v>9.42</v>
          </cell>
          <cell r="AW42" t="str">
            <v>Bùi Quý Phúc2</v>
          </cell>
        </row>
        <row r="43">
          <cell r="D43" t="str">
            <v>Trần Hữu Nam 1972</v>
          </cell>
          <cell r="AF43" t="str">
            <v>XE00033</v>
          </cell>
          <cell r="AH43">
            <v>8.84</v>
          </cell>
          <cell r="AW43" t="str">
            <v>Trần Hữu Nam 19721</v>
          </cell>
        </row>
        <row r="44">
          <cell r="D44" t="str">
            <v>Trần Hữu Nam 1972</v>
          </cell>
          <cell r="AF44" t="str">
            <v>XE00033</v>
          </cell>
          <cell r="AH44">
            <v>9.1999999999999993</v>
          </cell>
          <cell r="AW44" t="str">
            <v>Trần Hữu Nam 19722</v>
          </cell>
        </row>
        <row r="45">
          <cell r="D45" t="str">
            <v>Trần Mạnh Linh</v>
          </cell>
          <cell r="AF45" t="str">
            <v>XE01660</v>
          </cell>
          <cell r="AH45">
            <v>9.42</v>
          </cell>
          <cell r="AW45" t="str">
            <v>Trần Mạnh Linh2</v>
          </cell>
        </row>
        <row r="46">
          <cell r="D46" t="str">
            <v>Phạm Thanh Tùng</v>
          </cell>
          <cell r="AF46" t="str">
            <v>XE01402</v>
          </cell>
          <cell r="AH46">
            <v>10</v>
          </cell>
          <cell r="AW46" t="str">
            <v>Phạm Thanh Tùng2</v>
          </cell>
        </row>
        <row r="47">
          <cell r="D47" t="str">
            <v>Phạm Viết Thắng</v>
          </cell>
          <cell r="AF47" t="str">
            <v>XE01596</v>
          </cell>
          <cell r="AH47">
            <v>9.42</v>
          </cell>
          <cell r="AW47" t="str">
            <v>Phạm Viết Thắng2</v>
          </cell>
        </row>
        <row r="48">
          <cell r="D48" t="str">
            <v>Vũ Văn Tuyến</v>
          </cell>
          <cell r="AF48" t="str">
            <v>XE01502</v>
          </cell>
          <cell r="AH48">
            <v>9.02</v>
          </cell>
          <cell r="AW48" t="str">
            <v>Vũ Văn Tuyến2</v>
          </cell>
        </row>
        <row r="49">
          <cell r="D49" t="str">
            <v>Nguyễn Thanh Sơn</v>
          </cell>
          <cell r="AF49" t="str">
            <v>XE01468</v>
          </cell>
          <cell r="AH49">
            <v>10</v>
          </cell>
          <cell r="AW49" t="str">
            <v>Nguyễn Thanh Sơn2</v>
          </cell>
        </row>
        <row r="50">
          <cell r="D50" t="str">
            <v>Nguyễn Xuân Thắng</v>
          </cell>
          <cell r="AF50" t="str">
            <v>XE00046</v>
          </cell>
          <cell r="AH50">
            <v>10</v>
          </cell>
          <cell r="AW50" t="str">
            <v>Nguyễn Xuân Thắng2</v>
          </cell>
        </row>
        <row r="51">
          <cell r="D51" t="str">
            <v>Phạm Thế Anh</v>
          </cell>
          <cell r="AF51" t="str">
            <v>XE00298</v>
          </cell>
          <cell r="AH51">
            <v>9.82</v>
          </cell>
          <cell r="AW51" t="str">
            <v>Phạm Thế Anh2</v>
          </cell>
        </row>
        <row r="52">
          <cell r="D52" t="str">
            <v>Trần Nam</v>
          </cell>
          <cell r="AF52" t="str">
            <v>XE00130</v>
          </cell>
          <cell r="AH52">
            <v>10</v>
          </cell>
          <cell r="AW52" t="str">
            <v>Trần Nam2</v>
          </cell>
        </row>
        <row r="53">
          <cell r="D53" t="str">
            <v>Trần Nam</v>
          </cell>
          <cell r="AF53" t="str">
            <v>XE00130</v>
          </cell>
          <cell r="AH53">
            <v>9.6</v>
          </cell>
          <cell r="AW53" t="str">
            <v>Trần Nam3</v>
          </cell>
        </row>
        <row r="54">
          <cell r="D54" t="str">
            <v>Đặng Hồng Thuỷ</v>
          </cell>
          <cell r="AF54" t="str">
            <v>XE01385</v>
          </cell>
          <cell r="AH54">
            <v>9.82</v>
          </cell>
          <cell r="AW54" t="str">
            <v>Đặng Hồng Thuỷ2</v>
          </cell>
        </row>
        <row r="55">
          <cell r="D55" t="str">
            <v>Đặng Hồng Thuỷ</v>
          </cell>
          <cell r="AF55" t="str">
            <v>XE01385</v>
          </cell>
          <cell r="AH55">
            <v>8.6199999999999992</v>
          </cell>
          <cell r="AW55" t="str">
            <v>Đặng Hồng Thuỷ3</v>
          </cell>
        </row>
        <row r="56">
          <cell r="D56" t="str">
            <v>Phạm Quốc Hội</v>
          </cell>
          <cell r="AF56" t="str">
            <v>XE01229</v>
          </cell>
          <cell r="AH56">
            <v>9.02</v>
          </cell>
          <cell r="AW56" t="str">
            <v>Phạm Quốc Hội2</v>
          </cell>
        </row>
        <row r="57">
          <cell r="D57" t="str">
            <v>Phạm Quốc Hội</v>
          </cell>
          <cell r="AF57" t="str">
            <v>XE01229</v>
          </cell>
          <cell r="AH57">
            <v>8.84</v>
          </cell>
          <cell r="AW57" t="str">
            <v>Phạm Quốc Hội3</v>
          </cell>
        </row>
        <row r="58">
          <cell r="D58" t="str">
            <v>Cù Xuân Duy</v>
          </cell>
          <cell r="AF58" t="str">
            <v>XE00887</v>
          </cell>
          <cell r="AH58">
            <v>10</v>
          </cell>
          <cell r="AW58" t="str">
            <v>Cù Xuân Duy2</v>
          </cell>
        </row>
        <row r="59">
          <cell r="D59" t="str">
            <v>Cù Xuân Duy</v>
          </cell>
          <cell r="AF59" t="str">
            <v>XE00887</v>
          </cell>
          <cell r="AH59">
            <v>8.84</v>
          </cell>
          <cell r="AW59" t="str">
            <v>Cù Xuân Duy3</v>
          </cell>
        </row>
        <row r="60">
          <cell r="D60" t="str">
            <v>Vũ Việt Hùng</v>
          </cell>
          <cell r="AF60" t="str">
            <v>XE00812</v>
          </cell>
          <cell r="AH60">
            <v>9.42</v>
          </cell>
          <cell r="AW60" t="str">
            <v>Vũ Việt Hùng2</v>
          </cell>
        </row>
        <row r="61">
          <cell r="D61" t="str">
            <v>Vũ Việt Hùng</v>
          </cell>
          <cell r="AF61" t="str">
            <v>XE00812</v>
          </cell>
          <cell r="AH61">
            <v>10</v>
          </cell>
          <cell r="AW61" t="str">
            <v>Vũ Việt Hùng3</v>
          </cell>
        </row>
        <row r="62">
          <cell r="D62" t="str">
            <v>Nguyễn Đức Thanh</v>
          </cell>
          <cell r="AF62" t="str">
            <v>XE00627</v>
          </cell>
          <cell r="AH62">
            <v>9.02</v>
          </cell>
          <cell r="AW62" t="str">
            <v>Nguyễn Đức Thanh2</v>
          </cell>
        </row>
        <row r="63">
          <cell r="D63" t="str">
            <v>Nguyễn Ngọc Hưng</v>
          </cell>
          <cell r="AF63" t="str">
            <v>XE00559</v>
          </cell>
          <cell r="AH63">
            <v>9.42</v>
          </cell>
          <cell r="AW63" t="str">
            <v>Nguyễn Ngọc Hưng2</v>
          </cell>
        </row>
        <row r="64">
          <cell r="D64" t="str">
            <v>Nguyễn Ngọc Hưng</v>
          </cell>
          <cell r="AF64" t="str">
            <v>XE00559</v>
          </cell>
          <cell r="AH64">
            <v>9.82</v>
          </cell>
          <cell r="AW64" t="str">
            <v>Nguyễn Ngọc Hưng3</v>
          </cell>
        </row>
        <row r="65">
          <cell r="D65" t="str">
            <v>Nguyễn Thành Đạt</v>
          </cell>
          <cell r="AF65" t="str">
            <v>XE00256</v>
          </cell>
          <cell r="AH65">
            <v>9.42</v>
          </cell>
          <cell r="AW65" t="str">
            <v>Nguyễn Thành Đạt2</v>
          </cell>
        </row>
        <row r="66">
          <cell r="D66" t="str">
            <v>Nguyễn Thành Đạt</v>
          </cell>
          <cell r="AF66" t="str">
            <v>XE00256</v>
          </cell>
          <cell r="AH66">
            <v>9.02</v>
          </cell>
          <cell r="AW66" t="str">
            <v>Nguyễn Thành Đạt3</v>
          </cell>
        </row>
        <row r="67">
          <cell r="D67" t="str">
            <v>Lê Văn Diện</v>
          </cell>
          <cell r="AF67" t="str">
            <v>XE00098</v>
          </cell>
          <cell r="AH67">
            <v>10</v>
          </cell>
          <cell r="AW67" t="str">
            <v>Lê Văn Diện2</v>
          </cell>
        </row>
        <row r="68">
          <cell r="D68" t="str">
            <v>Lê Văn Diện</v>
          </cell>
          <cell r="AF68" t="str">
            <v>XE00098</v>
          </cell>
          <cell r="AH68">
            <v>10</v>
          </cell>
          <cell r="AW68" t="str">
            <v>Lê Văn Diện3</v>
          </cell>
        </row>
        <row r="69">
          <cell r="D69" t="str">
            <v>Trịnh Xuân Đức</v>
          </cell>
          <cell r="AF69" t="str">
            <v>XE00109</v>
          </cell>
          <cell r="AH69">
            <v>9.6</v>
          </cell>
          <cell r="AW69" t="str">
            <v>Trịnh Xuân Đức2</v>
          </cell>
        </row>
        <row r="70">
          <cell r="D70" t="str">
            <v>Trịnh Xuân Đức</v>
          </cell>
          <cell r="AF70" t="str">
            <v>XE00109</v>
          </cell>
          <cell r="AH70">
            <v>10</v>
          </cell>
          <cell r="AW70" t="str">
            <v>Trịnh Xuân Đức3</v>
          </cell>
        </row>
        <row r="71">
          <cell r="D71" t="str">
            <v>Nguyễn Việt Trung</v>
          </cell>
          <cell r="AF71" t="str">
            <v>XE00137</v>
          </cell>
          <cell r="AH71">
            <v>9.42</v>
          </cell>
          <cell r="AW71" t="str">
            <v>Nguyễn Việt Trung2</v>
          </cell>
        </row>
        <row r="72">
          <cell r="D72" t="str">
            <v>Nguyễn Việt Trung</v>
          </cell>
          <cell r="AF72" t="str">
            <v>XE00137</v>
          </cell>
          <cell r="AH72">
            <v>9.02</v>
          </cell>
          <cell r="AW72" t="str">
            <v>Nguyễn Việt Trung3</v>
          </cell>
        </row>
        <row r="73">
          <cell r="D73" t="str">
            <v>Phan Đăng Quang</v>
          </cell>
          <cell r="AF73" t="str">
            <v>XE00195</v>
          </cell>
          <cell r="AH73">
            <v>9.42</v>
          </cell>
          <cell r="AW73" t="str">
            <v>Phan Đăng Quang2</v>
          </cell>
        </row>
        <row r="74">
          <cell r="D74" t="str">
            <v>Phan Đăng Quang</v>
          </cell>
          <cell r="AF74" t="str">
            <v>XE00195</v>
          </cell>
          <cell r="AH74">
            <v>9.42</v>
          </cell>
          <cell r="AW74" t="str">
            <v>Phan Đăng Quang3</v>
          </cell>
        </row>
        <row r="75">
          <cell r="D75" t="str">
            <v>Lê Trọng Giáp</v>
          </cell>
          <cell r="AF75" t="str">
            <v>XE00020</v>
          </cell>
          <cell r="AH75">
            <v>9.42</v>
          </cell>
          <cell r="AW75" t="str">
            <v>Lê Trọng Giáp2</v>
          </cell>
        </row>
        <row r="76">
          <cell r="D76" t="str">
            <v>Lê Trọng Giáp</v>
          </cell>
          <cell r="AF76" t="str">
            <v>XE00020</v>
          </cell>
          <cell r="AH76">
            <v>9.42</v>
          </cell>
          <cell r="AW76" t="str">
            <v>Lê Trọng Giáp3</v>
          </cell>
        </row>
        <row r="77">
          <cell r="D77" t="str">
            <v>Nguyễn Ngọc Trường</v>
          </cell>
          <cell r="AF77" t="str">
            <v>XE00240</v>
          </cell>
          <cell r="AH77">
            <v>9.82</v>
          </cell>
          <cell r="AW77" t="str">
            <v>Nguyễn Ngọc Trường2</v>
          </cell>
        </row>
        <row r="78">
          <cell r="D78" t="str">
            <v>Nguyễn Ngọc Trường</v>
          </cell>
          <cell r="AF78" t="str">
            <v>XE00240</v>
          </cell>
          <cell r="AH78">
            <v>10</v>
          </cell>
          <cell r="AW78" t="str">
            <v>Nguyễn Ngọc Trường3</v>
          </cell>
        </row>
        <row r="79">
          <cell r="D79" t="str">
            <v>Đặng Ngọc Toàn</v>
          </cell>
          <cell r="AF79" t="str">
            <v>XE00138</v>
          </cell>
          <cell r="AH79">
            <v>9.02</v>
          </cell>
          <cell r="AW79" t="str">
            <v>Đặng Ngọc Toàn2</v>
          </cell>
        </row>
        <row r="80">
          <cell r="D80" t="str">
            <v>Đặng Ngọc Toàn</v>
          </cell>
          <cell r="AF80" t="str">
            <v>XE00138</v>
          </cell>
          <cell r="AH80">
            <v>9.02</v>
          </cell>
          <cell r="AW80" t="str">
            <v>Đặng Ngọc Toàn3</v>
          </cell>
        </row>
        <row r="81">
          <cell r="D81" t="str">
            <v>Trần Đình Vượng</v>
          </cell>
          <cell r="AF81" t="str">
            <v>XE01155</v>
          </cell>
          <cell r="AH81">
            <v>9.82</v>
          </cell>
          <cell r="AW81" t="str">
            <v>Trần Đình Vượng2</v>
          </cell>
        </row>
        <row r="82">
          <cell r="D82" t="str">
            <v>Trần Đình Vượng</v>
          </cell>
          <cell r="AF82" t="str">
            <v>XE01155</v>
          </cell>
          <cell r="AH82">
            <v>9.42</v>
          </cell>
          <cell r="AW82" t="str">
            <v>Trần Đình Vượng3</v>
          </cell>
        </row>
        <row r="83">
          <cell r="D83" t="str">
            <v>Nguyễn Văn Thế</v>
          </cell>
          <cell r="AF83" t="str">
            <v>XE00600</v>
          </cell>
          <cell r="AH83">
            <v>9.02</v>
          </cell>
          <cell r="AW83" t="str">
            <v>Nguyễn Văn Thế2</v>
          </cell>
        </row>
        <row r="84">
          <cell r="D84" t="str">
            <v>Nguyễn Văn Thế</v>
          </cell>
          <cell r="AF84" t="str">
            <v>XE00600</v>
          </cell>
          <cell r="AH84">
            <v>8.6199999999999992</v>
          </cell>
          <cell r="AW84" t="str">
            <v>Nguyễn Văn Thế3</v>
          </cell>
        </row>
        <row r="85">
          <cell r="D85" t="str">
            <v>Trần Thanh An</v>
          </cell>
          <cell r="AF85" t="str">
            <v>XE00113</v>
          </cell>
          <cell r="AH85">
            <v>9.02</v>
          </cell>
          <cell r="AW85" t="str">
            <v>Trần Thanh An2</v>
          </cell>
        </row>
        <row r="86">
          <cell r="D86" t="str">
            <v>Ngô Quốc Hùng</v>
          </cell>
          <cell r="AF86" t="str">
            <v>XE00024</v>
          </cell>
          <cell r="AH86">
            <v>9.42</v>
          </cell>
          <cell r="AW86" t="str">
            <v>Ngô Quốc Hùng2</v>
          </cell>
        </row>
        <row r="87">
          <cell r="D87" t="str">
            <v>Ngô Quốc Hùng</v>
          </cell>
          <cell r="AF87" t="str">
            <v>XE00024</v>
          </cell>
          <cell r="AH87">
            <v>10</v>
          </cell>
          <cell r="AW87" t="str">
            <v>Ngô Quốc Hùng3</v>
          </cell>
        </row>
        <row r="88">
          <cell r="D88" t="str">
            <v>Trần Mạnh Linh</v>
          </cell>
          <cell r="AF88" t="str">
            <v>XE01660</v>
          </cell>
          <cell r="AH88">
            <v>9.02</v>
          </cell>
          <cell r="AW88" t="str">
            <v>Trần Mạnh Linh3</v>
          </cell>
        </row>
        <row r="89">
          <cell r="D89" t="str">
            <v>Phạm Thanh Tùng</v>
          </cell>
          <cell r="AF89" t="str">
            <v>XE01402</v>
          </cell>
          <cell r="AH89">
            <v>9.42</v>
          </cell>
          <cell r="AW89" t="str">
            <v>Phạm Thanh Tùng3</v>
          </cell>
        </row>
        <row r="90">
          <cell r="D90" t="str">
            <v>Phạm Viết Thắng</v>
          </cell>
          <cell r="AF90" t="str">
            <v>XE01596</v>
          </cell>
          <cell r="AH90">
            <v>9.82</v>
          </cell>
          <cell r="AW90" t="str">
            <v>Phạm Viết Thắng3</v>
          </cell>
        </row>
        <row r="91">
          <cell r="D91" t="str">
            <v>Vũ Văn Tuyến</v>
          </cell>
          <cell r="AF91" t="str">
            <v>XE01502</v>
          </cell>
          <cell r="AH91">
            <v>9.82</v>
          </cell>
          <cell r="AW91" t="str">
            <v>Vũ Văn Tuyến3</v>
          </cell>
        </row>
        <row r="92">
          <cell r="D92" t="str">
            <v>Nguyễn Thanh Sơn</v>
          </cell>
          <cell r="AF92" t="str">
            <v>XE01468</v>
          </cell>
          <cell r="AH92">
            <v>9.02</v>
          </cell>
          <cell r="AW92" t="str">
            <v>Nguyễn Thanh Sơn3</v>
          </cell>
        </row>
        <row r="93">
          <cell r="D93" t="str">
            <v>Phạm Thế Anh</v>
          </cell>
          <cell r="AF93" t="str">
            <v>XE00298</v>
          </cell>
          <cell r="AH93">
            <v>9.1999999999999993</v>
          </cell>
          <cell r="AW93" t="str">
            <v>Phạm Thế Anh3</v>
          </cell>
        </row>
        <row r="94">
          <cell r="D94" t="str">
            <v>Nguyễn Văn Hùng</v>
          </cell>
          <cell r="AF94" t="str">
            <v>XE00083</v>
          </cell>
          <cell r="AH94">
            <v>9.82</v>
          </cell>
          <cell r="AW94" t="str">
            <v>Nguyễn Văn Hùng3</v>
          </cell>
        </row>
        <row r="95">
          <cell r="D95" t="str">
            <v>Nguyễn Văn Hùng</v>
          </cell>
          <cell r="AF95" t="str">
            <v>XE00083</v>
          </cell>
          <cell r="AH95">
            <v>9.42</v>
          </cell>
          <cell r="AW95" t="str">
            <v>Nguyễn Văn Hùng4</v>
          </cell>
        </row>
        <row r="96">
          <cell r="D96" t="str">
            <v>Trần Đức Triều</v>
          </cell>
          <cell r="AF96" t="str">
            <v>XE00080</v>
          </cell>
          <cell r="AH96">
            <v>9.82</v>
          </cell>
          <cell r="AW96" t="str">
            <v>Trần Đức Triều3</v>
          </cell>
        </row>
        <row r="97">
          <cell r="D97" t="str">
            <v>Trần Đức Triều</v>
          </cell>
          <cell r="AF97" t="str">
            <v>XE00080</v>
          </cell>
          <cell r="AH97">
            <v>9.42</v>
          </cell>
          <cell r="AW97" t="str">
            <v>Trần Đức Triều4</v>
          </cell>
        </row>
        <row r="98">
          <cell r="D98" t="str">
            <v>Bùi Quý Phúc</v>
          </cell>
          <cell r="AF98" t="str">
            <v>XE00077</v>
          </cell>
          <cell r="AH98">
            <v>9.42</v>
          </cell>
          <cell r="AW98" t="str">
            <v>Bùi Quý Phúc3</v>
          </cell>
        </row>
        <row r="99">
          <cell r="D99" t="str">
            <v>Bùi Quý Phúc</v>
          </cell>
          <cell r="AF99" t="str">
            <v>XE00077</v>
          </cell>
          <cell r="AH99">
            <v>10</v>
          </cell>
          <cell r="AW99" t="str">
            <v>Bùi Quý Phúc4</v>
          </cell>
        </row>
        <row r="100">
          <cell r="D100" t="str">
            <v>Trần Hữu Nam 1972</v>
          </cell>
          <cell r="AF100" t="str">
            <v>XE00033</v>
          </cell>
          <cell r="AH100">
            <v>10</v>
          </cell>
          <cell r="AW100" t="str">
            <v>Trần Hữu Nam 19723</v>
          </cell>
        </row>
        <row r="101">
          <cell r="D101" t="str">
            <v>Trần Hữu Nam 1972</v>
          </cell>
          <cell r="AF101" t="str">
            <v>XE00033</v>
          </cell>
          <cell r="AH101">
            <v>10</v>
          </cell>
          <cell r="AW101" t="str">
            <v>Trần Hữu Nam 19724</v>
          </cell>
        </row>
        <row r="102">
          <cell r="D102" t="str">
            <v>Trần Mạnh Linh</v>
          </cell>
          <cell r="AF102" t="str">
            <v>XE01660</v>
          </cell>
          <cell r="AH102">
            <v>9.42</v>
          </cell>
          <cell r="AW102" t="str">
            <v>Trần Mạnh Linh4</v>
          </cell>
        </row>
        <row r="103">
          <cell r="D103" t="str">
            <v>Phạm Thanh Tùng</v>
          </cell>
          <cell r="AF103" t="str">
            <v>XE01402</v>
          </cell>
          <cell r="AH103">
            <v>9.02</v>
          </cell>
          <cell r="AW103" t="str">
            <v>Phạm Thanh Tùng4</v>
          </cell>
        </row>
        <row r="104">
          <cell r="D104" t="str">
            <v>Phạm Viết Thắng</v>
          </cell>
          <cell r="AF104" t="str">
            <v>XE01596</v>
          </cell>
          <cell r="AH104">
            <v>9.82</v>
          </cell>
          <cell r="AW104" t="str">
            <v>Phạm Viết Thắng4</v>
          </cell>
        </row>
        <row r="105">
          <cell r="D105" t="str">
            <v>Vũ Văn Tuyến</v>
          </cell>
          <cell r="AF105" t="str">
            <v>XE01502</v>
          </cell>
          <cell r="AH105">
            <v>9.82</v>
          </cell>
          <cell r="AW105" t="str">
            <v>Vũ Văn Tuyến4</v>
          </cell>
        </row>
        <row r="106">
          <cell r="D106" t="str">
            <v>Dương Văn Thọ</v>
          </cell>
          <cell r="AF106" t="str">
            <v>XE00282</v>
          </cell>
          <cell r="AH106">
            <v>9.82</v>
          </cell>
          <cell r="AW106" t="str">
            <v>Dương Văn Thọ1</v>
          </cell>
        </row>
        <row r="107">
          <cell r="D107" t="str">
            <v>Dương Văn Thọ</v>
          </cell>
          <cell r="AF107" t="str">
            <v>XE00282</v>
          </cell>
          <cell r="AH107">
            <v>9.42</v>
          </cell>
          <cell r="AW107" t="str">
            <v>Dương Văn Thọ2</v>
          </cell>
        </row>
        <row r="108">
          <cell r="D108" t="str">
            <v>Trần Đức Toản</v>
          </cell>
          <cell r="AF108" t="str">
            <v>XE01314</v>
          </cell>
          <cell r="AH108">
            <v>9.42</v>
          </cell>
          <cell r="AW108" t="str">
            <v>Trần Đức Toản2</v>
          </cell>
        </row>
        <row r="109">
          <cell r="D109" t="str">
            <v>Trần Đức Toản</v>
          </cell>
          <cell r="AF109" t="str">
            <v>XE01314</v>
          </cell>
          <cell r="AH109">
            <v>10</v>
          </cell>
          <cell r="AW109" t="str">
            <v>Trần Đức Toản3</v>
          </cell>
        </row>
        <row r="110">
          <cell r="D110" t="str">
            <v>Nguyễn Thanh Sơn</v>
          </cell>
          <cell r="AF110" t="str">
            <v>XE01468</v>
          </cell>
          <cell r="AH110">
            <v>9.42</v>
          </cell>
          <cell r="AW110" t="str">
            <v>Nguyễn Thanh Sơn4</v>
          </cell>
        </row>
        <row r="111">
          <cell r="D111" t="str">
            <v>Nguyễn Thanh Sơn</v>
          </cell>
          <cell r="AF111" t="str">
            <v>XE01468</v>
          </cell>
          <cell r="AH111">
            <v>10</v>
          </cell>
          <cell r="AW111" t="str">
            <v>Nguyễn Thanh Sơn5</v>
          </cell>
        </row>
        <row r="112">
          <cell r="D112" t="str">
            <v>Phạm Thế Anh</v>
          </cell>
          <cell r="AF112" t="str">
            <v>XE00298</v>
          </cell>
          <cell r="AH112">
            <v>9.82</v>
          </cell>
          <cell r="AW112" t="str">
            <v>Phạm Thế Anh4</v>
          </cell>
        </row>
        <row r="113">
          <cell r="D113" t="str">
            <v>Phạm Thế Anh</v>
          </cell>
          <cell r="AF113" t="str">
            <v>XE00298</v>
          </cell>
          <cell r="AH113">
            <v>10</v>
          </cell>
          <cell r="AW113" t="str">
            <v>Phạm Thế Anh5</v>
          </cell>
        </row>
        <row r="114">
          <cell r="D114" t="str">
            <v>Trần Nam</v>
          </cell>
          <cell r="AF114" t="str">
            <v>XE00130</v>
          </cell>
          <cell r="AH114">
            <v>9.02</v>
          </cell>
          <cell r="AW114" t="str">
            <v>Trần Nam4</v>
          </cell>
        </row>
        <row r="115">
          <cell r="D115" t="str">
            <v>Trần Nam</v>
          </cell>
          <cell r="AF115" t="str">
            <v>XE00130</v>
          </cell>
          <cell r="AH115">
            <v>9.02</v>
          </cell>
          <cell r="AW115" t="str">
            <v>Trần Nam5</v>
          </cell>
        </row>
        <row r="116">
          <cell r="D116" t="str">
            <v>Đặng Hồng Thuỷ</v>
          </cell>
          <cell r="AF116" t="str">
            <v>XE01385</v>
          </cell>
          <cell r="AH116">
            <v>9.82</v>
          </cell>
          <cell r="AW116" t="str">
            <v>Đặng Hồng Thuỷ4</v>
          </cell>
        </row>
        <row r="117">
          <cell r="D117" t="str">
            <v>Đặng Hồng Thuỷ</v>
          </cell>
          <cell r="AF117" t="str">
            <v>XE01385</v>
          </cell>
          <cell r="AH117">
            <v>9.42</v>
          </cell>
          <cell r="AW117" t="str">
            <v>Đặng Hồng Thuỷ5</v>
          </cell>
        </row>
        <row r="118">
          <cell r="D118" t="str">
            <v>Phạm Quốc Hội</v>
          </cell>
          <cell r="AF118" t="str">
            <v>XE01229</v>
          </cell>
          <cell r="AH118">
            <v>8.0399999999999991</v>
          </cell>
          <cell r="AW118" t="str">
            <v>Phạm Quốc Hội4</v>
          </cell>
        </row>
        <row r="119">
          <cell r="D119" t="str">
            <v>Phạm Quốc Hội</v>
          </cell>
          <cell r="AF119" t="str">
            <v>XE01229</v>
          </cell>
          <cell r="AH119">
            <v>9.82</v>
          </cell>
          <cell r="AW119" t="str">
            <v>Phạm Quốc Hội5</v>
          </cell>
        </row>
        <row r="120">
          <cell r="D120" t="str">
            <v>Cù Xuân Duy</v>
          </cell>
          <cell r="AF120" t="str">
            <v>XE00887</v>
          </cell>
          <cell r="AH120">
            <v>10</v>
          </cell>
          <cell r="AW120" t="str">
            <v>Cù Xuân Duy4</v>
          </cell>
        </row>
        <row r="121">
          <cell r="D121" t="str">
            <v>Cù Xuân Duy</v>
          </cell>
          <cell r="AF121" t="str">
            <v>XE00887</v>
          </cell>
          <cell r="AH121">
            <v>9.02</v>
          </cell>
          <cell r="AW121" t="str">
            <v>Cù Xuân Duy5</v>
          </cell>
        </row>
        <row r="122">
          <cell r="D122" t="str">
            <v>Nguyễn Thành Đạt</v>
          </cell>
          <cell r="AF122" t="str">
            <v>XE00256</v>
          </cell>
          <cell r="AH122">
            <v>9.02</v>
          </cell>
          <cell r="AW122" t="str">
            <v>Nguyễn Thành Đạt4</v>
          </cell>
        </row>
        <row r="123">
          <cell r="D123" t="str">
            <v>Nguyễn Thành Đạt</v>
          </cell>
          <cell r="AF123" t="str">
            <v>XE00256</v>
          </cell>
          <cell r="AH123">
            <v>10</v>
          </cell>
          <cell r="AW123" t="str">
            <v>Nguyễn Thành Đạt5</v>
          </cell>
        </row>
        <row r="124">
          <cell r="D124" t="str">
            <v>Lê Văn Diện</v>
          </cell>
          <cell r="AF124" t="str">
            <v>XE00098</v>
          </cell>
          <cell r="AH124">
            <v>9.42</v>
          </cell>
          <cell r="AW124" t="str">
            <v>Lê Văn Diện4</v>
          </cell>
        </row>
        <row r="125">
          <cell r="D125" t="str">
            <v>Lê Văn Diện</v>
          </cell>
          <cell r="AF125" t="str">
            <v>XE00098</v>
          </cell>
          <cell r="AH125">
            <v>9.82</v>
          </cell>
          <cell r="AW125" t="str">
            <v>Lê Văn Diện5</v>
          </cell>
        </row>
        <row r="126">
          <cell r="D126" t="str">
            <v>Trịnh Xuân Đức</v>
          </cell>
          <cell r="AF126" t="str">
            <v>XE00109</v>
          </cell>
          <cell r="AH126">
            <v>10</v>
          </cell>
          <cell r="AW126" t="str">
            <v>Trịnh Xuân Đức4</v>
          </cell>
        </row>
        <row r="127">
          <cell r="D127" t="str">
            <v>Trịnh Xuân Đức</v>
          </cell>
          <cell r="AF127" t="str">
            <v>XE00109</v>
          </cell>
          <cell r="AH127">
            <v>9.6</v>
          </cell>
          <cell r="AW127" t="str">
            <v>Trịnh Xuân Đức5</v>
          </cell>
        </row>
        <row r="128">
          <cell r="D128" t="str">
            <v>Nguyễn Việt Trung</v>
          </cell>
          <cell r="AF128" t="str">
            <v>XE00137</v>
          </cell>
          <cell r="AH128">
            <v>9.82</v>
          </cell>
          <cell r="AW128" t="str">
            <v>Nguyễn Việt Trung4</v>
          </cell>
        </row>
        <row r="129">
          <cell r="D129" t="str">
            <v>Nguyễn Việt Trung</v>
          </cell>
          <cell r="AF129" t="str">
            <v>XE00137</v>
          </cell>
          <cell r="AH129">
            <v>9.42</v>
          </cell>
          <cell r="AW129" t="str">
            <v>Nguyễn Việt Trung5</v>
          </cell>
        </row>
        <row r="130">
          <cell r="D130" t="str">
            <v>Phan Đăng Quang</v>
          </cell>
          <cell r="AF130" t="str">
            <v>XE00195</v>
          </cell>
          <cell r="AH130">
            <v>7.64</v>
          </cell>
          <cell r="AW130" t="str">
            <v>Phan Đăng Quang4</v>
          </cell>
        </row>
        <row r="131">
          <cell r="D131" t="str">
            <v>Phan Đăng Quang</v>
          </cell>
          <cell r="AF131" t="str">
            <v>XE00195</v>
          </cell>
          <cell r="AH131">
            <v>9.02</v>
          </cell>
          <cell r="AW131" t="str">
            <v>Phan Đăng Quang5</v>
          </cell>
        </row>
        <row r="132">
          <cell r="D132" t="str">
            <v>Lê Trọng Giáp</v>
          </cell>
          <cell r="AF132" t="str">
            <v>XE00020</v>
          </cell>
          <cell r="AH132">
            <v>9.42</v>
          </cell>
          <cell r="AW132" t="str">
            <v>Lê Trọng Giáp4</v>
          </cell>
        </row>
        <row r="133">
          <cell r="D133" t="str">
            <v>Lê Trọng Giáp</v>
          </cell>
          <cell r="AF133" t="str">
            <v>XE00020</v>
          </cell>
          <cell r="AH133">
            <v>10</v>
          </cell>
          <cell r="AW133" t="str">
            <v>Lê Trọng Giáp5</v>
          </cell>
        </row>
        <row r="134">
          <cell r="D134" t="str">
            <v>Nguyễn Ngọc Trường</v>
          </cell>
          <cell r="AF134" t="str">
            <v>XE00240</v>
          </cell>
          <cell r="AH134">
            <v>9.02</v>
          </cell>
          <cell r="AW134" t="str">
            <v>Nguyễn Ngọc Trường4</v>
          </cell>
        </row>
        <row r="135">
          <cell r="D135" t="str">
            <v>Nguyễn Ngọc Trường</v>
          </cell>
          <cell r="AF135" t="str">
            <v>XE00240</v>
          </cell>
          <cell r="AH135">
            <v>9.02</v>
          </cell>
          <cell r="AW135" t="str">
            <v>Nguyễn Ngọc Trường5</v>
          </cell>
        </row>
        <row r="136">
          <cell r="D136" t="str">
            <v>Đặng Ngọc Toàn</v>
          </cell>
          <cell r="AF136" t="str">
            <v>XE00138</v>
          </cell>
          <cell r="AH136">
            <v>10</v>
          </cell>
          <cell r="AW136" t="str">
            <v>Đặng Ngọc Toàn4</v>
          </cell>
        </row>
        <row r="137">
          <cell r="D137" t="str">
            <v>Đặng Ngọc Toàn</v>
          </cell>
          <cell r="AF137" t="str">
            <v>XE00138</v>
          </cell>
          <cell r="AH137">
            <v>9.02</v>
          </cell>
          <cell r="AW137" t="str">
            <v>Đặng Ngọc Toàn5</v>
          </cell>
        </row>
        <row r="138">
          <cell r="D138" t="str">
            <v>Trần Đình Vượng</v>
          </cell>
          <cell r="AF138" t="str">
            <v>XE01155</v>
          </cell>
          <cell r="AH138">
            <v>9.64</v>
          </cell>
          <cell r="AW138" t="str">
            <v>Trần Đình Vượng4</v>
          </cell>
        </row>
        <row r="139">
          <cell r="D139" t="str">
            <v>Trần Đình Vượng</v>
          </cell>
          <cell r="AF139" t="str">
            <v>XE01155</v>
          </cell>
          <cell r="AH139">
            <v>9.42</v>
          </cell>
          <cell r="AW139" t="str">
            <v>Trần Đình Vượng5</v>
          </cell>
        </row>
        <row r="140">
          <cell r="D140" t="str">
            <v>Trần Mạnh Linh</v>
          </cell>
          <cell r="AF140" t="str">
            <v>XE01660</v>
          </cell>
          <cell r="AH140">
            <v>9.42</v>
          </cell>
          <cell r="AW140" t="str">
            <v>Trần Mạnh Linh5</v>
          </cell>
        </row>
        <row r="141">
          <cell r="D141" t="str">
            <v>Trần Mạnh Linh</v>
          </cell>
          <cell r="AF141" t="str">
            <v>XE01660</v>
          </cell>
          <cell r="AH141">
            <v>9.82</v>
          </cell>
          <cell r="AW141" t="str">
            <v>Trần Mạnh Linh6</v>
          </cell>
        </row>
        <row r="142">
          <cell r="D142" t="str">
            <v>Phạm Viết Thắng</v>
          </cell>
          <cell r="AF142" t="str">
            <v>XE01596</v>
          </cell>
          <cell r="AH142">
            <v>10</v>
          </cell>
          <cell r="AW142" t="str">
            <v>Phạm Viết Thắng5</v>
          </cell>
        </row>
        <row r="143">
          <cell r="D143" t="str">
            <v>Phạm Viết Thắng</v>
          </cell>
          <cell r="AF143" t="str">
            <v>XE01596</v>
          </cell>
          <cell r="AH143">
            <v>9.82</v>
          </cell>
          <cell r="AW143" t="str">
            <v>Phạm Viết Thắng6</v>
          </cell>
        </row>
        <row r="144">
          <cell r="D144" t="str">
            <v>Vũ Văn Tuyến</v>
          </cell>
          <cell r="AF144" t="str">
            <v>XE01502</v>
          </cell>
          <cell r="AH144">
            <v>9.02</v>
          </cell>
          <cell r="AW144" t="str">
            <v>Vũ Văn Tuyến5</v>
          </cell>
        </row>
        <row r="145">
          <cell r="D145" t="str">
            <v>Vũ Văn Tuyến</v>
          </cell>
          <cell r="AF145" t="str">
            <v>XE01502</v>
          </cell>
          <cell r="AH145">
            <v>9.02</v>
          </cell>
          <cell r="AW145" t="str">
            <v>Vũ Văn Tuyến6</v>
          </cell>
        </row>
        <row r="146">
          <cell r="D146" t="str">
            <v>Lê Trường Doanh</v>
          </cell>
          <cell r="AF146" t="str">
            <v>XE00581</v>
          </cell>
          <cell r="AH146">
            <v>9.82</v>
          </cell>
          <cell r="AW146" t="str">
            <v>Lê Trường Doanh2</v>
          </cell>
        </row>
        <row r="147">
          <cell r="D147" t="str">
            <v>Lê Trường Doanh</v>
          </cell>
          <cell r="AF147" t="str">
            <v>XE00581</v>
          </cell>
          <cell r="AH147">
            <v>9.82</v>
          </cell>
          <cell r="AW147" t="str">
            <v>Lê Trường Doanh3</v>
          </cell>
        </row>
        <row r="148">
          <cell r="D148" t="str">
            <v>Tống Văn Nam</v>
          </cell>
          <cell r="AF148" t="str">
            <v>XE00019</v>
          </cell>
          <cell r="AH148">
            <v>9.02</v>
          </cell>
          <cell r="AW148" t="str">
            <v>Tống Văn Nam2</v>
          </cell>
        </row>
        <row r="149">
          <cell r="D149" t="str">
            <v>Tống Văn Nam</v>
          </cell>
          <cell r="AF149" t="str">
            <v>XE00019</v>
          </cell>
          <cell r="AH149">
            <v>9.42</v>
          </cell>
          <cell r="AW149" t="str">
            <v>Tống Văn Nam3</v>
          </cell>
        </row>
        <row r="150">
          <cell r="D150" t="str">
            <v>Hoàng Ngọc Cường</v>
          </cell>
          <cell r="AF150" t="str">
            <v>XE00703</v>
          </cell>
          <cell r="AH150">
            <v>9.42</v>
          </cell>
          <cell r="AW150" t="str">
            <v>Hoàng Ngọc Cường2</v>
          </cell>
        </row>
        <row r="151">
          <cell r="D151" t="str">
            <v>Hoàng Ngọc Cường</v>
          </cell>
          <cell r="AF151" t="str">
            <v>XE00703</v>
          </cell>
          <cell r="AH151">
            <v>10</v>
          </cell>
          <cell r="AW151" t="str">
            <v>Hoàng Ngọc Cường3</v>
          </cell>
        </row>
        <row r="152">
          <cell r="D152" t="str">
            <v>Nguyễn Xuân Thắng</v>
          </cell>
          <cell r="AF152" t="str">
            <v>XE00046</v>
          </cell>
          <cell r="AH152">
            <v>9.82</v>
          </cell>
          <cell r="AW152" t="str">
            <v>Nguyễn Xuân Thắng3</v>
          </cell>
        </row>
        <row r="153">
          <cell r="D153" t="str">
            <v>Nguyễn Xuân Thắng</v>
          </cell>
          <cell r="AF153" t="str">
            <v>XE00046</v>
          </cell>
          <cell r="AH153">
            <v>9.02</v>
          </cell>
          <cell r="AW153" t="str">
            <v>Nguyễn Xuân Thắng4</v>
          </cell>
        </row>
        <row r="154">
          <cell r="D154" t="str">
            <v>Dương Văn Thọ</v>
          </cell>
          <cell r="AF154" t="str">
            <v>XE00282</v>
          </cell>
          <cell r="AH154">
            <v>9.42</v>
          </cell>
          <cell r="AW154" t="str">
            <v>Dương Văn Thọ3</v>
          </cell>
        </row>
        <row r="155">
          <cell r="D155" t="str">
            <v>Dương Văn Thọ</v>
          </cell>
          <cell r="AF155" t="str">
            <v>XE00282</v>
          </cell>
          <cell r="AH155">
            <v>9.42</v>
          </cell>
          <cell r="AW155" t="str">
            <v>Dương Văn Thọ4</v>
          </cell>
        </row>
        <row r="156">
          <cell r="D156" t="str">
            <v>Trần Thanh An</v>
          </cell>
          <cell r="AF156" t="str">
            <v>XE00113</v>
          </cell>
          <cell r="AH156">
            <v>10</v>
          </cell>
          <cell r="AW156" t="str">
            <v>Trần Thanh An3</v>
          </cell>
        </row>
        <row r="157">
          <cell r="D157" t="str">
            <v>Trần Thanh An</v>
          </cell>
          <cell r="AF157" t="str">
            <v>XE00113</v>
          </cell>
          <cell r="AH157">
            <v>9.82</v>
          </cell>
          <cell r="AW157" t="str">
            <v>Trần Thanh An4</v>
          </cell>
        </row>
        <row r="158">
          <cell r="D158" t="str">
            <v>Trần Đức Toản</v>
          </cell>
          <cell r="AF158" t="str">
            <v>XE01314</v>
          </cell>
          <cell r="AH158">
            <v>9.42</v>
          </cell>
          <cell r="AW158" t="str">
            <v>Trần Đức Toản4</v>
          </cell>
        </row>
        <row r="159">
          <cell r="D159" t="str">
            <v>Trần Đức Toản</v>
          </cell>
          <cell r="AF159" t="str">
            <v>XE01314</v>
          </cell>
          <cell r="AH159">
            <v>9.42</v>
          </cell>
          <cell r="AW159" t="str">
            <v>Trần Đức Toản5</v>
          </cell>
        </row>
        <row r="160">
          <cell r="D160" t="str">
            <v>Phạm Thế Anh</v>
          </cell>
          <cell r="AF160" t="str">
            <v>XE00298</v>
          </cell>
          <cell r="AH160">
            <v>9.42</v>
          </cell>
          <cell r="AW160" t="str">
            <v>Phạm Thế Anh6</v>
          </cell>
        </row>
        <row r="161">
          <cell r="D161" t="str">
            <v>Phạm Thế Anh</v>
          </cell>
          <cell r="AF161" t="str">
            <v>XE00298</v>
          </cell>
          <cell r="AH161">
            <v>9.02</v>
          </cell>
          <cell r="AW161" t="str">
            <v>Phạm Thế Anh7</v>
          </cell>
        </row>
        <row r="162">
          <cell r="D162" t="str">
            <v>Trần Nam</v>
          </cell>
          <cell r="AF162" t="str">
            <v>XE00130</v>
          </cell>
          <cell r="AH162">
            <v>9.82</v>
          </cell>
          <cell r="AW162" t="str">
            <v>Trần Nam6</v>
          </cell>
        </row>
        <row r="163">
          <cell r="D163" t="str">
            <v>Trần Nam</v>
          </cell>
          <cell r="AF163" t="str">
            <v>XE00130</v>
          </cell>
          <cell r="AH163">
            <v>9.42</v>
          </cell>
          <cell r="AW163" t="str">
            <v>Trần Nam7</v>
          </cell>
        </row>
        <row r="164">
          <cell r="D164" t="str">
            <v>Đặng Hồng Thuỷ</v>
          </cell>
          <cell r="AF164" t="str">
            <v>XE01385</v>
          </cell>
          <cell r="AH164">
            <v>10</v>
          </cell>
          <cell r="AW164" t="str">
            <v>Đặng Hồng Thuỷ6</v>
          </cell>
        </row>
        <row r="165">
          <cell r="D165" t="str">
            <v>Đặng Hồng Thuỷ</v>
          </cell>
          <cell r="AF165" t="str">
            <v>XE01385</v>
          </cell>
          <cell r="AH165">
            <v>9.02</v>
          </cell>
          <cell r="AW165" t="str">
            <v>Đặng Hồng Thuỷ7</v>
          </cell>
        </row>
        <row r="166">
          <cell r="D166" t="str">
            <v>Phạm Quốc Hội</v>
          </cell>
          <cell r="AF166" t="str">
            <v>XE01229</v>
          </cell>
          <cell r="AH166">
            <v>9.42</v>
          </cell>
          <cell r="AW166" t="str">
            <v>Phạm Quốc Hội6</v>
          </cell>
        </row>
        <row r="167">
          <cell r="D167" t="str">
            <v>Phạm Quốc Hội</v>
          </cell>
          <cell r="AF167" t="str">
            <v>XE01229</v>
          </cell>
          <cell r="AH167">
            <v>9.82</v>
          </cell>
          <cell r="AW167" t="str">
            <v>Phạm Quốc Hội7</v>
          </cell>
        </row>
        <row r="168">
          <cell r="D168" t="str">
            <v>Cù Xuân Duy</v>
          </cell>
          <cell r="AF168" t="str">
            <v>XE00887</v>
          </cell>
          <cell r="AH168">
            <v>9.42</v>
          </cell>
          <cell r="AW168" t="str">
            <v>Cù Xuân Duy6</v>
          </cell>
        </row>
        <row r="169">
          <cell r="D169" t="str">
            <v>Cù Xuân Duy</v>
          </cell>
          <cell r="AF169" t="str">
            <v>XE00887</v>
          </cell>
          <cell r="AH169">
            <v>10</v>
          </cell>
          <cell r="AW169" t="str">
            <v>Cù Xuân Duy7</v>
          </cell>
        </row>
        <row r="170">
          <cell r="D170" t="str">
            <v>Nguyễn Thành Đạt</v>
          </cell>
          <cell r="AF170" t="str">
            <v>XE00256</v>
          </cell>
          <cell r="AH170">
            <v>9.42</v>
          </cell>
          <cell r="AW170" t="str">
            <v>Nguyễn Thành Đạt6</v>
          </cell>
        </row>
        <row r="171">
          <cell r="D171" t="str">
            <v>Nguyễn Thành Đạt</v>
          </cell>
          <cell r="AF171" t="str">
            <v>XE00256</v>
          </cell>
          <cell r="AH171">
            <v>9.42</v>
          </cell>
          <cell r="AW171" t="str">
            <v>Nguyễn Thành Đạt7</v>
          </cell>
        </row>
        <row r="172">
          <cell r="D172" t="str">
            <v>Lê Văn Diện</v>
          </cell>
          <cell r="AF172" t="str">
            <v>XE00098</v>
          </cell>
          <cell r="AH172">
            <v>10</v>
          </cell>
          <cell r="AW172" t="str">
            <v>Lê Văn Diện6</v>
          </cell>
        </row>
        <row r="173">
          <cell r="D173" t="str">
            <v>Lê Văn Diện</v>
          </cell>
          <cell r="AF173" t="str">
            <v>XE00098</v>
          </cell>
          <cell r="AH173">
            <v>10</v>
          </cell>
          <cell r="AW173" t="str">
            <v>Lê Văn Diện7</v>
          </cell>
        </row>
        <row r="174">
          <cell r="D174" t="str">
            <v>Nguyễn Việt Trung</v>
          </cell>
          <cell r="AF174" t="str">
            <v>XE00137</v>
          </cell>
          <cell r="AH174">
            <v>8.6199999999999992</v>
          </cell>
          <cell r="AW174" t="str">
            <v>Nguyễn Việt Trung6</v>
          </cell>
        </row>
        <row r="175">
          <cell r="D175" t="str">
            <v>Nguyễn Việt Trung</v>
          </cell>
          <cell r="AF175" t="str">
            <v>XE00137</v>
          </cell>
          <cell r="AH175">
            <v>10</v>
          </cell>
          <cell r="AW175" t="str">
            <v>Nguyễn Việt Trung7</v>
          </cell>
        </row>
        <row r="176">
          <cell r="D176" t="str">
            <v>Phan Đăng Quang</v>
          </cell>
          <cell r="AF176" t="str">
            <v>XE00195</v>
          </cell>
          <cell r="AH176">
            <v>9.02</v>
          </cell>
          <cell r="AW176" t="str">
            <v>Phan Đăng Quang6</v>
          </cell>
        </row>
        <row r="177">
          <cell r="D177" t="str">
            <v>Phan Đăng Quang</v>
          </cell>
          <cell r="AF177" t="str">
            <v>XE00195</v>
          </cell>
          <cell r="AH177">
            <v>9.42</v>
          </cell>
          <cell r="AW177" t="str">
            <v>Phan Đăng Quang7</v>
          </cell>
        </row>
        <row r="178">
          <cell r="D178" t="str">
            <v>Nguyễn Ngọc Trường</v>
          </cell>
          <cell r="AF178" t="str">
            <v>XE00240</v>
          </cell>
          <cell r="AH178">
            <v>9.42</v>
          </cell>
          <cell r="AW178" t="str">
            <v>Nguyễn Ngọc Trường6</v>
          </cell>
        </row>
        <row r="179">
          <cell r="D179" t="str">
            <v>Nguyễn Ngọc Trường</v>
          </cell>
          <cell r="AF179" t="str">
            <v>XE00240</v>
          </cell>
          <cell r="AH179">
            <v>9.82</v>
          </cell>
          <cell r="AW179" t="str">
            <v>Nguyễn Ngọc Trường7</v>
          </cell>
        </row>
        <row r="180">
          <cell r="D180" t="str">
            <v>Đặng Ngọc Toàn</v>
          </cell>
          <cell r="AF180" t="str">
            <v>XE00138</v>
          </cell>
          <cell r="AH180">
            <v>10</v>
          </cell>
          <cell r="AW180" t="str">
            <v>Đặng Ngọc Toàn6</v>
          </cell>
        </row>
        <row r="181">
          <cell r="D181" t="str">
            <v>Đặng Ngọc Toàn</v>
          </cell>
          <cell r="AF181" t="str">
            <v>XE00138</v>
          </cell>
          <cell r="AH181">
            <v>9.02</v>
          </cell>
          <cell r="AW181" t="str">
            <v>Đặng Ngọc Toàn7</v>
          </cell>
        </row>
        <row r="182">
          <cell r="D182" t="str">
            <v>Trần Đình Vượng</v>
          </cell>
          <cell r="AF182" t="str">
            <v>XE01155</v>
          </cell>
          <cell r="AH182">
            <v>10</v>
          </cell>
          <cell r="AW182" t="str">
            <v>Trần Đình Vượng6</v>
          </cell>
        </row>
        <row r="183">
          <cell r="D183" t="str">
            <v>Trần Đình Vượng</v>
          </cell>
          <cell r="AF183" t="str">
            <v>XE01155</v>
          </cell>
          <cell r="AH183">
            <v>9.02</v>
          </cell>
          <cell r="AW183" t="str">
            <v>Trần Đình Vượng7</v>
          </cell>
        </row>
        <row r="184">
          <cell r="D184" t="str">
            <v>Trần Mạnh Linh</v>
          </cell>
          <cell r="AF184" t="str">
            <v>XE01660</v>
          </cell>
          <cell r="AH184">
            <v>9.82</v>
          </cell>
          <cell r="AW184" t="str">
            <v>Trần Mạnh Linh7</v>
          </cell>
        </row>
        <row r="185">
          <cell r="D185" t="str">
            <v>Trần Mạnh Linh</v>
          </cell>
          <cell r="AF185" t="str">
            <v>XE01660</v>
          </cell>
          <cell r="AH185">
            <v>9.42</v>
          </cell>
          <cell r="AW185" t="str">
            <v>Trần Mạnh Linh8</v>
          </cell>
        </row>
        <row r="186">
          <cell r="D186" t="str">
            <v>Phạm Viết Thắng</v>
          </cell>
          <cell r="AF186" t="str">
            <v>XE01596</v>
          </cell>
          <cell r="AH186">
            <v>9.02</v>
          </cell>
          <cell r="AW186" t="str">
            <v>Phạm Viết Thắng7</v>
          </cell>
        </row>
        <row r="187">
          <cell r="D187" t="str">
            <v>Phạm Viết Thắng</v>
          </cell>
          <cell r="AF187" t="str">
            <v>XE01596</v>
          </cell>
          <cell r="AH187">
            <v>10</v>
          </cell>
          <cell r="AW187" t="str">
            <v>Phạm Viết Thắng8</v>
          </cell>
        </row>
        <row r="188">
          <cell r="D188" t="str">
            <v>Vũ Văn Tuyến</v>
          </cell>
          <cell r="AF188" t="str">
            <v>XE01502</v>
          </cell>
          <cell r="AH188">
            <v>9.6</v>
          </cell>
          <cell r="AW188" t="str">
            <v>Vũ Văn Tuyến7</v>
          </cell>
        </row>
        <row r="189">
          <cell r="D189" t="str">
            <v>Vũ Văn Tuyến</v>
          </cell>
          <cell r="AF189" t="str">
            <v>XE01502</v>
          </cell>
          <cell r="AH189">
            <v>8.44</v>
          </cell>
          <cell r="AW189" t="str">
            <v>Vũ Văn Tuyến8</v>
          </cell>
        </row>
        <row r="190">
          <cell r="D190" t="str">
            <v>Phạm Văn Vũ</v>
          </cell>
          <cell r="AF190" t="str">
            <v>XE00042</v>
          </cell>
          <cell r="AH190">
            <v>9.42</v>
          </cell>
          <cell r="AW190" t="str">
            <v>Phạm Văn Vũ3</v>
          </cell>
        </row>
        <row r="191">
          <cell r="D191" t="str">
            <v>Phạm Văn Vũ</v>
          </cell>
          <cell r="AF191" t="str">
            <v>XE00042</v>
          </cell>
          <cell r="AH191">
            <v>9.1999999999999993</v>
          </cell>
          <cell r="AW191" t="str">
            <v>Phạm Văn Vũ4</v>
          </cell>
        </row>
        <row r="192">
          <cell r="D192" t="str">
            <v>Phạm Quang Trung</v>
          </cell>
          <cell r="AF192" t="str">
            <v>XE00041</v>
          </cell>
          <cell r="AH192">
            <v>9.6</v>
          </cell>
          <cell r="AW192" t="str">
            <v>Phạm Quang Trung3</v>
          </cell>
        </row>
        <row r="193">
          <cell r="D193" t="str">
            <v>Phạm Quang Trung</v>
          </cell>
          <cell r="AF193" t="str">
            <v>XE00041</v>
          </cell>
          <cell r="AH193">
            <v>9.82</v>
          </cell>
          <cell r="AW193" t="str">
            <v>Phạm Quang Trung4</v>
          </cell>
        </row>
        <row r="194">
          <cell r="D194" t="str">
            <v>Lê Hữu Bích</v>
          </cell>
          <cell r="AF194" t="str">
            <v>XE00050</v>
          </cell>
          <cell r="AH194">
            <v>9.82</v>
          </cell>
          <cell r="AW194" t="str">
            <v>Lê Hữu Bích2</v>
          </cell>
        </row>
        <row r="195">
          <cell r="D195" t="str">
            <v>Lê Hữu Bích</v>
          </cell>
          <cell r="AF195" t="str">
            <v>XE00050</v>
          </cell>
          <cell r="AH195">
            <v>9.02</v>
          </cell>
          <cell r="AW195" t="str">
            <v>Lê Hữu Bích3</v>
          </cell>
        </row>
        <row r="196">
          <cell r="D196" t="str">
            <v>Nguyễn Đức Thanh</v>
          </cell>
          <cell r="AF196" t="str">
            <v>XE00627</v>
          </cell>
          <cell r="AH196">
            <v>8.84</v>
          </cell>
          <cell r="AW196" t="str">
            <v>Nguyễn Đức Thanh3</v>
          </cell>
        </row>
        <row r="197">
          <cell r="D197" t="str">
            <v>Nguyễn Đức Thanh</v>
          </cell>
          <cell r="AF197" t="str">
            <v>XE00627</v>
          </cell>
          <cell r="AH197">
            <v>9.42</v>
          </cell>
          <cell r="AW197" t="str">
            <v>Nguyễn Đức Thanh4</v>
          </cell>
        </row>
        <row r="198">
          <cell r="D198" t="str">
            <v>Vũ Việt Hùng</v>
          </cell>
          <cell r="AF198" t="str">
            <v>XE00812</v>
          </cell>
          <cell r="AH198">
            <v>10</v>
          </cell>
          <cell r="AW198" t="str">
            <v>Vũ Việt Hùng4</v>
          </cell>
        </row>
        <row r="199">
          <cell r="D199" t="str">
            <v>Vũ Việt Hùng</v>
          </cell>
          <cell r="AF199" t="str">
            <v>XE00812</v>
          </cell>
          <cell r="AH199">
            <v>9.82</v>
          </cell>
          <cell r="AW199" t="str">
            <v>Vũ Việt Hùng5</v>
          </cell>
        </row>
        <row r="200">
          <cell r="D200" t="str">
            <v>Lê Trường Doanh</v>
          </cell>
          <cell r="AF200" t="str">
            <v>XE00581</v>
          </cell>
          <cell r="AH200">
            <v>10</v>
          </cell>
          <cell r="AW200" t="str">
            <v>Lê Trường Doanh4</v>
          </cell>
        </row>
        <row r="201">
          <cell r="D201" t="str">
            <v>Lê Trường Doanh</v>
          </cell>
          <cell r="AF201" t="str">
            <v>XE00581</v>
          </cell>
          <cell r="AH201">
            <v>9.6</v>
          </cell>
          <cell r="AW201" t="str">
            <v>Lê Trường Doanh5</v>
          </cell>
        </row>
        <row r="202">
          <cell r="D202" t="str">
            <v>Nguyễn Ngọc Hưng</v>
          </cell>
          <cell r="AF202" t="str">
            <v>XE00559</v>
          </cell>
          <cell r="AH202">
            <v>9.42</v>
          </cell>
          <cell r="AW202" t="str">
            <v>Nguyễn Ngọc Hưng4</v>
          </cell>
        </row>
        <row r="203">
          <cell r="D203" t="str">
            <v>Nguyễn Ngọc Hưng</v>
          </cell>
          <cell r="AF203" t="str">
            <v>XE00559</v>
          </cell>
          <cell r="AH203">
            <v>10</v>
          </cell>
          <cell r="AW203" t="str">
            <v>Nguyễn Ngọc Hưng5</v>
          </cell>
        </row>
        <row r="204">
          <cell r="D204" t="str">
            <v>Tống Văn Nam</v>
          </cell>
          <cell r="AF204" t="str">
            <v>XE00019</v>
          </cell>
          <cell r="AH204">
            <v>9.42</v>
          </cell>
          <cell r="AW204" t="str">
            <v>Tống Văn Nam4</v>
          </cell>
        </row>
        <row r="205">
          <cell r="D205" t="str">
            <v>Tống Văn Nam</v>
          </cell>
          <cell r="AF205" t="str">
            <v>XE00019</v>
          </cell>
          <cell r="AH205">
            <v>9.82</v>
          </cell>
          <cell r="AW205" t="str">
            <v>Tống Văn Nam5</v>
          </cell>
        </row>
        <row r="206">
          <cell r="D206" t="str">
            <v>Hoàng Ngọc Cường</v>
          </cell>
          <cell r="AF206" t="str">
            <v>XE00703</v>
          </cell>
          <cell r="AH206">
            <v>10</v>
          </cell>
          <cell r="AW206" t="str">
            <v>Hoàng Ngọc Cường4</v>
          </cell>
        </row>
        <row r="207">
          <cell r="D207" t="str">
            <v>Hoàng Ngọc Cường</v>
          </cell>
          <cell r="AF207" t="str">
            <v>XE00703</v>
          </cell>
          <cell r="AH207">
            <v>8.6199999999999992</v>
          </cell>
          <cell r="AW207" t="str">
            <v>Hoàng Ngọc Cường5</v>
          </cell>
        </row>
        <row r="208">
          <cell r="D208" t="str">
            <v>Ngô Quốc Hùng</v>
          </cell>
          <cell r="AF208" t="str">
            <v>XE00024</v>
          </cell>
          <cell r="AH208">
            <v>9.02</v>
          </cell>
          <cell r="AW208" t="str">
            <v>Ngô Quốc Hùng4</v>
          </cell>
        </row>
        <row r="209">
          <cell r="D209" t="str">
            <v>Ngô Quốc Hùng</v>
          </cell>
          <cell r="AF209" t="str">
            <v>XE00024</v>
          </cell>
          <cell r="AH209">
            <v>9.42</v>
          </cell>
          <cell r="AW209" t="str">
            <v>Ngô Quốc Hùng5</v>
          </cell>
        </row>
        <row r="210">
          <cell r="D210" t="str">
            <v>Nguyễn Xuân Thắng</v>
          </cell>
          <cell r="AF210" t="str">
            <v>XE00046</v>
          </cell>
          <cell r="AH210">
            <v>9.6</v>
          </cell>
          <cell r="AW210" t="str">
            <v>Nguyễn Xuân Thắng5</v>
          </cell>
        </row>
        <row r="211">
          <cell r="D211" t="str">
            <v>Nguyễn Xuân Thắng</v>
          </cell>
          <cell r="AF211" t="str">
            <v>XE00046</v>
          </cell>
          <cell r="AH211">
            <v>9.42</v>
          </cell>
          <cell r="AW211" t="str">
            <v>Nguyễn Xuân Thắng6</v>
          </cell>
        </row>
        <row r="212">
          <cell r="D212" t="str">
            <v>Phạm Thanh Tùng</v>
          </cell>
          <cell r="AF212" t="str">
            <v>XE01402</v>
          </cell>
          <cell r="AH212">
            <v>9.82</v>
          </cell>
          <cell r="AW212" t="str">
            <v>Phạm Thanh Tùng5</v>
          </cell>
        </row>
        <row r="213">
          <cell r="D213" t="str">
            <v>Phạm Thanh Tùng</v>
          </cell>
          <cell r="AF213" t="str">
            <v>XE01402</v>
          </cell>
          <cell r="AH213">
            <v>10</v>
          </cell>
          <cell r="AW213" t="str">
            <v>Phạm Thanh Tùng6</v>
          </cell>
        </row>
        <row r="214">
          <cell r="D214" t="str">
            <v>Dương Văn Thọ</v>
          </cell>
          <cell r="AF214" t="str">
            <v>XE00282</v>
          </cell>
          <cell r="AH214">
            <v>9.82</v>
          </cell>
          <cell r="AW214" t="str">
            <v>Dương Văn Thọ5</v>
          </cell>
        </row>
        <row r="215">
          <cell r="D215" t="str">
            <v>Dương Văn Thọ</v>
          </cell>
          <cell r="AF215" t="str">
            <v>XE00282</v>
          </cell>
          <cell r="AH215">
            <v>9.82</v>
          </cell>
          <cell r="AW215" t="str">
            <v>Dương Văn Thọ6</v>
          </cell>
        </row>
        <row r="216">
          <cell r="D216" t="str">
            <v>Trần Thanh An</v>
          </cell>
          <cell r="AF216" t="str">
            <v>XE00113</v>
          </cell>
          <cell r="AH216">
            <v>9.6</v>
          </cell>
          <cell r="AW216" t="str">
            <v>Trần Thanh An5</v>
          </cell>
        </row>
        <row r="217">
          <cell r="D217" t="str">
            <v>Trần Thanh An</v>
          </cell>
          <cell r="AF217" t="str">
            <v>XE00113</v>
          </cell>
          <cell r="AH217">
            <v>10</v>
          </cell>
          <cell r="AW217" t="str">
            <v>Trần Thanh An6</v>
          </cell>
        </row>
        <row r="218">
          <cell r="D218" t="str">
            <v>Nguyễn Thanh Sơn</v>
          </cell>
          <cell r="AF218" t="str">
            <v>XE01468</v>
          </cell>
          <cell r="AH218">
            <v>9.02</v>
          </cell>
          <cell r="AW218" t="str">
            <v>Nguyễn Thanh Sơn6</v>
          </cell>
        </row>
        <row r="219">
          <cell r="D219" t="str">
            <v>Nguyễn Thanh Sơn</v>
          </cell>
          <cell r="AF219" t="str">
            <v>XE01468</v>
          </cell>
          <cell r="AH219">
            <v>9.02</v>
          </cell>
          <cell r="AW219" t="str">
            <v>Nguyễn Thanh Sơn7</v>
          </cell>
        </row>
        <row r="220">
          <cell r="D220" t="str">
            <v>Trần Đức Toản</v>
          </cell>
          <cell r="AF220" t="str">
            <v>XE01314</v>
          </cell>
          <cell r="AH220">
            <v>9.02</v>
          </cell>
          <cell r="AW220" t="str">
            <v>Trần Đức Toản6</v>
          </cell>
        </row>
        <row r="221">
          <cell r="D221" t="str">
            <v>Trần Đức Toản</v>
          </cell>
          <cell r="AF221" t="str">
            <v>XE01314</v>
          </cell>
          <cell r="AH221">
            <v>9.02</v>
          </cell>
          <cell r="AW221" t="str">
            <v>Trần Đức Toản7</v>
          </cell>
        </row>
        <row r="222">
          <cell r="D222" t="str">
            <v>Trịnh Xuân Đức</v>
          </cell>
          <cell r="AF222" t="str">
            <v>XE00109</v>
          </cell>
          <cell r="AH222">
            <v>9.42</v>
          </cell>
          <cell r="AW222" t="str">
            <v>Trịnh Xuân Đức6</v>
          </cell>
        </row>
        <row r="223">
          <cell r="D223" t="str">
            <v>Trịnh Xuân Đức</v>
          </cell>
          <cell r="AF223" t="str">
            <v>XE00109</v>
          </cell>
          <cell r="AH223">
            <v>10</v>
          </cell>
          <cell r="AW223" t="str">
            <v>Trịnh Xuân Đức7</v>
          </cell>
        </row>
        <row r="224">
          <cell r="D224" t="str">
            <v>Phạm Văn Vũ</v>
          </cell>
          <cell r="AF224" t="str">
            <v>XE00042</v>
          </cell>
          <cell r="AH224">
            <v>9.42</v>
          </cell>
          <cell r="AW224" t="str">
            <v>Phạm Văn Vũ5</v>
          </cell>
        </row>
        <row r="225">
          <cell r="D225" t="str">
            <v>Phạm Văn Vũ</v>
          </cell>
          <cell r="AF225" t="str">
            <v>XE00042</v>
          </cell>
          <cell r="AH225">
            <v>9.42</v>
          </cell>
          <cell r="AW225" t="str">
            <v>Phạm Văn Vũ6</v>
          </cell>
        </row>
        <row r="226">
          <cell r="D226" t="str">
            <v>Nguyễn Văn Hùng</v>
          </cell>
          <cell r="AF226" t="str">
            <v>XE00083</v>
          </cell>
          <cell r="AH226">
            <v>10</v>
          </cell>
          <cell r="AW226" t="str">
            <v>Nguyễn Văn Hùng5</v>
          </cell>
        </row>
        <row r="227">
          <cell r="D227" t="str">
            <v>Nguyễn Văn Hùng</v>
          </cell>
          <cell r="AF227" t="str">
            <v>XE00083</v>
          </cell>
          <cell r="AH227">
            <v>10</v>
          </cell>
          <cell r="AW227" t="str">
            <v>Nguyễn Văn Hùng6</v>
          </cell>
        </row>
        <row r="228">
          <cell r="D228" t="str">
            <v>Phạm Quang Trung</v>
          </cell>
          <cell r="AF228" t="str">
            <v>XE00041</v>
          </cell>
          <cell r="AH228">
            <v>10</v>
          </cell>
          <cell r="AW228" t="str">
            <v>Phạm Quang Trung5</v>
          </cell>
        </row>
        <row r="229">
          <cell r="D229" t="str">
            <v>Phạm Quang Trung</v>
          </cell>
          <cell r="AF229" t="str">
            <v>XE00041</v>
          </cell>
          <cell r="AH229">
            <v>9.02</v>
          </cell>
          <cell r="AW229" t="str">
            <v>Phạm Quang Trung6</v>
          </cell>
        </row>
        <row r="230">
          <cell r="D230" t="str">
            <v>Trần Đức Triều</v>
          </cell>
          <cell r="AF230" t="str">
            <v>XE00080</v>
          </cell>
          <cell r="AH230">
            <v>10</v>
          </cell>
          <cell r="AW230" t="str">
            <v>Trần Đức Triều5</v>
          </cell>
        </row>
        <row r="231">
          <cell r="D231" t="str">
            <v>Trần Đức Triều</v>
          </cell>
          <cell r="AF231" t="str">
            <v>XE00080</v>
          </cell>
          <cell r="AH231">
            <v>9.42</v>
          </cell>
          <cell r="AW231" t="str">
            <v>Trần Đức Triều6</v>
          </cell>
        </row>
        <row r="232">
          <cell r="D232" t="str">
            <v>Bùi Quý Phúc</v>
          </cell>
          <cell r="AF232" t="str">
            <v>XE00077</v>
          </cell>
          <cell r="AH232">
            <v>10</v>
          </cell>
          <cell r="AW232" t="str">
            <v>Bùi Quý Phúc5</v>
          </cell>
        </row>
        <row r="233">
          <cell r="D233" t="str">
            <v>Bùi Quý Phúc</v>
          </cell>
          <cell r="AF233" t="str">
            <v>XE00077</v>
          </cell>
          <cell r="AH233">
            <v>10</v>
          </cell>
          <cell r="AW233" t="str">
            <v>Bùi Quý Phúc6</v>
          </cell>
        </row>
        <row r="234">
          <cell r="D234" t="str">
            <v>Trần Hữu Nam 1972</v>
          </cell>
          <cell r="AF234" t="str">
            <v>XE00033</v>
          </cell>
          <cell r="AH234">
            <v>8.2199999999999989</v>
          </cell>
          <cell r="AW234" t="str">
            <v>Trần Hữu Nam 19725</v>
          </cell>
        </row>
        <row r="235">
          <cell r="D235" t="str">
            <v>Trần Hữu Nam 1972</v>
          </cell>
          <cell r="AF235" t="str">
            <v>XE00033</v>
          </cell>
          <cell r="AH235">
            <v>9.82</v>
          </cell>
          <cell r="AW235" t="str">
            <v>Trần Hữu Nam 19726</v>
          </cell>
        </row>
        <row r="236">
          <cell r="D236" t="str">
            <v>Phạm Thế Anh</v>
          </cell>
          <cell r="AF236" t="str">
            <v>XE00298</v>
          </cell>
          <cell r="AH236">
            <v>9.6</v>
          </cell>
          <cell r="AW236" t="str">
            <v>Phạm Thế Anh8</v>
          </cell>
        </row>
        <row r="237">
          <cell r="D237" t="str">
            <v>Trần Nam</v>
          </cell>
          <cell r="AF237" t="str">
            <v>XE00130</v>
          </cell>
          <cell r="AH237">
            <v>9.02</v>
          </cell>
          <cell r="AW237" t="str">
            <v>Trần Nam8</v>
          </cell>
        </row>
        <row r="238">
          <cell r="D238" t="str">
            <v>Đặng Hồng Thuỷ</v>
          </cell>
          <cell r="AF238" t="str">
            <v>XE01385</v>
          </cell>
          <cell r="AH238">
            <v>10</v>
          </cell>
          <cell r="AW238" t="str">
            <v>Đặng Hồng Thuỷ8</v>
          </cell>
        </row>
        <row r="239">
          <cell r="D239" t="str">
            <v>Phạm Quốc Hội</v>
          </cell>
          <cell r="AF239" t="str">
            <v>XE01229</v>
          </cell>
          <cell r="AH239">
            <v>9.6</v>
          </cell>
          <cell r="AW239" t="str">
            <v>Phạm Quốc Hội8</v>
          </cell>
        </row>
        <row r="240">
          <cell r="D240" t="str">
            <v>Cù Xuân Duy</v>
          </cell>
          <cell r="AF240" t="str">
            <v>XE00887</v>
          </cell>
          <cell r="AH240">
            <v>9.82</v>
          </cell>
          <cell r="AW240" t="str">
            <v>Cù Xuân Duy8</v>
          </cell>
        </row>
        <row r="241">
          <cell r="D241" t="str">
            <v>Nguyễn Thành Đạt</v>
          </cell>
          <cell r="AF241" t="str">
            <v>XE00256</v>
          </cell>
          <cell r="AH241">
            <v>10</v>
          </cell>
          <cell r="AW241" t="str">
            <v>Nguyễn Thành Đạt8</v>
          </cell>
        </row>
        <row r="242">
          <cell r="D242" t="str">
            <v>Lê Văn Diện</v>
          </cell>
          <cell r="AF242" t="str">
            <v>XE00098</v>
          </cell>
          <cell r="AH242">
            <v>9.42</v>
          </cell>
          <cell r="AW242" t="str">
            <v>Lê Văn Diện8</v>
          </cell>
        </row>
        <row r="243">
          <cell r="D243" t="str">
            <v>Nguyễn Việt Trung</v>
          </cell>
          <cell r="AF243" t="str">
            <v>XE00137</v>
          </cell>
          <cell r="AH243">
            <v>9.02</v>
          </cell>
          <cell r="AW243" t="str">
            <v>Nguyễn Việt Trung8</v>
          </cell>
        </row>
        <row r="244">
          <cell r="D244" t="str">
            <v>Phan Đăng Quang</v>
          </cell>
          <cell r="AF244" t="str">
            <v>XE00195</v>
          </cell>
          <cell r="AH244">
            <v>9.24</v>
          </cell>
          <cell r="AW244" t="str">
            <v>Phan Đăng Quang8</v>
          </cell>
        </row>
        <row r="245">
          <cell r="D245" t="str">
            <v>Nguyễn Ngọc Trường</v>
          </cell>
          <cell r="AF245" t="str">
            <v>XE00240</v>
          </cell>
          <cell r="AH245">
            <v>8.0399999999999991</v>
          </cell>
          <cell r="AW245" t="str">
            <v>Nguyễn Ngọc Trường8</v>
          </cell>
        </row>
        <row r="246">
          <cell r="D246" t="str">
            <v>Đặng Ngọc Toàn</v>
          </cell>
          <cell r="AF246" t="str">
            <v>XE00138</v>
          </cell>
          <cell r="AH246">
            <v>9.42</v>
          </cell>
          <cell r="AW246" t="str">
            <v>Đặng Ngọc Toàn8</v>
          </cell>
        </row>
        <row r="247">
          <cell r="D247" t="str">
            <v>Trần Đình Vượng</v>
          </cell>
          <cell r="AF247" t="str">
            <v>XE01155</v>
          </cell>
          <cell r="AH247">
            <v>8.84</v>
          </cell>
          <cell r="AW247" t="str">
            <v>Trần Đình Vượng8</v>
          </cell>
        </row>
        <row r="248">
          <cell r="D248" t="str">
            <v>Trần Mạnh Linh</v>
          </cell>
          <cell r="AF248" t="str">
            <v>XE01660</v>
          </cell>
          <cell r="AH248">
            <v>10</v>
          </cell>
          <cell r="AW248" t="str">
            <v>Trần Mạnh Linh9</v>
          </cell>
        </row>
        <row r="249">
          <cell r="D249" t="str">
            <v>Phạm Viết Thắng</v>
          </cell>
          <cell r="AF249" t="str">
            <v>XE01596</v>
          </cell>
          <cell r="AH249">
            <v>9.82</v>
          </cell>
          <cell r="AW249" t="str">
            <v>Phạm Viết Thắng9</v>
          </cell>
        </row>
        <row r="250">
          <cell r="D250" t="str">
            <v>Vũ Văn Tuyến</v>
          </cell>
          <cell r="AF250" t="str">
            <v>XE01502</v>
          </cell>
          <cell r="AH250">
            <v>10</v>
          </cell>
          <cell r="AW250" t="str">
            <v>Vũ Văn Tuyến9</v>
          </cell>
        </row>
        <row r="251">
          <cell r="D251" t="str">
            <v>Tống Văn Nam</v>
          </cell>
          <cell r="AF251" t="str">
            <v>XE00019</v>
          </cell>
          <cell r="AH251">
            <v>9.82</v>
          </cell>
          <cell r="AW251" t="str">
            <v>Tống Văn Nam6</v>
          </cell>
        </row>
        <row r="252">
          <cell r="D252" t="str">
            <v>Tống Văn Nam</v>
          </cell>
          <cell r="AF252" t="str">
            <v>XE00019</v>
          </cell>
          <cell r="AH252">
            <v>9.42</v>
          </cell>
          <cell r="AW252" t="str">
            <v>Tống Văn Nam7</v>
          </cell>
        </row>
        <row r="253">
          <cell r="D253" t="str">
            <v>Lê Hữu Bích</v>
          </cell>
          <cell r="AF253" t="str">
            <v>XE00050</v>
          </cell>
          <cell r="AH253">
            <v>9.02</v>
          </cell>
          <cell r="AW253" t="str">
            <v>Lê Hữu Bích4</v>
          </cell>
        </row>
        <row r="254">
          <cell r="D254" t="str">
            <v>Lê Hữu Bích</v>
          </cell>
          <cell r="AF254" t="str">
            <v>XE00050</v>
          </cell>
          <cell r="AH254">
            <v>9.02</v>
          </cell>
          <cell r="AW254" t="str">
            <v>Lê Hữu Bích5</v>
          </cell>
        </row>
        <row r="255">
          <cell r="D255" t="str">
            <v>Nguyễn Văn Thế</v>
          </cell>
          <cell r="AF255" t="str">
            <v>XE00600</v>
          </cell>
          <cell r="AH255">
            <v>9.42</v>
          </cell>
          <cell r="AW255" t="str">
            <v>Nguyễn Văn Thế4</v>
          </cell>
        </row>
        <row r="256">
          <cell r="D256" t="str">
            <v>Nguyễn Văn Thế</v>
          </cell>
          <cell r="AF256" t="str">
            <v>XE00600</v>
          </cell>
          <cell r="AH256">
            <v>9.02</v>
          </cell>
          <cell r="AW256" t="str">
            <v>Nguyễn Văn Thế5</v>
          </cell>
        </row>
        <row r="257">
          <cell r="D257" t="str">
            <v>Nguyễn Đức Thanh</v>
          </cell>
          <cell r="AF257" t="str">
            <v>XE00627</v>
          </cell>
          <cell r="AH257">
            <v>9.42</v>
          </cell>
          <cell r="AW257" t="str">
            <v>Nguyễn Đức Thanh5</v>
          </cell>
        </row>
        <row r="258">
          <cell r="D258" t="str">
            <v>Nguyễn Đức Thanh</v>
          </cell>
          <cell r="AF258" t="str">
            <v>XE00627</v>
          </cell>
          <cell r="AH258">
            <v>9.42</v>
          </cell>
          <cell r="AW258" t="str">
            <v>Nguyễn Đức Thanh6</v>
          </cell>
        </row>
        <row r="259">
          <cell r="D259" t="str">
            <v>Vũ Việt Hùng</v>
          </cell>
          <cell r="AF259" t="str">
            <v>XE00812</v>
          </cell>
          <cell r="AH259">
            <v>9.42</v>
          </cell>
          <cell r="AW259" t="str">
            <v>Vũ Việt Hùng6</v>
          </cell>
        </row>
        <row r="260">
          <cell r="D260" t="str">
            <v>Vũ Việt Hùng</v>
          </cell>
          <cell r="AF260" t="str">
            <v>XE00812</v>
          </cell>
          <cell r="AH260">
            <v>9.82</v>
          </cell>
          <cell r="AW260" t="str">
            <v>Vũ Việt Hùng7</v>
          </cell>
        </row>
        <row r="261">
          <cell r="D261" t="str">
            <v>Lê Trường Doanh</v>
          </cell>
          <cell r="AF261" t="str">
            <v>XE00581</v>
          </cell>
          <cell r="AH261">
            <v>9.42</v>
          </cell>
          <cell r="AW261" t="str">
            <v>Lê Trường Doanh6</v>
          </cell>
        </row>
        <row r="262">
          <cell r="D262" t="str">
            <v>Lê Trường Doanh</v>
          </cell>
          <cell r="AF262" t="str">
            <v>XE00581</v>
          </cell>
          <cell r="AH262">
            <v>9.42</v>
          </cell>
          <cell r="AW262" t="str">
            <v>Lê Trường Doanh7</v>
          </cell>
        </row>
        <row r="263">
          <cell r="D263" t="str">
            <v>Nguyễn Ngọc Hưng</v>
          </cell>
          <cell r="AF263" t="str">
            <v>XE00559</v>
          </cell>
          <cell r="AH263">
            <v>9.42</v>
          </cell>
          <cell r="AW263" t="str">
            <v>Nguyễn Ngọc Hưng6</v>
          </cell>
        </row>
        <row r="264">
          <cell r="D264" t="str">
            <v>Nguyễn Ngọc Hưng</v>
          </cell>
          <cell r="AF264" t="str">
            <v>XE00559</v>
          </cell>
          <cell r="AH264">
            <v>9.02</v>
          </cell>
          <cell r="AW264" t="str">
            <v>Nguyễn Ngọc Hưng7</v>
          </cell>
        </row>
        <row r="265">
          <cell r="D265" t="str">
            <v>Lê Trọng Giáp</v>
          </cell>
          <cell r="AF265" t="str">
            <v>XE00020</v>
          </cell>
          <cell r="AH265">
            <v>9.82</v>
          </cell>
          <cell r="AW265" t="str">
            <v>Lê Trọng Giáp6</v>
          </cell>
        </row>
        <row r="266">
          <cell r="D266" t="str">
            <v>Lê Trọng Giáp</v>
          </cell>
          <cell r="AF266" t="str">
            <v>XE00020</v>
          </cell>
          <cell r="AH266">
            <v>9.02</v>
          </cell>
          <cell r="AW266" t="str">
            <v>Lê Trọng Giáp7</v>
          </cell>
        </row>
        <row r="267">
          <cell r="D267" t="str">
            <v>Hoàng Ngọc Cường</v>
          </cell>
          <cell r="AF267" t="str">
            <v>XE00703</v>
          </cell>
          <cell r="AH267">
            <v>9.42</v>
          </cell>
          <cell r="AW267" t="str">
            <v>Hoàng Ngọc Cường6</v>
          </cell>
        </row>
        <row r="268">
          <cell r="D268" t="str">
            <v>Hoàng Ngọc Cường</v>
          </cell>
          <cell r="AF268" t="str">
            <v>XE00703</v>
          </cell>
          <cell r="AH268">
            <v>10</v>
          </cell>
          <cell r="AW268" t="str">
            <v>Hoàng Ngọc Cường7</v>
          </cell>
        </row>
        <row r="269">
          <cell r="D269" t="str">
            <v>Ngô Quốc Hùng</v>
          </cell>
          <cell r="AF269" t="str">
            <v>XE00024</v>
          </cell>
          <cell r="AH269">
            <v>9.02</v>
          </cell>
          <cell r="AW269" t="str">
            <v>Ngô Quốc Hùng6</v>
          </cell>
        </row>
        <row r="270">
          <cell r="D270" t="str">
            <v>Ngô Quốc Hùng</v>
          </cell>
          <cell r="AF270" t="str">
            <v>XE00024</v>
          </cell>
          <cell r="AH270">
            <v>9.42</v>
          </cell>
          <cell r="AW270" t="str">
            <v>Ngô Quốc Hùng7</v>
          </cell>
        </row>
        <row r="271">
          <cell r="D271" t="str">
            <v>Phạm Thanh Tùng</v>
          </cell>
          <cell r="AF271" t="str">
            <v>XE01402</v>
          </cell>
          <cell r="AH271">
            <v>9.02</v>
          </cell>
          <cell r="AW271" t="str">
            <v>Phạm Thanh Tùng7</v>
          </cell>
        </row>
        <row r="272">
          <cell r="D272" t="str">
            <v>Phạm Thanh Tùng</v>
          </cell>
          <cell r="AF272" t="str">
            <v>XE01402</v>
          </cell>
          <cell r="AH272">
            <v>9.6</v>
          </cell>
          <cell r="AW272" t="str">
            <v>Phạm Thanh Tùng8</v>
          </cell>
        </row>
        <row r="273">
          <cell r="D273" t="str">
            <v>Nguyễn Xuân Thắng</v>
          </cell>
          <cell r="AF273" t="str">
            <v>XE00046</v>
          </cell>
          <cell r="AH273">
            <v>10</v>
          </cell>
          <cell r="AW273" t="str">
            <v>Nguyễn Xuân Thắng7</v>
          </cell>
        </row>
        <row r="274">
          <cell r="D274" t="str">
            <v>Nguyễn Xuân Thắng</v>
          </cell>
          <cell r="AF274" t="str">
            <v>XE00046</v>
          </cell>
          <cell r="AH274">
            <v>10</v>
          </cell>
          <cell r="AW274" t="str">
            <v>Nguyễn Xuân Thắng8</v>
          </cell>
        </row>
        <row r="275">
          <cell r="D275" t="str">
            <v>Dương Văn Thọ</v>
          </cell>
          <cell r="AF275" t="str">
            <v>XE00282</v>
          </cell>
          <cell r="AH275">
            <v>9.42</v>
          </cell>
          <cell r="AW275" t="str">
            <v>Dương Văn Thọ7</v>
          </cell>
        </row>
        <row r="276">
          <cell r="D276" t="str">
            <v>Dương Văn Thọ</v>
          </cell>
          <cell r="AF276" t="str">
            <v>XE00282</v>
          </cell>
          <cell r="AH276">
            <v>10</v>
          </cell>
          <cell r="AW276" t="str">
            <v>Dương Văn Thọ8</v>
          </cell>
        </row>
        <row r="277">
          <cell r="D277" t="str">
            <v>Trần Thanh An</v>
          </cell>
          <cell r="AF277" t="str">
            <v>XE00113</v>
          </cell>
          <cell r="AH277">
            <v>9.02</v>
          </cell>
          <cell r="AW277" t="str">
            <v>Trần Thanh An7</v>
          </cell>
        </row>
        <row r="278">
          <cell r="D278" t="str">
            <v>Trần Thanh An</v>
          </cell>
          <cell r="AF278" t="str">
            <v>XE00113</v>
          </cell>
          <cell r="AH278">
            <v>9.82</v>
          </cell>
          <cell r="AW278" t="str">
            <v>Trần Thanh An8</v>
          </cell>
        </row>
        <row r="279">
          <cell r="D279" t="str">
            <v>Trần Đức Toản</v>
          </cell>
          <cell r="AF279" t="str">
            <v>XE01314</v>
          </cell>
          <cell r="AH279">
            <v>9.02</v>
          </cell>
          <cell r="AW279" t="str">
            <v>Trần Đức Toản8</v>
          </cell>
        </row>
        <row r="280">
          <cell r="D280" t="str">
            <v>Trịnh Xuân Đức</v>
          </cell>
          <cell r="AF280" t="str">
            <v>XE00109</v>
          </cell>
          <cell r="AH280">
            <v>9.42</v>
          </cell>
          <cell r="AW280" t="str">
            <v>Trịnh Xuân Đức8</v>
          </cell>
        </row>
        <row r="281">
          <cell r="D281" t="str">
            <v>Phạm Văn Vũ</v>
          </cell>
          <cell r="AF281" t="str">
            <v>XE00042</v>
          </cell>
          <cell r="AH281">
            <v>10</v>
          </cell>
          <cell r="AW281" t="str">
            <v>Phạm Văn Vũ7</v>
          </cell>
        </row>
        <row r="282">
          <cell r="D282" t="str">
            <v>Phạm Văn Vũ</v>
          </cell>
          <cell r="AF282" t="str">
            <v>XE00042</v>
          </cell>
          <cell r="AH282">
            <v>9.42</v>
          </cell>
          <cell r="AW282" t="str">
            <v>Phạm Văn Vũ8</v>
          </cell>
        </row>
        <row r="283">
          <cell r="D283" t="str">
            <v>Nguyễn Văn Hùng</v>
          </cell>
          <cell r="AF283" t="str">
            <v>XE00083</v>
          </cell>
          <cell r="AH283">
            <v>9.42</v>
          </cell>
          <cell r="AW283" t="str">
            <v>Nguyễn Văn Hùng7</v>
          </cell>
        </row>
        <row r="284">
          <cell r="D284" t="str">
            <v>Nguyễn Văn Hùng</v>
          </cell>
          <cell r="AF284" t="str">
            <v>XE00083</v>
          </cell>
          <cell r="AH284">
            <v>9.82</v>
          </cell>
          <cell r="AW284" t="str">
            <v>Nguyễn Văn Hùng8</v>
          </cell>
        </row>
        <row r="285">
          <cell r="D285" t="str">
            <v>Phạm Quang Trung</v>
          </cell>
          <cell r="AF285" t="str">
            <v>XE00041</v>
          </cell>
          <cell r="AH285">
            <v>9.82</v>
          </cell>
          <cell r="AW285" t="str">
            <v>Phạm Quang Trung7</v>
          </cell>
        </row>
        <row r="286">
          <cell r="D286" t="str">
            <v>Phạm Quang Trung</v>
          </cell>
          <cell r="AF286" t="str">
            <v>XE00041</v>
          </cell>
          <cell r="AH286">
            <v>9.42</v>
          </cell>
          <cell r="AW286" t="str">
            <v>Phạm Quang Trung8</v>
          </cell>
        </row>
        <row r="287">
          <cell r="D287" t="str">
            <v>Trần Đức Triều</v>
          </cell>
          <cell r="AF287" t="str">
            <v>XE00080</v>
          </cell>
          <cell r="AH287">
            <v>10</v>
          </cell>
          <cell r="AW287" t="str">
            <v>Trần Đức Triều7</v>
          </cell>
        </row>
        <row r="288">
          <cell r="D288" t="str">
            <v>Trần Đức Triều</v>
          </cell>
          <cell r="AF288" t="str">
            <v>XE00080</v>
          </cell>
          <cell r="AH288">
            <v>9.02</v>
          </cell>
          <cell r="AW288" t="str">
            <v>Trần Đức Triều8</v>
          </cell>
        </row>
        <row r="289">
          <cell r="D289" t="str">
            <v>Bùi Quý Phúc</v>
          </cell>
          <cell r="AF289" t="str">
            <v>XE00077</v>
          </cell>
          <cell r="AH289">
            <v>9.82</v>
          </cell>
          <cell r="AW289" t="str">
            <v>Bùi Quý Phúc7</v>
          </cell>
        </row>
        <row r="290">
          <cell r="D290" t="str">
            <v>Bùi Quý Phúc</v>
          </cell>
          <cell r="AF290" t="str">
            <v>XE00077</v>
          </cell>
          <cell r="AH290">
            <v>10</v>
          </cell>
          <cell r="AW290" t="str">
            <v>Bùi Quý Phúc8</v>
          </cell>
        </row>
        <row r="291">
          <cell r="D291" t="str">
            <v>Trần Hữu Nam 1972</v>
          </cell>
          <cell r="AF291" t="str">
            <v>XE00033</v>
          </cell>
          <cell r="AH291">
            <v>10</v>
          </cell>
          <cell r="AW291" t="str">
            <v>Trần Hữu Nam 19727</v>
          </cell>
        </row>
        <row r="292">
          <cell r="D292" t="str">
            <v>Trần Hữu Nam 1972</v>
          </cell>
          <cell r="AF292" t="str">
            <v>XE00033</v>
          </cell>
          <cell r="AH292">
            <v>10</v>
          </cell>
          <cell r="AW292" t="str">
            <v>Trần Hữu Nam 19728</v>
          </cell>
        </row>
        <row r="293">
          <cell r="D293" t="str">
            <v>Nguyễn Thanh Sơn</v>
          </cell>
          <cell r="AF293" t="str">
            <v>XE01468</v>
          </cell>
          <cell r="AH293">
            <v>9.02</v>
          </cell>
          <cell r="AW293" t="str">
            <v>Nguyễn Thanh Sơn8</v>
          </cell>
        </row>
        <row r="294">
          <cell r="D294" t="str">
            <v>Phạm Thế Anh</v>
          </cell>
          <cell r="AF294" t="str">
            <v>XE00298</v>
          </cell>
          <cell r="AH294">
            <v>9.02</v>
          </cell>
          <cell r="AW294" t="str">
            <v>Phạm Thế Anh9</v>
          </cell>
        </row>
        <row r="295">
          <cell r="D295" t="str">
            <v>Trần Nam</v>
          </cell>
          <cell r="AF295" t="str">
            <v>XE00130</v>
          </cell>
          <cell r="AH295">
            <v>9.82</v>
          </cell>
          <cell r="AW295" t="str">
            <v>Trần Nam9</v>
          </cell>
        </row>
        <row r="296">
          <cell r="D296" t="str">
            <v>Đặng Hồng Thuỷ</v>
          </cell>
          <cell r="AF296" t="str">
            <v>XE01385</v>
          </cell>
          <cell r="AH296">
            <v>9.82</v>
          </cell>
          <cell r="AW296" t="str">
            <v>Đặng Hồng Thuỷ9</v>
          </cell>
        </row>
        <row r="297">
          <cell r="D297" t="str">
            <v>Phạm Quốc Hội</v>
          </cell>
          <cell r="AF297" t="str">
            <v>XE01229</v>
          </cell>
          <cell r="AH297">
            <v>10</v>
          </cell>
          <cell r="AW297" t="str">
            <v>Phạm Quốc Hội9</v>
          </cell>
        </row>
        <row r="298">
          <cell r="D298" t="str">
            <v>Cù Xuân Duy</v>
          </cell>
          <cell r="AF298" t="str">
            <v>XE00887</v>
          </cell>
          <cell r="AH298">
            <v>9.42</v>
          </cell>
          <cell r="AW298" t="str">
            <v>Cù Xuân Duy9</v>
          </cell>
        </row>
        <row r="299">
          <cell r="D299" t="str">
            <v>Nguyễn Thành Đạt</v>
          </cell>
          <cell r="AF299" t="str">
            <v>XE00256</v>
          </cell>
          <cell r="AH299">
            <v>9.02</v>
          </cell>
          <cell r="AW299" t="str">
            <v>Nguyễn Thành Đạt9</v>
          </cell>
        </row>
        <row r="300">
          <cell r="D300" t="str">
            <v>Lê Văn Diện</v>
          </cell>
          <cell r="AF300" t="str">
            <v>XE00098</v>
          </cell>
          <cell r="AH300">
            <v>9.02</v>
          </cell>
          <cell r="AW300" t="str">
            <v>Lê Văn Diện9</v>
          </cell>
        </row>
        <row r="301">
          <cell r="D301" t="str">
            <v>Nguyễn Việt Trung</v>
          </cell>
          <cell r="AF301" t="str">
            <v>XE00137</v>
          </cell>
          <cell r="AH301">
            <v>9.42</v>
          </cell>
          <cell r="AW301" t="str">
            <v>Nguyễn Việt Trung9</v>
          </cell>
        </row>
        <row r="302">
          <cell r="D302" t="str">
            <v>Phan Đăng Quang</v>
          </cell>
          <cell r="AF302" t="str">
            <v>XE00195</v>
          </cell>
          <cell r="AH302">
            <v>9.02</v>
          </cell>
          <cell r="AW302" t="str">
            <v>Phan Đăng Quang9</v>
          </cell>
        </row>
        <row r="303">
          <cell r="D303" t="str">
            <v>Nguyễn Ngọc Trường</v>
          </cell>
          <cell r="AF303" t="str">
            <v>XE00240</v>
          </cell>
          <cell r="AH303">
            <v>10</v>
          </cell>
          <cell r="AW303" t="str">
            <v>Nguyễn Ngọc Trường9</v>
          </cell>
        </row>
        <row r="304">
          <cell r="D304" t="str">
            <v>Đặng Ngọc Toàn</v>
          </cell>
          <cell r="AF304" t="str">
            <v>XE00138</v>
          </cell>
          <cell r="AH304">
            <v>9.82</v>
          </cell>
          <cell r="AW304" t="str">
            <v>Đặng Ngọc Toàn9</v>
          </cell>
        </row>
        <row r="305">
          <cell r="D305" t="str">
            <v>Trần Đình Vượng</v>
          </cell>
          <cell r="AF305" t="str">
            <v>XE01155</v>
          </cell>
          <cell r="AH305">
            <v>9.02</v>
          </cell>
          <cell r="AW305" t="str">
            <v>Trần Đình Vượng9</v>
          </cell>
        </row>
        <row r="306">
          <cell r="D306" t="str">
            <v>Phạm Văn Đồng</v>
          </cell>
          <cell r="AF306" t="str">
            <v>XE01479</v>
          </cell>
          <cell r="AH306">
            <v>9.42</v>
          </cell>
          <cell r="AW306" t="str">
            <v>Phạm Văn Đồng1</v>
          </cell>
        </row>
        <row r="307">
          <cell r="D307" t="str">
            <v>Phạm Văn Đồng</v>
          </cell>
          <cell r="AF307" t="str">
            <v>XE01479</v>
          </cell>
          <cell r="AH307">
            <v>9.02</v>
          </cell>
          <cell r="AW307" t="str">
            <v>Phạm Văn Đồng2</v>
          </cell>
        </row>
        <row r="308">
          <cell r="D308" t="str">
            <v>Lê Hữu Bích</v>
          </cell>
          <cell r="AF308" t="str">
            <v>XE00050</v>
          </cell>
          <cell r="AH308">
            <v>9.02</v>
          </cell>
          <cell r="AW308" t="str">
            <v>Lê Hữu Bích6</v>
          </cell>
        </row>
        <row r="309">
          <cell r="D309" t="str">
            <v>Lê Hữu Bích</v>
          </cell>
          <cell r="AF309" t="str">
            <v>XE00050</v>
          </cell>
          <cell r="AH309">
            <v>9.42</v>
          </cell>
          <cell r="AW309" t="str">
            <v>Lê Hữu Bích7</v>
          </cell>
        </row>
        <row r="310">
          <cell r="D310" t="str">
            <v>Nguyễn Văn Thế</v>
          </cell>
          <cell r="AF310" t="str">
            <v>XE00600</v>
          </cell>
          <cell r="AH310">
            <v>9.02</v>
          </cell>
          <cell r="AW310" t="str">
            <v>Nguyễn Văn Thế6</v>
          </cell>
        </row>
        <row r="311">
          <cell r="D311" t="str">
            <v>Nguyễn Văn Thế</v>
          </cell>
          <cell r="AF311" t="str">
            <v>XE00600</v>
          </cell>
          <cell r="AH311">
            <v>10</v>
          </cell>
          <cell r="AW311" t="str">
            <v>Nguyễn Văn Thế7</v>
          </cell>
        </row>
        <row r="312">
          <cell r="D312" t="str">
            <v>Nguyễn Đức Thanh</v>
          </cell>
          <cell r="AF312" t="str">
            <v>XE00627</v>
          </cell>
          <cell r="AH312">
            <v>8.84</v>
          </cell>
          <cell r="AW312" t="str">
            <v>Nguyễn Đức Thanh7</v>
          </cell>
        </row>
        <row r="313">
          <cell r="D313" t="str">
            <v>Nguyễn Đức Thanh</v>
          </cell>
          <cell r="AF313" t="str">
            <v>XE00627</v>
          </cell>
          <cell r="AH313">
            <v>10</v>
          </cell>
          <cell r="AW313" t="str">
            <v>Nguyễn Đức Thanh8</v>
          </cell>
        </row>
        <row r="314">
          <cell r="D314" t="str">
            <v>Vũ Việt Hùng</v>
          </cell>
          <cell r="AF314" t="str">
            <v>XE00812</v>
          </cell>
          <cell r="AH314">
            <v>9.42</v>
          </cell>
          <cell r="AW314" t="str">
            <v>Vũ Việt Hùng8</v>
          </cell>
        </row>
        <row r="315">
          <cell r="D315" t="str">
            <v>Vũ Việt Hùng</v>
          </cell>
          <cell r="AF315" t="str">
            <v>XE00812</v>
          </cell>
          <cell r="AH315">
            <v>9.42</v>
          </cell>
          <cell r="AW315" t="str">
            <v>Vũ Việt Hùng9</v>
          </cell>
        </row>
        <row r="316">
          <cell r="D316" t="str">
            <v>Lê Trường Doanh</v>
          </cell>
          <cell r="AF316" t="str">
            <v>XE00581</v>
          </cell>
          <cell r="AH316">
            <v>9.42</v>
          </cell>
          <cell r="AW316" t="str">
            <v>Lê Trường Doanh8</v>
          </cell>
        </row>
        <row r="317">
          <cell r="D317" t="str">
            <v>Lê Trường Doanh</v>
          </cell>
          <cell r="AF317" t="str">
            <v>XE00581</v>
          </cell>
          <cell r="AH317">
            <v>9.02</v>
          </cell>
          <cell r="AW317" t="str">
            <v>Lê Trường Doanh9</v>
          </cell>
        </row>
        <row r="318">
          <cell r="D318" t="str">
            <v>Nguyễn Ngọc Hưng</v>
          </cell>
          <cell r="AF318" t="str">
            <v>XE00559</v>
          </cell>
          <cell r="AH318">
            <v>9.82</v>
          </cell>
          <cell r="AW318" t="str">
            <v>Nguyễn Ngọc Hưng8</v>
          </cell>
        </row>
        <row r="319">
          <cell r="D319" t="str">
            <v>Nguyễn Ngọc Hưng</v>
          </cell>
          <cell r="AF319" t="str">
            <v>XE00559</v>
          </cell>
          <cell r="AH319">
            <v>9.82</v>
          </cell>
          <cell r="AW319" t="str">
            <v>Nguyễn Ngọc Hưng9</v>
          </cell>
        </row>
        <row r="320">
          <cell r="D320" t="str">
            <v>Lê Trọng Giáp</v>
          </cell>
          <cell r="AF320" t="str">
            <v>XE00020</v>
          </cell>
          <cell r="AH320">
            <v>9.42</v>
          </cell>
          <cell r="AW320" t="str">
            <v>Lê Trọng Giáp8</v>
          </cell>
        </row>
        <row r="321">
          <cell r="D321" t="str">
            <v>Lê Trọng Giáp</v>
          </cell>
          <cell r="AF321" t="str">
            <v>XE00020</v>
          </cell>
          <cell r="AH321">
            <v>9.42</v>
          </cell>
          <cell r="AW321" t="str">
            <v>Lê Trọng Giáp9</v>
          </cell>
        </row>
        <row r="322">
          <cell r="D322" t="str">
            <v>Tống Văn Nam</v>
          </cell>
          <cell r="AF322" t="str">
            <v>XE00019</v>
          </cell>
          <cell r="AH322">
            <v>10</v>
          </cell>
          <cell r="AW322" t="str">
            <v>Tống Văn Nam8</v>
          </cell>
        </row>
        <row r="323">
          <cell r="D323" t="str">
            <v>Tống Văn Nam</v>
          </cell>
          <cell r="AF323" t="str">
            <v>XE00019</v>
          </cell>
          <cell r="AH323">
            <v>10</v>
          </cell>
          <cell r="AW323" t="str">
            <v>Tống Văn Nam9</v>
          </cell>
        </row>
        <row r="324">
          <cell r="D324" t="str">
            <v>Hoàng Ngọc Cường</v>
          </cell>
          <cell r="AF324" t="str">
            <v>XE00703</v>
          </cell>
          <cell r="AH324">
            <v>9.02</v>
          </cell>
          <cell r="AW324" t="str">
            <v>Hoàng Ngọc Cường8</v>
          </cell>
        </row>
        <row r="325">
          <cell r="D325" t="str">
            <v>Hoàng Ngọc Cường</v>
          </cell>
          <cell r="AF325" t="str">
            <v>XE00703</v>
          </cell>
          <cell r="AH325">
            <v>9.6</v>
          </cell>
          <cell r="AW325" t="str">
            <v>Hoàng Ngọc Cường9</v>
          </cell>
        </row>
        <row r="326">
          <cell r="D326" t="str">
            <v>Ngô Quốc Hùng</v>
          </cell>
          <cell r="AF326" t="str">
            <v>XE00024</v>
          </cell>
          <cell r="AH326">
            <v>9.02</v>
          </cell>
          <cell r="AW326" t="str">
            <v>Ngô Quốc Hùng8</v>
          </cell>
        </row>
        <row r="327">
          <cell r="D327" t="str">
            <v>Ngô Quốc Hùng</v>
          </cell>
          <cell r="AF327" t="str">
            <v>XE00024</v>
          </cell>
          <cell r="AH327">
            <v>9.82</v>
          </cell>
          <cell r="AW327" t="str">
            <v>Ngô Quốc Hùng9</v>
          </cell>
        </row>
        <row r="328">
          <cell r="D328" t="str">
            <v>Phạm Thanh Tùng</v>
          </cell>
          <cell r="AF328" t="str">
            <v>XE01402</v>
          </cell>
          <cell r="AH328">
            <v>10</v>
          </cell>
          <cell r="AW328" t="str">
            <v>Phạm Thanh Tùng9</v>
          </cell>
        </row>
        <row r="329">
          <cell r="D329" t="str">
            <v>Phạm Thanh Tùng</v>
          </cell>
          <cell r="AF329" t="str">
            <v>XE01402</v>
          </cell>
          <cell r="AH329">
            <v>9.6</v>
          </cell>
          <cell r="AW329" t="str">
            <v>Phạm Thanh Tùng10</v>
          </cell>
        </row>
        <row r="330">
          <cell r="D330" t="str">
            <v>Nguyễn Thanh Sơn</v>
          </cell>
          <cell r="AF330" t="str">
            <v>XE01468</v>
          </cell>
          <cell r="AH330">
            <v>9.64</v>
          </cell>
          <cell r="AW330" t="str">
            <v>Nguyễn Thanh Sơn9</v>
          </cell>
        </row>
        <row r="331">
          <cell r="D331" t="str">
            <v>Nguyễn Xuân Thắng</v>
          </cell>
          <cell r="AF331" t="str">
            <v>XE00046</v>
          </cell>
          <cell r="AH331">
            <v>10</v>
          </cell>
          <cell r="AW331" t="str">
            <v>Nguyễn Xuân Thắng9</v>
          </cell>
        </row>
        <row r="332">
          <cell r="D332" t="str">
            <v>Trần Đức Toản</v>
          </cell>
          <cell r="AF332" t="str">
            <v>XE01314</v>
          </cell>
          <cell r="AH332">
            <v>9.82</v>
          </cell>
          <cell r="AW332" t="str">
            <v>Trần Đức Toản9</v>
          </cell>
        </row>
        <row r="333">
          <cell r="D333" t="str">
            <v>Dương Văn Thọ</v>
          </cell>
          <cell r="AF333" t="str">
            <v>XE00282</v>
          </cell>
          <cell r="AH333">
            <v>9.02</v>
          </cell>
          <cell r="AW333" t="str">
            <v>Dương Văn Thọ9</v>
          </cell>
        </row>
        <row r="334">
          <cell r="D334" t="str">
            <v>Trịnh Xuân Đức</v>
          </cell>
          <cell r="AF334" t="str">
            <v>XE00109</v>
          </cell>
          <cell r="AH334">
            <v>10</v>
          </cell>
          <cell r="AW334" t="str">
            <v>Trịnh Xuân Đức9</v>
          </cell>
        </row>
        <row r="335">
          <cell r="D335" t="str">
            <v>Trần Thanh An</v>
          </cell>
          <cell r="AF335" t="str">
            <v>XE00113</v>
          </cell>
          <cell r="AH335">
            <v>10</v>
          </cell>
          <cell r="AW335" t="str">
            <v>Trần Thanh An9</v>
          </cell>
        </row>
        <row r="336">
          <cell r="D336" t="str">
            <v>Phạm Văn Vũ</v>
          </cell>
          <cell r="AF336" t="str">
            <v>XE00042</v>
          </cell>
          <cell r="AH336">
            <v>9.82</v>
          </cell>
          <cell r="AW336" t="str">
            <v>Phạm Văn Vũ9</v>
          </cell>
        </row>
        <row r="337">
          <cell r="D337" t="str">
            <v>Nguyễn Văn Hùng</v>
          </cell>
          <cell r="AF337" t="str">
            <v>XE00083</v>
          </cell>
          <cell r="AH337">
            <v>10</v>
          </cell>
          <cell r="AW337" t="str">
            <v>Nguyễn Văn Hùng9</v>
          </cell>
        </row>
        <row r="338">
          <cell r="D338" t="str">
            <v>Phạm Quang Trung</v>
          </cell>
          <cell r="AF338" t="str">
            <v>XE00041</v>
          </cell>
          <cell r="AH338">
            <v>9.42</v>
          </cell>
          <cell r="AW338" t="str">
            <v>Phạm Quang Trung9</v>
          </cell>
        </row>
        <row r="339">
          <cell r="D339" t="str">
            <v>Trần Đức Triều</v>
          </cell>
          <cell r="AF339" t="str">
            <v>XE00080</v>
          </cell>
          <cell r="AH339">
            <v>9.42</v>
          </cell>
          <cell r="AW339" t="str">
            <v>Trần Đức Triều9</v>
          </cell>
        </row>
        <row r="340">
          <cell r="D340" t="str">
            <v>Bùi Quý Phúc</v>
          </cell>
          <cell r="AF340" t="str">
            <v>XE00077</v>
          </cell>
          <cell r="AH340">
            <v>9.02</v>
          </cell>
          <cell r="AW340" t="str">
            <v>Bùi Quý Phúc9</v>
          </cell>
        </row>
        <row r="341">
          <cell r="D341" t="str">
            <v>Trần Hữu Nam 1972</v>
          </cell>
          <cell r="AF341" t="str">
            <v>XE00033</v>
          </cell>
          <cell r="AH341">
            <v>9.82</v>
          </cell>
          <cell r="AW341" t="str">
            <v>Trần Hữu Nam 19729</v>
          </cell>
        </row>
        <row r="342">
          <cell r="D342" t="str">
            <v>Nguyễn Việt Trung</v>
          </cell>
          <cell r="AF342" t="str">
            <v>XE00137</v>
          </cell>
          <cell r="AH342">
            <v>10</v>
          </cell>
          <cell r="AW342" t="str">
            <v>Nguyễn Việt Trung10</v>
          </cell>
        </row>
        <row r="343">
          <cell r="D343" t="str">
            <v>Phan Đăng Quang</v>
          </cell>
          <cell r="AF343" t="str">
            <v>XE00195</v>
          </cell>
          <cell r="AH343">
            <v>10</v>
          </cell>
          <cell r="AW343" t="str">
            <v>Phan Đăng Quang10</v>
          </cell>
        </row>
        <row r="344">
          <cell r="D344" t="str">
            <v>Nguyễn Ngọc Trường</v>
          </cell>
          <cell r="AF344" t="str">
            <v>XE00240</v>
          </cell>
          <cell r="AH344">
            <v>10</v>
          </cell>
          <cell r="AW344" t="str">
            <v>Nguyễn Ngọc Trường10</v>
          </cell>
        </row>
        <row r="345">
          <cell r="D345" t="str">
            <v>Đặng Ngọc Toàn</v>
          </cell>
          <cell r="AF345" t="str">
            <v>XE00138</v>
          </cell>
          <cell r="AH345">
            <v>9.02</v>
          </cell>
          <cell r="AW345" t="str">
            <v>Đặng Ngọc Toàn10</v>
          </cell>
        </row>
        <row r="346">
          <cell r="D346" t="str">
            <v>Trần Đình Vượng</v>
          </cell>
          <cell r="AF346" t="str">
            <v>XE01155</v>
          </cell>
          <cell r="AH346">
            <v>9.42</v>
          </cell>
          <cell r="AW346" t="str">
            <v>Trần Đình Vượng10</v>
          </cell>
        </row>
        <row r="347">
          <cell r="D347" t="str">
            <v>Phạm Quốc Hội</v>
          </cell>
          <cell r="AF347" t="str">
            <v>XE01229</v>
          </cell>
          <cell r="AH347">
            <v>10</v>
          </cell>
          <cell r="AW347" t="str">
            <v>Phạm Quốc Hội10</v>
          </cell>
        </row>
        <row r="348">
          <cell r="D348" t="str">
            <v>Cù Xuân Duy</v>
          </cell>
          <cell r="AF348" t="str">
            <v>XE00887</v>
          </cell>
          <cell r="AH348">
            <v>9.42</v>
          </cell>
          <cell r="AW348" t="str">
            <v>Cù Xuân Duy10</v>
          </cell>
        </row>
        <row r="349">
          <cell r="D349" t="str">
            <v>Nguyễn Thành Đạt</v>
          </cell>
          <cell r="AF349" t="str">
            <v>XE00256</v>
          </cell>
          <cell r="AH349">
            <v>9.6</v>
          </cell>
          <cell r="AW349" t="str">
            <v>Nguyễn Thành Đạt10</v>
          </cell>
        </row>
        <row r="350">
          <cell r="D350" t="str">
            <v>Lê Văn Diện</v>
          </cell>
          <cell r="AF350" t="str">
            <v>XE00098</v>
          </cell>
          <cell r="AH350">
            <v>9.42</v>
          </cell>
          <cell r="AW350" t="str">
            <v>Lê Văn Diện10</v>
          </cell>
        </row>
        <row r="351">
          <cell r="D351" t="str">
            <v>Trịnh Xuân Đức</v>
          </cell>
          <cell r="AF351" t="str">
            <v>XE00109</v>
          </cell>
          <cell r="AH351">
            <v>9.42</v>
          </cell>
          <cell r="AW351" t="str">
            <v>Trịnh Xuân Đức10</v>
          </cell>
        </row>
        <row r="352">
          <cell r="D352" t="str">
            <v>Trịnh Xuân Đức</v>
          </cell>
          <cell r="AF352" t="str">
            <v>XE00109</v>
          </cell>
          <cell r="AH352">
            <v>9.6</v>
          </cell>
          <cell r="AW352" t="str">
            <v>Trịnh Xuân Đức11</v>
          </cell>
        </row>
        <row r="353">
          <cell r="D353" t="str">
            <v>Phạm Văn Đồng</v>
          </cell>
          <cell r="AF353" t="str">
            <v>XE01479</v>
          </cell>
          <cell r="AH353">
            <v>9.02</v>
          </cell>
          <cell r="AW353" t="str">
            <v>Phạm Văn Đồng3</v>
          </cell>
        </row>
        <row r="354">
          <cell r="D354" t="str">
            <v>Phạm Văn Đồng</v>
          </cell>
          <cell r="AF354" t="str">
            <v>XE01479</v>
          </cell>
          <cell r="AH354">
            <v>9.42</v>
          </cell>
          <cell r="AW354" t="str">
            <v>Phạm Văn Đồng4</v>
          </cell>
        </row>
        <row r="355">
          <cell r="D355" t="str">
            <v>Lê Hữu Bích</v>
          </cell>
          <cell r="AF355" t="str">
            <v>XE00050</v>
          </cell>
          <cell r="AH355">
            <v>9.02</v>
          </cell>
          <cell r="AW355" t="str">
            <v>Lê Hữu Bích8</v>
          </cell>
        </row>
        <row r="356">
          <cell r="D356" t="str">
            <v>Lê Hữu Bích</v>
          </cell>
          <cell r="AF356" t="str">
            <v>XE00050</v>
          </cell>
          <cell r="AH356">
            <v>9.02</v>
          </cell>
          <cell r="AW356" t="str">
            <v>Lê Hữu Bích9</v>
          </cell>
        </row>
        <row r="357">
          <cell r="D357" t="str">
            <v>Nguyễn Đức Thanh</v>
          </cell>
          <cell r="AF357" t="str">
            <v>XE00627</v>
          </cell>
          <cell r="AH357">
            <v>9.42</v>
          </cell>
          <cell r="AW357" t="str">
            <v>Nguyễn Đức Thanh9</v>
          </cell>
        </row>
        <row r="358">
          <cell r="D358" t="str">
            <v>Nguyễn Đức Thanh</v>
          </cell>
          <cell r="AF358" t="str">
            <v>XE00627</v>
          </cell>
          <cell r="AH358">
            <v>9.42</v>
          </cell>
          <cell r="AW358" t="str">
            <v>Nguyễn Đức Thanh10</v>
          </cell>
        </row>
        <row r="359">
          <cell r="D359" t="str">
            <v>Trần Nam</v>
          </cell>
          <cell r="AF359" t="str">
            <v>XE00130</v>
          </cell>
          <cell r="AH359">
            <v>9.82</v>
          </cell>
          <cell r="AW359" t="str">
            <v>Trần Nam10</v>
          </cell>
        </row>
        <row r="360">
          <cell r="D360" t="str">
            <v>Trần Nam</v>
          </cell>
          <cell r="AF360" t="str">
            <v>XE00130</v>
          </cell>
          <cell r="AH360">
            <v>9.42</v>
          </cell>
          <cell r="AW360" t="str">
            <v>Trần Nam11</v>
          </cell>
        </row>
        <row r="361">
          <cell r="D361" t="str">
            <v>Đặng Hồng Thuỷ</v>
          </cell>
          <cell r="AF361" t="str">
            <v>XE01385</v>
          </cell>
          <cell r="AH361">
            <v>9.42</v>
          </cell>
          <cell r="AW361" t="str">
            <v>Đặng Hồng Thuỷ10</v>
          </cell>
        </row>
        <row r="362">
          <cell r="D362" t="str">
            <v>Đặng Hồng Thuỷ</v>
          </cell>
          <cell r="AF362" t="str">
            <v>XE01385</v>
          </cell>
          <cell r="AH362">
            <v>9.42</v>
          </cell>
          <cell r="AW362" t="str">
            <v>Đặng Hồng Thuỷ11</v>
          </cell>
        </row>
        <row r="363">
          <cell r="D363" t="str">
            <v>Dương Văn Thọ</v>
          </cell>
          <cell r="AF363" t="str">
            <v>XE00282</v>
          </cell>
          <cell r="AH363">
            <v>9.82</v>
          </cell>
          <cell r="AW363" t="str">
            <v>Dương Văn Thọ10</v>
          </cell>
        </row>
        <row r="364">
          <cell r="D364" t="str">
            <v>Dương Văn Thọ</v>
          </cell>
          <cell r="AF364" t="str">
            <v>XE00282</v>
          </cell>
          <cell r="AH364">
            <v>8.84</v>
          </cell>
          <cell r="AW364" t="str">
            <v>Dương Văn Thọ11</v>
          </cell>
        </row>
        <row r="365">
          <cell r="D365" t="str">
            <v>Trần Thanh An</v>
          </cell>
          <cell r="AF365" t="str">
            <v>XE00113</v>
          </cell>
          <cell r="AH365">
            <v>10</v>
          </cell>
          <cell r="AW365" t="str">
            <v>Trần Thanh An10</v>
          </cell>
        </row>
        <row r="366">
          <cell r="D366" t="str">
            <v>Phạm Quốc Hội</v>
          </cell>
          <cell r="AF366" t="str">
            <v>XE01229</v>
          </cell>
          <cell r="AH366">
            <v>9.1999999999999993</v>
          </cell>
          <cell r="AW366" t="str">
            <v>Phạm Quốc Hội11</v>
          </cell>
        </row>
        <row r="367">
          <cell r="D367" t="str">
            <v>Cù Xuân Duy</v>
          </cell>
          <cell r="AF367" t="str">
            <v>XE00887</v>
          </cell>
          <cell r="AH367">
            <v>9.02</v>
          </cell>
          <cell r="AW367" t="str">
            <v>Cù Xuân Duy11</v>
          </cell>
        </row>
        <row r="368">
          <cell r="D368" t="str">
            <v>Nguyễn Thành Đạt</v>
          </cell>
          <cell r="AF368" t="str">
            <v>XE00256</v>
          </cell>
          <cell r="AH368">
            <v>9.42</v>
          </cell>
          <cell r="AW368" t="str">
            <v>Nguyễn Thành Đạt11</v>
          </cell>
        </row>
        <row r="369">
          <cell r="D369" t="str">
            <v>Phạm Viết Thắng</v>
          </cell>
          <cell r="AF369" t="str">
            <v>XE01596</v>
          </cell>
          <cell r="AH369">
            <v>9.02</v>
          </cell>
          <cell r="AW369" t="str">
            <v>Phạm Viết Thắng10</v>
          </cell>
        </row>
        <row r="370">
          <cell r="D370" t="str">
            <v>Phạm Viết Thắng</v>
          </cell>
          <cell r="AF370" t="str">
            <v>XE01596</v>
          </cell>
          <cell r="AH370">
            <v>10</v>
          </cell>
          <cell r="AW370" t="str">
            <v>Phạm Viết Thắng11</v>
          </cell>
        </row>
        <row r="371">
          <cell r="D371" t="str">
            <v>Nguyễn Thanh Sơn</v>
          </cell>
          <cell r="AF371" t="str">
            <v>XE01468</v>
          </cell>
          <cell r="AH371">
            <v>9.82</v>
          </cell>
          <cell r="AW371" t="str">
            <v>Nguyễn Thanh Sơn10</v>
          </cell>
        </row>
        <row r="372">
          <cell r="D372" t="str">
            <v>Nguyễn Thanh Sơn</v>
          </cell>
          <cell r="AF372" t="str">
            <v>XE01468</v>
          </cell>
          <cell r="AH372">
            <v>9.02</v>
          </cell>
          <cell r="AW372" t="str">
            <v>Nguyễn Thanh Sơn11</v>
          </cell>
        </row>
        <row r="373">
          <cell r="D373" t="str">
            <v>Nguyễn Xuân Thắng</v>
          </cell>
          <cell r="AF373" t="str">
            <v>XE00046</v>
          </cell>
          <cell r="AH373">
            <v>9.02</v>
          </cell>
          <cell r="AW373" t="str">
            <v>Nguyễn Xuân Thắng10</v>
          </cell>
        </row>
        <row r="374">
          <cell r="D374" t="str">
            <v>Nguyễn Xuân Thắng</v>
          </cell>
          <cell r="AF374" t="str">
            <v>XE00046</v>
          </cell>
          <cell r="AH374">
            <v>9.02</v>
          </cell>
          <cell r="AW374" t="str">
            <v>Nguyễn Xuân Thắng11</v>
          </cell>
        </row>
        <row r="375">
          <cell r="D375" t="str">
            <v>Vũ Việt Hùng</v>
          </cell>
          <cell r="AF375" t="str">
            <v>XE00812</v>
          </cell>
          <cell r="AH375">
            <v>9.02</v>
          </cell>
          <cell r="AW375" t="str">
            <v>Vũ Việt Hùng10</v>
          </cell>
        </row>
        <row r="376">
          <cell r="D376" t="str">
            <v>Vũ Việt Hùng</v>
          </cell>
          <cell r="AF376" t="str">
            <v>XE00812</v>
          </cell>
          <cell r="AH376">
            <v>9.82</v>
          </cell>
          <cell r="AW376" t="str">
            <v>Vũ Việt Hùng11</v>
          </cell>
        </row>
        <row r="377">
          <cell r="D377" t="str">
            <v>Lê Trường Doanh</v>
          </cell>
          <cell r="AF377" t="str">
            <v>XE00581</v>
          </cell>
          <cell r="AH377">
            <v>10</v>
          </cell>
          <cell r="AW377" t="str">
            <v>Lê Trường Doanh10</v>
          </cell>
        </row>
        <row r="378">
          <cell r="D378" t="str">
            <v>Lê Trường Doanh</v>
          </cell>
          <cell r="AF378" t="str">
            <v>XE00581</v>
          </cell>
          <cell r="AH378">
            <v>10</v>
          </cell>
          <cell r="AW378" t="str">
            <v>Lê Trường Doanh11</v>
          </cell>
        </row>
        <row r="379">
          <cell r="D379" t="str">
            <v>Nguyễn Ngọc Hưng</v>
          </cell>
          <cell r="AF379" t="str">
            <v>XE00559</v>
          </cell>
          <cell r="AH379">
            <v>8.6199999999999992</v>
          </cell>
          <cell r="AW379" t="str">
            <v>Nguyễn Ngọc Hưng10</v>
          </cell>
        </row>
        <row r="380">
          <cell r="D380" t="str">
            <v>Nguyễn Ngọc Hưng</v>
          </cell>
          <cell r="AF380" t="str">
            <v>XE00559</v>
          </cell>
          <cell r="AH380">
            <v>9.82</v>
          </cell>
          <cell r="AW380" t="str">
            <v>Nguyễn Ngọc Hưng11</v>
          </cell>
        </row>
        <row r="381">
          <cell r="D381" t="str">
            <v>Lê Trọng Giáp</v>
          </cell>
          <cell r="AF381" t="str">
            <v>XE00020</v>
          </cell>
          <cell r="AH381">
            <v>8.44</v>
          </cell>
          <cell r="AW381" t="str">
            <v>Lê Trọng Giáp10</v>
          </cell>
        </row>
        <row r="382">
          <cell r="D382" t="str">
            <v>Lê Trọng Giáp</v>
          </cell>
          <cell r="AF382" t="str">
            <v>XE00020</v>
          </cell>
          <cell r="AH382">
            <v>10</v>
          </cell>
          <cell r="AW382" t="str">
            <v>Lê Trọng Giáp11</v>
          </cell>
        </row>
        <row r="383">
          <cell r="D383" t="str">
            <v>Tống Văn Nam</v>
          </cell>
          <cell r="AF383" t="str">
            <v>XE00019</v>
          </cell>
          <cell r="AH383">
            <v>9.02</v>
          </cell>
          <cell r="AW383" t="str">
            <v>Tống Văn Nam10</v>
          </cell>
        </row>
        <row r="384">
          <cell r="D384" t="str">
            <v>Tống Văn Nam</v>
          </cell>
          <cell r="AF384" t="str">
            <v>XE00019</v>
          </cell>
          <cell r="AH384">
            <v>10</v>
          </cell>
          <cell r="AW384" t="str">
            <v>Tống Văn Nam11</v>
          </cell>
        </row>
        <row r="385">
          <cell r="D385" t="str">
            <v>Hoàng Ngọc Cường</v>
          </cell>
          <cell r="AF385" t="str">
            <v>XE00703</v>
          </cell>
          <cell r="AH385">
            <v>9.42</v>
          </cell>
          <cell r="AW385" t="str">
            <v>Hoàng Ngọc Cường10</v>
          </cell>
        </row>
        <row r="386">
          <cell r="D386" t="str">
            <v>Hoàng Ngọc Cường</v>
          </cell>
          <cell r="AF386" t="str">
            <v>XE00703</v>
          </cell>
          <cell r="AH386">
            <v>9.02</v>
          </cell>
          <cell r="AW386" t="str">
            <v>Hoàng Ngọc Cường11</v>
          </cell>
        </row>
        <row r="387">
          <cell r="D387" t="str">
            <v>Ngô Quốc Hùng</v>
          </cell>
          <cell r="AF387" t="str">
            <v>XE00024</v>
          </cell>
          <cell r="AH387">
            <v>9.42</v>
          </cell>
          <cell r="AW387" t="str">
            <v>Ngô Quốc Hùng10</v>
          </cell>
        </row>
        <row r="388">
          <cell r="D388" t="str">
            <v>Ngô Quốc Hùng</v>
          </cell>
          <cell r="AF388" t="str">
            <v>XE00024</v>
          </cell>
          <cell r="AH388">
            <v>9.42</v>
          </cell>
          <cell r="AW388" t="str">
            <v>Ngô Quốc Hùng11</v>
          </cell>
        </row>
        <row r="389">
          <cell r="D389" t="str">
            <v>Trần Đình Vượng</v>
          </cell>
          <cell r="AF389" t="str">
            <v>XE01155</v>
          </cell>
          <cell r="AH389">
            <v>9.42</v>
          </cell>
          <cell r="AW389" t="str">
            <v>Trần Đình Vượng11</v>
          </cell>
        </row>
        <row r="390">
          <cell r="D390" t="str">
            <v>Nguyễn Ngọc Trường</v>
          </cell>
          <cell r="AF390" t="str">
            <v>XE00240</v>
          </cell>
          <cell r="AH390">
            <v>10</v>
          </cell>
          <cell r="AW390" t="str">
            <v>Nguyễn Ngọc Trường11</v>
          </cell>
        </row>
        <row r="391">
          <cell r="D391" t="str">
            <v>Phan Đăng Quang</v>
          </cell>
          <cell r="AF391" t="str">
            <v>XE00195</v>
          </cell>
          <cell r="AH391">
            <v>10</v>
          </cell>
          <cell r="AW391" t="str">
            <v>Phan Đăng Quang11</v>
          </cell>
        </row>
        <row r="392">
          <cell r="D392" t="str">
            <v>Nguyễn Việt Trung</v>
          </cell>
          <cell r="AF392" t="str">
            <v>XE00137</v>
          </cell>
          <cell r="AH392">
            <v>9.42</v>
          </cell>
          <cell r="AW392" t="str">
            <v>Nguyễn Việt Trung11</v>
          </cell>
        </row>
        <row r="393">
          <cell r="D393" t="str">
            <v>Phạm Thanh Tùng</v>
          </cell>
          <cell r="AF393" t="str">
            <v>XE01402</v>
          </cell>
          <cell r="AH393">
            <v>9.02</v>
          </cell>
          <cell r="AW393" t="str">
            <v>Phạm Thanh Tùng11</v>
          </cell>
        </row>
        <row r="394">
          <cell r="D394" t="str">
            <v>Phạm Văn Vũ</v>
          </cell>
          <cell r="AF394" t="str">
            <v>XE00042</v>
          </cell>
          <cell r="AH394">
            <v>9.82</v>
          </cell>
          <cell r="AW394" t="str">
            <v>Phạm Văn Vũ10</v>
          </cell>
        </row>
        <row r="395">
          <cell r="D395" t="str">
            <v>Phạm Văn Vũ</v>
          </cell>
          <cell r="AF395" t="str">
            <v>XE00042</v>
          </cell>
          <cell r="AH395">
            <v>9.42</v>
          </cell>
          <cell r="AW395" t="str">
            <v>Phạm Văn Vũ11</v>
          </cell>
        </row>
        <row r="396">
          <cell r="D396" t="str">
            <v>Nguyễn Văn Hùng</v>
          </cell>
          <cell r="AF396" t="str">
            <v>XE00083</v>
          </cell>
          <cell r="AH396">
            <v>8.6199999999999992</v>
          </cell>
          <cell r="AW396" t="str">
            <v>Nguyễn Văn Hùng10</v>
          </cell>
        </row>
        <row r="397">
          <cell r="D397" t="str">
            <v>Phạm Quang Trung</v>
          </cell>
          <cell r="AF397" t="str">
            <v>XE00041</v>
          </cell>
          <cell r="AH397">
            <v>8.84</v>
          </cell>
          <cell r="AW397" t="str">
            <v>Phạm Quang Trung10</v>
          </cell>
        </row>
        <row r="398">
          <cell r="D398" t="str">
            <v>Trần Đức Triều</v>
          </cell>
          <cell r="AF398" t="str">
            <v>XE00080</v>
          </cell>
          <cell r="AH398">
            <v>9.64</v>
          </cell>
          <cell r="AW398" t="str">
            <v>Trần Đức Triều10</v>
          </cell>
        </row>
        <row r="399">
          <cell r="D399" t="str">
            <v>Bùi Quý Phúc</v>
          </cell>
          <cell r="AF399" t="str">
            <v>XE00077</v>
          </cell>
          <cell r="AH399">
            <v>9.02</v>
          </cell>
          <cell r="AW399" t="str">
            <v>Bùi Quý Phúc10</v>
          </cell>
        </row>
        <row r="400">
          <cell r="D400" t="str">
            <v>Trần Hữu Nam 1972</v>
          </cell>
          <cell r="AF400" t="str">
            <v>XE00033</v>
          </cell>
          <cell r="AH400">
            <v>9.82</v>
          </cell>
          <cell r="AW400" t="str">
            <v>Trần Hữu Nam 197210</v>
          </cell>
        </row>
        <row r="401">
          <cell r="D401" t="str">
            <v>Trần Thanh An</v>
          </cell>
          <cell r="AF401" t="str">
            <v>XE00113</v>
          </cell>
          <cell r="AH401">
            <v>9.42</v>
          </cell>
          <cell r="AW401" t="str">
            <v>Trần Thanh An11</v>
          </cell>
        </row>
        <row r="402">
          <cell r="D402" t="str">
            <v>Trần Thanh An</v>
          </cell>
          <cell r="AF402" t="str">
            <v>XE00113</v>
          </cell>
          <cell r="AH402">
            <v>9.82</v>
          </cell>
          <cell r="AW402" t="str">
            <v>Trần Thanh An12</v>
          </cell>
        </row>
        <row r="403">
          <cell r="D403" t="str">
            <v>Phạm Văn Đồng</v>
          </cell>
          <cell r="AF403" t="str">
            <v>XE01479</v>
          </cell>
          <cell r="AH403">
            <v>9.42</v>
          </cell>
          <cell r="AW403" t="str">
            <v>Phạm Văn Đồng5</v>
          </cell>
        </row>
        <row r="404">
          <cell r="D404" t="str">
            <v>Phạm Văn Đồng</v>
          </cell>
          <cell r="AF404" t="str">
            <v>XE01479</v>
          </cell>
          <cell r="AH404">
            <v>9.02</v>
          </cell>
          <cell r="AW404" t="str">
            <v>Phạm Văn Đồng6</v>
          </cell>
        </row>
        <row r="405">
          <cell r="D405" t="str">
            <v>Nguyễn Văn Thế</v>
          </cell>
          <cell r="AF405" t="str">
            <v>XE00600</v>
          </cell>
          <cell r="AH405">
            <v>10</v>
          </cell>
          <cell r="AW405" t="str">
            <v>Nguyễn Văn Thế8</v>
          </cell>
        </row>
        <row r="406">
          <cell r="D406" t="str">
            <v>Nguyễn Văn Thế</v>
          </cell>
          <cell r="AF406" t="str">
            <v>XE00600</v>
          </cell>
          <cell r="AH406">
            <v>10</v>
          </cell>
          <cell r="AW406" t="str">
            <v>Nguyễn Văn Thế9</v>
          </cell>
        </row>
        <row r="407">
          <cell r="D407" t="str">
            <v>Lê Hữu Bích</v>
          </cell>
          <cell r="AF407" t="str">
            <v>XE00050</v>
          </cell>
          <cell r="AH407">
            <v>10</v>
          </cell>
          <cell r="AW407" t="str">
            <v>Lê Hữu Bích10</v>
          </cell>
        </row>
        <row r="408">
          <cell r="D408" t="str">
            <v>Lê Hữu Bích</v>
          </cell>
          <cell r="AF408" t="str">
            <v>XE00050</v>
          </cell>
          <cell r="AH408">
            <v>9.42</v>
          </cell>
          <cell r="AW408" t="str">
            <v>Lê Hữu Bích11</v>
          </cell>
        </row>
        <row r="409">
          <cell r="D409" t="str">
            <v>Nguyễn Đức Thanh</v>
          </cell>
          <cell r="AF409" t="str">
            <v>XE00627</v>
          </cell>
          <cell r="AH409">
            <v>9.42</v>
          </cell>
          <cell r="AW409" t="str">
            <v>Nguyễn Đức Thanh11</v>
          </cell>
        </row>
        <row r="410">
          <cell r="D410" t="str">
            <v>Nguyễn Đức Thanh</v>
          </cell>
          <cell r="AF410" t="str">
            <v>XE00627</v>
          </cell>
          <cell r="AH410">
            <v>9.6</v>
          </cell>
          <cell r="AW410" t="str">
            <v>Nguyễn Đức Thanh12</v>
          </cell>
        </row>
        <row r="411">
          <cell r="D411" t="str">
            <v>Nguyễn Thanh Sơn</v>
          </cell>
          <cell r="AF411" t="str">
            <v>XE01468</v>
          </cell>
          <cell r="AH411">
            <v>9.6</v>
          </cell>
          <cell r="AW411" t="str">
            <v>Nguyễn Thanh Sơn12</v>
          </cell>
        </row>
        <row r="412">
          <cell r="D412" t="str">
            <v>Nguyễn Thanh Sơn</v>
          </cell>
          <cell r="AF412" t="str">
            <v>XE01468</v>
          </cell>
          <cell r="AH412">
            <v>10</v>
          </cell>
          <cell r="AW412" t="str">
            <v>Nguyễn Thanh Sơn13</v>
          </cell>
        </row>
        <row r="413">
          <cell r="D413" t="str">
            <v>Trần Đình Vượng</v>
          </cell>
          <cell r="AF413" t="str">
            <v>XE01155</v>
          </cell>
          <cell r="AH413">
            <v>10</v>
          </cell>
          <cell r="AW413" t="str">
            <v>Trần Đình Vượng12</v>
          </cell>
        </row>
        <row r="414">
          <cell r="D414" t="str">
            <v>Trần Đình Vượng</v>
          </cell>
          <cell r="AF414" t="str">
            <v>XE01155</v>
          </cell>
          <cell r="AH414">
            <v>9.42</v>
          </cell>
          <cell r="AW414" t="str">
            <v>Trần Đình Vượng13</v>
          </cell>
        </row>
        <row r="415">
          <cell r="D415" t="str">
            <v>Hoàng Ngọc Cường</v>
          </cell>
          <cell r="AF415" t="str">
            <v>XE00703</v>
          </cell>
          <cell r="AH415">
            <v>10</v>
          </cell>
          <cell r="AW415" t="str">
            <v>Hoàng Ngọc Cường12</v>
          </cell>
        </row>
        <row r="416">
          <cell r="D416" t="str">
            <v>Hoàng Ngọc Cường</v>
          </cell>
          <cell r="AF416" t="str">
            <v>XE00703</v>
          </cell>
          <cell r="AH416">
            <v>10</v>
          </cell>
          <cell r="AW416" t="str">
            <v>Hoàng Ngọc Cường13</v>
          </cell>
        </row>
        <row r="417">
          <cell r="D417" t="str">
            <v>Ngô Quốc Hùng</v>
          </cell>
          <cell r="AF417" t="str">
            <v>XE00024</v>
          </cell>
          <cell r="AH417">
            <v>8.44</v>
          </cell>
          <cell r="AW417" t="str">
            <v>Ngô Quốc Hùng12</v>
          </cell>
        </row>
        <row r="418">
          <cell r="D418" t="str">
            <v>Ngô Quốc Hùng</v>
          </cell>
          <cell r="AF418" t="str">
            <v>XE00024</v>
          </cell>
          <cell r="AH418">
            <v>9.42</v>
          </cell>
          <cell r="AW418" t="str">
            <v>Ngô Quốc Hùng13</v>
          </cell>
        </row>
        <row r="419">
          <cell r="D419" t="str">
            <v>Phạm Thanh Tùng</v>
          </cell>
          <cell r="AF419" t="str">
            <v>XE01402</v>
          </cell>
          <cell r="AH419">
            <v>9.6</v>
          </cell>
          <cell r="AW419" t="str">
            <v>Phạm Thanh Tùng12</v>
          </cell>
        </row>
        <row r="420">
          <cell r="D420" t="str">
            <v>Phạm Viết Thắng</v>
          </cell>
          <cell r="AF420" t="str">
            <v>XE01596</v>
          </cell>
          <cell r="AH420">
            <v>10</v>
          </cell>
          <cell r="AW420" t="str">
            <v>Phạm Viết Thắng12</v>
          </cell>
        </row>
        <row r="421">
          <cell r="D421" t="str">
            <v>Phạm Quốc Hội</v>
          </cell>
          <cell r="AF421" t="str">
            <v>XE01229</v>
          </cell>
          <cell r="AH421">
            <v>9.82</v>
          </cell>
          <cell r="AW421" t="str">
            <v>Phạm Quốc Hội12</v>
          </cell>
        </row>
        <row r="422">
          <cell r="D422" t="str">
            <v>Cù Xuân Duy</v>
          </cell>
          <cell r="AF422" t="str">
            <v>XE00887</v>
          </cell>
          <cell r="AH422">
            <v>9.02</v>
          </cell>
          <cell r="AW422" t="str">
            <v>Cù Xuân Duy12</v>
          </cell>
        </row>
        <row r="423">
          <cell r="D423" t="str">
            <v>Lê Trường Doanh</v>
          </cell>
          <cell r="AF423" t="str">
            <v>XE00581</v>
          </cell>
          <cell r="AH423">
            <v>9.82</v>
          </cell>
          <cell r="AW423" t="str">
            <v>Lê Trường Doanh12</v>
          </cell>
        </row>
        <row r="424">
          <cell r="D424" t="str">
            <v>Nguyễn Ngọc Hưng</v>
          </cell>
          <cell r="AF424" t="str">
            <v>XE00559</v>
          </cell>
          <cell r="AH424">
            <v>9.02</v>
          </cell>
          <cell r="AW424" t="str">
            <v>Nguyễn Ngọc Hưng12</v>
          </cell>
        </row>
        <row r="425">
          <cell r="D425" t="str">
            <v>Dương Văn Thọ</v>
          </cell>
          <cell r="AF425" t="str">
            <v>XE00282</v>
          </cell>
          <cell r="AH425">
            <v>9.82</v>
          </cell>
          <cell r="AW425" t="str">
            <v>Dương Văn Thọ12</v>
          </cell>
        </row>
        <row r="426">
          <cell r="D426" t="str">
            <v>Nguyễn Thành Đạt</v>
          </cell>
          <cell r="AF426" t="str">
            <v>XE00256</v>
          </cell>
          <cell r="AH426">
            <v>9.82</v>
          </cell>
          <cell r="AW426" t="str">
            <v>Nguyễn Thành Đạt12</v>
          </cell>
        </row>
        <row r="427">
          <cell r="D427" t="str">
            <v>Trịnh Xuân Đức</v>
          </cell>
          <cell r="AF427" t="str">
            <v>XE00109</v>
          </cell>
          <cell r="AH427">
            <v>10</v>
          </cell>
          <cell r="AW427" t="str">
            <v>Trịnh Xuân Đức12</v>
          </cell>
        </row>
        <row r="428">
          <cell r="D428" t="str">
            <v>Nguyễn Việt Trung</v>
          </cell>
          <cell r="AF428" t="str">
            <v>XE00137</v>
          </cell>
          <cell r="AH428">
            <v>10</v>
          </cell>
          <cell r="AW428" t="str">
            <v>Nguyễn Việt Trung12</v>
          </cell>
        </row>
        <row r="429">
          <cell r="D429" t="str">
            <v>Lê Trọng Giáp</v>
          </cell>
          <cell r="AF429" t="str">
            <v>XE00020</v>
          </cell>
          <cell r="AH429">
            <v>9.02</v>
          </cell>
          <cell r="AW429" t="str">
            <v>Lê Trọng Giáp12</v>
          </cell>
        </row>
        <row r="430">
          <cell r="D430" t="str">
            <v>Tống Văn Nam</v>
          </cell>
          <cell r="AF430" t="str">
            <v>XE00019</v>
          </cell>
          <cell r="AH430">
            <v>10</v>
          </cell>
          <cell r="AW430" t="str">
            <v>Tống Văn Nam12</v>
          </cell>
        </row>
        <row r="431">
          <cell r="D431" t="str">
            <v>Nguyễn Ngọc Trường</v>
          </cell>
          <cell r="AF431" t="str">
            <v>XE00240</v>
          </cell>
          <cell r="AH431">
            <v>10</v>
          </cell>
          <cell r="AW431" t="str">
            <v>Nguyễn Ngọc Trường12</v>
          </cell>
        </row>
        <row r="432">
          <cell r="D432" t="str">
            <v>Phạm Quang Trung</v>
          </cell>
          <cell r="AF432" t="str">
            <v>XE00041</v>
          </cell>
          <cell r="AH432">
            <v>9.24</v>
          </cell>
          <cell r="AW432" t="str">
            <v>Phạm Quang Trung11</v>
          </cell>
        </row>
        <row r="433">
          <cell r="D433" t="str">
            <v>Phạm Quang Trung</v>
          </cell>
          <cell r="AF433" t="str">
            <v>XE00041</v>
          </cell>
          <cell r="AH433">
            <v>9.42</v>
          </cell>
          <cell r="AW433" t="str">
            <v>Phạm Quang Trung12</v>
          </cell>
        </row>
        <row r="434">
          <cell r="D434" t="str">
            <v>Trần Đức Triều</v>
          </cell>
          <cell r="AF434" t="str">
            <v>XE00080</v>
          </cell>
          <cell r="AH434">
            <v>9.42</v>
          </cell>
          <cell r="AW434" t="str">
            <v>Trần Đức Triều11</v>
          </cell>
        </row>
        <row r="435">
          <cell r="D435" t="str">
            <v>Trần Đức Triều</v>
          </cell>
          <cell r="AF435" t="str">
            <v>XE00080</v>
          </cell>
          <cell r="AH435">
            <v>10</v>
          </cell>
          <cell r="AW435" t="str">
            <v>Trần Đức Triều12</v>
          </cell>
        </row>
        <row r="436">
          <cell r="D436" t="str">
            <v>Bùi Quý Phúc</v>
          </cell>
          <cell r="AF436" t="str">
            <v>XE00077</v>
          </cell>
          <cell r="AH436">
            <v>9.6</v>
          </cell>
          <cell r="AW436" t="str">
            <v>Bùi Quý Phúc11</v>
          </cell>
        </row>
        <row r="437">
          <cell r="D437" t="str">
            <v>Bùi Quý Phúc</v>
          </cell>
          <cell r="AF437" t="str">
            <v>XE00077</v>
          </cell>
          <cell r="AH437">
            <v>8.84</v>
          </cell>
          <cell r="AW437" t="str">
            <v>Bùi Quý Phúc12</v>
          </cell>
        </row>
        <row r="438">
          <cell r="D438" t="str">
            <v>Trần Hữu Nam 1972</v>
          </cell>
          <cell r="AF438" t="str">
            <v>XE00033</v>
          </cell>
          <cell r="AH438">
            <v>9.42</v>
          </cell>
          <cell r="AW438" t="str">
            <v>Trần Hữu Nam 197211</v>
          </cell>
        </row>
        <row r="439">
          <cell r="D439" t="str">
            <v>Trần Hữu Nam 1972</v>
          </cell>
          <cell r="AF439" t="str">
            <v>XE00033</v>
          </cell>
          <cell r="AH439">
            <v>10</v>
          </cell>
          <cell r="AW439" t="str">
            <v>Trần Hữu Nam 197212</v>
          </cell>
        </row>
        <row r="440">
          <cell r="D440" t="str">
            <v>Phạm Văn Vũ</v>
          </cell>
          <cell r="AF440" t="str">
            <v>XE00042</v>
          </cell>
          <cell r="AH440">
            <v>9.42</v>
          </cell>
          <cell r="AW440" t="str">
            <v>Phạm Văn Vũ12</v>
          </cell>
        </row>
        <row r="441">
          <cell r="D441" t="str">
            <v>Phạm Thanh Tùng</v>
          </cell>
          <cell r="AF441" t="str">
            <v>XE01402</v>
          </cell>
          <cell r="AH441">
            <v>9.82</v>
          </cell>
          <cell r="AW441" t="str">
            <v>Phạm Thanh Tùng13</v>
          </cell>
        </row>
        <row r="442">
          <cell r="D442" t="str">
            <v>Phạm Viết Thắng</v>
          </cell>
          <cell r="AF442" t="str">
            <v>XE01596</v>
          </cell>
          <cell r="AH442">
            <v>10</v>
          </cell>
          <cell r="AW442" t="str">
            <v>Phạm Viết Thắng13</v>
          </cell>
        </row>
        <row r="443">
          <cell r="D443" t="str">
            <v>Phạm Quốc Hội</v>
          </cell>
          <cell r="AF443" t="str">
            <v>XE01229</v>
          </cell>
          <cell r="AH443">
            <v>9.82</v>
          </cell>
          <cell r="AW443" t="str">
            <v>Phạm Quốc Hội13</v>
          </cell>
        </row>
        <row r="444">
          <cell r="D444" t="str">
            <v>Cù Xuân Duy</v>
          </cell>
          <cell r="AF444" t="str">
            <v>XE00887</v>
          </cell>
          <cell r="AH444">
            <v>9.42</v>
          </cell>
          <cell r="AW444" t="str">
            <v>Cù Xuân Duy13</v>
          </cell>
        </row>
        <row r="445">
          <cell r="D445" t="str">
            <v>Lê Trường Doanh</v>
          </cell>
          <cell r="AF445" t="str">
            <v>XE00581</v>
          </cell>
          <cell r="AH445">
            <v>9.42</v>
          </cell>
          <cell r="AW445" t="str">
            <v>Lê Trường Doanh13</v>
          </cell>
        </row>
        <row r="446">
          <cell r="D446" t="str">
            <v>Lê Văn Diện</v>
          </cell>
          <cell r="AF446" t="str">
            <v>XE00098</v>
          </cell>
          <cell r="AH446">
            <v>10</v>
          </cell>
          <cell r="AW446" t="str">
            <v>Lê Văn Diện11</v>
          </cell>
        </row>
        <row r="447">
          <cell r="D447" t="str">
            <v>Lê Văn Diện</v>
          </cell>
          <cell r="AF447" t="str">
            <v>XE00098</v>
          </cell>
          <cell r="AH447">
            <v>10</v>
          </cell>
          <cell r="AW447" t="str">
            <v>Lê Văn Diện12</v>
          </cell>
        </row>
        <row r="448">
          <cell r="D448" t="str">
            <v>Phạm Văn Đồng</v>
          </cell>
          <cell r="AF448" t="str">
            <v>XE01479</v>
          </cell>
          <cell r="AH448">
            <v>9.6</v>
          </cell>
          <cell r="AW448" t="str">
            <v>Phạm Văn Đồng7</v>
          </cell>
        </row>
        <row r="449">
          <cell r="D449" t="str">
            <v>Phạm Văn Đồng</v>
          </cell>
          <cell r="AF449" t="str">
            <v>XE01479</v>
          </cell>
          <cell r="AH449">
            <v>9.42</v>
          </cell>
          <cell r="AW449" t="str">
            <v>Phạm Văn Đồng8</v>
          </cell>
        </row>
        <row r="450">
          <cell r="D450" t="str">
            <v>Nguyễn Văn Thế</v>
          </cell>
          <cell r="AF450" t="str">
            <v>XE00600</v>
          </cell>
          <cell r="AH450">
            <v>10</v>
          </cell>
          <cell r="AW450" t="str">
            <v>Nguyễn Văn Thế10</v>
          </cell>
        </row>
        <row r="451">
          <cell r="D451" t="str">
            <v>Nguyễn Văn Thế</v>
          </cell>
          <cell r="AF451" t="str">
            <v>XE00600</v>
          </cell>
          <cell r="AH451">
            <v>8.84</v>
          </cell>
          <cell r="AW451" t="str">
            <v>Nguyễn Văn Thế11</v>
          </cell>
        </row>
        <row r="452">
          <cell r="D452" t="str">
            <v>Đặng Ngọc Toàn</v>
          </cell>
          <cell r="AF452" t="str">
            <v>XE00138</v>
          </cell>
          <cell r="AH452">
            <v>9.02</v>
          </cell>
          <cell r="AW452" t="str">
            <v>Đặng Ngọc Toàn11</v>
          </cell>
        </row>
        <row r="453">
          <cell r="D453" t="str">
            <v>Đặng Ngọc Toàn</v>
          </cell>
          <cell r="AF453" t="str">
            <v>XE00138</v>
          </cell>
          <cell r="AH453">
            <v>9.42</v>
          </cell>
          <cell r="AW453" t="str">
            <v>Đặng Ngọc Toàn12</v>
          </cell>
        </row>
        <row r="454">
          <cell r="D454" t="str">
            <v>Nguyễn Xuân Thắng</v>
          </cell>
          <cell r="AF454" t="str">
            <v>XE00046</v>
          </cell>
          <cell r="AH454">
            <v>10</v>
          </cell>
          <cell r="AW454" t="str">
            <v>Nguyễn Xuân Thắng12</v>
          </cell>
        </row>
        <row r="455">
          <cell r="D455" t="str">
            <v>Nguyễn Xuân Thắng</v>
          </cell>
          <cell r="AF455" t="str">
            <v>XE00046</v>
          </cell>
          <cell r="AH455">
            <v>9.42</v>
          </cell>
          <cell r="AW455" t="str">
            <v>Nguyễn Xuân Thắng13</v>
          </cell>
        </row>
        <row r="456">
          <cell r="D456" t="str">
            <v>Lê Hữu Bích</v>
          </cell>
          <cell r="AF456" t="str">
            <v>XE00050</v>
          </cell>
          <cell r="AH456">
            <v>9.42</v>
          </cell>
          <cell r="AW456" t="str">
            <v>Lê Hữu Bích12</v>
          </cell>
        </row>
        <row r="457">
          <cell r="D457" t="str">
            <v>Lê Hữu Bích</v>
          </cell>
          <cell r="AF457" t="str">
            <v>XE00050</v>
          </cell>
          <cell r="AH457">
            <v>9.82</v>
          </cell>
          <cell r="AW457" t="str">
            <v>Lê Hữu Bích13</v>
          </cell>
        </row>
        <row r="458">
          <cell r="D458" t="str">
            <v>Nguyễn Ngọc Hưng</v>
          </cell>
          <cell r="AF458" t="str">
            <v>XE00559</v>
          </cell>
          <cell r="AH458">
            <v>9.82</v>
          </cell>
          <cell r="AW458" t="str">
            <v>Nguyễn Ngọc Hưng13</v>
          </cell>
        </row>
        <row r="459">
          <cell r="D459" t="str">
            <v>Nguyễn Ngọc Hưng</v>
          </cell>
          <cell r="AF459" t="str">
            <v>XE00559</v>
          </cell>
          <cell r="AH459">
            <v>10</v>
          </cell>
          <cell r="AW459" t="str">
            <v>Nguyễn Ngọc Hưng14</v>
          </cell>
        </row>
        <row r="460">
          <cell r="D460" t="str">
            <v>Nguyễn Thành Đạt</v>
          </cell>
          <cell r="AF460" t="str">
            <v>XE00256</v>
          </cell>
          <cell r="AH460">
            <v>9.42</v>
          </cell>
          <cell r="AW460" t="str">
            <v>Nguyễn Thành Đạt13</v>
          </cell>
        </row>
        <row r="461">
          <cell r="D461" t="str">
            <v>Nguyễn Thành Đạt</v>
          </cell>
          <cell r="AF461" t="str">
            <v>XE00256</v>
          </cell>
          <cell r="AH461">
            <v>9.24</v>
          </cell>
          <cell r="AW461" t="str">
            <v>Nguyễn Thành Đạt14</v>
          </cell>
        </row>
        <row r="462">
          <cell r="D462" t="str">
            <v>Trịnh Xuân Đức</v>
          </cell>
          <cell r="AF462" t="str">
            <v>XE00109</v>
          </cell>
          <cell r="AH462">
            <v>9.6</v>
          </cell>
          <cell r="AW462" t="str">
            <v>Trịnh Xuân Đức13</v>
          </cell>
        </row>
        <row r="463">
          <cell r="D463" t="str">
            <v>Trịnh Xuân Đức</v>
          </cell>
          <cell r="AF463" t="str">
            <v>XE00109</v>
          </cell>
          <cell r="AH463">
            <v>9.82</v>
          </cell>
          <cell r="AW463" t="str">
            <v>Trịnh Xuân Đức14</v>
          </cell>
        </row>
        <row r="464">
          <cell r="D464" t="str">
            <v>Nguyễn Việt Trung</v>
          </cell>
          <cell r="AF464" t="str">
            <v>XE00137</v>
          </cell>
          <cell r="AH464">
            <v>9.42</v>
          </cell>
          <cell r="AW464" t="str">
            <v>Nguyễn Việt Trung13</v>
          </cell>
        </row>
        <row r="465">
          <cell r="D465" t="str">
            <v>Nguyễn Việt Trung</v>
          </cell>
          <cell r="AF465" t="str">
            <v>XE00137</v>
          </cell>
          <cell r="AH465">
            <v>9.42</v>
          </cell>
          <cell r="AW465" t="str">
            <v>Nguyễn Việt Trung14</v>
          </cell>
        </row>
        <row r="466">
          <cell r="D466" t="str">
            <v>Lê Trọng Giáp</v>
          </cell>
          <cell r="AF466" t="str">
            <v>XE00020</v>
          </cell>
          <cell r="AH466">
            <v>9.82</v>
          </cell>
          <cell r="AW466" t="str">
            <v>Lê Trọng Giáp13</v>
          </cell>
        </row>
        <row r="467">
          <cell r="D467" t="str">
            <v>Lê Trọng Giáp</v>
          </cell>
          <cell r="AF467" t="str">
            <v>XE00020</v>
          </cell>
          <cell r="AH467">
            <v>9.6</v>
          </cell>
          <cell r="AW467" t="str">
            <v>Lê Trọng Giáp14</v>
          </cell>
        </row>
        <row r="468">
          <cell r="D468" t="str">
            <v>Tống Văn Nam</v>
          </cell>
          <cell r="AF468" t="str">
            <v>XE00019</v>
          </cell>
          <cell r="AH468">
            <v>8.84</v>
          </cell>
          <cell r="AW468" t="str">
            <v>Tống Văn Nam13</v>
          </cell>
        </row>
        <row r="469">
          <cell r="D469" t="str">
            <v>Tống Văn Nam</v>
          </cell>
          <cell r="AF469" t="str">
            <v>XE00019</v>
          </cell>
          <cell r="AH469">
            <v>10</v>
          </cell>
          <cell r="AW469" t="str">
            <v>Tống Văn Nam14</v>
          </cell>
        </row>
        <row r="470">
          <cell r="D470" t="str">
            <v>Trần Thanh An</v>
          </cell>
          <cell r="AF470" t="str">
            <v>XE00113</v>
          </cell>
          <cell r="AH470">
            <v>10</v>
          </cell>
          <cell r="AW470" t="str">
            <v>Trần Thanh An13</v>
          </cell>
        </row>
        <row r="471">
          <cell r="D471" t="str">
            <v>Trần Thanh An</v>
          </cell>
          <cell r="AF471" t="str">
            <v>XE00113</v>
          </cell>
          <cell r="AH471">
            <v>9.42</v>
          </cell>
          <cell r="AW471" t="str">
            <v>Trần Thanh An14</v>
          </cell>
        </row>
        <row r="472">
          <cell r="D472" t="str">
            <v>Nguyễn Văn Hùng</v>
          </cell>
          <cell r="AF472" t="str">
            <v>XE00083</v>
          </cell>
          <cell r="AH472">
            <v>9.42</v>
          </cell>
          <cell r="AW472" t="str">
            <v>Nguyễn Văn Hùng11</v>
          </cell>
        </row>
        <row r="473">
          <cell r="D473" t="str">
            <v>Nguyễn Văn Hùng</v>
          </cell>
          <cell r="AF473" t="str">
            <v>XE00083</v>
          </cell>
          <cell r="AH473">
            <v>9.82</v>
          </cell>
          <cell r="AW473" t="str">
            <v>Nguyễn Văn Hùng12</v>
          </cell>
        </row>
        <row r="474">
          <cell r="D474" t="str">
            <v>Phạm Văn Vũ</v>
          </cell>
          <cell r="AF474" t="str">
            <v>XE00042</v>
          </cell>
          <cell r="AH474">
            <v>8.84</v>
          </cell>
          <cell r="AW474" t="str">
            <v>Phạm Văn Vũ13</v>
          </cell>
        </row>
        <row r="475">
          <cell r="D475" t="str">
            <v>Phạm Văn Vũ</v>
          </cell>
          <cell r="AF475" t="str">
            <v>XE00042</v>
          </cell>
          <cell r="AH475">
            <v>8.44</v>
          </cell>
          <cell r="AW475" t="str">
            <v>Phạm Văn Vũ14</v>
          </cell>
        </row>
        <row r="476">
          <cell r="D476" t="str">
            <v>Phạm Quang Trung</v>
          </cell>
          <cell r="AF476" t="str">
            <v>XE00041</v>
          </cell>
          <cell r="AH476">
            <v>9.6</v>
          </cell>
          <cell r="AW476" t="str">
            <v>Phạm Quang Trung13</v>
          </cell>
        </row>
        <row r="477">
          <cell r="D477" t="str">
            <v>Phạm Quang Trung</v>
          </cell>
          <cell r="AF477" t="str">
            <v>XE00041</v>
          </cell>
          <cell r="AH477">
            <v>9.42</v>
          </cell>
          <cell r="AW477" t="str">
            <v>Phạm Quang Trung14</v>
          </cell>
        </row>
        <row r="478">
          <cell r="D478" t="str">
            <v>Trần Đức Triều</v>
          </cell>
          <cell r="AF478" t="str">
            <v>XE00080</v>
          </cell>
          <cell r="AH478">
            <v>9.82</v>
          </cell>
          <cell r="AW478" t="str">
            <v>Trần Đức Triều13</v>
          </cell>
        </row>
        <row r="479">
          <cell r="D479" t="str">
            <v>Trần Đức Triều</v>
          </cell>
          <cell r="AF479" t="str">
            <v>XE00080</v>
          </cell>
          <cell r="AH479">
            <v>8.6199999999999992</v>
          </cell>
          <cell r="AW479" t="str">
            <v>Trần Đức Triều14</v>
          </cell>
        </row>
        <row r="480">
          <cell r="D480" t="str">
            <v>Bùi Quý Phúc</v>
          </cell>
          <cell r="AF480" t="str">
            <v>XE00077</v>
          </cell>
          <cell r="AH480">
            <v>10</v>
          </cell>
          <cell r="AW480" t="str">
            <v>Bùi Quý Phúc13</v>
          </cell>
        </row>
        <row r="481">
          <cell r="D481" t="str">
            <v>Bùi Quý Phúc</v>
          </cell>
          <cell r="AF481" t="str">
            <v>XE00077</v>
          </cell>
          <cell r="AH481">
            <v>9.82</v>
          </cell>
          <cell r="AW481" t="str">
            <v>Bùi Quý Phúc14</v>
          </cell>
        </row>
        <row r="482">
          <cell r="D482" t="str">
            <v>Trần Hữu Nam 1972</v>
          </cell>
          <cell r="AF482" t="str">
            <v>XE00033</v>
          </cell>
          <cell r="AH482">
            <v>9.02</v>
          </cell>
          <cell r="AW482" t="str">
            <v>Trần Hữu Nam 197213</v>
          </cell>
        </row>
        <row r="483">
          <cell r="D483" t="str">
            <v>Trần Hữu Nam 1972</v>
          </cell>
          <cell r="AF483" t="str">
            <v>XE00033</v>
          </cell>
          <cell r="AH483">
            <v>9.42</v>
          </cell>
          <cell r="AW483" t="str">
            <v>Trần Hữu Nam 197214</v>
          </cell>
        </row>
        <row r="484">
          <cell r="D484" t="str">
            <v>Phạm Thanh Tùng</v>
          </cell>
          <cell r="AF484" t="str">
            <v>XE01402</v>
          </cell>
          <cell r="AH484">
            <v>9.82</v>
          </cell>
          <cell r="AW484" t="str">
            <v>Phạm Thanh Tùng14</v>
          </cell>
        </row>
        <row r="485">
          <cell r="D485" t="str">
            <v>Phạm Quốc Hội</v>
          </cell>
          <cell r="AF485" t="str">
            <v>XE01229</v>
          </cell>
          <cell r="AH485">
            <v>8.0399999999999991</v>
          </cell>
          <cell r="AW485" t="str">
            <v>Phạm Quốc Hội14</v>
          </cell>
        </row>
        <row r="486">
          <cell r="D486" t="str">
            <v>Nguyễn Đức Thanh</v>
          </cell>
          <cell r="AF486" t="str">
            <v>XE00627</v>
          </cell>
          <cell r="AH486">
            <v>8.84</v>
          </cell>
          <cell r="AW486" t="str">
            <v>Nguyễn Đức Thanh13</v>
          </cell>
        </row>
        <row r="487">
          <cell r="D487" t="str">
            <v>Lê Trường Doanh</v>
          </cell>
          <cell r="AF487" t="str">
            <v>XE00581</v>
          </cell>
          <cell r="AH487">
            <v>10</v>
          </cell>
          <cell r="AW487" t="str">
            <v>Lê Trường Doanh14</v>
          </cell>
        </row>
        <row r="488">
          <cell r="D488" t="str">
            <v>Trần Đình Vượng</v>
          </cell>
          <cell r="AF488" t="str">
            <v>XE01155</v>
          </cell>
          <cell r="AH488">
            <v>9.64</v>
          </cell>
          <cell r="AW488" t="str">
            <v>Trần Đình Vượng14</v>
          </cell>
        </row>
        <row r="489">
          <cell r="D489" t="str">
            <v>Hoàng Ngọc Cường</v>
          </cell>
          <cell r="AF489" t="str">
            <v>XE00703</v>
          </cell>
          <cell r="AH489">
            <v>9.02</v>
          </cell>
          <cell r="AW489" t="str">
            <v>Hoàng Ngọc Cường14</v>
          </cell>
        </row>
        <row r="490">
          <cell r="D490" t="str">
            <v>Ngô Quốc Hùng</v>
          </cell>
          <cell r="AF490" t="str">
            <v>XE00024</v>
          </cell>
          <cell r="AH490">
            <v>9.42</v>
          </cell>
          <cell r="AW490" t="str">
            <v>Ngô Quốc Hùng14</v>
          </cell>
        </row>
        <row r="491">
          <cell r="D491" t="str">
            <v>Lê Văn Diện</v>
          </cell>
          <cell r="AF491" t="str">
            <v>XE00098</v>
          </cell>
          <cell r="AH491">
            <v>9.02</v>
          </cell>
          <cell r="AW491" t="str">
            <v>Lê Văn Diện13</v>
          </cell>
        </row>
        <row r="492">
          <cell r="D492" t="str">
            <v>Lê Văn Diện</v>
          </cell>
          <cell r="AF492" t="str">
            <v>XE00098</v>
          </cell>
          <cell r="AH492">
            <v>9.42</v>
          </cell>
          <cell r="AW492" t="str">
            <v>Lê Văn Diện14</v>
          </cell>
        </row>
        <row r="493">
          <cell r="D493" t="str">
            <v>Phạm Văn Đồng</v>
          </cell>
          <cell r="AF493" t="str">
            <v>XE01479</v>
          </cell>
          <cell r="AH493">
            <v>8.84</v>
          </cell>
          <cell r="AW493" t="str">
            <v>Phạm Văn Đồng9</v>
          </cell>
        </row>
        <row r="494">
          <cell r="D494" t="str">
            <v>Phạm Văn Đồng</v>
          </cell>
          <cell r="AF494" t="str">
            <v>XE01479</v>
          </cell>
          <cell r="AH494">
            <v>10</v>
          </cell>
          <cell r="AW494" t="str">
            <v>Phạm Văn Đồng10</v>
          </cell>
        </row>
        <row r="495">
          <cell r="D495" t="str">
            <v>Vũ Văn Tuyến</v>
          </cell>
          <cell r="AF495" t="str">
            <v>XE01502</v>
          </cell>
          <cell r="AH495">
            <v>10</v>
          </cell>
          <cell r="AW495" t="str">
            <v>Vũ Văn Tuyến10</v>
          </cell>
        </row>
        <row r="496">
          <cell r="D496" t="str">
            <v>Vũ Văn Tuyến</v>
          </cell>
          <cell r="AF496" t="str">
            <v>XE01502</v>
          </cell>
          <cell r="AH496">
            <v>9.6</v>
          </cell>
          <cell r="AW496" t="str">
            <v>Vũ Văn Tuyến11</v>
          </cell>
        </row>
        <row r="497">
          <cell r="D497" t="str">
            <v>Phạm Thế Anh</v>
          </cell>
          <cell r="AF497" t="str">
            <v>XE00298</v>
          </cell>
          <cell r="AH497">
            <v>10</v>
          </cell>
          <cell r="AW497" t="str">
            <v>Phạm Thế Anh10</v>
          </cell>
        </row>
        <row r="498">
          <cell r="D498" t="str">
            <v>Phạm Thế Anh</v>
          </cell>
          <cell r="AF498" t="str">
            <v>XE00298</v>
          </cell>
          <cell r="AH498">
            <v>9.42</v>
          </cell>
          <cell r="AW498" t="str">
            <v>Phạm Thế Anh11</v>
          </cell>
        </row>
        <row r="499">
          <cell r="D499" t="str">
            <v>Trần Đức Toản</v>
          </cell>
          <cell r="AF499" t="str">
            <v>XE01314</v>
          </cell>
          <cell r="AH499">
            <v>9.02</v>
          </cell>
          <cell r="AW499" t="str">
            <v>Trần Đức Toản10</v>
          </cell>
        </row>
        <row r="500">
          <cell r="D500" t="str">
            <v>Trần Đức Toản</v>
          </cell>
          <cell r="AF500" t="str">
            <v>XE01314</v>
          </cell>
          <cell r="AH500">
            <v>10</v>
          </cell>
          <cell r="AW500" t="str">
            <v>Trần Đức Toản11</v>
          </cell>
        </row>
        <row r="501">
          <cell r="D501" t="str">
            <v>Trần Nam</v>
          </cell>
          <cell r="AF501" t="str">
            <v>XE00130</v>
          </cell>
          <cell r="AH501">
            <v>9.42</v>
          </cell>
          <cell r="AW501" t="str">
            <v>Trần Nam12</v>
          </cell>
        </row>
        <row r="502">
          <cell r="D502" t="str">
            <v>Trần Nam</v>
          </cell>
          <cell r="AF502" t="str">
            <v>XE00130</v>
          </cell>
          <cell r="AH502">
            <v>9.42</v>
          </cell>
          <cell r="AW502" t="str">
            <v>Trần Nam13</v>
          </cell>
        </row>
        <row r="503">
          <cell r="D503" t="str">
            <v>Đặng Hồng Thuỷ</v>
          </cell>
          <cell r="AF503" t="str">
            <v>XE01385</v>
          </cell>
          <cell r="AH503">
            <v>8.0399999999999991</v>
          </cell>
          <cell r="AW503" t="str">
            <v>Đặng Hồng Thuỷ12</v>
          </cell>
        </row>
        <row r="504">
          <cell r="D504" t="str">
            <v>Đặng Hồng Thuỷ</v>
          </cell>
          <cell r="AF504" t="str">
            <v>XE01385</v>
          </cell>
          <cell r="AH504">
            <v>9.42</v>
          </cell>
          <cell r="AW504" t="str">
            <v>Đặng Hồng Thuỷ13</v>
          </cell>
        </row>
        <row r="505">
          <cell r="D505" t="str">
            <v>Vũ Việt Hùng</v>
          </cell>
          <cell r="AF505" t="str">
            <v>XE00812</v>
          </cell>
          <cell r="AH505">
            <v>9.42</v>
          </cell>
          <cell r="AW505" t="str">
            <v>Vũ Việt Hùng12</v>
          </cell>
        </row>
        <row r="506">
          <cell r="D506" t="str">
            <v>Vũ Việt Hùng</v>
          </cell>
          <cell r="AF506" t="str">
            <v>XE00812</v>
          </cell>
          <cell r="AH506">
            <v>9.82</v>
          </cell>
          <cell r="AW506" t="str">
            <v>Vũ Việt Hùng13</v>
          </cell>
        </row>
        <row r="507">
          <cell r="D507" t="str">
            <v>Phan Đăng Quang</v>
          </cell>
          <cell r="AF507" t="str">
            <v>XE00195</v>
          </cell>
          <cell r="AH507">
            <v>9.82</v>
          </cell>
          <cell r="AW507" t="str">
            <v>Phan Đăng Quang12</v>
          </cell>
        </row>
        <row r="508">
          <cell r="D508" t="str">
            <v>Phan Đăng Quang</v>
          </cell>
          <cell r="AF508" t="str">
            <v>XE00195</v>
          </cell>
          <cell r="AH508">
            <v>9.42</v>
          </cell>
          <cell r="AW508" t="str">
            <v>Phan Đăng Quang13</v>
          </cell>
        </row>
        <row r="509">
          <cell r="D509" t="str">
            <v>Nguyễn Văn Thế</v>
          </cell>
          <cell r="AF509" t="str">
            <v>XE00600</v>
          </cell>
          <cell r="AH509">
            <v>9.42</v>
          </cell>
          <cell r="AW509" t="str">
            <v>Nguyễn Văn Thế12</v>
          </cell>
        </row>
        <row r="510">
          <cell r="D510" t="str">
            <v>Nguyễn Văn Thế</v>
          </cell>
          <cell r="AF510" t="str">
            <v>XE00600</v>
          </cell>
          <cell r="AH510">
            <v>10</v>
          </cell>
          <cell r="AW510" t="str">
            <v>Nguyễn Văn Thế13</v>
          </cell>
        </row>
        <row r="511">
          <cell r="D511" t="str">
            <v>Dương Văn Thọ</v>
          </cell>
          <cell r="AF511" t="str">
            <v>XE00282</v>
          </cell>
          <cell r="AH511">
            <v>10</v>
          </cell>
          <cell r="AW511" t="str">
            <v>Dương Văn Thọ13</v>
          </cell>
        </row>
        <row r="512">
          <cell r="D512" t="str">
            <v>Dương Văn Thọ</v>
          </cell>
          <cell r="AF512" t="str">
            <v>XE00282</v>
          </cell>
          <cell r="AH512">
            <v>9.42</v>
          </cell>
          <cell r="AW512" t="str">
            <v>Dương Văn Thọ14</v>
          </cell>
        </row>
        <row r="513">
          <cell r="D513" t="str">
            <v>Vũ Văn Tuyến</v>
          </cell>
          <cell r="AF513" t="str">
            <v>XE01502</v>
          </cell>
          <cell r="AH513">
            <v>9.82</v>
          </cell>
          <cell r="AW513" t="str">
            <v>Vũ Văn Tuyến12</v>
          </cell>
        </row>
        <row r="514">
          <cell r="D514" t="str">
            <v>Vũ Văn Tuyến</v>
          </cell>
          <cell r="AF514" t="str">
            <v>XE01502</v>
          </cell>
          <cell r="AH514">
            <v>9.42</v>
          </cell>
          <cell r="AW514" t="str">
            <v>Vũ Văn Tuyến13</v>
          </cell>
        </row>
        <row r="515">
          <cell r="D515" t="str">
            <v>Phạm Văn Đồng</v>
          </cell>
          <cell r="AF515" t="str">
            <v>XE01479</v>
          </cell>
          <cell r="AH515">
            <v>9.42</v>
          </cell>
          <cell r="AW515" t="str">
            <v>Phạm Văn Đồng11</v>
          </cell>
        </row>
        <row r="516">
          <cell r="D516" t="str">
            <v>Phạm Văn Đồng</v>
          </cell>
          <cell r="AF516" t="str">
            <v>XE01479</v>
          </cell>
          <cell r="AH516">
            <v>9.82</v>
          </cell>
          <cell r="AW516" t="str">
            <v>Phạm Văn Đồng12</v>
          </cell>
        </row>
        <row r="517">
          <cell r="D517" t="str">
            <v>Phạm Thế Anh</v>
          </cell>
          <cell r="AF517" t="str">
            <v>XE00298</v>
          </cell>
          <cell r="AH517">
            <v>10</v>
          </cell>
          <cell r="AW517" t="str">
            <v>Phạm Thế Anh12</v>
          </cell>
        </row>
        <row r="518">
          <cell r="D518" t="str">
            <v>Phạm Thế Anh</v>
          </cell>
          <cell r="AF518" t="str">
            <v>XE00298</v>
          </cell>
          <cell r="AH518">
            <v>9.02</v>
          </cell>
          <cell r="AW518" t="str">
            <v>Phạm Thế Anh13</v>
          </cell>
        </row>
        <row r="519">
          <cell r="D519" t="str">
            <v>Trần Đức Toản</v>
          </cell>
          <cell r="AF519" t="str">
            <v>XE01314</v>
          </cell>
          <cell r="AH519">
            <v>9.42</v>
          </cell>
          <cell r="AW519" t="str">
            <v>Trần Đức Toản12</v>
          </cell>
        </row>
        <row r="520">
          <cell r="D520" t="str">
            <v>Trần Đức Toản</v>
          </cell>
          <cell r="AF520" t="str">
            <v>XE01314</v>
          </cell>
          <cell r="AH520">
            <v>9.42</v>
          </cell>
          <cell r="AW520" t="str">
            <v>Trần Đức Toản13</v>
          </cell>
        </row>
        <row r="521">
          <cell r="D521" t="str">
            <v>Nguyễn Ngọc Trường</v>
          </cell>
          <cell r="AF521" t="str">
            <v>XE00240</v>
          </cell>
          <cell r="AH521">
            <v>9.02</v>
          </cell>
          <cell r="AW521" t="str">
            <v>Nguyễn Ngọc Trường13</v>
          </cell>
        </row>
        <row r="522">
          <cell r="D522" t="str">
            <v>Nguyễn Ngọc Trường</v>
          </cell>
          <cell r="AF522" t="str">
            <v>XE00240</v>
          </cell>
          <cell r="AH522">
            <v>9.42</v>
          </cell>
          <cell r="AW522" t="str">
            <v>Nguyễn Ngọc Trường14</v>
          </cell>
        </row>
        <row r="523">
          <cell r="D523" t="str">
            <v>Đặng Ngọc Toàn</v>
          </cell>
          <cell r="AF523" t="str">
            <v>XE00138</v>
          </cell>
          <cell r="AH523">
            <v>8.84</v>
          </cell>
          <cell r="AW523" t="str">
            <v>Đặng Ngọc Toàn13</v>
          </cell>
        </row>
        <row r="524">
          <cell r="D524" t="str">
            <v>Đặng Ngọc Toàn</v>
          </cell>
          <cell r="AF524" t="str">
            <v>XE00138</v>
          </cell>
          <cell r="AH524">
            <v>9.42</v>
          </cell>
          <cell r="AW524" t="str">
            <v>Đặng Ngọc Toàn14</v>
          </cell>
        </row>
        <row r="525">
          <cell r="D525" t="str">
            <v>Phạm Viết Thắng</v>
          </cell>
          <cell r="AF525" t="str">
            <v>XE01596</v>
          </cell>
          <cell r="AH525">
            <v>9.82</v>
          </cell>
          <cell r="AW525" t="str">
            <v>Phạm Viết Thắng14</v>
          </cell>
        </row>
        <row r="526">
          <cell r="D526" t="str">
            <v>Nguyễn Thanh Sơn</v>
          </cell>
          <cell r="AF526" t="str">
            <v>XE01468</v>
          </cell>
          <cell r="AH526">
            <v>9.6</v>
          </cell>
          <cell r="AW526" t="str">
            <v>Nguyễn Thanh Sơn14</v>
          </cell>
        </row>
        <row r="527">
          <cell r="D527" t="str">
            <v>Nguyễn Xuân Thắng</v>
          </cell>
          <cell r="AF527" t="str">
            <v>XE00046</v>
          </cell>
          <cell r="AH527">
            <v>9.42</v>
          </cell>
          <cell r="AW527" t="str">
            <v>Nguyễn Xuân Thắng14</v>
          </cell>
        </row>
        <row r="528">
          <cell r="D528" t="str">
            <v>Trần Nam</v>
          </cell>
          <cell r="AF528" t="str">
            <v>XE00130</v>
          </cell>
          <cell r="AH528">
            <v>10</v>
          </cell>
          <cell r="AW528" t="str">
            <v>Trần Nam14</v>
          </cell>
        </row>
        <row r="529">
          <cell r="D529" t="str">
            <v>Đặng Hồng Thuỷ</v>
          </cell>
          <cell r="AF529" t="str">
            <v>XE01385</v>
          </cell>
          <cell r="AH529">
            <v>9.82</v>
          </cell>
          <cell r="AW529" t="str">
            <v>Đặng Hồng Thuỷ14</v>
          </cell>
        </row>
        <row r="530">
          <cell r="D530" t="str">
            <v>Cù Xuân Duy</v>
          </cell>
          <cell r="AF530" t="str">
            <v>XE00887</v>
          </cell>
          <cell r="AH530">
            <v>9.82</v>
          </cell>
          <cell r="AW530" t="str">
            <v>Cù Xuân Duy14</v>
          </cell>
        </row>
        <row r="531">
          <cell r="D531" t="str">
            <v>Vũ Việt Hùng</v>
          </cell>
          <cell r="AF531" t="str">
            <v>XE00812</v>
          </cell>
          <cell r="AH531">
            <v>9.42</v>
          </cell>
          <cell r="AW531" t="str">
            <v>Vũ Việt Hùng14</v>
          </cell>
        </row>
        <row r="532">
          <cell r="D532" t="str">
            <v>Nguyễn Đức Thanh</v>
          </cell>
          <cell r="AF532" t="str">
            <v>XE00627</v>
          </cell>
          <cell r="AH532">
            <v>8.44</v>
          </cell>
          <cell r="AW532" t="str">
            <v>Nguyễn Đức Thanh14</v>
          </cell>
        </row>
        <row r="533">
          <cell r="D533" t="str">
            <v>Phan Đăng Quang</v>
          </cell>
          <cell r="AF533" t="str">
            <v>XE00195</v>
          </cell>
          <cell r="AH533">
            <v>7.82</v>
          </cell>
          <cell r="AW533" t="str">
            <v>Phan Đăng Quang14</v>
          </cell>
        </row>
        <row r="534">
          <cell r="D534" t="str">
            <v>Lê Hữu Bích</v>
          </cell>
          <cell r="AF534" t="str">
            <v>XE00050</v>
          </cell>
          <cell r="AH534">
            <v>10</v>
          </cell>
          <cell r="AW534" t="str">
            <v>Lê Hữu Bích14</v>
          </cell>
        </row>
        <row r="535">
          <cell r="D535" t="str">
            <v>Nguyễn Văn Thế</v>
          </cell>
          <cell r="AF535" t="str">
            <v>XE00600</v>
          </cell>
          <cell r="AH535">
            <v>9.02</v>
          </cell>
          <cell r="AW535" t="str">
            <v>Nguyễn Văn Thế14</v>
          </cell>
        </row>
        <row r="536">
          <cell r="D536" t="str">
            <v>Phạm Thanh Tùng</v>
          </cell>
          <cell r="AF536" t="str">
            <v>XE01402</v>
          </cell>
          <cell r="AH536">
            <v>9.82</v>
          </cell>
          <cell r="AW536" t="str">
            <v>Phạm Thanh Tùng15</v>
          </cell>
        </row>
        <row r="537">
          <cell r="D537" t="str">
            <v>Nguyễn Văn Hùng</v>
          </cell>
          <cell r="AF537" t="str">
            <v>XE00083</v>
          </cell>
          <cell r="AH537">
            <v>9.42</v>
          </cell>
          <cell r="AW537" t="str">
            <v>Nguyễn Văn Hùng13</v>
          </cell>
        </row>
        <row r="538">
          <cell r="D538" t="str">
            <v>Nguyễn Văn Hùng</v>
          </cell>
          <cell r="AF538" t="str">
            <v>XE00083</v>
          </cell>
          <cell r="AH538">
            <v>9.42</v>
          </cell>
          <cell r="AW538" t="str">
            <v>Nguyễn Văn Hùng14</v>
          </cell>
        </row>
        <row r="539">
          <cell r="D539" t="str">
            <v>Phạm Văn Vũ</v>
          </cell>
          <cell r="AF539" t="str">
            <v>XE00042</v>
          </cell>
          <cell r="AH539">
            <v>10</v>
          </cell>
          <cell r="AW539" t="str">
            <v>Phạm Văn Vũ15</v>
          </cell>
        </row>
        <row r="540">
          <cell r="D540" t="str">
            <v>Phạm Quang Trung</v>
          </cell>
          <cell r="AF540" t="str">
            <v>XE00041</v>
          </cell>
          <cell r="AH540">
            <v>10</v>
          </cell>
          <cell r="AW540" t="str">
            <v>Phạm Quang Trung15</v>
          </cell>
        </row>
        <row r="541">
          <cell r="D541" t="str">
            <v>Trần Đức Triều</v>
          </cell>
          <cell r="AF541" t="str">
            <v>XE00080</v>
          </cell>
          <cell r="AH541">
            <v>9.6</v>
          </cell>
          <cell r="AW541" t="str">
            <v>Trần Đức Triều15</v>
          </cell>
        </row>
        <row r="542">
          <cell r="D542" t="str">
            <v>Bùi Quý Phúc</v>
          </cell>
          <cell r="AF542" t="str">
            <v>XE00077</v>
          </cell>
          <cell r="AH542">
            <v>9.42</v>
          </cell>
          <cell r="AW542" t="str">
            <v>Bùi Quý Phúc15</v>
          </cell>
        </row>
        <row r="543">
          <cell r="D543" t="str">
            <v>Trần Hữu Nam 1972</v>
          </cell>
          <cell r="AF543" t="str">
            <v>XE00033</v>
          </cell>
          <cell r="AH543">
            <v>9.82</v>
          </cell>
          <cell r="AW543" t="str">
            <v>Trần Hữu Nam 197215</v>
          </cell>
        </row>
        <row r="544">
          <cell r="D544" t="str">
            <v>Phạm Quốc Hội</v>
          </cell>
          <cell r="AF544" t="str">
            <v>XE01229</v>
          </cell>
          <cell r="AH544">
            <v>8.84</v>
          </cell>
          <cell r="AW544" t="str">
            <v>Phạm Quốc Hội15</v>
          </cell>
        </row>
        <row r="545">
          <cell r="D545" t="str">
            <v>Lê Trường Doanh</v>
          </cell>
          <cell r="AF545" t="str">
            <v>XE00581</v>
          </cell>
          <cell r="AH545">
            <v>9.42</v>
          </cell>
          <cell r="AW545" t="str">
            <v>Lê Trường Doanh15</v>
          </cell>
        </row>
        <row r="546">
          <cell r="D546" t="str">
            <v>Nguyễn Ngọc Hưng</v>
          </cell>
          <cell r="AF546" t="str">
            <v>XE00559</v>
          </cell>
          <cell r="AH546">
            <v>10</v>
          </cell>
          <cell r="AW546" t="str">
            <v>Nguyễn Ngọc Hưng15</v>
          </cell>
        </row>
        <row r="547">
          <cell r="D547" t="str">
            <v>Nguyễn Thành Đạt</v>
          </cell>
          <cell r="AF547" t="str">
            <v>XE00256</v>
          </cell>
          <cell r="AH547">
            <v>9.42</v>
          </cell>
          <cell r="AW547" t="str">
            <v>Nguyễn Thành Đạt15</v>
          </cell>
        </row>
        <row r="548">
          <cell r="D548" t="str">
            <v>Trịnh Xuân Đức</v>
          </cell>
          <cell r="AF548" t="str">
            <v>XE00109</v>
          </cell>
          <cell r="AH548">
            <v>10</v>
          </cell>
          <cell r="AW548" t="str">
            <v>Trịnh Xuân Đức15</v>
          </cell>
        </row>
        <row r="549">
          <cell r="D549" t="str">
            <v>Nguyễn Việt Trung</v>
          </cell>
          <cell r="AF549" t="str">
            <v>XE00137</v>
          </cell>
          <cell r="AH549">
            <v>9.02</v>
          </cell>
          <cell r="AW549" t="str">
            <v>Nguyễn Việt Trung15</v>
          </cell>
        </row>
        <row r="550">
          <cell r="D550" t="str">
            <v>Lê Trọng Giáp</v>
          </cell>
          <cell r="AF550" t="str">
            <v>XE00020</v>
          </cell>
          <cell r="AH550">
            <v>9.42</v>
          </cell>
          <cell r="AW550" t="str">
            <v>Lê Trọng Giáp15</v>
          </cell>
        </row>
        <row r="551">
          <cell r="D551" t="str">
            <v>Tống Văn Nam</v>
          </cell>
          <cell r="AF551" t="str">
            <v>XE00019</v>
          </cell>
          <cell r="AH551">
            <v>9.82</v>
          </cell>
          <cell r="AW551" t="str">
            <v>Tống Văn Nam15</v>
          </cell>
        </row>
        <row r="552">
          <cell r="D552" t="str">
            <v>Trần Đình Vượng</v>
          </cell>
          <cell r="AF552" t="str">
            <v>XE01155</v>
          </cell>
          <cell r="AH552">
            <v>10</v>
          </cell>
          <cell r="AW552" t="str">
            <v>Trần Đình Vượng15</v>
          </cell>
        </row>
        <row r="553">
          <cell r="D553" t="str">
            <v>Dương Văn Thọ</v>
          </cell>
          <cell r="AF553" t="str">
            <v>XE00282</v>
          </cell>
          <cell r="AH553">
            <v>9.82</v>
          </cell>
          <cell r="AW553" t="str">
            <v>Dương Văn Thọ15</v>
          </cell>
        </row>
        <row r="554">
          <cell r="D554" t="str">
            <v>Lê Văn Diện</v>
          </cell>
          <cell r="AF554" t="str">
            <v>XE00098</v>
          </cell>
          <cell r="AH554">
            <v>9.82</v>
          </cell>
          <cell r="AW554" t="str">
            <v>Lê Văn Diện15</v>
          </cell>
        </row>
        <row r="555">
          <cell r="D555" t="str">
            <v>Hoàng Ngọc Cường</v>
          </cell>
          <cell r="AF555" t="str">
            <v>XE00703</v>
          </cell>
          <cell r="AH555">
            <v>9.82</v>
          </cell>
          <cell r="AW555" t="str">
            <v>Hoàng Ngọc Cường15</v>
          </cell>
        </row>
        <row r="556">
          <cell r="D556" t="str">
            <v>Trần Thanh An</v>
          </cell>
          <cell r="AF556" t="str">
            <v>XE00113</v>
          </cell>
          <cell r="AH556">
            <v>9.02</v>
          </cell>
          <cell r="AW556" t="str">
            <v>Trần Thanh An15</v>
          </cell>
        </row>
        <row r="557">
          <cell r="D557" t="str">
            <v>Ngô Quốc Hùng</v>
          </cell>
          <cell r="AF557" t="str">
            <v>XE00024</v>
          </cell>
          <cell r="AH557">
            <v>9.42</v>
          </cell>
          <cell r="AW557" t="str">
            <v>Ngô Quốc Hùng15</v>
          </cell>
        </row>
        <row r="558">
          <cell r="D558" t="str">
            <v>Nguyễn Văn Thế</v>
          </cell>
          <cell r="AF558" t="str">
            <v>XE00600</v>
          </cell>
          <cell r="AH558">
            <v>9.42</v>
          </cell>
          <cell r="AW558" t="str">
            <v>Nguyễn Văn Thế15</v>
          </cell>
        </row>
        <row r="559">
          <cell r="D559" t="str">
            <v>Lê Hữu Bích</v>
          </cell>
          <cell r="AF559" t="str">
            <v>XE00050</v>
          </cell>
          <cell r="AH559">
            <v>10</v>
          </cell>
          <cell r="AW559" t="str">
            <v>Lê Hữu Bích15</v>
          </cell>
        </row>
        <row r="560">
          <cell r="D560" t="str">
            <v>Phan Đăng Quang</v>
          </cell>
          <cell r="AF560" t="str">
            <v>XE00195</v>
          </cell>
          <cell r="AH560">
            <v>9.82</v>
          </cell>
          <cell r="AW560" t="str">
            <v>Phan Đăng Quang15</v>
          </cell>
        </row>
        <row r="561">
          <cell r="D561" t="str">
            <v>Nguyễn Đức Thanh</v>
          </cell>
          <cell r="AF561" t="str">
            <v>XE00627</v>
          </cell>
          <cell r="AH561">
            <v>9.82</v>
          </cell>
          <cell r="AW561" t="str">
            <v>Nguyễn Đức Thanh15</v>
          </cell>
        </row>
        <row r="562">
          <cell r="D562" t="str">
            <v>Vũ Việt Hùng</v>
          </cell>
          <cell r="AF562" t="str">
            <v>XE00812</v>
          </cell>
          <cell r="AH562">
            <v>9.82</v>
          </cell>
          <cell r="AW562" t="str">
            <v>Vũ Việt Hùng15</v>
          </cell>
        </row>
        <row r="563">
          <cell r="D563" t="str">
            <v>Vũ Văn Tuyến</v>
          </cell>
          <cell r="AF563" t="str">
            <v>XE01502</v>
          </cell>
          <cell r="AH563">
            <v>9.42</v>
          </cell>
          <cell r="AW563" t="str">
            <v>Vũ Văn Tuyến14</v>
          </cell>
        </row>
        <row r="564">
          <cell r="D564" t="str">
            <v>Vũ Văn Tuyến</v>
          </cell>
          <cell r="AF564" t="str">
            <v>XE01502</v>
          </cell>
          <cell r="AH564">
            <v>9.82</v>
          </cell>
          <cell r="AW564" t="str">
            <v>Vũ Văn Tuyến15</v>
          </cell>
        </row>
        <row r="565">
          <cell r="D565" t="str">
            <v>Phạm Văn Đồng</v>
          </cell>
          <cell r="AF565" t="str">
            <v>XE01479</v>
          </cell>
          <cell r="AH565">
            <v>9.42</v>
          </cell>
          <cell r="AW565" t="str">
            <v>Phạm Văn Đồng13</v>
          </cell>
        </row>
        <row r="566">
          <cell r="D566" t="str">
            <v>Phạm Văn Đồng</v>
          </cell>
          <cell r="AF566" t="str">
            <v>XE01479</v>
          </cell>
          <cell r="AH566">
            <v>9.42</v>
          </cell>
          <cell r="AW566" t="str">
            <v>Phạm Văn Đồng14</v>
          </cell>
        </row>
        <row r="567">
          <cell r="D567" t="str">
            <v>Phạm Thế Anh</v>
          </cell>
          <cell r="AF567" t="str">
            <v>XE00298</v>
          </cell>
          <cell r="AH567">
            <v>9.42</v>
          </cell>
          <cell r="AW567" t="str">
            <v>Phạm Thế Anh14</v>
          </cell>
        </row>
        <row r="568">
          <cell r="D568" t="str">
            <v>Phạm Thế Anh</v>
          </cell>
          <cell r="AF568" t="str">
            <v>XE00298</v>
          </cell>
          <cell r="AH568">
            <v>9.82</v>
          </cell>
          <cell r="AW568" t="str">
            <v>Phạm Thế Anh15</v>
          </cell>
        </row>
        <row r="569">
          <cell r="D569" t="str">
            <v>Cù Xuân Duy</v>
          </cell>
          <cell r="AF569" t="str">
            <v>XE00887</v>
          </cell>
          <cell r="AH569">
            <v>9.42</v>
          </cell>
          <cell r="AW569" t="str">
            <v>Cù Xuân Duy15</v>
          </cell>
        </row>
        <row r="570">
          <cell r="D570" t="str">
            <v>Cù Xuân Duy</v>
          </cell>
          <cell r="AF570" t="str">
            <v>XE00887</v>
          </cell>
          <cell r="AH570">
            <v>9.42</v>
          </cell>
          <cell r="AW570" t="str">
            <v>Cù Xuân Duy16</v>
          </cell>
        </row>
        <row r="571">
          <cell r="D571" t="str">
            <v>Nguyễn Ngọc Trường</v>
          </cell>
          <cell r="AF571" t="str">
            <v>XE00240</v>
          </cell>
          <cell r="AH571">
            <v>10</v>
          </cell>
          <cell r="AW571" t="str">
            <v>Nguyễn Ngọc Trường15</v>
          </cell>
        </row>
        <row r="572">
          <cell r="D572" t="str">
            <v>Nguyễn Ngọc Trường</v>
          </cell>
          <cell r="AF572" t="str">
            <v>XE00240</v>
          </cell>
          <cell r="AH572">
            <v>9.82</v>
          </cell>
          <cell r="AW572" t="str">
            <v>Nguyễn Ngọc Trường16</v>
          </cell>
        </row>
        <row r="573">
          <cell r="D573" t="str">
            <v>Trần Đức Toản</v>
          </cell>
          <cell r="AF573" t="str">
            <v>XE01314</v>
          </cell>
          <cell r="AH573">
            <v>9.42</v>
          </cell>
          <cell r="AW573" t="str">
            <v>Trần Đức Toản14</v>
          </cell>
        </row>
        <row r="574">
          <cell r="D574" t="str">
            <v>Trần Đức Toản</v>
          </cell>
          <cell r="AF574" t="str">
            <v>XE01314</v>
          </cell>
          <cell r="AH574">
            <v>9.02</v>
          </cell>
          <cell r="AW574" t="str">
            <v>Trần Đức Toản15</v>
          </cell>
        </row>
        <row r="575">
          <cell r="D575" t="str">
            <v>Đặng Ngọc Toàn</v>
          </cell>
          <cell r="AF575" t="str">
            <v>XE00138</v>
          </cell>
          <cell r="AH575">
            <v>9.82</v>
          </cell>
          <cell r="AW575" t="str">
            <v>Đặng Ngọc Toàn15</v>
          </cell>
        </row>
        <row r="576">
          <cell r="D576" t="str">
            <v>Đặng Ngọc Toàn</v>
          </cell>
          <cell r="AF576" t="str">
            <v>XE00138</v>
          </cell>
          <cell r="AH576">
            <v>10</v>
          </cell>
          <cell r="AW576" t="str">
            <v>Đặng Ngọc Toàn16</v>
          </cell>
        </row>
        <row r="577">
          <cell r="D577" t="str">
            <v>Phạm Viết Thắng</v>
          </cell>
          <cell r="AF577" t="str">
            <v>XE01596</v>
          </cell>
          <cell r="AH577">
            <v>9.82</v>
          </cell>
          <cell r="AW577" t="str">
            <v>Phạm Viết Thắng15</v>
          </cell>
        </row>
        <row r="578">
          <cell r="D578" t="str">
            <v>Nguyễn Thanh Sơn</v>
          </cell>
          <cell r="AF578" t="str">
            <v>XE01468</v>
          </cell>
          <cell r="AH578">
            <v>10</v>
          </cell>
          <cell r="AW578" t="str">
            <v>Nguyễn Thanh Sơn15</v>
          </cell>
        </row>
        <row r="579">
          <cell r="D579" t="str">
            <v>Nguyễn Xuân Thắng</v>
          </cell>
          <cell r="AF579" t="str">
            <v>XE00046</v>
          </cell>
          <cell r="AH579">
            <v>9.1999999999999993</v>
          </cell>
          <cell r="AW579" t="str">
            <v>Nguyễn Xuân Thắng15</v>
          </cell>
        </row>
        <row r="580">
          <cell r="D580" t="str">
            <v>Trần Nam</v>
          </cell>
          <cell r="AF580" t="str">
            <v>XE00130</v>
          </cell>
          <cell r="AH580">
            <v>9.42</v>
          </cell>
          <cell r="AW580" t="str">
            <v>Trần Nam15</v>
          </cell>
        </row>
        <row r="581">
          <cell r="D581" t="str">
            <v>Đặng Hồng Thuỷ</v>
          </cell>
          <cell r="AF581" t="str">
            <v>XE01385</v>
          </cell>
          <cell r="AH581">
            <v>10</v>
          </cell>
          <cell r="AW581" t="str">
            <v>Đặng Hồng Thuỷ15</v>
          </cell>
        </row>
        <row r="582">
          <cell r="D582" t="str">
            <v>Phạm Thanh Tùng</v>
          </cell>
          <cell r="AF582" t="str">
            <v>XE01402</v>
          </cell>
          <cell r="AH582">
            <v>9.02</v>
          </cell>
          <cell r="AW582" t="str">
            <v>Phạm Thanh Tùng16</v>
          </cell>
        </row>
        <row r="583">
          <cell r="D583" t="str">
            <v>Phạm Quốc Hội</v>
          </cell>
          <cell r="AF583" t="str">
            <v>XE01229</v>
          </cell>
          <cell r="AH583">
            <v>9.42</v>
          </cell>
          <cell r="AW583" t="str">
            <v>Phạm Quốc Hội16</v>
          </cell>
        </row>
        <row r="584">
          <cell r="D584" t="str">
            <v>Vũ Việt Hùng</v>
          </cell>
          <cell r="AF584" t="str">
            <v>XE00812</v>
          </cell>
          <cell r="AH584">
            <v>9.42</v>
          </cell>
          <cell r="AW584" t="str">
            <v>Vũ Việt Hùng16</v>
          </cell>
        </row>
        <row r="585">
          <cell r="D585" t="str">
            <v>Nguyễn Đức Thanh</v>
          </cell>
          <cell r="AF585" t="str">
            <v>XE00627</v>
          </cell>
          <cell r="AH585">
            <v>9.42</v>
          </cell>
          <cell r="AW585" t="str">
            <v>Nguyễn Đức Thanh16</v>
          </cell>
        </row>
        <row r="586">
          <cell r="D586" t="str">
            <v>Lê Trường Doanh</v>
          </cell>
          <cell r="AF586" t="str">
            <v>XE00581</v>
          </cell>
          <cell r="AH586">
            <v>10</v>
          </cell>
          <cell r="AW586" t="str">
            <v>Lê Trường Doanh16</v>
          </cell>
        </row>
        <row r="587">
          <cell r="D587" t="str">
            <v>Nguyễn Ngọc Hưng</v>
          </cell>
          <cell r="AF587" t="str">
            <v>XE00559</v>
          </cell>
          <cell r="AH587">
            <v>10</v>
          </cell>
          <cell r="AW587" t="str">
            <v>Nguyễn Ngọc Hưng16</v>
          </cell>
        </row>
        <row r="588">
          <cell r="D588" t="str">
            <v>Dương Văn Thọ</v>
          </cell>
          <cell r="AF588" t="str">
            <v>XE00282</v>
          </cell>
          <cell r="AH588">
            <v>9.82</v>
          </cell>
          <cell r="AW588" t="str">
            <v>Dương Văn Thọ16</v>
          </cell>
        </row>
        <row r="589">
          <cell r="D589" t="str">
            <v>Nguyễn Thành Đạt</v>
          </cell>
          <cell r="AF589" t="str">
            <v>XE00256</v>
          </cell>
          <cell r="AH589">
            <v>9.82</v>
          </cell>
          <cell r="AW589" t="str">
            <v>Nguyễn Thành Đạt16</v>
          </cell>
        </row>
        <row r="590">
          <cell r="D590" t="str">
            <v>Lê Văn Diện</v>
          </cell>
          <cell r="AF590" t="str">
            <v>XE00098</v>
          </cell>
          <cell r="AH590">
            <v>9.82</v>
          </cell>
          <cell r="AW590" t="str">
            <v>Lê Văn Diện16</v>
          </cell>
        </row>
        <row r="591">
          <cell r="D591" t="str">
            <v>Trịnh Xuân Đức</v>
          </cell>
          <cell r="AF591" t="str">
            <v>XE00109</v>
          </cell>
          <cell r="AH591">
            <v>9.82</v>
          </cell>
          <cell r="AW591" t="str">
            <v>Trịnh Xuân Đức16</v>
          </cell>
        </row>
        <row r="592">
          <cell r="D592" t="str">
            <v>Nguyễn Việt Trung</v>
          </cell>
          <cell r="AF592" t="str">
            <v>XE00137</v>
          </cell>
          <cell r="AH592">
            <v>10</v>
          </cell>
          <cell r="AW592" t="str">
            <v>Nguyễn Việt Trung16</v>
          </cell>
        </row>
        <row r="593">
          <cell r="D593" t="str">
            <v>Nguyễn Văn Hùng</v>
          </cell>
          <cell r="AF593" t="str">
            <v>XE00083</v>
          </cell>
          <cell r="AH593">
            <v>10</v>
          </cell>
          <cell r="AW593" t="str">
            <v>Nguyễn Văn Hùng15</v>
          </cell>
        </row>
        <row r="594">
          <cell r="D594" t="str">
            <v>Nguyễn Văn Hùng</v>
          </cell>
          <cell r="AF594" t="str">
            <v>XE00083</v>
          </cell>
          <cell r="AH594">
            <v>9.82</v>
          </cell>
          <cell r="AW594" t="str">
            <v>Nguyễn Văn Hùng16</v>
          </cell>
        </row>
        <row r="595">
          <cell r="D595" t="str">
            <v>Phạm Văn Vũ</v>
          </cell>
          <cell r="AF595" t="str">
            <v>XE00042</v>
          </cell>
          <cell r="AH595">
            <v>10</v>
          </cell>
          <cell r="AW595" t="str">
            <v>Phạm Văn Vũ16</v>
          </cell>
        </row>
        <row r="596">
          <cell r="D596" t="str">
            <v>Phạm Quang Trung</v>
          </cell>
          <cell r="AF596" t="str">
            <v>XE00041</v>
          </cell>
          <cell r="AH596">
            <v>9.24</v>
          </cell>
          <cell r="AW596" t="str">
            <v>Phạm Quang Trung16</v>
          </cell>
        </row>
        <row r="597">
          <cell r="D597" t="str">
            <v>Trần Đức Triều</v>
          </cell>
          <cell r="AF597" t="str">
            <v>XE00080</v>
          </cell>
          <cell r="AH597">
            <v>9.42</v>
          </cell>
          <cell r="AW597" t="str">
            <v>Trần Đức Triều16</v>
          </cell>
        </row>
        <row r="598">
          <cell r="D598" t="str">
            <v>Bùi Quý Phúc</v>
          </cell>
          <cell r="AF598" t="str">
            <v>XE00077</v>
          </cell>
          <cell r="AH598">
            <v>9.82</v>
          </cell>
          <cell r="AW598" t="str">
            <v>Bùi Quý Phúc16</v>
          </cell>
        </row>
        <row r="599">
          <cell r="D599" t="str">
            <v>Trần Hữu Nam 1972</v>
          </cell>
          <cell r="AF599" t="str">
            <v>XE00033</v>
          </cell>
          <cell r="AH599">
            <v>9.42</v>
          </cell>
          <cell r="AW599" t="str">
            <v>Trần Hữu Nam 197216</v>
          </cell>
        </row>
        <row r="600">
          <cell r="D600" t="str">
            <v>Phan Đăng Quang</v>
          </cell>
          <cell r="AF600" t="str">
            <v>XE00195</v>
          </cell>
          <cell r="AH600">
            <v>9.82</v>
          </cell>
          <cell r="AW600" t="str">
            <v>Phan Đăng Quang16</v>
          </cell>
        </row>
        <row r="601">
          <cell r="D601" t="str">
            <v>Lê Trọng Giáp</v>
          </cell>
          <cell r="AF601" t="str">
            <v>XE00020</v>
          </cell>
          <cell r="AH601">
            <v>8.6199999999999992</v>
          </cell>
          <cell r="AW601" t="str">
            <v>Lê Trọng Giáp16</v>
          </cell>
        </row>
        <row r="602">
          <cell r="D602" t="str">
            <v>Lê Hữu Bích</v>
          </cell>
          <cell r="AF602" t="str">
            <v>XE00050</v>
          </cell>
          <cell r="AH602">
            <v>8.0399999999999991</v>
          </cell>
          <cell r="AW602" t="str">
            <v>Lê Hữu Bích16</v>
          </cell>
        </row>
        <row r="603">
          <cell r="D603" t="str">
            <v>Tống Văn Nam</v>
          </cell>
          <cell r="AF603" t="str">
            <v>XE00019</v>
          </cell>
          <cell r="AH603">
            <v>9.02</v>
          </cell>
          <cell r="AW603" t="str">
            <v>Tống Văn Nam16</v>
          </cell>
        </row>
        <row r="604">
          <cell r="D604" t="str">
            <v>Trần Đình Vượng</v>
          </cell>
          <cell r="AF604" t="str">
            <v>XE01155</v>
          </cell>
          <cell r="AH604">
            <v>8.0399999999999991</v>
          </cell>
          <cell r="AW604" t="str">
            <v>Trần Đình Vượng16</v>
          </cell>
        </row>
        <row r="605">
          <cell r="D605" t="str">
            <v>Hoàng Ngọc Cường</v>
          </cell>
          <cell r="AF605" t="str">
            <v>XE00703</v>
          </cell>
          <cell r="AH605">
            <v>9.82</v>
          </cell>
          <cell r="AW605" t="str">
            <v>Hoàng Ngọc Cường16</v>
          </cell>
        </row>
        <row r="606">
          <cell r="D606" t="str">
            <v>Trần Thanh An</v>
          </cell>
          <cell r="AF606" t="str">
            <v>XE00113</v>
          </cell>
          <cell r="AH606">
            <v>10</v>
          </cell>
          <cell r="AW606" t="str">
            <v>Trần Thanh An16</v>
          </cell>
        </row>
        <row r="607">
          <cell r="D607" t="str">
            <v>Ngô Quốc Hùng</v>
          </cell>
          <cell r="AF607" t="str">
            <v>XE00024</v>
          </cell>
          <cell r="AH607">
            <v>10</v>
          </cell>
          <cell r="AW607" t="str">
            <v>Ngô Quốc Hùng16</v>
          </cell>
        </row>
        <row r="608">
          <cell r="D608" t="str">
            <v>Phạm Viết Thắng</v>
          </cell>
          <cell r="AF608" t="str">
            <v>XE01596</v>
          </cell>
          <cell r="AH608">
            <v>9.42</v>
          </cell>
          <cell r="AW608" t="str">
            <v>Phạm Viết Thắng16</v>
          </cell>
        </row>
        <row r="609">
          <cell r="D609" t="str">
            <v>Nguyễn Thanh Sơn</v>
          </cell>
          <cell r="AF609" t="str">
            <v>XE01468</v>
          </cell>
          <cell r="AH609">
            <v>9.82</v>
          </cell>
          <cell r="AW609" t="str">
            <v>Nguyễn Thanh Sơn16</v>
          </cell>
        </row>
        <row r="610">
          <cell r="D610" t="str">
            <v>Nguyễn Xuân Thắng</v>
          </cell>
          <cell r="AF610" t="str">
            <v>XE00046</v>
          </cell>
          <cell r="AH610">
            <v>9.42</v>
          </cell>
          <cell r="AW610" t="str">
            <v>Nguyễn Xuân Thắng16</v>
          </cell>
        </row>
        <row r="611">
          <cell r="D611" t="str">
            <v>Trần Nam</v>
          </cell>
          <cell r="AF611" t="str">
            <v>XE00130</v>
          </cell>
          <cell r="AH611">
            <v>9.82</v>
          </cell>
          <cell r="AW611" t="str">
            <v>Trần Nam16</v>
          </cell>
        </row>
        <row r="612">
          <cell r="D612" t="str">
            <v>Đặng Hồng Thuỷ</v>
          </cell>
          <cell r="AF612" t="str">
            <v>XE01385</v>
          </cell>
          <cell r="AH612">
            <v>9.82</v>
          </cell>
          <cell r="AW612" t="str">
            <v>Đặng Hồng Thuỷ16</v>
          </cell>
        </row>
        <row r="613">
          <cell r="D613" t="str">
            <v>Phạm Thế Anh</v>
          </cell>
          <cell r="AF613" t="str">
            <v>XE00298</v>
          </cell>
          <cell r="AH613">
            <v>9.82</v>
          </cell>
          <cell r="AW613" t="str">
            <v>Phạm Thế Anh16</v>
          </cell>
        </row>
        <row r="614">
          <cell r="D614" t="str">
            <v>Phạm Thế Anh</v>
          </cell>
          <cell r="AF614" t="str">
            <v>XE00298</v>
          </cell>
          <cell r="AH614">
            <v>9.42</v>
          </cell>
          <cell r="AW614" t="str">
            <v>Phạm Thế Anh17</v>
          </cell>
        </row>
        <row r="615">
          <cell r="D615" t="str">
            <v>Phạm Văn Đồng</v>
          </cell>
          <cell r="AF615" t="str">
            <v>XE01479</v>
          </cell>
          <cell r="AH615">
            <v>9.42</v>
          </cell>
          <cell r="AW615" t="str">
            <v>Phạm Văn Đồng15</v>
          </cell>
        </row>
        <row r="616">
          <cell r="D616" t="str">
            <v>Phạm Văn Đồng</v>
          </cell>
          <cell r="AF616" t="str">
            <v>XE01479</v>
          </cell>
          <cell r="AH616">
            <v>9.82</v>
          </cell>
          <cell r="AW616" t="str">
            <v>Phạm Văn Đồng16</v>
          </cell>
        </row>
        <row r="617">
          <cell r="D617" t="str">
            <v>Trần Đức Toản</v>
          </cell>
          <cell r="AF617" t="str">
            <v>XE01314</v>
          </cell>
          <cell r="AH617">
            <v>9.42</v>
          </cell>
          <cell r="AW617" t="str">
            <v>Trần Đức Toản16</v>
          </cell>
        </row>
        <row r="618">
          <cell r="D618" t="str">
            <v>Trần Đức Toản</v>
          </cell>
          <cell r="AF618" t="str">
            <v>XE01314</v>
          </cell>
          <cell r="AH618">
            <v>10</v>
          </cell>
          <cell r="AW618" t="str">
            <v>Trần Đức Toản17</v>
          </cell>
        </row>
        <row r="619">
          <cell r="D619" t="str">
            <v>Nguyễn Thanh Sơn</v>
          </cell>
          <cell r="AF619" t="str">
            <v>XE01468</v>
          </cell>
          <cell r="AH619">
            <v>10</v>
          </cell>
          <cell r="AW619" t="str">
            <v>Nguyễn Thanh Sơn17</v>
          </cell>
        </row>
        <row r="620">
          <cell r="D620" t="str">
            <v>Nguyễn Thanh Sơn</v>
          </cell>
          <cell r="AF620" t="str">
            <v>XE01468</v>
          </cell>
          <cell r="AH620">
            <v>9.82</v>
          </cell>
          <cell r="AW620" t="str">
            <v>Nguyễn Thanh Sơn18</v>
          </cell>
        </row>
        <row r="621">
          <cell r="D621" t="str">
            <v>Nguyễn Xuân Thắng</v>
          </cell>
          <cell r="AF621" t="str">
            <v>XE00046</v>
          </cell>
          <cell r="AH621">
            <v>8.84</v>
          </cell>
          <cell r="AW621" t="str">
            <v>Nguyễn Xuân Thắng17</v>
          </cell>
        </row>
        <row r="622">
          <cell r="D622" t="str">
            <v>Nguyễn Xuân Thắng</v>
          </cell>
          <cell r="AF622" t="str">
            <v>XE00046</v>
          </cell>
          <cell r="AH622">
            <v>10</v>
          </cell>
          <cell r="AW622" t="str">
            <v>Nguyễn Xuân Thắng18</v>
          </cell>
        </row>
        <row r="623">
          <cell r="D623" t="str">
            <v>Trần Nam</v>
          </cell>
          <cell r="AF623" t="str">
            <v>XE00130</v>
          </cell>
          <cell r="AH623">
            <v>9.42</v>
          </cell>
          <cell r="AW623" t="str">
            <v>Trần Nam17</v>
          </cell>
        </row>
        <row r="624">
          <cell r="D624" t="str">
            <v>Trần Nam</v>
          </cell>
          <cell r="AF624" t="str">
            <v>XE00130</v>
          </cell>
          <cell r="AH624">
            <v>9.6</v>
          </cell>
          <cell r="AW624" t="str">
            <v>Trần Nam18</v>
          </cell>
        </row>
        <row r="625">
          <cell r="D625" t="str">
            <v>Nguyễn Ngọc Trường</v>
          </cell>
          <cell r="AF625" t="str">
            <v>XE00240</v>
          </cell>
          <cell r="AH625">
            <v>9.82</v>
          </cell>
          <cell r="AW625" t="str">
            <v>Nguyễn Ngọc Trường17</v>
          </cell>
        </row>
        <row r="626">
          <cell r="D626" t="str">
            <v>Nguyễn Ngọc Trường</v>
          </cell>
          <cell r="AF626" t="str">
            <v>XE00240</v>
          </cell>
          <cell r="AH626">
            <v>9.42</v>
          </cell>
          <cell r="AW626" t="str">
            <v>Nguyễn Ngọc Trường18</v>
          </cell>
        </row>
        <row r="627">
          <cell r="D627" t="str">
            <v>Đặng Ngọc Toàn</v>
          </cell>
          <cell r="AF627" t="str">
            <v>XE00138</v>
          </cell>
          <cell r="AH627">
            <v>9.6</v>
          </cell>
          <cell r="AW627" t="str">
            <v>Đặng Ngọc Toàn17</v>
          </cell>
        </row>
        <row r="628">
          <cell r="D628" t="str">
            <v>Đặng Ngọc Toàn</v>
          </cell>
          <cell r="AF628" t="str">
            <v>XE00138</v>
          </cell>
          <cell r="AH628">
            <v>9.82</v>
          </cell>
          <cell r="AW628" t="str">
            <v>Đặng Ngọc Toàn18</v>
          </cell>
        </row>
        <row r="629">
          <cell r="D629" t="str">
            <v>Ngô Quốc Hùng</v>
          </cell>
          <cell r="AF629" t="str">
            <v>XE00024</v>
          </cell>
          <cell r="AH629">
            <v>9.82</v>
          </cell>
          <cell r="AW629" t="str">
            <v>Ngô Quốc Hùng17</v>
          </cell>
        </row>
        <row r="630">
          <cell r="D630" t="str">
            <v>Ngô Quốc Hùng</v>
          </cell>
          <cell r="AF630" t="str">
            <v>XE00024</v>
          </cell>
          <cell r="AH630">
            <v>10</v>
          </cell>
          <cell r="AW630" t="str">
            <v>Ngô Quốc Hùng18</v>
          </cell>
        </row>
        <row r="631">
          <cell r="D631" t="str">
            <v>Phạm Văn Vũ</v>
          </cell>
          <cell r="AF631" t="str">
            <v>XE00042</v>
          </cell>
          <cell r="AH631">
            <v>9.42</v>
          </cell>
          <cell r="AW631" t="str">
            <v>Phạm Văn Vũ17</v>
          </cell>
        </row>
        <row r="632">
          <cell r="D632" t="str">
            <v>Phạm Văn Vũ</v>
          </cell>
          <cell r="AF632" t="str">
            <v>XE00042</v>
          </cell>
          <cell r="AH632">
            <v>8.44</v>
          </cell>
          <cell r="AW632" t="str">
            <v>Phạm Văn Vũ18</v>
          </cell>
        </row>
        <row r="633">
          <cell r="D633" t="str">
            <v>Nguyễn Văn Hùng</v>
          </cell>
          <cell r="AF633" t="str">
            <v>XE00083</v>
          </cell>
          <cell r="AH633">
            <v>9.02</v>
          </cell>
          <cell r="AW633" t="str">
            <v>Nguyễn Văn Hùng17</v>
          </cell>
        </row>
        <row r="634">
          <cell r="D634" t="str">
            <v>Nguyễn Văn Hùng</v>
          </cell>
          <cell r="AF634" t="str">
            <v>XE00083</v>
          </cell>
          <cell r="AH634">
            <v>9.02</v>
          </cell>
          <cell r="AW634" t="str">
            <v>Nguyễn Văn Hùng18</v>
          </cell>
        </row>
        <row r="635">
          <cell r="D635" t="str">
            <v>Phạm Quang Trung</v>
          </cell>
          <cell r="AF635" t="str">
            <v>XE00041</v>
          </cell>
          <cell r="AH635">
            <v>9.82</v>
          </cell>
          <cell r="AW635" t="str">
            <v>Phạm Quang Trung17</v>
          </cell>
        </row>
        <row r="636">
          <cell r="D636" t="str">
            <v>Phạm Quang Trung</v>
          </cell>
          <cell r="AF636" t="str">
            <v>XE00041</v>
          </cell>
          <cell r="AH636">
            <v>9.42</v>
          </cell>
          <cell r="AW636" t="str">
            <v>Phạm Quang Trung18</v>
          </cell>
        </row>
        <row r="637">
          <cell r="D637" t="str">
            <v>Trần Đức Triều</v>
          </cell>
          <cell r="AF637" t="str">
            <v>XE00080</v>
          </cell>
          <cell r="AH637">
            <v>9.82</v>
          </cell>
          <cell r="AW637" t="str">
            <v>Trần Đức Triều17</v>
          </cell>
        </row>
        <row r="638">
          <cell r="D638" t="str">
            <v>Trần Đức Triều</v>
          </cell>
          <cell r="AF638" t="str">
            <v>XE00080</v>
          </cell>
          <cell r="AH638">
            <v>8.84</v>
          </cell>
          <cell r="AW638" t="str">
            <v>Trần Đức Triều18</v>
          </cell>
        </row>
        <row r="639">
          <cell r="D639" t="str">
            <v>Bùi Quý Phúc</v>
          </cell>
          <cell r="AF639" t="str">
            <v>XE00077</v>
          </cell>
          <cell r="AH639">
            <v>9.82</v>
          </cell>
          <cell r="AW639" t="str">
            <v>Bùi Quý Phúc17</v>
          </cell>
        </row>
        <row r="640">
          <cell r="D640" t="str">
            <v>Bùi Quý Phúc</v>
          </cell>
          <cell r="AF640" t="str">
            <v>XE00077</v>
          </cell>
          <cell r="AH640">
            <v>9.82</v>
          </cell>
          <cell r="AW640" t="str">
            <v>Bùi Quý Phúc18</v>
          </cell>
        </row>
        <row r="641">
          <cell r="D641" t="str">
            <v>Cù Xuân Duy</v>
          </cell>
          <cell r="AF641" t="str">
            <v>XE00887</v>
          </cell>
          <cell r="AH641">
            <v>9.82</v>
          </cell>
          <cell r="AW641" t="str">
            <v>Cù Xuân Duy17</v>
          </cell>
        </row>
        <row r="642">
          <cell r="D642" t="str">
            <v>Vũ Việt Hùng</v>
          </cell>
          <cell r="AF642" t="str">
            <v>XE00812</v>
          </cell>
          <cell r="AH642">
            <v>9.82</v>
          </cell>
          <cell r="AW642" t="str">
            <v>Vũ Việt Hùng17</v>
          </cell>
        </row>
        <row r="643">
          <cell r="D643" t="str">
            <v>Nguyễn Đức Thanh</v>
          </cell>
          <cell r="AF643" t="str">
            <v>XE00627</v>
          </cell>
          <cell r="AH643">
            <v>9.42</v>
          </cell>
          <cell r="AW643" t="str">
            <v>Nguyễn Đức Thanh17</v>
          </cell>
        </row>
        <row r="644">
          <cell r="D644" t="str">
            <v>Lê Trường Doanh</v>
          </cell>
          <cell r="AF644" t="str">
            <v>XE00581</v>
          </cell>
          <cell r="AH644">
            <v>9.82</v>
          </cell>
          <cell r="AW644" t="str">
            <v>Lê Trường Doanh17</v>
          </cell>
        </row>
        <row r="645">
          <cell r="D645" t="str">
            <v>Lê Trường Doanh</v>
          </cell>
          <cell r="AF645" t="str">
            <v>XE00581</v>
          </cell>
          <cell r="AH645">
            <v>9.82</v>
          </cell>
          <cell r="AW645" t="str">
            <v>Lê Trường Doanh18</v>
          </cell>
        </row>
        <row r="646">
          <cell r="D646" t="str">
            <v>Nguyễn Ngọc Hưng</v>
          </cell>
          <cell r="AF646" t="str">
            <v>XE00559</v>
          </cell>
          <cell r="AH646">
            <v>9.82</v>
          </cell>
          <cell r="AW646" t="str">
            <v>Nguyễn Ngọc Hưng17</v>
          </cell>
        </row>
        <row r="647">
          <cell r="D647" t="str">
            <v>Nguyễn Ngọc Hưng</v>
          </cell>
          <cell r="AF647" t="str">
            <v>XE00559</v>
          </cell>
          <cell r="AH647">
            <v>9.6</v>
          </cell>
          <cell r="AW647" t="str">
            <v>Nguyễn Ngọc Hưng18</v>
          </cell>
        </row>
        <row r="648">
          <cell r="D648" t="str">
            <v>Dương Văn Thọ</v>
          </cell>
          <cell r="AF648" t="str">
            <v>XE00282</v>
          </cell>
          <cell r="AH648">
            <v>10</v>
          </cell>
          <cell r="AW648" t="str">
            <v>Dương Văn Thọ17</v>
          </cell>
        </row>
        <row r="649">
          <cell r="D649" t="str">
            <v>Dương Văn Thọ</v>
          </cell>
          <cell r="AF649" t="str">
            <v>XE00282</v>
          </cell>
          <cell r="AH649">
            <v>9.42</v>
          </cell>
          <cell r="AW649" t="str">
            <v>Dương Văn Thọ18</v>
          </cell>
        </row>
        <row r="650">
          <cell r="D650" t="str">
            <v>Nguyễn Thành Đạt</v>
          </cell>
          <cell r="AF650" t="str">
            <v>XE00256</v>
          </cell>
          <cell r="AH650">
            <v>9.82</v>
          </cell>
          <cell r="AW650" t="str">
            <v>Nguyễn Thành Đạt17</v>
          </cell>
        </row>
        <row r="651">
          <cell r="D651" t="str">
            <v>Nguyễn Thành Đạt</v>
          </cell>
          <cell r="AF651" t="str">
            <v>XE00256</v>
          </cell>
          <cell r="AH651">
            <v>9.82</v>
          </cell>
          <cell r="AW651" t="str">
            <v>Nguyễn Thành Đạt18</v>
          </cell>
        </row>
        <row r="652">
          <cell r="D652" t="str">
            <v>Lê Văn Diện</v>
          </cell>
          <cell r="AF652" t="str">
            <v>XE00098</v>
          </cell>
          <cell r="AH652">
            <v>9.82</v>
          </cell>
          <cell r="AW652" t="str">
            <v>Lê Văn Diện17</v>
          </cell>
        </row>
        <row r="653">
          <cell r="D653" t="str">
            <v>Lê Văn Diện</v>
          </cell>
          <cell r="AF653" t="str">
            <v>XE00098</v>
          </cell>
          <cell r="AH653">
            <v>9.42</v>
          </cell>
          <cell r="AW653" t="str">
            <v>Lê Văn Diện18</v>
          </cell>
        </row>
        <row r="654">
          <cell r="D654" t="str">
            <v>Phan Đăng Quang</v>
          </cell>
          <cell r="AF654" t="str">
            <v>XE00195</v>
          </cell>
          <cell r="AH654">
            <v>10</v>
          </cell>
          <cell r="AW654" t="str">
            <v>Phan Đăng Quang17</v>
          </cell>
        </row>
        <row r="655">
          <cell r="D655" t="str">
            <v>Phan Đăng Quang</v>
          </cell>
          <cell r="AF655" t="str">
            <v>XE00195</v>
          </cell>
          <cell r="AH655">
            <v>9.02</v>
          </cell>
          <cell r="AW655" t="str">
            <v>Phan Đăng Quang18</v>
          </cell>
        </row>
        <row r="656">
          <cell r="D656" t="str">
            <v>Lê Trọng Giáp</v>
          </cell>
          <cell r="AF656" t="str">
            <v>XE00020</v>
          </cell>
          <cell r="AH656">
            <v>10</v>
          </cell>
          <cell r="AW656" t="str">
            <v>Lê Trọng Giáp17</v>
          </cell>
        </row>
        <row r="657">
          <cell r="D657" t="str">
            <v>Lê Trọng Giáp</v>
          </cell>
          <cell r="AF657" t="str">
            <v>XE00020</v>
          </cell>
          <cell r="AH657">
            <v>9.6</v>
          </cell>
          <cell r="AW657" t="str">
            <v>Lê Trọng Giáp18</v>
          </cell>
        </row>
        <row r="658">
          <cell r="D658" t="str">
            <v>Lê Hữu Bích</v>
          </cell>
          <cell r="AF658" t="str">
            <v>XE00050</v>
          </cell>
          <cell r="AH658">
            <v>9.42</v>
          </cell>
          <cell r="AW658" t="str">
            <v>Lê Hữu Bích17</v>
          </cell>
        </row>
        <row r="659">
          <cell r="D659" t="str">
            <v>Lê Hữu Bích</v>
          </cell>
          <cell r="AF659" t="str">
            <v>XE00050</v>
          </cell>
          <cell r="AH659">
            <v>10</v>
          </cell>
          <cell r="AW659" t="str">
            <v>Lê Hữu Bích18</v>
          </cell>
        </row>
        <row r="660">
          <cell r="D660" t="str">
            <v>Vũ Việt Hùng</v>
          </cell>
          <cell r="AF660" t="str">
            <v>XE00812</v>
          </cell>
          <cell r="AH660">
            <v>10</v>
          </cell>
          <cell r="AW660" t="str">
            <v>Vũ Việt Hùng18</v>
          </cell>
        </row>
        <row r="661">
          <cell r="D661" t="str">
            <v>Cù Xuân Duy</v>
          </cell>
          <cell r="AF661" t="str">
            <v>XE00887</v>
          </cell>
          <cell r="AH661">
            <v>9.42</v>
          </cell>
          <cell r="AW661" t="str">
            <v>Cù Xuân Duy18</v>
          </cell>
        </row>
        <row r="662">
          <cell r="D662" t="str">
            <v>Phạm Văn Đồng</v>
          </cell>
          <cell r="AF662" t="str">
            <v>XE01479</v>
          </cell>
          <cell r="AH662">
            <v>9.42</v>
          </cell>
          <cell r="AW662" t="str">
            <v>Phạm Văn Đồng17</v>
          </cell>
        </row>
        <row r="663">
          <cell r="D663" t="str">
            <v>Trần Thanh An</v>
          </cell>
          <cell r="AF663" t="str">
            <v>XE00113</v>
          </cell>
          <cell r="AH663">
            <v>9.02</v>
          </cell>
          <cell r="AW663" t="str">
            <v>Trần Thanh An17</v>
          </cell>
        </row>
        <row r="664">
          <cell r="D664" t="str">
            <v>Trần Thanh An</v>
          </cell>
          <cell r="AF664" t="str">
            <v>XE00113</v>
          </cell>
          <cell r="AH664">
            <v>9.02</v>
          </cell>
          <cell r="AW664" t="str">
            <v>Trần Thanh An18</v>
          </cell>
        </row>
        <row r="665">
          <cell r="D665" t="str">
            <v>Phạm Viết Thắng</v>
          </cell>
          <cell r="AF665" t="str">
            <v>XE01596</v>
          </cell>
          <cell r="AH665">
            <v>9.02</v>
          </cell>
          <cell r="AW665" t="str">
            <v>Phạm Viết Thắng17</v>
          </cell>
        </row>
        <row r="666">
          <cell r="D666" t="str">
            <v>Phạm Viết Thắng</v>
          </cell>
          <cell r="AF666" t="str">
            <v>XE01596</v>
          </cell>
          <cell r="AH666">
            <v>9.82</v>
          </cell>
          <cell r="AW666" t="str">
            <v>Phạm Viết Thắng18</v>
          </cell>
        </row>
        <row r="667">
          <cell r="D667" t="str">
            <v>Đặng Hồng Thuỷ</v>
          </cell>
          <cell r="AF667" t="str">
            <v>XE01385</v>
          </cell>
          <cell r="AH667">
            <v>9.02</v>
          </cell>
          <cell r="AW667" t="str">
            <v>Đặng Hồng Thuỷ17</v>
          </cell>
        </row>
        <row r="668">
          <cell r="D668" t="str">
            <v>Đặng Hồng Thuỷ</v>
          </cell>
          <cell r="AF668" t="str">
            <v>XE01385</v>
          </cell>
          <cell r="AH668">
            <v>10</v>
          </cell>
          <cell r="AW668" t="str">
            <v>Đặng Hồng Thuỷ18</v>
          </cell>
        </row>
        <row r="669">
          <cell r="D669" t="str">
            <v>Trần Đình Vượng</v>
          </cell>
          <cell r="AF669" t="str">
            <v>XE01155</v>
          </cell>
          <cell r="AH669">
            <v>9.82</v>
          </cell>
          <cell r="AW669" t="str">
            <v>Trần Đình Vượng17</v>
          </cell>
        </row>
        <row r="670">
          <cell r="D670" t="str">
            <v>Trần Đình Vượng</v>
          </cell>
          <cell r="AF670" t="str">
            <v>XE01155</v>
          </cell>
          <cell r="AH670">
            <v>9.42</v>
          </cell>
          <cell r="AW670" t="str">
            <v>Trần Đình Vượng18</v>
          </cell>
        </row>
        <row r="671">
          <cell r="D671" t="str">
            <v>Hoàng Ngọc Cường</v>
          </cell>
          <cell r="AF671" t="str">
            <v>XE00703</v>
          </cell>
          <cell r="AH671">
            <v>8.2200000000000006</v>
          </cell>
          <cell r="AW671" t="str">
            <v>Hoàng Ngọc Cường17</v>
          </cell>
        </row>
        <row r="672">
          <cell r="D672" t="str">
            <v>Hoàng Ngọc Cường</v>
          </cell>
          <cell r="AF672" t="str">
            <v>XE00703</v>
          </cell>
          <cell r="AH672">
            <v>9.42</v>
          </cell>
          <cell r="AW672" t="str">
            <v>Hoàng Ngọc Cường18</v>
          </cell>
        </row>
        <row r="673">
          <cell r="D673" t="str">
            <v>Phạm Văn Đồng</v>
          </cell>
          <cell r="AF673" t="str">
            <v>XE01479</v>
          </cell>
          <cell r="AH673">
            <v>10</v>
          </cell>
          <cell r="AW673" t="str">
            <v>Phạm Văn Đồng18</v>
          </cell>
        </row>
        <row r="674">
          <cell r="D674" t="str">
            <v>Phạm Văn Đồng</v>
          </cell>
          <cell r="AF674" t="str">
            <v>XE01479</v>
          </cell>
          <cell r="AH674">
            <v>9.42</v>
          </cell>
          <cell r="AW674" t="str">
            <v>Phạm Văn Đồng19</v>
          </cell>
        </row>
        <row r="675">
          <cell r="D675" t="str">
            <v>Phạm Thế Anh</v>
          </cell>
          <cell r="AF675" t="str">
            <v>XE00298</v>
          </cell>
          <cell r="AH675">
            <v>10</v>
          </cell>
          <cell r="AW675" t="str">
            <v>Phạm Thế Anh18</v>
          </cell>
        </row>
        <row r="676">
          <cell r="D676" t="str">
            <v>Phạm Thế Anh</v>
          </cell>
          <cell r="AF676" t="str">
            <v>XE00298</v>
          </cell>
          <cell r="AH676">
            <v>9.42</v>
          </cell>
          <cell r="AW676" t="str">
            <v>Phạm Thế Anh19</v>
          </cell>
        </row>
        <row r="677">
          <cell r="D677" t="str">
            <v>Trần Đức Toản</v>
          </cell>
          <cell r="AF677" t="str">
            <v>XE01314</v>
          </cell>
          <cell r="AH677">
            <v>9.02</v>
          </cell>
          <cell r="AW677" t="str">
            <v>Trần Đức Toản18</v>
          </cell>
        </row>
        <row r="678">
          <cell r="D678" t="str">
            <v>Trần Đức Toản</v>
          </cell>
          <cell r="AF678" t="str">
            <v>XE01314</v>
          </cell>
          <cell r="AH678">
            <v>10</v>
          </cell>
          <cell r="AW678" t="str">
            <v>Trần Đức Toản19</v>
          </cell>
        </row>
        <row r="679">
          <cell r="D679" t="str">
            <v>Ngô Quốc Hùng</v>
          </cell>
          <cell r="AF679" t="str">
            <v>XE00024</v>
          </cell>
          <cell r="AH679">
            <v>9.82</v>
          </cell>
          <cell r="AW679" t="str">
            <v>Ngô Quốc Hùng19</v>
          </cell>
        </row>
        <row r="680">
          <cell r="D680" t="str">
            <v>Ngô Quốc Hùng</v>
          </cell>
          <cell r="AF680" t="str">
            <v>XE00024</v>
          </cell>
          <cell r="AH680">
            <v>9.02</v>
          </cell>
          <cell r="AW680" t="str">
            <v>Ngô Quốc Hùng20</v>
          </cell>
        </row>
        <row r="681">
          <cell r="D681" t="str">
            <v>Lê Hữu Bích</v>
          </cell>
          <cell r="AF681" t="str">
            <v>XE00050</v>
          </cell>
          <cell r="AH681">
            <v>9.42</v>
          </cell>
          <cell r="AW681" t="str">
            <v>Lê Hữu Bích19</v>
          </cell>
        </row>
        <row r="682">
          <cell r="D682" t="str">
            <v>Lê Hữu Bích</v>
          </cell>
          <cell r="AF682" t="str">
            <v>XE00050</v>
          </cell>
          <cell r="AH682">
            <v>9.82</v>
          </cell>
          <cell r="AW682" t="str">
            <v>Lê Hữu Bích20</v>
          </cell>
        </row>
        <row r="683">
          <cell r="D683" t="str">
            <v>Lê Trọng Giáp</v>
          </cell>
          <cell r="AF683" t="str">
            <v>XE00020</v>
          </cell>
          <cell r="AH683">
            <v>9.82</v>
          </cell>
          <cell r="AW683" t="str">
            <v>Lê Trọng Giáp19</v>
          </cell>
        </row>
        <row r="684">
          <cell r="D684" t="str">
            <v>Lê Trọng Giáp</v>
          </cell>
          <cell r="AF684" t="str">
            <v>XE00020</v>
          </cell>
          <cell r="AH684">
            <v>9.42</v>
          </cell>
          <cell r="AW684" t="str">
            <v>Lê Trọng Giáp20</v>
          </cell>
        </row>
        <row r="685">
          <cell r="D685" t="str">
            <v>Phan Đăng Quang</v>
          </cell>
          <cell r="AF685" t="str">
            <v>XE00195</v>
          </cell>
          <cell r="AH685">
            <v>9.42</v>
          </cell>
          <cell r="AW685" t="str">
            <v>Phan Đăng Quang19</v>
          </cell>
        </row>
        <row r="686">
          <cell r="D686" t="str">
            <v>Phan Đăng Quang</v>
          </cell>
          <cell r="AF686" t="str">
            <v>XE00195</v>
          </cell>
          <cell r="AH686">
            <v>9.82</v>
          </cell>
          <cell r="AW686" t="str">
            <v>Phan Đăng Quang20</v>
          </cell>
        </row>
        <row r="687">
          <cell r="D687" t="str">
            <v>Nguyễn Thanh Sơn</v>
          </cell>
          <cell r="AF687" t="str">
            <v>XE01468</v>
          </cell>
          <cell r="AH687">
            <v>9.82</v>
          </cell>
          <cell r="AW687" t="str">
            <v>Nguyễn Thanh Sơn19</v>
          </cell>
        </row>
        <row r="688">
          <cell r="D688" t="str">
            <v>Nguyễn Thanh Sơn</v>
          </cell>
          <cell r="AF688" t="str">
            <v>XE01468</v>
          </cell>
          <cell r="AH688">
            <v>9.6</v>
          </cell>
          <cell r="AW688" t="str">
            <v>Nguyễn Thanh Sơn20</v>
          </cell>
        </row>
        <row r="689">
          <cell r="D689" t="str">
            <v>Nguyễn Xuân Thắng</v>
          </cell>
          <cell r="AF689" t="str">
            <v>XE00046</v>
          </cell>
          <cell r="AH689">
            <v>10</v>
          </cell>
          <cell r="AW689" t="str">
            <v>Nguyễn Xuân Thắng19</v>
          </cell>
        </row>
        <row r="690">
          <cell r="D690" t="str">
            <v>Nguyễn Xuân Thắng</v>
          </cell>
          <cell r="AF690" t="str">
            <v>XE00046</v>
          </cell>
          <cell r="AH690">
            <v>9.02</v>
          </cell>
          <cell r="AW690" t="str">
            <v>Nguyễn Xuân Thắng20</v>
          </cell>
        </row>
        <row r="691">
          <cell r="D691" t="str">
            <v>Trần Nam</v>
          </cell>
          <cell r="AF691" t="str">
            <v>XE00130</v>
          </cell>
          <cell r="AH691">
            <v>10</v>
          </cell>
          <cell r="AW691" t="str">
            <v>Trần Nam19</v>
          </cell>
        </row>
        <row r="692">
          <cell r="D692" t="str">
            <v>Trần Nam</v>
          </cell>
          <cell r="AF692" t="str">
            <v>XE00130</v>
          </cell>
          <cell r="AH692">
            <v>10</v>
          </cell>
          <cell r="AW692" t="str">
            <v>Trần Nam20</v>
          </cell>
        </row>
        <row r="693">
          <cell r="D693" t="str">
            <v>Cù Xuân Duy</v>
          </cell>
          <cell r="AF693" t="str">
            <v>XE00887</v>
          </cell>
          <cell r="AH693">
            <v>9.02</v>
          </cell>
          <cell r="AW693" t="str">
            <v>Cù Xuân Duy19</v>
          </cell>
        </row>
        <row r="694">
          <cell r="D694" t="str">
            <v>Cù Xuân Duy</v>
          </cell>
          <cell r="AF694" t="str">
            <v>XE00887</v>
          </cell>
          <cell r="AH694">
            <v>9.02</v>
          </cell>
          <cell r="AW694" t="str">
            <v>Cù Xuân Duy20</v>
          </cell>
        </row>
        <row r="695">
          <cell r="D695" t="str">
            <v>Vũ Việt Hùng</v>
          </cell>
          <cell r="AF695" t="str">
            <v>XE00812</v>
          </cell>
          <cell r="AH695">
            <v>8.84</v>
          </cell>
          <cell r="AW695" t="str">
            <v>Vũ Việt Hùng19</v>
          </cell>
        </row>
        <row r="696">
          <cell r="D696" t="str">
            <v>Vũ Việt Hùng</v>
          </cell>
          <cell r="AF696" t="str">
            <v>XE00812</v>
          </cell>
          <cell r="AH696">
            <v>9.42</v>
          </cell>
          <cell r="AW696" t="str">
            <v>Vũ Việt Hùng20</v>
          </cell>
        </row>
        <row r="697">
          <cell r="D697" t="str">
            <v>Lê Trường Doanh</v>
          </cell>
          <cell r="AF697" t="str">
            <v>XE00581</v>
          </cell>
          <cell r="AH697">
            <v>8.44</v>
          </cell>
          <cell r="AW697" t="str">
            <v>Lê Trường Doanh19</v>
          </cell>
        </row>
        <row r="698">
          <cell r="D698" t="str">
            <v>Lê Trường Doanh</v>
          </cell>
          <cell r="AF698" t="str">
            <v>XE00581</v>
          </cell>
          <cell r="AH698">
            <v>9.02</v>
          </cell>
          <cell r="AW698" t="str">
            <v>Lê Trường Doanh20</v>
          </cell>
        </row>
        <row r="699">
          <cell r="D699" t="str">
            <v>Dương Văn Thọ</v>
          </cell>
          <cell r="AF699" t="str">
            <v>XE00282</v>
          </cell>
          <cell r="AH699">
            <v>9.82</v>
          </cell>
          <cell r="AW699" t="str">
            <v>Dương Văn Thọ19</v>
          </cell>
        </row>
        <row r="700">
          <cell r="D700" t="str">
            <v>Dương Văn Thọ</v>
          </cell>
          <cell r="AF700" t="str">
            <v>XE00282</v>
          </cell>
          <cell r="AH700">
            <v>9.42</v>
          </cell>
          <cell r="AW700" t="str">
            <v>Dương Văn Thọ20</v>
          </cell>
        </row>
        <row r="701">
          <cell r="D701" t="str">
            <v>Nguyễn Thành Đạt</v>
          </cell>
          <cell r="AF701" t="str">
            <v>XE00256</v>
          </cell>
          <cell r="AH701">
            <v>10</v>
          </cell>
          <cell r="AW701" t="str">
            <v>Nguyễn Thành Đạt19</v>
          </cell>
        </row>
        <row r="702">
          <cell r="D702" t="str">
            <v>Nguyễn Thành Đạt</v>
          </cell>
          <cell r="AF702" t="str">
            <v>XE00256</v>
          </cell>
          <cell r="AH702">
            <v>10</v>
          </cell>
          <cell r="AW702" t="str">
            <v>Nguyễn Thành Đạt20</v>
          </cell>
        </row>
        <row r="703">
          <cell r="D703" t="str">
            <v>Nguyễn Ngọc Trường</v>
          </cell>
          <cell r="AF703" t="str">
            <v>XE00240</v>
          </cell>
          <cell r="AH703">
            <v>9.64</v>
          </cell>
          <cell r="AW703" t="str">
            <v>Nguyễn Ngọc Trường19</v>
          </cell>
        </row>
        <row r="704">
          <cell r="D704" t="str">
            <v>Nguyễn Ngọc Trường</v>
          </cell>
          <cell r="AF704" t="str">
            <v>XE00240</v>
          </cell>
          <cell r="AH704">
            <v>10</v>
          </cell>
          <cell r="AW704" t="str">
            <v>Nguyễn Ngọc Trường20</v>
          </cell>
        </row>
        <row r="705">
          <cell r="D705" t="str">
            <v>Đặng Ngọc Toàn</v>
          </cell>
          <cell r="AF705" t="str">
            <v>XE00138</v>
          </cell>
          <cell r="AH705">
            <v>10</v>
          </cell>
          <cell r="AW705" t="str">
            <v>Đặng Ngọc Toàn19</v>
          </cell>
        </row>
        <row r="706">
          <cell r="D706" t="str">
            <v>Đặng Ngọc Toàn</v>
          </cell>
          <cell r="AF706" t="str">
            <v>XE00138</v>
          </cell>
          <cell r="AH706">
            <v>9.82</v>
          </cell>
          <cell r="AW706" t="str">
            <v>Đặng Ngọc Toàn20</v>
          </cell>
        </row>
        <row r="707">
          <cell r="D707" t="str">
            <v>Bùi Quý Phúc</v>
          </cell>
          <cell r="AF707" t="str">
            <v>XE00077</v>
          </cell>
          <cell r="AH707">
            <v>9.42</v>
          </cell>
          <cell r="AW707" t="str">
            <v>Bùi Quý Phúc19</v>
          </cell>
        </row>
        <row r="708">
          <cell r="D708" t="str">
            <v>Bùi Quý Phúc</v>
          </cell>
          <cell r="AF708" t="str">
            <v>XE00077</v>
          </cell>
          <cell r="AH708">
            <v>10</v>
          </cell>
          <cell r="AW708" t="str">
            <v>Bùi Quý Phúc20</v>
          </cell>
        </row>
        <row r="709">
          <cell r="D709" t="str">
            <v>Trần Đức Triều</v>
          </cell>
          <cell r="AF709" t="str">
            <v>XE00080</v>
          </cell>
          <cell r="AH709">
            <v>9.42</v>
          </cell>
          <cell r="AW709" t="str">
            <v>Trần Đức Triều19</v>
          </cell>
        </row>
        <row r="710">
          <cell r="D710" t="str">
            <v>Trần Đức Triều</v>
          </cell>
          <cell r="AF710" t="str">
            <v>XE00080</v>
          </cell>
          <cell r="AH710">
            <v>10</v>
          </cell>
          <cell r="AW710" t="str">
            <v>Trần Đức Triều20</v>
          </cell>
        </row>
        <row r="711">
          <cell r="D711" t="str">
            <v>Trịnh Xuân Đức</v>
          </cell>
          <cell r="AF711" t="str">
            <v>XE00109</v>
          </cell>
          <cell r="AH711">
            <v>9.6</v>
          </cell>
          <cell r="AW711" t="str">
            <v>Trịnh Xuân Đức17</v>
          </cell>
        </row>
        <row r="712">
          <cell r="D712" t="str">
            <v>Trịnh Xuân Đức</v>
          </cell>
          <cell r="AF712" t="str">
            <v>XE00109</v>
          </cell>
          <cell r="AH712">
            <v>9.42</v>
          </cell>
          <cell r="AW712" t="str">
            <v>Trịnh Xuân Đức18</v>
          </cell>
        </row>
        <row r="713">
          <cell r="D713" t="str">
            <v>Nguyễn Việt Trung</v>
          </cell>
          <cell r="AF713" t="str">
            <v>XE00137</v>
          </cell>
          <cell r="AH713">
            <v>9.42</v>
          </cell>
          <cell r="AW713" t="str">
            <v>Nguyễn Việt Trung17</v>
          </cell>
        </row>
        <row r="714">
          <cell r="D714" t="str">
            <v>Nguyễn Việt Trung</v>
          </cell>
          <cell r="AF714" t="str">
            <v>XE00137</v>
          </cell>
          <cell r="AH714">
            <v>9.24</v>
          </cell>
          <cell r="AW714" t="str">
            <v>Nguyễn Việt Trung18</v>
          </cell>
        </row>
        <row r="715">
          <cell r="D715" t="str">
            <v>Tống Văn Nam</v>
          </cell>
          <cell r="AF715" t="str">
            <v>XE00019</v>
          </cell>
          <cell r="AH715">
            <v>9.82</v>
          </cell>
          <cell r="AW715" t="str">
            <v>Tống Văn Nam17</v>
          </cell>
        </row>
        <row r="716">
          <cell r="D716" t="str">
            <v>Tống Văn Nam</v>
          </cell>
          <cell r="AF716" t="str">
            <v>XE00019</v>
          </cell>
          <cell r="AH716">
            <v>10</v>
          </cell>
          <cell r="AW716" t="str">
            <v>Tống Văn Nam18</v>
          </cell>
        </row>
        <row r="717">
          <cell r="D717" t="str">
            <v>Phạm Thanh Tùng</v>
          </cell>
          <cell r="AF717" t="str">
            <v>XE01402</v>
          </cell>
          <cell r="AH717">
            <v>9.02</v>
          </cell>
          <cell r="AW717" t="str">
            <v>Phạm Thanh Tùng17</v>
          </cell>
        </row>
        <row r="718">
          <cell r="D718" t="str">
            <v>Phạm Thanh Tùng</v>
          </cell>
          <cell r="AF718" t="str">
            <v>XE01402</v>
          </cell>
          <cell r="AH718">
            <v>9.42</v>
          </cell>
          <cell r="AW718" t="str">
            <v>Phạm Thanh Tùng18</v>
          </cell>
        </row>
        <row r="719">
          <cell r="D719" t="str">
            <v>Đặng Hồng Thuỷ</v>
          </cell>
          <cell r="AF719" t="str">
            <v>XE01385</v>
          </cell>
          <cell r="AH719">
            <v>9.02</v>
          </cell>
          <cell r="AW719" t="str">
            <v>Đặng Hồng Thuỷ19</v>
          </cell>
        </row>
        <row r="720">
          <cell r="D720" t="str">
            <v>Đặng Hồng Thuỷ</v>
          </cell>
          <cell r="AF720" t="str">
            <v>XE01385</v>
          </cell>
          <cell r="AH720">
            <v>9.42</v>
          </cell>
          <cell r="AW720" t="str">
            <v>Đặng Hồng Thuỷ20</v>
          </cell>
        </row>
        <row r="721">
          <cell r="D721" t="str">
            <v>Nguyễn Ngọc Hưng</v>
          </cell>
          <cell r="AF721" t="str">
            <v>XE00559</v>
          </cell>
          <cell r="AH721">
            <v>9.42</v>
          </cell>
          <cell r="AW721" t="str">
            <v>Nguyễn Ngọc Hưng19</v>
          </cell>
        </row>
        <row r="722">
          <cell r="D722" t="str">
            <v>Nguyễn Ngọc Hưng</v>
          </cell>
          <cell r="AF722" t="str">
            <v>XE00559</v>
          </cell>
          <cell r="AH722">
            <v>9.42</v>
          </cell>
          <cell r="AW722" t="str">
            <v>Nguyễn Ngọc Hưng20</v>
          </cell>
        </row>
        <row r="723">
          <cell r="D723" t="str">
            <v>Trần Đình Vượng</v>
          </cell>
          <cell r="AF723" t="str">
            <v>XE01155</v>
          </cell>
          <cell r="AH723">
            <v>9.42</v>
          </cell>
          <cell r="AW723" t="str">
            <v>Trần Đình Vượng19</v>
          </cell>
        </row>
        <row r="724">
          <cell r="D724" t="str">
            <v>Trần Đình Vượng</v>
          </cell>
          <cell r="AF724" t="str">
            <v>XE01155</v>
          </cell>
          <cell r="AH724">
            <v>9.42</v>
          </cell>
          <cell r="AW724" t="str">
            <v>Trần Đình Vượng20</v>
          </cell>
        </row>
        <row r="725">
          <cell r="D725" t="str">
            <v>Hoàng Ngọc Cường</v>
          </cell>
          <cell r="AF725" t="str">
            <v>XE00703</v>
          </cell>
          <cell r="AH725">
            <v>10</v>
          </cell>
          <cell r="AW725" t="str">
            <v>Hoàng Ngọc Cường19</v>
          </cell>
        </row>
        <row r="726">
          <cell r="D726" t="str">
            <v>Hoàng Ngọc Cường</v>
          </cell>
          <cell r="AF726" t="str">
            <v>XE00703</v>
          </cell>
          <cell r="AH726">
            <v>9.42</v>
          </cell>
          <cell r="AW726" t="str">
            <v>Hoàng Ngọc Cường20</v>
          </cell>
        </row>
        <row r="727">
          <cell r="D727" t="str">
            <v>Trần Thanh An</v>
          </cell>
          <cell r="AF727" t="str">
            <v>XE00113</v>
          </cell>
          <cell r="AH727">
            <v>9.42</v>
          </cell>
          <cell r="AW727" t="str">
            <v>Trần Thanh An19</v>
          </cell>
        </row>
        <row r="728">
          <cell r="D728" t="str">
            <v>Trần Thanh An</v>
          </cell>
          <cell r="AF728" t="str">
            <v>XE00113</v>
          </cell>
          <cell r="AH728">
            <v>9.02</v>
          </cell>
          <cell r="AW728" t="str">
            <v>Trần Thanh An20</v>
          </cell>
        </row>
        <row r="729">
          <cell r="D729" t="str">
            <v>Phạm Viết Thắng</v>
          </cell>
          <cell r="AF729" t="str">
            <v>XE01596</v>
          </cell>
          <cell r="AH729">
            <v>10</v>
          </cell>
          <cell r="AW729" t="str">
            <v>Phạm Viết Thắng19</v>
          </cell>
        </row>
        <row r="730">
          <cell r="D730" t="str">
            <v>Phạm Văn Đồng</v>
          </cell>
          <cell r="AF730" t="str">
            <v>XE01479</v>
          </cell>
          <cell r="AH730">
            <v>9.42</v>
          </cell>
          <cell r="AW730" t="str">
            <v>Phạm Văn Đồng20</v>
          </cell>
        </row>
        <row r="731">
          <cell r="D731" t="str">
            <v>Phạm Thế Anh</v>
          </cell>
          <cell r="AF731" t="str">
            <v>XE00298</v>
          </cell>
          <cell r="AH731">
            <v>9.82</v>
          </cell>
          <cell r="AW731" t="str">
            <v>Phạm Thế Anh20</v>
          </cell>
        </row>
        <row r="732">
          <cell r="D732" t="str">
            <v>Trần Đức Toản</v>
          </cell>
          <cell r="AF732" t="str">
            <v>XE01314</v>
          </cell>
          <cell r="AH732">
            <v>9.42</v>
          </cell>
          <cell r="AW732" t="str">
            <v>Trần Đức Toản20</v>
          </cell>
        </row>
        <row r="733">
          <cell r="D733" t="str">
            <v>Nguyễn Xuân Thắng</v>
          </cell>
          <cell r="AF733" t="str">
            <v>XE00046</v>
          </cell>
          <cell r="AH733">
            <v>9.6</v>
          </cell>
          <cell r="AW733" t="str">
            <v>Nguyễn Xuân Thắng21</v>
          </cell>
        </row>
        <row r="734">
          <cell r="D734" t="str">
            <v>Trần Nam</v>
          </cell>
          <cell r="AF734" t="str">
            <v>XE00130</v>
          </cell>
          <cell r="AH734">
            <v>10</v>
          </cell>
          <cell r="AW734" t="str">
            <v>Trần Nam21</v>
          </cell>
        </row>
        <row r="735">
          <cell r="D735" t="str">
            <v>Cù Xuân Duy</v>
          </cell>
          <cell r="AF735" t="str">
            <v>XE00887</v>
          </cell>
          <cell r="AH735">
            <v>8.84</v>
          </cell>
          <cell r="AW735" t="str">
            <v>Cù Xuân Duy21</v>
          </cell>
        </row>
        <row r="736">
          <cell r="D736" t="str">
            <v>Vũ Việt Hùng</v>
          </cell>
          <cell r="AF736" t="str">
            <v>XE00812</v>
          </cell>
          <cell r="AH736">
            <v>10</v>
          </cell>
          <cell r="AW736" t="str">
            <v>Vũ Việt Hùng21</v>
          </cell>
        </row>
        <row r="737">
          <cell r="D737" t="str">
            <v>Lê Trường Doanh</v>
          </cell>
          <cell r="AF737" t="str">
            <v>XE00581</v>
          </cell>
          <cell r="AH737">
            <v>10</v>
          </cell>
          <cell r="AW737" t="str">
            <v>Lê Trường Doanh21</v>
          </cell>
        </row>
        <row r="738">
          <cell r="D738" t="str">
            <v>Dương Văn Thọ</v>
          </cell>
          <cell r="AF738" t="str">
            <v>XE00282</v>
          </cell>
          <cell r="AH738">
            <v>9.82</v>
          </cell>
          <cell r="AW738" t="str">
            <v>Dương Văn Thọ21</v>
          </cell>
        </row>
        <row r="739">
          <cell r="D739" t="str">
            <v>Nguyễn Thành Đạt</v>
          </cell>
          <cell r="AF739" t="str">
            <v>XE00256</v>
          </cell>
          <cell r="AH739">
            <v>9.42</v>
          </cell>
          <cell r="AW739" t="str">
            <v>Nguyễn Thành Đạt21</v>
          </cell>
        </row>
        <row r="740">
          <cell r="D740" t="str">
            <v>Phan Đăng Quang</v>
          </cell>
          <cell r="AF740" t="str">
            <v>XE00195</v>
          </cell>
          <cell r="AH740">
            <v>9.42</v>
          </cell>
          <cell r="AW740" t="str">
            <v>Phan Đăng Quang21</v>
          </cell>
        </row>
        <row r="741">
          <cell r="D741" t="str">
            <v>Lê Hữu Bích</v>
          </cell>
          <cell r="AF741" t="str">
            <v>XE00050</v>
          </cell>
          <cell r="AH741">
            <v>8.84</v>
          </cell>
          <cell r="AW741" t="str">
            <v>Lê Hữu Bích21</v>
          </cell>
        </row>
        <row r="742">
          <cell r="D742" t="str">
            <v>Nguyễn Ngọc Trường</v>
          </cell>
          <cell r="AF742" t="str">
            <v>XE00240</v>
          </cell>
          <cell r="AH742">
            <v>8.44</v>
          </cell>
          <cell r="AW742" t="str">
            <v>Nguyễn Ngọc Trường21</v>
          </cell>
        </row>
        <row r="743">
          <cell r="D743" t="str">
            <v>Ngô Quốc Hùng</v>
          </cell>
          <cell r="AF743" t="str">
            <v>XE00024</v>
          </cell>
          <cell r="AH743">
            <v>7.64</v>
          </cell>
          <cell r="AW743" t="str">
            <v>Ngô Quốc Hùng21</v>
          </cell>
        </row>
        <row r="744">
          <cell r="D744" t="str">
            <v>Phạm Viết Thắng</v>
          </cell>
          <cell r="AF744" t="str">
            <v>XE01596</v>
          </cell>
          <cell r="AH744">
            <v>9.82</v>
          </cell>
          <cell r="AW744" t="str">
            <v>Phạm Viết Thắng20</v>
          </cell>
        </row>
        <row r="745">
          <cell r="D745" t="str">
            <v>Trần Hữu Nam 1972</v>
          </cell>
          <cell r="AF745" t="str">
            <v>XE00033</v>
          </cell>
          <cell r="AH745">
            <v>10</v>
          </cell>
          <cell r="AW745" t="str">
            <v>Trần Hữu Nam 197217</v>
          </cell>
        </row>
        <row r="746">
          <cell r="D746" t="str">
            <v>Trần Hữu Nam 1972</v>
          </cell>
          <cell r="AF746" t="str">
            <v>XE00033</v>
          </cell>
          <cell r="AH746">
            <v>9.6</v>
          </cell>
          <cell r="AW746" t="str">
            <v>Trần Hữu Nam 197218</v>
          </cell>
        </row>
        <row r="747">
          <cell r="D747" t="str">
            <v>Phạm Văn Vũ</v>
          </cell>
          <cell r="AF747" t="str">
            <v>XE00042</v>
          </cell>
          <cell r="AH747">
            <v>9.42</v>
          </cell>
          <cell r="AW747" t="str">
            <v>Phạm Văn Vũ19</v>
          </cell>
        </row>
        <row r="748">
          <cell r="D748" t="str">
            <v>Phạm Văn Vũ</v>
          </cell>
          <cell r="AF748" t="str">
            <v>XE00042</v>
          </cell>
          <cell r="AH748">
            <v>9.42</v>
          </cell>
          <cell r="AW748" t="str">
            <v>Phạm Văn Vũ20</v>
          </cell>
        </row>
        <row r="749">
          <cell r="D749" t="str">
            <v>Trần Đức Triều</v>
          </cell>
          <cell r="AF749" t="str">
            <v>XE00080</v>
          </cell>
          <cell r="AH749">
            <v>9.42</v>
          </cell>
          <cell r="AW749" t="str">
            <v>Trần Đức Triều21</v>
          </cell>
        </row>
        <row r="750">
          <cell r="D750" t="str">
            <v>Bùi Quý Phúc</v>
          </cell>
          <cell r="AF750" t="str">
            <v>XE00077</v>
          </cell>
          <cell r="AH750">
            <v>8.6199999999999992</v>
          </cell>
          <cell r="AW750" t="str">
            <v>Bùi Quý Phúc21</v>
          </cell>
        </row>
        <row r="751">
          <cell r="D751" t="str">
            <v>Nguyễn Hải Nam</v>
          </cell>
          <cell r="AF751" t="str">
            <v>XE01661</v>
          </cell>
          <cell r="AH751">
            <v>9.42</v>
          </cell>
          <cell r="AW751" t="str">
            <v>Nguyễn Hải Nam1</v>
          </cell>
        </row>
        <row r="752">
          <cell r="D752" t="str">
            <v>Nguyễn Hải Nam</v>
          </cell>
          <cell r="AF752" t="str">
            <v>XE01661</v>
          </cell>
          <cell r="AH752">
            <v>9.42</v>
          </cell>
          <cell r="AW752" t="str">
            <v>Nguyễn Hải Nam2</v>
          </cell>
        </row>
        <row r="753">
          <cell r="D753" t="str">
            <v>Vũ Văn Chín</v>
          </cell>
          <cell r="AF753" t="str">
            <v>XE01703</v>
          </cell>
          <cell r="AH753">
            <v>10</v>
          </cell>
          <cell r="AW753" t="str">
            <v>Vũ Văn Chín1</v>
          </cell>
        </row>
        <row r="754">
          <cell r="D754" t="str">
            <v>Vũ Văn Chín</v>
          </cell>
          <cell r="AF754" t="str">
            <v>XE01703</v>
          </cell>
          <cell r="AH754">
            <v>9.02</v>
          </cell>
          <cell r="AW754" t="str">
            <v>Vũ Văn Chín2</v>
          </cell>
        </row>
        <row r="755">
          <cell r="D755" t="str">
            <v>Phạm Văn Tình</v>
          </cell>
          <cell r="AF755" t="str">
            <v>XE01177</v>
          </cell>
          <cell r="AH755">
            <v>9.42</v>
          </cell>
          <cell r="AW755" t="str">
            <v>Phạm Văn Tình1</v>
          </cell>
        </row>
        <row r="756">
          <cell r="D756" t="str">
            <v>Phạm Văn Tình</v>
          </cell>
          <cell r="AF756" t="str">
            <v>XE01177</v>
          </cell>
          <cell r="AH756">
            <v>9.42</v>
          </cell>
          <cell r="AW756" t="str">
            <v>Phạm Văn Tình2</v>
          </cell>
        </row>
        <row r="757">
          <cell r="D757" t="str">
            <v>Hoàng Mạnh Tú</v>
          </cell>
          <cell r="AF757" t="str">
            <v>XE00406</v>
          </cell>
          <cell r="AH757">
            <v>8.84</v>
          </cell>
          <cell r="AW757" t="str">
            <v>Hoàng Mạnh Tú1</v>
          </cell>
        </row>
        <row r="758">
          <cell r="D758" t="str">
            <v>Hoàng Mạnh Tú</v>
          </cell>
          <cell r="AF758" t="str">
            <v>XE00406</v>
          </cell>
          <cell r="AH758">
            <v>9.02</v>
          </cell>
          <cell r="AW758" t="str">
            <v>Hoàng Mạnh Tú2</v>
          </cell>
        </row>
        <row r="759">
          <cell r="D759" t="str">
            <v>Vũ Văn Tuyến</v>
          </cell>
          <cell r="AF759" t="str">
            <v>XE01502</v>
          </cell>
          <cell r="AH759">
            <v>9.42</v>
          </cell>
          <cell r="AW759" t="str">
            <v>Vũ Văn Tuyến16</v>
          </cell>
        </row>
        <row r="760">
          <cell r="D760" t="str">
            <v>Vũ Văn Tuyến</v>
          </cell>
          <cell r="AF760" t="str">
            <v>XE01502</v>
          </cell>
          <cell r="AH760">
            <v>9.02</v>
          </cell>
          <cell r="AW760" t="str">
            <v>Vũ Văn Tuyến17</v>
          </cell>
        </row>
        <row r="761">
          <cell r="D761" t="str">
            <v>Phạm Quốc Hội</v>
          </cell>
          <cell r="AF761" t="str">
            <v>XE01229</v>
          </cell>
          <cell r="AH761">
            <v>8.6199999999999992</v>
          </cell>
          <cell r="AW761" t="str">
            <v>Phạm Quốc Hội17</v>
          </cell>
        </row>
        <row r="762">
          <cell r="D762" t="str">
            <v>Phạm Quốc Hội</v>
          </cell>
          <cell r="AF762" t="str">
            <v>XE01229</v>
          </cell>
          <cell r="AH762">
            <v>8.84</v>
          </cell>
          <cell r="AW762" t="str">
            <v>Phạm Quốc Hội18</v>
          </cell>
        </row>
        <row r="763">
          <cell r="D763" t="str">
            <v>Nguyễn Đức Thanh</v>
          </cell>
          <cell r="AF763" t="str">
            <v>XE00627</v>
          </cell>
          <cell r="AH763">
            <v>9.42</v>
          </cell>
          <cell r="AW763" t="str">
            <v>Nguyễn Đức Thanh18</v>
          </cell>
        </row>
        <row r="764">
          <cell r="D764" t="str">
            <v>Nguyễn Đức Thanh</v>
          </cell>
          <cell r="AF764" t="str">
            <v>XE00627</v>
          </cell>
          <cell r="AH764">
            <v>9.82</v>
          </cell>
          <cell r="AW764" t="str">
            <v>Nguyễn Đức Thanh19</v>
          </cell>
        </row>
        <row r="765">
          <cell r="D765" t="str">
            <v>Lê Văn Diện</v>
          </cell>
          <cell r="AF765" t="str">
            <v>XE00098</v>
          </cell>
          <cell r="AH765">
            <v>9.02</v>
          </cell>
          <cell r="AW765" t="str">
            <v>Lê Văn Diện19</v>
          </cell>
        </row>
        <row r="766">
          <cell r="D766" t="str">
            <v>Lê Văn Diện</v>
          </cell>
          <cell r="AF766" t="str">
            <v>XE00098</v>
          </cell>
          <cell r="AH766">
            <v>9.82</v>
          </cell>
          <cell r="AW766" t="str">
            <v>Lê Văn Diện20</v>
          </cell>
        </row>
        <row r="767">
          <cell r="D767" t="str">
            <v>Trịnh Xuân Đức</v>
          </cell>
          <cell r="AF767" t="str">
            <v>XE00109</v>
          </cell>
          <cell r="AH767">
            <v>10</v>
          </cell>
          <cell r="AW767" t="str">
            <v>Trịnh Xuân Đức19</v>
          </cell>
        </row>
        <row r="768">
          <cell r="D768" t="str">
            <v>Trịnh Xuân Đức</v>
          </cell>
          <cell r="AF768" t="str">
            <v>XE00109</v>
          </cell>
          <cell r="AH768">
            <v>9.42</v>
          </cell>
          <cell r="AW768" t="str">
            <v>Trịnh Xuân Đức20</v>
          </cell>
        </row>
        <row r="769">
          <cell r="D769" t="str">
            <v>Nguyễn Việt Trung</v>
          </cell>
          <cell r="AF769" t="str">
            <v>XE00137</v>
          </cell>
          <cell r="AH769">
            <v>9.42</v>
          </cell>
          <cell r="AW769" t="str">
            <v>Nguyễn Việt Trung19</v>
          </cell>
        </row>
        <row r="770">
          <cell r="D770" t="str">
            <v>Nguyễn Việt Trung</v>
          </cell>
          <cell r="AF770" t="str">
            <v>XE00137</v>
          </cell>
          <cell r="AH770">
            <v>9.42</v>
          </cell>
          <cell r="AW770" t="str">
            <v>Nguyễn Việt Trung20</v>
          </cell>
        </row>
        <row r="771">
          <cell r="D771" t="str">
            <v>Tống Văn Nam</v>
          </cell>
          <cell r="AF771" t="str">
            <v>XE00019</v>
          </cell>
          <cell r="AH771">
            <v>9.02</v>
          </cell>
          <cell r="AW771" t="str">
            <v>Tống Văn Nam19</v>
          </cell>
        </row>
        <row r="772">
          <cell r="D772" t="str">
            <v>Tống Văn Nam</v>
          </cell>
          <cell r="AF772" t="str">
            <v>XE00019</v>
          </cell>
          <cell r="AH772">
            <v>9.6</v>
          </cell>
          <cell r="AW772" t="str">
            <v>Tống Văn Nam20</v>
          </cell>
        </row>
        <row r="773">
          <cell r="D773" t="str">
            <v>Phạm Thanh Tùng</v>
          </cell>
          <cell r="AF773" t="str">
            <v>XE01402</v>
          </cell>
          <cell r="AH773">
            <v>9.42</v>
          </cell>
          <cell r="AW773" t="str">
            <v>Phạm Thanh Tùng19</v>
          </cell>
        </row>
        <row r="774">
          <cell r="D774" t="str">
            <v>Phạm Thanh Tùng</v>
          </cell>
          <cell r="AF774" t="str">
            <v>XE01402</v>
          </cell>
          <cell r="AH774">
            <v>9.82</v>
          </cell>
          <cell r="AW774" t="str">
            <v>Phạm Thanh Tùng20</v>
          </cell>
        </row>
        <row r="775">
          <cell r="D775" t="str">
            <v>Nguyễn Văn Hùng</v>
          </cell>
          <cell r="AF775" t="str">
            <v>XE00083</v>
          </cell>
          <cell r="AH775">
            <v>9.82</v>
          </cell>
          <cell r="AW775" t="str">
            <v>Nguyễn Văn Hùng19</v>
          </cell>
        </row>
        <row r="776">
          <cell r="D776" t="str">
            <v>Nguyễn Văn Hùng</v>
          </cell>
          <cell r="AF776" t="str">
            <v>XE00083</v>
          </cell>
          <cell r="AH776">
            <v>9.42</v>
          </cell>
          <cell r="AW776" t="str">
            <v>Nguyễn Văn Hùng20</v>
          </cell>
        </row>
        <row r="777">
          <cell r="D777" t="str">
            <v>Phạm Quang Trung</v>
          </cell>
          <cell r="AF777" t="str">
            <v>XE00041</v>
          </cell>
          <cell r="AH777">
            <v>9.02</v>
          </cell>
          <cell r="AW777" t="str">
            <v>Phạm Quang Trung19</v>
          </cell>
        </row>
        <row r="778">
          <cell r="D778" t="str">
            <v>Phạm Quang Trung</v>
          </cell>
          <cell r="AF778" t="str">
            <v>XE00041</v>
          </cell>
          <cell r="AH778">
            <v>9.42</v>
          </cell>
          <cell r="AW778" t="str">
            <v>Phạm Quang Trung20</v>
          </cell>
        </row>
        <row r="779">
          <cell r="D779" t="str">
            <v>Trần Hữu Nam 1972</v>
          </cell>
          <cell r="AF779" t="str">
            <v>XE00033</v>
          </cell>
          <cell r="AH779">
            <v>10</v>
          </cell>
          <cell r="AW779" t="str">
            <v>Trần Hữu Nam 197219</v>
          </cell>
        </row>
        <row r="780">
          <cell r="D780" t="str">
            <v>Trần Hữu Nam 1972</v>
          </cell>
          <cell r="AF780" t="str">
            <v>XE00033</v>
          </cell>
          <cell r="AH780">
            <v>9.42</v>
          </cell>
          <cell r="AW780" t="str">
            <v>Trần Hữu Nam 197220</v>
          </cell>
        </row>
        <row r="781">
          <cell r="D781" t="str">
            <v>Phạm Văn Vũ</v>
          </cell>
          <cell r="AF781" t="str">
            <v>XE00042</v>
          </cell>
          <cell r="AH781">
            <v>9.42</v>
          </cell>
          <cell r="AW781" t="str">
            <v>Phạm Văn Vũ21</v>
          </cell>
        </row>
        <row r="782">
          <cell r="D782" t="str">
            <v>Trần Đức Triều</v>
          </cell>
          <cell r="AF782" t="str">
            <v>XE00080</v>
          </cell>
          <cell r="AH782">
            <v>9.42</v>
          </cell>
          <cell r="AW782" t="str">
            <v>Trần Đức Triều22</v>
          </cell>
        </row>
        <row r="783">
          <cell r="D783" t="str">
            <v>Bùi Quý Phúc</v>
          </cell>
          <cell r="AF783" t="str">
            <v>XE00077</v>
          </cell>
          <cell r="AH783">
            <v>9.42</v>
          </cell>
          <cell r="AW783" t="str">
            <v>Bùi Quý Phúc22</v>
          </cell>
        </row>
        <row r="784">
          <cell r="D784" t="str">
            <v>Phạm Viết Thắng</v>
          </cell>
          <cell r="AF784" t="str">
            <v>XE01596</v>
          </cell>
          <cell r="AH784">
            <v>9.42</v>
          </cell>
          <cell r="AW784" t="str">
            <v>Phạm Viết Thắng21</v>
          </cell>
        </row>
        <row r="785">
          <cell r="D785" t="str">
            <v>Phạm Văn Đồng</v>
          </cell>
          <cell r="AF785" t="str">
            <v>XE01479</v>
          </cell>
          <cell r="AH785">
            <v>9.82</v>
          </cell>
          <cell r="AW785" t="str">
            <v>Phạm Văn Đồng21</v>
          </cell>
        </row>
        <row r="786">
          <cell r="D786" t="str">
            <v>Nguyễn Thanh Sơn</v>
          </cell>
          <cell r="AF786" t="str">
            <v>XE01468</v>
          </cell>
          <cell r="AH786">
            <v>9.42</v>
          </cell>
          <cell r="AW786" t="str">
            <v>Nguyễn Thanh Sơn21</v>
          </cell>
        </row>
        <row r="787">
          <cell r="D787" t="str">
            <v>Phạm Thế Anh</v>
          </cell>
          <cell r="AF787" t="str">
            <v>XE00298</v>
          </cell>
          <cell r="AH787">
            <v>9.82</v>
          </cell>
          <cell r="AW787" t="str">
            <v>Phạm Thế Anh21</v>
          </cell>
        </row>
        <row r="788">
          <cell r="D788" t="str">
            <v>Đặng Hồng Thuỷ</v>
          </cell>
          <cell r="AF788" t="str">
            <v>XE01385</v>
          </cell>
          <cell r="AH788">
            <v>9.82</v>
          </cell>
          <cell r="AW788" t="str">
            <v>Đặng Hồng Thuỷ21</v>
          </cell>
        </row>
        <row r="789">
          <cell r="D789" t="str">
            <v>Trần Đức Toản</v>
          </cell>
          <cell r="AF789" t="str">
            <v>XE01314</v>
          </cell>
          <cell r="AH789">
            <v>9.02</v>
          </cell>
          <cell r="AW789" t="str">
            <v>Trần Đức Toản21</v>
          </cell>
        </row>
        <row r="790">
          <cell r="D790" t="str">
            <v>Nguyễn Ngọc Hưng</v>
          </cell>
          <cell r="AF790" t="str">
            <v>XE00559</v>
          </cell>
          <cell r="AH790">
            <v>10</v>
          </cell>
          <cell r="AW790" t="str">
            <v>Nguyễn Ngọc Hưng21</v>
          </cell>
        </row>
        <row r="791">
          <cell r="D791" t="str">
            <v>Lê Trọng Giáp</v>
          </cell>
          <cell r="AF791" t="str">
            <v>XE00020</v>
          </cell>
          <cell r="AH791">
            <v>9.6</v>
          </cell>
          <cell r="AW791" t="str">
            <v>Lê Trọng Giáp21</v>
          </cell>
        </row>
        <row r="792">
          <cell r="D792" t="str">
            <v>Đặng Ngọc Toàn</v>
          </cell>
          <cell r="AF792" t="str">
            <v>XE00138</v>
          </cell>
          <cell r="AH792">
            <v>9.42</v>
          </cell>
          <cell r="AW792" t="str">
            <v>Đặng Ngọc Toàn21</v>
          </cell>
        </row>
        <row r="793">
          <cell r="D793" t="str">
            <v>Trần Đình Vượng</v>
          </cell>
          <cell r="AF793" t="str">
            <v>XE01155</v>
          </cell>
          <cell r="AH793">
            <v>6.82</v>
          </cell>
          <cell r="AW793" t="str">
            <v>Trần Đình Vượng21</v>
          </cell>
        </row>
        <row r="794">
          <cell r="D794" t="str">
            <v>Hoàng Ngọc Cường</v>
          </cell>
          <cell r="AF794" t="str">
            <v>XE00703</v>
          </cell>
          <cell r="AH794">
            <v>9.42</v>
          </cell>
          <cell r="AW794" t="str">
            <v>Hoàng Ngọc Cường21</v>
          </cell>
        </row>
        <row r="795">
          <cell r="D795" t="str">
            <v>Trần Thanh An</v>
          </cell>
          <cell r="AF795" t="str">
            <v>XE00113</v>
          </cell>
          <cell r="AH795">
            <v>9.82</v>
          </cell>
          <cell r="AW795" t="str">
            <v>Trần Thanh An21</v>
          </cell>
        </row>
        <row r="796">
          <cell r="D796" t="str">
            <v>Phạm Văn Tình</v>
          </cell>
          <cell r="AF796" t="str">
            <v>XE01177</v>
          </cell>
          <cell r="AH796">
            <v>7.22</v>
          </cell>
          <cell r="AW796" t="str">
            <v>Phạm Văn Tình3</v>
          </cell>
        </row>
        <row r="797">
          <cell r="D797" t="str">
            <v>Phạm Văn Tình</v>
          </cell>
          <cell r="AF797" t="str">
            <v>XE01177</v>
          </cell>
          <cell r="AH797">
            <v>9.42</v>
          </cell>
          <cell r="AW797" t="str">
            <v>Phạm Văn Tình4</v>
          </cell>
        </row>
        <row r="798">
          <cell r="D798" t="str">
            <v>Hoàng Mạnh Tú</v>
          </cell>
          <cell r="AF798" t="str">
            <v>XE00406</v>
          </cell>
          <cell r="AH798">
            <v>9.02</v>
          </cell>
          <cell r="AW798" t="str">
            <v>Hoàng Mạnh Tú3</v>
          </cell>
        </row>
        <row r="799">
          <cell r="D799" t="str">
            <v>Hoàng Mạnh Tú</v>
          </cell>
          <cell r="AF799" t="str">
            <v>XE00406</v>
          </cell>
          <cell r="AH799">
            <v>10</v>
          </cell>
          <cell r="AW799" t="str">
            <v>Hoàng Mạnh Tú4</v>
          </cell>
        </row>
        <row r="800">
          <cell r="D800" t="str">
            <v>Vũ Văn Chín</v>
          </cell>
          <cell r="AF800" t="str">
            <v>XE01703</v>
          </cell>
          <cell r="AH800">
            <v>8.84</v>
          </cell>
          <cell r="AW800" t="str">
            <v>Vũ Văn Chín3</v>
          </cell>
        </row>
        <row r="801">
          <cell r="D801" t="str">
            <v>Vũ Văn Chín</v>
          </cell>
          <cell r="AF801" t="str">
            <v>XE01703</v>
          </cell>
          <cell r="AH801">
            <v>9.6</v>
          </cell>
          <cell r="AW801" t="str">
            <v>Vũ Văn Chín4</v>
          </cell>
        </row>
        <row r="802">
          <cell r="D802" t="str">
            <v>Nguyễn Hải Nam</v>
          </cell>
          <cell r="AF802" t="str">
            <v>XE01661</v>
          </cell>
          <cell r="AH802">
            <v>9.82</v>
          </cell>
          <cell r="AW802" t="str">
            <v>Nguyễn Hải Nam3</v>
          </cell>
        </row>
        <row r="803">
          <cell r="D803" t="str">
            <v>Nguyễn Hải Nam</v>
          </cell>
          <cell r="AF803" t="str">
            <v>XE01661</v>
          </cell>
          <cell r="AH803">
            <v>9.82</v>
          </cell>
          <cell r="AW803" t="str">
            <v>Nguyễn Hải Nam4</v>
          </cell>
        </row>
        <row r="804">
          <cell r="D804" t="str">
            <v>Vũ Văn Tuyến</v>
          </cell>
          <cell r="AF804" t="str">
            <v>XE01502</v>
          </cell>
          <cell r="AH804">
            <v>9.82</v>
          </cell>
          <cell r="AW804" t="str">
            <v>Vũ Văn Tuyến18</v>
          </cell>
        </row>
        <row r="805">
          <cell r="D805" t="str">
            <v>Vũ Văn Tuyến</v>
          </cell>
          <cell r="AF805" t="str">
            <v>XE01502</v>
          </cell>
          <cell r="AH805">
            <v>8.6199999999999992</v>
          </cell>
          <cell r="AW805" t="str">
            <v>Vũ Văn Tuyến19</v>
          </cell>
        </row>
        <row r="806">
          <cell r="D806" t="str">
            <v>Phạm Quốc Hội</v>
          </cell>
          <cell r="AF806" t="str">
            <v>XE01229</v>
          </cell>
          <cell r="AH806">
            <v>9.82</v>
          </cell>
          <cell r="AW806" t="str">
            <v>Phạm Quốc Hội19</v>
          </cell>
        </row>
        <row r="807">
          <cell r="D807" t="str">
            <v>Phạm Quốc Hội</v>
          </cell>
          <cell r="AF807" t="str">
            <v>XE01229</v>
          </cell>
          <cell r="AH807">
            <v>9.42</v>
          </cell>
          <cell r="AW807" t="str">
            <v>Phạm Quốc Hội20</v>
          </cell>
        </row>
        <row r="808">
          <cell r="D808" t="str">
            <v>Nguyễn Đức Thanh</v>
          </cell>
          <cell r="AF808" t="str">
            <v>XE00627</v>
          </cell>
          <cell r="AH808">
            <v>9.02</v>
          </cell>
          <cell r="AW808" t="str">
            <v>Nguyễn Đức Thanh20</v>
          </cell>
        </row>
        <row r="809">
          <cell r="D809" t="str">
            <v>Nguyễn Đức Thanh</v>
          </cell>
          <cell r="AF809" t="str">
            <v>XE00627</v>
          </cell>
          <cell r="AH809">
            <v>8.84</v>
          </cell>
          <cell r="AW809" t="str">
            <v>Nguyễn Đức Thanh21</v>
          </cell>
        </row>
        <row r="810">
          <cell r="D810" t="str">
            <v>Phạm Thanh Tùng</v>
          </cell>
          <cell r="AF810" t="str">
            <v>XE01402</v>
          </cell>
          <cell r="AH810">
            <v>9.42</v>
          </cell>
          <cell r="AW810" t="str">
            <v>Phạm Thanh Tùng21</v>
          </cell>
        </row>
        <row r="811">
          <cell r="D811" t="str">
            <v>Phạm Thanh Tùng</v>
          </cell>
          <cell r="AF811" t="str">
            <v>XE01402</v>
          </cell>
          <cell r="AH811">
            <v>9.82</v>
          </cell>
          <cell r="AW811" t="str">
            <v>Phạm Thanh Tùng22</v>
          </cell>
        </row>
        <row r="812">
          <cell r="D812" t="str">
            <v>Tống Văn Nam</v>
          </cell>
          <cell r="AF812" t="str">
            <v>XE00019</v>
          </cell>
          <cell r="AH812">
            <v>9.02</v>
          </cell>
          <cell r="AW812" t="str">
            <v>Tống Văn Nam21</v>
          </cell>
        </row>
        <row r="813">
          <cell r="D813" t="str">
            <v>Lê Văn Diện</v>
          </cell>
          <cell r="AF813" t="str">
            <v>XE00098</v>
          </cell>
          <cell r="AH813">
            <v>9.24</v>
          </cell>
          <cell r="AW813" t="str">
            <v>Lê Văn Diện21</v>
          </cell>
        </row>
        <row r="814">
          <cell r="D814" t="str">
            <v>Trịnh Xuân Đức</v>
          </cell>
          <cell r="AF814" t="str">
            <v>XE00109</v>
          </cell>
          <cell r="AH814">
            <v>9.02</v>
          </cell>
          <cell r="AW814" t="str">
            <v>Trịnh Xuân Đức21</v>
          </cell>
        </row>
        <row r="815">
          <cell r="D815" t="str">
            <v>Nguyễn Việt Trung</v>
          </cell>
          <cell r="AF815" t="str">
            <v>XE00137</v>
          </cell>
          <cell r="AH815">
            <v>9.02</v>
          </cell>
          <cell r="AW815" t="str">
            <v>Nguyễn Việt Trung21</v>
          </cell>
        </row>
        <row r="816">
          <cell r="D816" t="str">
            <v>Nguyễn Văn Hùng</v>
          </cell>
          <cell r="AF816" t="str">
            <v>XE00083</v>
          </cell>
          <cell r="AH816">
            <v>9.02</v>
          </cell>
          <cell r="AW816" t="str">
            <v>Nguyễn Văn Hùng21</v>
          </cell>
        </row>
        <row r="817">
          <cell r="D817" t="str">
            <v>Nguyễn Văn Hùng</v>
          </cell>
          <cell r="AF817" t="str">
            <v>XE00083</v>
          </cell>
          <cell r="AH817">
            <v>10</v>
          </cell>
          <cell r="AW817" t="str">
            <v>Nguyễn Văn Hùng22</v>
          </cell>
        </row>
        <row r="818">
          <cell r="D818" t="str">
            <v>Phạm Quang Trung</v>
          </cell>
          <cell r="AF818" t="str">
            <v>XE00041</v>
          </cell>
          <cell r="AH818">
            <v>9.42</v>
          </cell>
          <cell r="AW818" t="str">
            <v>Phạm Quang Trung21</v>
          </cell>
        </row>
        <row r="819">
          <cell r="D819" t="str">
            <v>Phạm Quang Trung</v>
          </cell>
          <cell r="AF819" t="str">
            <v>XE00041</v>
          </cell>
          <cell r="AH819">
            <v>9.02</v>
          </cell>
          <cell r="AW819" t="str">
            <v>Phạm Quang Trung22</v>
          </cell>
        </row>
        <row r="820">
          <cell r="D820" t="str">
            <v>Trần Hữu Nam 1972</v>
          </cell>
          <cell r="AF820" t="str">
            <v>XE00033</v>
          </cell>
          <cell r="AH820">
            <v>9.42</v>
          </cell>
          <cell r="AW820" t="str">
            <v>Trần Hữu Nam 197221</v>
          </cell>
        </row>
        <row r="821">
          <cell r="D821" t="str">
            <v>Trần Hữu Nam 1972</v>
          </cell>
          <cell r="AF821" t="str">
            <v>XE00033</v>
          </cell>
          <cell r="AH821">
            <v>10</v>
          </cell>
          <cell r="AW821" t="str">
            <v>Trần Hữu Nam 197222</v>
          </cell>
        </row>
        <row r="822">
          <cell r="D822" t="str">
            <v>Phạm Văn Vũ</v>
          </cell>
          <cell r="AF822" t="str">
            <v>XE00042</v>
          </cell>
          <cell r="AH822">
            <v>9.42</v>
          </cell>
          <cell r="AW822" t="str">
            <v>Phạm Văn Vũ22</v>
          </cell>
        </row>
        <row r="823">
          <cell r="D823" t="str">
            <v>Phạm Viết Thắng</v>
          </cell>
          <cell r="AF823" t="str">
            <v>XE01596</v>
          </cell>
          <cell r="AH823">
            <v>9.02</v>
          </cell>
          <cell r="AW823" t="str">
            <v>Phạm Viết Thắng22</v>
          </cell>
        </row>
        <row r="824">
          <cell r="D824" t="str">
            <v>Nguyễn Thanh Sơn</v>
          </cell>
          <cell r="AF824" t="str">
            <v>XE01468</v>
          </cell>
          <cell r="AH824">
            <v>9.82</v>
          </cell>
          <cell r="AW824" t="str">
            <v>Nguyễn Thanh Sơn22</v>
          </cell>
        </row>
        <row r="825">
          <cell r="D825" t="str">
            <v>Nguyễn Xuân Thắng</v>
          </cell>
          <cell r="AF825" t="str">
            <v>XE00046</v>
          </cell>
          <cell r="AH825">
            <v>9.6</v>
          </cell>
          <cell r="AW825" t="str">
            <v>Nguyễn Xuân Thắng22</v>
          </cell>
        </row>
        <row r="826">
          <cell r="D826" t="str">
            <v>Phạm Thế Anh</v>
          </cell>
          <cell r="AF826" t="str">
            <v>XE00298</v>
          </cell>
          <cell r="AH826">
            <v>10</v>
          </cell>
          <cell r="AW826" t="str">
            <v>Phạm Thế Anh22</v>
          </cell>
        </row>
        <row r="827">
          <cell r="D827" t="str">
            <v>Trần Nam</v>
          </cell>
          <cell r="AF827" t="str">
            <v>XE00130</v>
          </cell>
          <cell r="AH827">
            <v>9.42</v>
          </cell>
          <cell r="AW827" t="str">
            <v>Trần Nam22</v>
          </cell>
        </row>
        <row r="828">
          <cell r="D828" t="str">
            <v>Đặng Hồng Thuỷ</v>
          </cell>
          <cell r="AF828" t="str">
            <v>XE01385</v>
          </cell>
          <cell r="AH828">
            <v>9.42</v>
          </cell>
          <cell r="AW828" t="str">
            <v>Đặng Hồng Thuỷ22</v>
          </cell>
        </row>
        <row r="829">
          <cell r="D829" t="str">
            <v>Trần Đức Toản</v>
          </cell>
          <cell r="AF829" t="str">
            <v>XE01314</v>
          </cell>
          <cell r="AH829">
            <v>9.42</v>
          </cell>
          <cell r="AW829" t="str">
            <v>Trần Đức Toản22</v>
          </cell>
        </row>
        <row r="830">
          <cell r="D830" t="str">
            <v>Cù Xuân Duy</v>
          </cell>
          <cell r="AF830" t="str">
            <v>XE00887</v>
          </cell>
          <cell r="AH830">
            <v>9.42</v>
          </cell>
          <cell r="AW830" t="str">
            <v>Cù Xuân Duy22</v>
          </cell>
        </row>
        <row r="831">
          <cell r="D831" t="str">
            <v>Vũ Việt Hùng</v>
          </cell>
          <cell r="AF831" t="str">
            <v>XE00812</v>
          </cell>
          <cell r="AH831">
            <v>9.82</v>
          </cell>
          <cell r="AW831" t="str">
            <v>Vũ Việt Hùng22</v>
          </cell>
        </row>
        <row r="832">
          <cell r="D832" t="str">
            <v>Nguyễn Ngọc Trường</v>
          </cell>
          <cell r="AF832" t="str">
            <v>XE00240</v>
          </cell>
          <cell r="AH832">
            <v>10</v>
          </cell>
          <cell r="AW832" t="str">
            <v>Nguyễn Ngọc Trường22</v>
          </cell>
        </row>
        <row r="833">
          <cell r="D833" t="str">
            <v>Đặng Ngọc Toàn</v>
          </cell>
          <cell r="AF833" t="str">
            <v>XE00138</v>
          </cell>
          <cell r="AH833">
            <v>9.82</v>
          </cell>
          <cell r="AW833" t="str">
            <v>Đặng Ngọc Toàn22</v>
          </cell>
        </row>
        <row r="834">
          <cell r="D834" t="str">
            <v>Trần Đình Vượng</v>
          </cell>
          <cell r="AF834" t="str">
            <v>XE01155</v>
          </cell>
          <cell r="AH834">
            <v>9.42</v>
          </cell>
          <cell r="AW834" t="str">
            <v>Trần Đình Vượng22</v>
          </cell>
        </row>
        <row r="835">
          <cell r="D835" t="str">
            <v>Lê Trường Doanh</v>
          </cell>
          <cell r="AF835" t="str">
            <v>XE00581</v>
          </cell>
          <cell r="AH835">
            <v>9.42</v>
          </cell>
          <cell r="AW835" t="str">
            <v>Lê Trường Doanh22</v>
          </cell>
        </row>
        <row r="836">
          <cell r="D836" t="str">
            <v>Hoàng Mạnh Tú</v>
          </cell>
          <cell r="AF836" t="str">
            <v>XE00406</v>
          </cell>
          <cell r="AH836">
            <v>9.02</v>
          </cell>
          <cell r="AW836" t="str">
            <v>Hoàng Mạnh Tú5</v>
          </cell>
        </row>
        <row r="837">
          <cell r="D837" t="str">
            <v>Phạm Văn Tình</v>
          </cell>
          <cell r="AF837" t="str">
            <v>XE01177</v>
          </cell>
          <cell r="AH837">
            <v>8.84</v>
          </cell>
          <cell r="AW837" t="str">
            <v>Phạm Văn Tình5</v>
          </cell>
        </row>
        <row r="838">
          <cell r="D838" t="str">
            <v>Vũ Văn Chín</v>
          </cell>
          <cell r="AF838" t="str">
            <v>XE01703</v>
          </cell>
          <cell r="AH838">
            <v>9.42</v>
          </cell>
          <cell r="AW838" t="str">
            <v>Vũ Văn Chín5</v>
          </cell>
        </row>
        <row r="839">
          <cell r="D839" t="str">
            <v>Nguyễn Hải Nam</v>
          </cell>
          <cell r="AF839" t="str">
            <v>XE01661</v>
          </cell>
          <cell r="AH839">
            <v>9.6</v>
          </cell>
          <cell r="AW839" t="str">
            <v>Nguyễn Hải Nam5</v>
          </cell>
        </row>
        <row r="840">
          <cell r="D840" t="str">
            <v>Phạm Văn Đồng</v>
          </cell>
          <cell r="AF840" t="str">
            <v>XE01479</v>
          </cell>
          <cell r="AH840">
            <v>9.82</v>
          </cell>
          <cell r="AW840" t="str">
            <v>Phạm Văn Đồng22</v>
          </cell>
        </row>
        <row r="841">
          <cell r="D841" t="str">
            <v>Phạm Quốc Hội</v>
          </cell>
          <cell r="AF841" t="str">
            <v>XE01229</v>
          </cell>
          <cell r="AH841">
            <v>9.02</v>
          </cell>
          <cell r="AW841" t="str">
            <v>Phạm Quốc Hội21</v>
          </cell>
        </row>
        <row r="842">
          <cell r="D842" t="str">
            <v>Phạm Quốc Hội</v>
          </cell>
          <cell r="AF842" t="str">
            <v>XE01229</v>
          </cell>
          <cell r="AH842">
            <v>6.82</v>
          </cell>
          <cell r="AW842" t="str">
            <v>Phạm Quốc Hội22</v>
          </cell>
        </row>
        <row r="843">
          <cell r="D843" t="str">
            <v>Nguyễn Đức Thanh</v>
          </cell>
          <cell r="AF843" t="str">
            <v>XE00627</v>
          </cell>
          <cell r="AH843">
            <v>9.42</v>
          </cell>
          <cell r="AW843" t="str">
            <v>Nguyễn Đức Thanh22</v>
          </cell>
        </row>
        <row r="844">
          <cell r="D844" t="str">
            <v>Nguyễn Ngọc Hưng</v>
          </cell>
          <cell r="AF844" t="str">
            <v>XE00559</v>
          </cell>
          <cell r="AH844">
            <v>10</v>
          </cell>
          <cell r="AW844" t="str">
            <v>Nguyễn Ngọc Hưng22</v>
          </cell>
        </row>
        <row r="845">
          <cell r="D845" t="str">
            <v>Dương Văn Thọ</v>
          </cell>
          <cell r="AF845" t="str">
            <v>XE00282</v>
          </cell>
          <cell r="AH845">
            <v>9.02</v>
          </cell>
          <cell r="AW845" t="str">
            <v>Dương Văn Thọ22</v>
          </cell>
        </row>
        <row r="846">
          <cell r="D846" t="str">
            <v>Lê Văn Diện</v>
          </cell>
          <cell r="AF846" t="str">
            <v>XE00098</v>
          </cell>
          <cell r="AH846">
            <v>9.82</v>
          </cell>
          <cell r="AW846" t="str">
            <v>Lê Văn Diện22</v>
          </cell>
        </row>
        <row r="847">
          <cell r="D847" t="str">
            <v>Trịnh Xuân Đức</v>
          </cell>
          <cell r="AF847" t="str">
            <v>XE00109</v>
          </cell>
          <cell r="AH847">
            <v>9.42</v>
          </cell>
          <cell r="AW847" t="str">
            <v>Trịnh Xuân Đức22</v>
          </cell>
        </row>
        <row r="848">
          <cell r="D848" t="str">
            <v>Nguyễn Việt Trung</v>
          </cell>
          <cell r="AF848" t="str">
            <v>XE00137</v>
          </cell>
          <cell r="AH848">
            <v>8.6199999999999992</v>
          </cell>
          <cell r="AW848" t="str">
            <v>Nguyễn Việt Trung22</v>
          </cell>
        </row>
        <row r="849">
          <cell r="D849" t="str">
            <v>Phan Đăng Quang</v>
          </cell>
          <cell r="AF849" t="str">
            <v>XE00195</v>
          </cell>
          <cell r="AH849">
            <v>9.42</v>
          </cell>
          <cell r="AW849" t="str">
            <v>Phan Đăng Quang22</v>
          </cell>
        </row>
        <row r="850">
          <cell r="D850" t="str">
            <v>Lê Trọng Giáp</v>
          </cell>
          <cell r="AF850" t="str">
            <v>XE00020</v>
          </cell>
          <cell r="AH850">
            <v>9.1999999999999993</v>
          </cell>
          <cell r="AW850" t="str">
            <v>Lê Trọng Giáp22</v>
          </cell>
        </row>
        <row r="851">
          <cell r="D851" t="str">
            <v>Lê Hữu Bích</v>
          </cell>
          <cell r="AF851" t="str">
            <v>XE00050</v>
          </cell>
          <cell r="AH851">
            <v>8.84</v>
          </cell>
          <cell r="AW851" t="str">
            <v>Lê Hữu Bích22</v>
          </cell>
        </row>
        <row r="852">
          <cell r="D852" t="str">
            <v>Tống Văn Nam</v>
          </cell>
          <cell r="AF852" t="str">
            <v>XE00019</v>
          </cell>
          <cell r="AH852">
            <v>9.02</v>
          </cell>
          <cell r="AW852" t="str">
            <v>Tống Văn Nam22</v>
          </cell>
        </row>
        <row r="853">
          <cell r="D853" t="str">
            <v>Hoàng Ngọc Cường</v>
          </cell>
          <cell r="AF853" t="str">
            <v>XE00703</v>
          </cell>
          <cell r="AH853">
            <v>10</v>
          </cell>
          <cell r="AW853" t="str">
            <v>Hoàng Ngọc Cường22</v>
          </cell>
        </row>
        <row r="854">
          <cell r="D854" t="str">
            <v>Trần Thanh An</v>
          </cell>
          <cell r="AF854" t="str">
            <v>XE00113</v>
          </cell>
          <cell r="AH854">
            <v>10</v>
          </cell>
          <cell r="AW854" t="str">
            <v>Trần Thanh An22</v>
          </cell>
        </row>
        <row r="855">
          <cell r="D855" t="str">
            <v>Ngô Quốc Hùng</v>
          </cell>
          <cell r="AF855" t="str">
            <v>XE00024</v>
          </cell>
          <cell r="AH855">
            <v>9.42</v>
          </cell>
          <cell r="AW855" t="str">
            <v>Ngô Quốc Hùng22</v>
          </cell>
        </row>
        <row r="856">
          <cell r="D856" t="str">
            <v>Phạm Văn Vũ</v>
          </cell>
          <cell r="AF856" t="str">
            <v>XE00042</v>
          </cell>
          <cell r="AH856">
            <v>9.42</v>
          </cell>
          <cell r="AW856" t="str">
            <v>Phạm Văn Vũ23</v>
          </cell>
        </row>
        <row r="857">
          <cell r="D857" t="str">
            <v>Nguyễn Văn Hùng</v>
          </cell>
          <cell r="AF857" t="str">
            <v>XE00083</v>
          </cell>
          <cell r="AH857">
            <v>9.42</v>
          </cell>
          <cell r="AW857" t="str">
            <v>Nguyễn Văn Hùng23</v>
          </cell>
        </row>
        <row r="858">
          <cell r="D858" t="str">
            <v>Phạm Quang Trung</v>
          </cell>
          <cell r="AF858" t="str">
            <v>XE00041</v>
          </cell>
          <cell r="AH858">
            <v>9.42</v>
          </cell>
          <cell r="AW858" t="str">
            <v>Phạm Quang Trung23</v>
          </cell>
        </row>
        <row r="859">
          <cell r="D859" t="str">
            <v>Trần Đức Triều</v>
          </cell>
          <cell r="AF859" t="str">
            <v>XE00080</v>
          </cell>
          <cell r="AH859">
            <v>9.82</v>
          </cell>
          <cell r="AW859" t="str">
            <v>Trần Đức Triều23</v>
          </cell>
        </row>
        <row r="860">
          <cell r="D860" t="str">
            <v>Trần Hữu Nam 1972</v>
          </cell>
          <cell r="AF860" t="str">
            <v>XE00033</v>
          </cell>
          <cell r="AH860">
            <v>9.42</v>
          </cell>
          <cell r="AW860" t="str">
            <v>Trần Hữu Nam 197223</v>
          </cell>
        </row>
        <row r="861">
          <cell r="D861" t="str">
            <v>Nguyễn Ngọc Trường</v>
          </cell>
          <cell r="AF861" t="str">
            <v>XE00240</v>
          </cell>
          <cell r="AH861">
            <v>9.24</v>
          </cell>
          <cell r="AW861" t="str">
            <v>Nguyễn Ngọc Trường23</v>
          </cell>
        </row>
        <row r="862">
          <cell r="D862" t="str">
            <v>Đặng Ngọc Toàn</v>
          </cell>
          <cell r="AF862" t="str">
            <v>XE00138</v>
          </cell>
          <cell r="AH862">
            <v>9.42</v>
          </cell>
          <cell r="AW862" t="str">
            <v>Đặng Ngọc Toàn23</v>
          </cell>
        </row>
        <row r="863">
          <cell r="D863" t="str">
            <v>Trần Đình Vượng</v>
          </cell>
          <cell r="AF863" t="str">
            <v>XE01155</v>
          </cell>
          <cell r="AH863">
            <v>8.84</v>
          </cell>
          <cell r="AW863" t="str">
            <v>Trần Đình Vượng23</v>
          </cell>
        </row>
        <row r="864">
          <cell r="D864" t="str">
            <v>Lê Trường Doanh</v>
          </cell>
          <cell r="AF864" t="str">
            <v>XE00581</v>
          </cell>
          <cell r="AH864">
            <v>10</v>
          </cell>
          <cell r="AW864" t="str">
            <v>Lê Trường Doanh23</v>
          </cell>
        </row>
        <row r="865">
          <cell r="D865" t="str">
            <v>Vũ Việt Hùng</v>
          </cell>
          <cell r="AF865" t="str">
            <v>XE00812</v>
          </cell>
          <cell r="AH865">
            <v>9.42</v>
          </cell>
          <cell r="AW865" t="str">
            <v>Vũ Việt Hùng23</v>
          </cell>
        </row>
        <row r="866">
          <cell r="D866" t="str">
            <v>Phạm Văn Tình</v>
          </cell>
          <cell r="AF866" t="str">
            <v>XE01177</v>
          </cell>
          <cell r="AH866">
            <v>9.24</v>
          </cell>
          <cell r="AW866" t="str">
            <v>Phạm Văn Tình6</v>
          </cell>
        </row>
        <row r="867">
          <cell r="D867" t="str">
            <v>Phạm Văn Tình</v>
          </cell>
          <cell r="AF867" t="str">
            <v>XE01177</v>
          </cell>
          <cell r="AH867">
            <v>9.42</v>
          </cell>
          <cell r="AW867" t="str">
            <v>Phạm Văn Tình7</v>
          </cell>
        </row>
        <row r="868">
          <cell r="D868" t="str">
            <v>Vũ Văn Chín</v>
          </cell>
          <cell r="AF868" t="str">
            <v>XE01703</v>
          </cell>
          <cell r="AH868">
            <v>9.82</v>
          </cell>
          <cell r="AW868" t="str">
            <v>Vũ Văn Chín6</v>
          </cell>
        </row>
        <row r="869">
          <cell r="D869" t="str">
            <v>Vũ Văn Chín</v>
          </cell>
          <cell r="AF869" t="str">
            <v>XE01703</v>
          </cell>
          <cell r="AH869">
            <v>9.82</v>
          </cell>
          <cell r="AW869" t="str">
            <v>Vũ Văn Chín7</v>
          </cell>
        </row>
        <row r="870">
          <cell r="D870" t="str">
            <v>Nguyễn Hải Nam</v>
          </cell>
          <cell r="AF870" t="str">
            <v>XE01661</v>
          </cell>
          <cell r="AH870">
            <v>10</v>
          </cell>
          <cell r="AW870" t="str">
            <v>Nguyễn Hải Nam6</v>
          </cell>
        </row>
        <row r="871">
          <cell r="D871" t="str">
            <v>Nguyễn Hải Nam</v>
          </cell>
          <cell r="AF871" t="str">
            <v>XE01661</v>
          </cell>
          <cell r="AH871">
            <v>9.02</v>
          </cell>
          <cell r="AW871" t="str">
            <v>Nguyễn Hải Nam7</v>
          </cell>
        </row>
        <row r="872">
          <cell r="D872" t="str">
            <v>Phạm Thanh Tùng</v>
          </cell>
          <cell r="AF872" t="str">
            <v>XE01402</v>
          </cell>
          <cell r="AH872">
            <v>9.02</v>
          </cell>
          <cell r="AW872" t="str">
            <v>Phạm Thanh Tùng23</v>
          </cell>
        </row>
        <row r="873">
          <cell r="D873" t="str">
            <v>Phạm Văn Đồng</v>
          </cell>
          <cell r="AF873" t="str">
            <v>XE01479</v>
          </cell>
          <cell r="AH873">
            <v>9.6</v>
          </cell>
          <cell r="AW873" t="str">
            <v>Phạm Văn Đồng23</v>
          </cell>
        </row>
        <row r="874">
          <cell r="D874" t="str">
            <v>Nguyễn Thanh Sơn</v>
          </cell>
          <cell r="AF874" t="str">
            <v>XE01468</v>
          </cell>
          <cell r="AH874">
            <v>9.82</v>
          </cell>
          <cell r="AW874" t="str">
            <v>Nguyễn Thanh Sơn23</v>
          </cell>
        </row>
        <row r="875">
          <cell r="D875" t="str">
            <v>Phạm Thế Anh</v>
          </cell>
          <cell r="AF875" t="str">
            <v>XE00298</v>
          </cell>
          <cell r="AH875">
            <v>9.02</v>
          </cell>
          <cell r="AW875" t="str">
            <v>Phạm Thế Anh23</v>
          </cell>
        </row>
        <row r="876">
          <cell r="D876" t="str">
            <v>Đặng Hồng Thuỷ</v>
          </cell>
          <cell r="AF876" t="str">
            <v>XE01385</v>
          </cell>
          <cell r="AH876">
            <v>9.42</v>
          </cell>
          <cell r="AW876" t="str">
            <v>Đặng Hồng Thuỷ23</v>
          </cell>
        </row>
        <row r="877">
          <cell r="D877" t="str">
            <v>Trần Đức Toản</v>
          </cell>
          <cell r="AF877" t="str">
            <v>XE01314</v>
          </cell>
          <cell r="AH877">
            <v>9.6</v>
          </cell>
          <cell r="AW877" t="str">
            <v>Trần Đức Toản23</v>
          </cell>
        </row>
        <row r="878">
          <cell r="D878" t="str">
            <v>Phạm Quốc Hội</v>
          </cell>
          <cell r="AF878" t="str">
            <v>XE01229</v>
          </cell>
          <cell r="AH878">
            <v>8.44</v>
          </cell>
          <cell r="AW878" t="str">
            <v>Phạm Quốc Hội23</v>
          </cell>
        </row>
        <row r="879">
          <cell r="D879" t="str">
            <v>Cù Xuân Duy</v>
          </cell>
          <cell r="AF879" t="str">
            <v>XE00887</v>
          </cell>
          <cell r="AH879">
            <v>9.02</v>
          </cell>
          <cell r="AW879" t="str">
            <v>Cù Xuân Duy23</v>
          </cell>
        </row>
        <row r="880">
          <cell r="D880" t="str">
            <v>Nguyễn Đức Thanh</v>
          </cell>
          <cell r="AF880" t="str">
            <v>XE00627</v>
          </cell>
          <cell r="AH880">
            <v>9.42</v>
          </cell>
          <cell r="AW880" t="str">
            <v>Nguyễn Đức Thanh23</v>
          </cell>
        </row>
        <row r="881">
          <cell r="D881" t="str">
            <v>Dương Văn Thọ</v>
          </cell>
          <cell r="AF881" t="str">
            <v>XE00282</v>
          </cell>
          <cell r="AH881">
            <v>8.44</v>
          </cell>
          <cell r="AW881" t="str">
            <v>Dương Văn Thọ23</v>
          </cell>
        </row>
        <row r="882">
          <cell r="D882" t="str">
            <v>Lê Văn Diện</v>
          </cell>
          <cell r="AF882" t="str">
            <v>XE00098</v>
          </cell>
          <cell r="AH882">
            <v>9.6</v>
          </cell>
          <cell r="AW882" t="str">
            <v>Lê Văn Diện23</v>
          </cell>
        </row>
        <row r="883">
          <cell r="D883" t="str">
            <v>Trịnh Xuân Đức</v>
          </cell>
          <cell r="AF883" t="str">
            <v>XE00109</v>
          </cell>
          <cell r="AH883">
            <v>10</v>
          </cell>
          <cell r="AW883" t="str">
            <v>Trịnh Xuân Đức23</v>
          </cell>
        </row>
        <row r="884">
          <cell r="D884" t="str">
            <v>Nguyễn Việt Trung</v>
          </cell>
          <cell r="AF884" t="str">
            <v>XE00137</v>
          </cell>
          <cell r="AH884">
            <v>10</v>
          </cell>
          <cell r="AW884" t="str">
            <v>Nguyễn Việt Trung23</v>
          </cell>
        </row>
        <row r="885">
          <cell r="D885" t="str">
            <v>Phan Đăng Quang</v>
          </cell>
          <cell r="AF885" t="str">
            <v>XE00195</v>
          </cell>
          <cell r="AH885">
            <v>10</v>
          </cell>
          <cell r="AW885" t="str">
            <v>Phan Đăng Quang23</v>
          </cell>
        </row>
        <row r="886">
          <cell r="D886" t="str">
            <v>Lê Trọng Giáp</v>
          </cell>
          <cell r="AF886" t="str">
            <v>XE00020</v>
          </cell>
          <cell r="AH886">
            <v>9.82</v>
          </cell>
          <cell r="AW886" t="str">
            <v>Lê Trọng Giáp23</v>
          </cell>
        </row>
        <row r="887">
          <cell r="D887" t="str">
            <v>Lê Hữu Bích</v>
          </cell>
          <cell r="AF887" t="str">
            <v>XE00050</v>
          </cell>
          <cell r="AH887">
            <v>9.42</v>
          </cell>
          <cell r="AW887" t="str">
            <v>Lê Hữu Bích23</v>
          </cell>
        </row>
        <row r="888">
          <cell r="D888" t="str">
            <v>Tống Văn Nam</v>
          </cell>
          <cell r="AF888" t="str">
            <v>XE00019</v>
          </cell>
          <cell r="AH888">
            <v>10</v>
          </cell>
          <cell r="AW888" t="str">
            <v>Tống Văn Nam23</v>
          </cell>
        </row>
        <row r="889">
          <cell r="D889" t="str">
            <v>Hoàng Ngọc Cường</v>
          </cell>
          <cell r="AF889" t="str">
            <v>XE00703</v>
          </cell>
          <cell r="AH889">
            <v>9.42</v>
          </cell>
          <cell r="AW889" t="str">
            <v>Hoàng Ngọc Cường23</v>
          </cell>
        </row>
        <row r="890">
          <cell r="D890" t="str">
            <v>Ngô Quốc Hùng</v>
          </cell>
          <cell r="AF890" t="str">
            <v>XE00024</v>
          </cell>
          <cell r="AH890">
            <v>9.42</v>
          </cell>
          <cell r="AW890" t="str">
            <v>Ngô Quốc Hùng23</v>
          </cell>
        </row>
        <row r="891">
          <cell r="D891" t="str">
            <v>Phạm Văn Tình</v>
          </cell>
          <cell r="AF891" t="str">
            <v>XE01177</v>
          </cell>
          <cell r="AH891">
            <v>9.42</v>
          </cell>
          <cell r="AW891" t="str">
            <v>Phạm Văn Tình8</v>
          </cell>
        </row>
        <row r="892">
          <cell r="D892" t="str">
            <v>Nguyễn Hải Nam</v>
          </cell>
          <cell r="AF892" t="str">
            <v>XE01661</v>
          </cell>
          <cell r="AH892">
            <v>9.02</v>
          </cell>
          <cell r="AW892" t="str">
            <v>Nguyễn Hải Nam8</v>
          </cell>
        </row>
        <row r="893">
          <cell r="D893" t="str">
            <v>Nguyễn Văn Thế</v>
          </cell>
          <cell r="AF893" t="str">
            <v>XE00600</v>
          </cell>
          <cell r="AH893">
            <v>9.42</v>
          </cell>
          <cell r="AW893" t="str">
            <v>Nguyễn Văn Thế16</v>
          </cell>
        </row>
        <row r="894">
          <cell r="D894" t="str">
            <v>Nguyễn Văn Thế</v>
          </cell>
          <cell r="AF894" t="str">
            <v>XE00600</v>
          </cell>
          <cell r="AH894">
            <v>9.02</v>
          </cell>
          <cell r="AW894" t="str">
            <v>Nguyễn Văn Thế17</v>
          </cell>
        </row>
        <row r="895">
          <cell r="D895" t="str">
            <v>Trần Thanh An</v>
          </cell>
          <cell r="AF895" t="str">
            <v>XE00113</v>
          </cell>
          <cell r="AH895">
            <v>9.42</v>
          </cell>
          <cell r="AW895" t="str">
            <v>Trần Thanh An23</v>
          </cell>
        </row>
        <row r="896">
          <cell r="D896" t="str">
            <v>Nguyễn Văn Thế</v>
          </cell>
          <cell r="AF896" t="str">
            <v>XE00600</v>
          </cell>
          <cell r="AH896">
            <v>10</v>
          </cell>
          <cell r="AW896" t="str">
            <v>Nguyễn Văn Thế18</v>
          </cell>
        </row>
        <row r="897">
          <cell r="D897" t="str">
            <v>Nguyễn Văn Thế</v>
          </cell>
          <cell r="AF897" t="str">
            <v>XE00600</v>
          </cell>
          <cell r="AH897">
            <v>9.02</v>
          </cell>
          <cell r="AW897" t="str">
            <v>Nguyễn Văn Thế19</v>
          </cell>
        </row>
        <row r="898">
          <cell r="D898" t="str">
            <v>Nguyễn Thành Đạt</v>
          </cell>
          <cell r="AF898" t="str">
            <v>XE00256</v>
          </cell>
          <cell r="AH898">
            <v>9.02</v>
          </cell>
          <cell r="AW898" t="str">
            <v>Nguyễn Thành Đạt22</v>
          </cell>
        </row>
        <row r="899">
          <cell r="D899" t="str">
            <v>Nguyễn Thành Đạt</v>
          </cell>
          <cell r="AF899" t="str">
            <v>XE00256</v>
          </cell>
          <cell r="AH899">
            <v>9.42</v>
          </cell>
          <cell r="AW899" t="str">
            <v>Nguyễn Thành Đạt23</v>
          </cell>
        </row>
        <row r="900">
          <cell r="D900" t="str">
            <v>Nguyễn Ngọc Hưng</v>
          </cell>
          <cell r="AF900" t="str">
            <v>XE00559</v>
          </cell>
          <cell r="AH900">
            <v>9.42</v>
          </cell>
          <cell r="AW900" t="str">
            <v>Nguyễn Ngọc Hưng23</v>
          </cell>
        </row>
        <row r="901">
          <cell r="D901" t="str">
            <v>Phạm Viết Thắng</v>
          </cell>
          <cell r="AF901" t="str">
            <v>XE01596</v>
          </cell>
          <cell r="AH901">
            <v>9.6</v>
          </cell>
          <cell r="AW901" t="str">
            <v>Phạm Viết Thắng23</v>
          </cell>
        </row>
        <row r="902">
          <cell r="D902" t="str">
            <v>Bùi Quý Phúc</v>
          </cell>
          <cell r="AF902" t="str">
            <v>XE00077</v>
          </cell>
          <cell r="AH902">
            <v>9.82</v>
          </cell>
          <cell r="AW902" t="str">
            <v>Bùi Quý Phúc23</v>
          </cell>
        </row>
        <row r="903">
          <cell r="D903" t="str">
            <v>Hoàng Mạnh Tú</v>
          </cell>
          <cell r="AF903" t="str">
            <v>XE00406</v>
          </cell>
          <cell r="AH903">
            <v>9.02</v>
          </cell>
          <cell r="AW903" t="str">
            <v>Hoàng Mạnh Tú6</v>
          </cell>
        </row>
        <row r="904">
          <cell r="D904" t="str">
            <v>Hoàng Mạnh Tú</v>
          </cell>
          <cell r="AF904" t="str">
            <v>XE00406</v>
          </cell>
          <cell r="AH904">
            <v>10</v>
          </cell>
          <cell r="AW904" t="str">
            <v>Hoàng Mạnh Tú7</v>
          </cell>
        </row>
        <row r="905">
          <cell r="D905" t="str">
            <v>Vũ Văn Chín</v>
          </cell>
          <cell r="AF905" t="str">
            <v>XE01703</v>
          </cell>
          <cell r="AH905">
            <v>9.02</v>
          </cell>
          <cell r="AW905" t="str">
            <v>Vũ Văn Chín8</v>
          </cell>
        </row>
        <row r="906">
          <cell r="D906" t="str">
            <v>Hoàng Mạnh Tú</v>
          </cell>
          <cell r="AF906" t="str">
            <v>XE00406</v>
          </cell>
          <cell r="AH906">
            <v>9.82</v>
          </cell>
          <cell r="AW906" t="str">
            <v>Hoàng Mạnh Tú8</v>
          </cell>
        </row>
        <row r="907">
          <cell r="D907" t="str">
            <v>Hoàng Mạnh Tú</v>
          </cell>
          <cell r="AF907" t="str">
            <v>XE00406</v>
          </cell>
          <cell r="AH907">
            <v>9.02</v>
          </cell>
          <cell r="AW907" t="str">
            <v>Hoàng Mạnh Tú9</v>
          </cell>
        </row>
        <row r="908">
          <cell r="D908" t="str">
            <v>Vũ Văn Chín</v>
          </cell>
          <cell r="AF908" t="str">
            <v>XE01703</v>
          </cell>
          <cell r="AH908">
            <v>10</v>
          </cell>
          <cell r="AW908" t="str">
            <v>Vũ Văn Chín9</v>
          </cell>
        </row>
        <row r="909">
          <cell r="D909" t="str">
            <v>Phạm Văn Tình</v>
          </cell>
          <cell r="AF909" t="str">
            <v>XE01177</v>
          </cell>
          <cell r="AH909">
            <v>8.84</v>
          </cell>
          <cell r="AW909" t="str">
            <v>Phạm Văn Tình9</v>
          </cell>
        </row>
        <row r="910">
          <cell r="D910" t="str">
            <v>Nguyễn Hải Nam</v>
          </cell>
          <cell r="AF910" t="str">
            <v>XE01661</v>
          </cell>
          <cell r="AH910">
            <v>9.02</v>
          </cell>
          <cell r="AW910" t="str">
            <v>Nguyễn Hải Nam9</v>
          </cell>
        </row>
        <row r="911">
          <cell r="D911" t="str">
            <v>Vũ Văn Tuyến</v>
          </cell>
          <cell r="AF911" t="str">
            <v>XE01502</v>
          </cell>
          <cell r="AH911">
            <v>9.42</v>
          </cell>
          <cell r="AW911" t="str">
            <v>Vũ Văn Tuyến20</v>
          </cell>
        </row>
        <row r="912">
          <cell r="D912" t="str">
            <v>Vũ Văn Tuyến</v>
          </cell>
          <cell r="AF912" t="str">
            <v>XE01502</v>
          </cell>
          <cell r="AH912">
            <v>8.44</v>
          </cell>
          <cell r="AW912" t="str">
            <v>Vũ Văn Tuyến21</v>
          </cell>
        </row>
        <row r="913">
          <cell r="D913" t="str">
            <v>Nguyễn Văn Thế</v>
          </cell>
          <cell r="AF913" t="str">
            <v>XE00600</v>
          </cell>
          <cell r="AH913">
            <v>9.42</v>
          </cell>
          <cell r="AW913" t="str">
            <v>Nguyễn Văn Thế20</v>
          </cell>
        </row>
        <row r="914">
          <cell r="D914" t="str">
            <v>Nguyễn Văn Thế</v>
          </cell>
          <cell r="AF914" t="str">
            <v>XE00600</v>
          </cell>
          <cell r="AH914">
            <v>9.02</v>
          </cell>
          <cell r="AW914" t="str">
            <v>Nguyễn Văn Thế21</v>
          </cell>
        </row>
        <row r="915">
          <cell r="D915" t="str">
            <v>Nguyễn Xuân Thắng</v>
          </cell>
          <cell r="AF915" t="str">
            <v>XE00046</v>
          </cell>
          <cell r="AH915">
            <v>9.42</v>
          </cell>
          <cell r="AW915" t="str">
            <v>Nguyễn Xuân Thắng23</v>
          </cell>
        </row>
        <row r="916">
          <cell r="D916" t="str">
            <v>Trần Nam</v>
          </cell>
          <cell r="AF916" t="str">
            <v>XE00130</v>
          </cell>
          <cell r="AH916">
            <v>9.42</v>
          </cell>
          <cell r="AW916" t="str">
            <v>Trần Nam23</v>
          </cell>
        </row>
        <row r="917">
          <cell r="D917" t="str">
            <v>Vũ Văn Tuyến</v>
          </cell>
          <cell r="AF917" t="str">
            <v>XE01502</v>
          </cell>
          <cell r="AH917">
            <v>10</v>
          </cell>
          <cell r="AW917" t="str">
            <v>Vũ Văn Tuyến22</v>
          </cell>
        </row>
        <row r="918">
          <cell r="D918" t="str">
            <v>Vũ Văn Tuyến</v>
          </cell>
          <cell r="AF918" t="str">
            <v>XE01502</v>
          </cell>
          <cell r="AH918">
            <v>9.02</v>
          </cell>
          <cell r="AW918" t="str">
            <v>Vũ Văn Tuyến23</v>
          </cell>
        </row>
        <row r="919">
          <cell r="D919" t="str">
            <v>Nguyễn Văn Thế</v>
          </cell>
          <cell r="AF919" t="str">
            <v>XE00600</v>
          </cell>
          <cell r="AH919">
            <v>9.42</v>
          </cell>
          <cell r="AW919" t="str">
            <v>Nguyễn Văn Thế22</v>
          </cell>
        </row>
        <row r="920">
          <cell r="D920" t="str">
            <v>Nguyễn Văn Thế</v>
          </cell>
          <cell r="AF920" t="str">
            <v>XE00600</v>
          </cell>
          <cell r="AH920">
            <v>10</v>
          </cell>
          <cell r="AW920" t="str">
            <v>Nguyễn Văn Thế23</v>
          </cell>
        </row>
        <row r="921">
          <cell r="AH921">
            <v>9.42</v>
          </cell>
          <cell r="AW921" t="str">
            <v>0</v>
          </cell>
        </row>
        <row r="922">
          <cell r="AH922">
            <v>9.42</v>
          </cell>
          <cell r="AW922" t="str">
            <v>0</v>
          </cell>
        </row>
        <row r="923">
          <cell r="AH923">
            <v>9.42</v>
          </cell>
          <cell r="AW923" t="str">
            <v>0</v>
          </cell>
        </row>
        <row r="924">
          <cell r="AH924">
            <v>9.42</v>
          </cell>
          <cell r="AW924" t="str">
            <v>0</v>
          </cell>
        </row>
        <row r="925">
          <cell r="AH925">
            <v>9.42</v>
          </cell>
          <cell r="AW925" t="str">
            <v>0</v>
          </cell>
        </row>
        <row r="926">
          <cell r="AH926">
            <v>9.42</v>
          </cell>
          <cell r="AW926" t="str">
            <v>0</v>
          </cell>
        </row>
        <row r="927">
          <cell r="AH927">
            <v>9.42</v>
          </cell>
          <cell r="AW927" t="str">
            <v>0</v>
          </cell>
        </row>
        <row r="928">
          <cell r="AH928">
            <v>9.42</v>
          </cell>
          <cell r="AW928" t="str">
            <v>0</v>
          </cell>
        </row>
        <row r="929">
          <cell r="AH929">
            <v>9.42</v>
          </cell>
          <cell r="AW929" t="str">
            <v>0</v>
          </cell>
        </row>
        <row r="930">
          <cell r="AH930">
            <v>9.42</v>
          </cell>
          <cell r="AW930" t="str">
            <v>0</v>
          </cell>
        </row>
        <row r="931">
          <cell r="AH931">
            <v>9.42</v>
          </cell>
          <cell r="AW931" t="str">
            <v>0</v>
          </cell>
        </row>
        <row r="932">
          <cell r="AH932">
            <v>9.42</v>
          </cell>
          <cell r="AW932" t="str">
            <v>0</v>
          </cell>
        </row>
        <row r="933">
          <cell r="AH933">
            <v>9.42</v>
          </cell>
          <cell r="AW933" t="str">
            <v>0</v>
          </cell>
        </row>
        <row r="934">
          <cell r="AH934">
            <v>9.42</v>
          </cell>
          <cell r="AW934" t="str">
            <v>0</v>
          </cell>
        </row>
        <row r="935">
          <cell r="AH935">
            <v>9.42</v>
          </cell>
          <cell r="AW935" t="str">
            <v>0</v>
          </cell>
        </row>
        <row r="936">
          <cell r="AH936">
            <v>9.42</v>
          </cell>
          <cell r="AW936" t="str">
            <v>0</v>
          </cell>
        </row>
        <row r="937">
          <cell r="AH937">
            <v>9.42</v>
          </cell>
          <cell r="AW937" t="str">
            <v>0</v>
          </cell>
        </row>
        <row r="938">
          <cell r="AH938">
            <v>9.42</v>
          </cell>
          <cell r="AW938" t="str">
            <v>0</v>
          </cell>
        </row>
        <row r="939">
          <cell r="AH939">
            <v>9.42</v>
          </cell>
          <cell r="AW939" t="str">
            <v>0</v>
          </cell>
        </row>
        <row r="940">
          <cell r="AH940">
            <v>9.42</v>
          </cell>
          <cell r="AW940" t="str">
            <v>0</v>
          </cell>
        </row>
        <row r="941">
          <cell r="AH941">
            <v>9.42</v>
          </cell>
          <cell r="AW941" t="str">
            <v>0</v>
          </cell>
        </row>
        <row r="942">
          <cell r="AH942">
            <v>9.42</v>
          </cell>
          <cell r="AW942" t="str">
            <v>0</v>
          </cell>
        </row>
        <row r="943">
          <cell r="AH943">
            <v>9.42</v>
          </cell>
          <cell r="AW943" t="str">
            <v>0</v>
          </cell>
        </row>
        <row r="944">
          <cell r="AH944">
            <v>9.42</v>
          </cell>
          <cell r="AW944" t="str">
            <v>0</v>
          </cell>
        </row>
        <row r="945">
          <cell r="AH945">
            <v>9.42</v>
          </cell>
          <cell r="AW945" t="str">
            <v>0</v>
          </cell>
        </row>
        <row r="946">
          <cell r="AH946">
            <v>9.42</v>
          </cell>
          <cell r="AW946" t="str">
            <v>0</v>
          </cell>
        </row>
        <row r="947">
          <cell r="AH947">
            <v>9.42</v>
          </cell>
          <cell r="AW947" t="str">
            <v>0</v>
          </cell>
        </row>
        <row r="948">
          <cell r="AH948">
            <v>9.42</v>
          </cell>
          <cell r="AW948" t="str">
            <v>0</v>
          </cell>
        </row>
        <row r="949">
          <cell r="AH949">
            <v>9.42</v>
          </cell>
          <cell r="AW949" t="str">
            <v>0</v>
          </cell>
        </row>
        <row r="950">
          <cell r="AH950">
            <v>9.42</v>
          </cell>
          <cell r="AW950" t="str">
            <v>0</v>
          </cell>
        </row>
        <row r="951">
          <cell r="AH951">
            <v>9.42</v>
          </cell>
          <cell r="AW951" t="str">
            <v>0</v>
          </cell>
        </row>
        <row r="952">
          <cell r="AH952">
            <v>9.42</v>
          </cell>
          <cell r="AW952" t="str">
            <v>0</v>
          </cell>
        </row>
        <row r="953">
          <cell r="AH953">
            <v>9.42</v>
          </cell>
          <cell r="AW953" t="str">
            <v>0</v>
          </cell>
        </row>
        <row r="954">
          <cell r="AH954">
            <v>9.42</v>
          </cell>
          <cell r="AW954" t="str">
            <v>0</v>
          </cell>
        </row>
        <row r="955">
          <cell r="AH955">
            <v>9.42</v>
          </cell>
          <cell r="AW955" t="str">
            <v>0</v>
          </cell>
        </row>
        <row r="956">
          <cell r="AH956">
            <v>9.42</v>
          </cell>
          <cell r="AW956" t="str">
            <v>0</v>
          </cell>
        </row>
        <row r="957">
          <cell r="AH957">
            <v>9.42</v>
          </cell>
          <cell r="AW957" t="str">
            <v>0</v>
          </cell>
        </row>
        <row r="958">
          <cell r="AH958">
            <v>9.42</v>
          </cell>
          <cell r="AW958" t="str">
            <v>0</v>
          </cell>
        </row>
        <row r="959">
          <cell r="AH959">
            <v>9.42</v>
          </cell>
          <cell r="AW959" t="str">
            <v>0</v>
          </cell>
        </row>
        <row r="960">
          <cell r="AH960">
            <v>9.42</v>
          </cell>
          <cell r="AW960" t="str">
            <v>0</v>
          </cell>
        </row>
        <row r="961">
          <cell r="AH961">
            <v>9.42</v>
          </cell>
          <cell r="AW961" t="str">
            <v>0</v>
          </cell>
        </row>
        <row r="962">
          <cell r="AH962">
            <v>9.42</v>
          </cell>
          <cell r="AW962" t="str">
            <v>0</v>
          </cell>
        </row>
        <row r="963">
          <cell r="AH963">
            <v>9.42</v>
          </cell>
          <cell r="AW963" t="str">
            <v>0</v>
          </cell>
        </row>
        <row r="964">
          <cell r="AH964">
            <v>9.42</v>
          </cell>
          <cell r="AW964" t="str">
            <v>0</v>
          </cell>
        </row>
        <row r="965">
          <cell r="AH965">
            <v>9.42</v>
          </cell>
          <cell r="AW965" t="str">
            <v>0</v>
          </cell>
        </row>
        <row r="966">
          <cell r="AH966">
            <v>9.42</v>
          </cell>
          <cell r="AW966" t="str">
            <v>0</v>
          </cell>
        </row>
        <row r="967">
          <cell r="AH967">
            <v>9.42</v>
          </cell>
          <cell r="AW967" t="str">
            <v>0</v>
          </cell>
        </row>
        <row r="968">
          <cell r="AH968">
            <v>9.42</v>
          </cell>
          <cell r="AW968" t="str">
            <v>0</v>
          </cell>
        </row>
        <row r="969">
          <cell r="AH969">
            <v>9.42</v>
          </cell>
          <cell r="AW969" t="str">
            <v>0</v>
          </cell>
        </row>
        <row r="970">
          <cell r="AH970">
            <v>9.42</v>
          </cell>
          <cell r="AW970" t="str">
            <v>0</v>
          </cell>
        </row>
        <row r="971">
          <cell r="AH971">
            <v>9.42</v>
          </cell>
          <cell r="AW971" t="str">
            <v>0</v>
          </cell>
        </row>
        <row r="972">
          <cell r="AH972">
            <v>9.42</v>
          </cell>
          <cell r="AW972" t="str">
            <v>0</v>
          </cell>
        </row>
        <row r="973">
          <cell r="AH973">
            <v>9.42</v>
          </cell>
          <cell r="AW973" t="str">
            <v>0</v>
          </cell>
        </row>
        <row r="974">
          <cell r="AH974">
            <v>9.42</v>
          </cell>
          <cell r="AW974" t="str">
            <v>0</v>
          </cell>
        </row>
        <row r="975">
          <cell r="AH975">
            <v>9.42</v>
          </cell>
          <cell r="AW975" t="str">
            <v>0</v>
          </cell>
        </row>
        <row r="976">
          <cell r="AH976">
            <v>9.42</v>
          </cell>
          <cell r="AW976" t="str">
            <v>0</v>
          </cell>
        </row>
        <row r="977">
          <cell r="AH977">
            <v>9.42</v>
          </cell>
          <cell r="AW977" t="str">
            <v>0</v>
          </cell>
        </row>
        <row r="978">
          <cell r="AH978">
            <v>9.42</v>
          </cell>
          <cell r="AW978" t="str">
            <v>0</v>
          </cell>
        </row>
        <row r="979">
          <cell r="AH979">
            <v>9.42</v>
          </cell>
          <cell r="AW979" t="str">
            <v>0</v>
          </cell>
        </row>
        <row r="980">
          <cell r="AH980">
            <v>9.42</v>
          </cell>
          <cell r="AW980" t="str">
            <v>0</v>
          </cell>
        </row>
        <row r="981">
          <cell r="AH981">
            <v>9.42</v>
          </cell>
          <cell r="AW981" t="str">
            <v>0</v>
          </cell>
        </row>
        <row r="982">
          <cell r="AH982">
            <v>9.42</v>
          </cell>
          <cell r="AW982" t="str">
            <v>0</v>
          </cell>
        </row>
        <row r="983">
          <cell r="AH983">
            <v>9.42</v>
          </cell>
          <cell r="AW983" t="str">
            <v>0</v>
          </cell>
        </row>
        <row r="984">
          <cell r="AH984">
            <v>9.42</v>
          </cell>
          <cell r="AW984" t="str">
            <v>0</v>
          </cell>
        </row>
        <row r="985">
          <cell r="AH985">
            <v>9.42</v>
          </cell>
          <cell r="AW985" t="str">
            <v>0</v>
          </cell>
        </row>
        <row r="986">
          <cell r="AH986">
            <v>9.42</v>
          </cell>
          <cell r="AW986" t="str">
            <v>0</v>
          </cell>
        </row>
        <row r="987">
          <cell r="AH987">
            <v>9.42</v>
          </cell>
          <cell r="AW987" t="str">
            <v>0</v>
          </cell>
        </row>
        <row r="988">
          <cell r="AH988">
            <v>9.42</v>
          </cell>
          <cell r="AW988" t="str">
            <v>0</v>
          </cell>
        </row>
        <row r="989">
          <cell r="AH989">
            <v>9.42</v>
          </cell>
          <cell r="AW989" t="str">
            <v>0</v>
          </cell>
        </row>
        <row r="990">
          <cell r="AH990">
            <v>9.42</v>
          </cell>
          <cell r="AW990" t="str">
            <v>0</v>
          </cell>
        </row>
        <row r="991">
          <cell r="AH991">
            <v>9.42</v>
          </cell>
          <cell r="AW991" t="str">
            <v>0</v>
          </cell>
        </row>
        <row r="992">
          <cell r="AH992">
            <v>9.42</v>
          </cell>
          <cell r="AW992" t="str">
            <v>0</v>
          </cell>
        </row>
        <row r="993">
          <cell r="AH993">
            <v>9.42</v>
          </cell>
          <cell r="AW993" t="str">
            <v>0</v>
          </cell>
        </row>
        <row r="994">
          <cell r="AH994">
            <v>9.42</v>
          </cell>
          <cell r="AW994" t="str">
            <v>0</v>
          </cell>
        </row>
        <row r="995">
          <cell r="AH995">
            <v>9.42</v>
          </cell>
          <cell r="AW995" t="str">
            <v>0</v>
          </cell>
        </row>
        <row r="996">
          <cell r="AH996">
            <v>9.42</v>
          </cell>
          <cell r="AW996" t="str">
            <v>0</v>
          </cell>
        </row>
        <row r="997">
          <cell r="AH997">
            <v>9.42</v>
          </cell>
          <cell r="AW997" t="str">
            <v>0</v>
          </cell>
        </row>
        <row r="998">
          <cell r="AH998">
            <v>9.42</v>
          </cell>
          <cell r="AW998" t="str">
            <v>0</v>
          </cell>
        </row>
        <row r="999">
          <cell r="AH999">
            <v>9.42</v>
          </cell>
          <cell r="AW999" t="str">
            <v>0</v>
          </cell>
        </row>
        <row r="1000">
          <cell r="AH1000">
            <v>9.42</v>
          </cell>
          <cell r="AW1000" t="str">
            <v>0</v>
          </cell>
        </row>
        <row r="1001">
          <cell r="AH1001">
            <v>9.42</v>
          </cell>
          <cell r="AW1001" t="str">
            <v>0</v>
          </cell>
        </row>
        <row r="1002">
          <cell r="AH1002">
            <v>9.42</v>
          </cell>
          <cell r="AW1002" t="str">
            <v>0</v>
          </cell>
        </row>
        <row r="1003">
          <cell r="AH1003">
            <v>9.42</v>
          </cell>
          <cell r="AW1003" t="str">
            <v>0</v>
          </cell>
        </row>
        <row r="1004">
          <cell r="AH1004">
            <v>9.42</v>
          </cell>
          <cell r="AW1004" t="str">
            <v>0</v>
          </cell>
        </row>
        <row r="1005">
          <cell r="AH1005">
            <v>9.42</v>
          </cell>
          <cell r="AW1005" t="str">
            <v>0</v>
          </cell>
        </row>
        <row r="1006">
          <cell r="AH1006">
            <v>9.42</v>
          </cell>
          <cell r="AW1006" t="str">
            <v>0</v>
          </cell>
        </row>
        <row r="1007">
          <cell r="AH1007">
            <v>9.42</v>
          </cell>
          <cell r="AW1007" t="str">
            <v>0</v>
          </cell>
        </row>
        <row r="1008">
          <cell r="AH1008">
            <v>9.42</v>
          </cell>
          <cell r="AW1008" t="str">
            <v>0</v>
          </cell>
        </row>
        <row r="1009">
          <cell r="AH1009">
            <v>9.42</v>
          </cell>
          <cell r="AW1009" t="str">
            <v>0</v>
          </cell>
        </row>
        <row r="1010">
          <cell r="AH1010">
            <v>9.42</v>
          </cell>
          <cell r="AW1010" t="str">
            <v>0</v>
          </cell>
        </row>
        <row r="1011">
          <cell r="AH1011">
            <v>9.42</v>
          </cell>
          <cell r="AW1011" t="str">
            <v>0</v>
          </cell>
        </row>
        <row r="1012">
          <cell r="AH1012">
            <v>9.42</v>
          </cell>
          <cell r="AW1012" t="str">
            <v>0</v>
          </cell>
        </row>
        <row r="1013">
          <cell r="AH1013">
            <v>9.42</v>
          </cell>
          <cell r="AW1013" t="str">
            <v>0</v>
          </cell>
        </row>
        <row r="1014">
          <cell r="AH1014">
            <v>9.42</v>
          </cell>
          <cell r="AW1014" t="str">
            <v>0</v>
          </cell>
        </row>
        <row r="1015">
          <cell r="AH1015">
            <v>9.42</v>
          </cell>
          <cell r="AW1015" t="str">
            <v>0</v>
          </cell>
        </row>
        <row r="1016">
          <cell r="AH1016">
            <v>9.42</v>
          </cell>
          <cell r="AW1016" t="str">
            <v>0</v>
          </cell>
        </row>
        <row r="1017">
          <cell r="AH1017">
            <v>9.42</v>
          </cell>
          <cell r="AW1017" t="str">
            <v>0</v>
          </cell>
        </row>
        <row r="1018">
          <cell r="AH1018">
            <v>9.42</v>
          </cell>
          <cell r="AW1018" t="str">
            <v>0</v>
          </cell>
        </row>
        <row r="1019">
          <cell r="AH1019">
            <v>9.42</v>
          </cell>
          <cell r="AW1019" t="str">
            <v>0</v>
          </cell>
        </row>
        <row r="1020">
          <cell r="AH1020">
            <v>9.42</v>
          </cell>
          <cell r="AW1020" t="str">
            <v>0</v>
          </cell>
        </row>
        <row r="1021">
          <cell r="AH1021">
            <v>9.42</v>
          </cell>
          <cell r="AW1021" t="str">
            <v>0</v>
          </cell>
        </row>
        <row r="1022">
          <cell r="AH1022">
            <v>9.42</v>
          </cell>
          <cell r="AW1022" t="str">
            <v>0</v>
          </cell>
        </row>
        <row r="1023">
          <cell r="AH1023">
            <v>9.42</v>
          </cell>
          <cell r="AW1023" t="str">
            <v>0</v>
          </cell>
        </row>
        <row r="1024">
          <cell r="AH1024">
            <v>9.42</v>
          </cell>
          <cell r="AW1024" t="str">
            <v>0</v>
          </cell>
        </row>
        <row r="1025">
          <cell r="AH1025">
            <v>9.42</v>
          </cell>
          <cell r="AW1025" t="str">
            <v>0</v>
          </cell>
        </row>
        <row r="1026">
          <cell r="AH1026">
            <v>9.42</v>
          </cell>
          <cell r="AW1026" t="str">
            <v>0</v>
          </cell>
        </row>
        <row r="1027">
          <cell r="AH1027">
            <v>9.42</v>
          </cell>
          <cell r="AW1027" t="str">
            <v>0</v>
          </cell>
        </row>
        <row r="1028">
          <cell r="AH1028">
            <v>9.42</v>
          </cell>
          <cell r="AW1028" t="str">
            <v>0</v>
          </cell>
        </row>
        <row r="1029">
          <cell r="AH1029">
            <v>9.42</v>
          </cell>
          <cell r="AW1029" t="str">
            <v>0</v>
          </cell>
        </row>
        <row r="1030">
          <cell r="AH1030">
            <v>9.42</v>
          </cell>
          <cell r="AW1030" t="str">
            <v>0</v>
          </cell>
        </row>
        <row r="1031">
          <cell r="AH1031">
            <v>9.42</v>
          </cell>
          <cell r="AW1031" t="str">
            <v>0</v>
          </cell>
        </row>
        <row r="1032">
          <cell r="AH1032">
            <v>9.42</v>
          </cell>
          <cell r="AW1032" t="str">
            <v>0</v>
          </cell>
        </row>
        <row r="1033">
          <cell r="AH1033">
            <v>9.42</v>
          </cell>
          <cell r="AW1033" t="str">
            <v>0</v>
          </cell>
        </row>
        <row r="1034">
          <cell r="AH1034">
            <v>9.42</v>
          </cell>
          <cell r="AW1034" t="str">
            <v>0</v>
          </cell>
        </row>
        <row r="1035">
          <cell r="AH1035">
            <v>9.42</v>
          </cell>
          <cell r="AW1035" t="str">
            <v>0</v>
          </cell>
        </row>
        <row r="1036">
          <cell r="AH1036">
            <v>9.42</v>
          </cell>
          <cell r="AW1036" t="str">
            <v>0</v>
          </cell>
        </row>
        <row r="1037">
          <cell r="AH1037">
            <v>9.42</v>
          </cell>
          <cell r="AW1037" t="str">
            <v>0</v>
          </cell>
        </row>
        <row r="1038">
          <cell r="AH1038">
            <v>9.42</v>
          </cell>
          <cell r="AW1038" t="str">
            <v>0</v>
          </cell>
        </row>
        <row r="1039">
          <cell r="AH1039">
            <v>9.42</v>
          </cell>
          <cell r="AW1039" t="str">
            <v>0</v>
          </cell>
        </row>
        <row r="1040">
          <cell r="AH1040">
            <v>9.42</v>
          </cell>
          <cell r="AW1040" t="str">
            <v>0</v>
          </cell>
        </row>
        <row r="1041">
          <cell r="AH1041">
            <v>9.42</v>
          </cell>
          <cell r="AW1041" t="str">
            <v>0</v>
          </cell>
        </row>
        <row r="1042">
          <cell r="AH1042">
            <v>9.42</v>
          </cell>
          <cell r="AW1042" t="str">
            <v>0</v>
          </cell>
        </row>
        <row r="1043">
          <cell r="AH1043">
            <v>9.42</v>
          </cell>
          <cell r="AW1043" t="str">
            <v>0</v>
          </cell>
        </row>
        <row r="1044">
          <cell r="AH1044">
            <v>9.42</v>
          </cell>
          <cell r="AW1044" t="str">
            <v>0</v>
          </cell>
        </row>
        <row r="1045">
          <cell r="AH1045">
            <v>9.42</v>
          </cell>
          <cell r="AW1045" t="str">
            <v>0</v>
          </cell>
        </row>
        <row r="1046">
          <cell r="AH1046">
            <v>9.42</v>
          </cell>
          <cell r="AW1046" t="str">
            <v>0</v>
          </cell>
        </row>
        <row r="1047">
          <cell r="AH1047">
            <v>9.42</v>
          </cell>
          <cell r="AW1047" t="str">
            <v>0</v>
          </cell>
        </row>
        <row r="1048">
          <cell r="AH1048">
            <v>9.42</v>
          </cell>
          <cell r="AW1048" t="str">
            <v>0</v>
          </cell>
        </row>
        <row r="1049">
          <cell r="AH1049">
            <v>9.42</v>
          </cell>
          <cell r="AW1049" t="str">
            <v>0</v>
          </cell>
        </row>
        <row r="1050">
          <cell r="AH1050">
            <v>9.42</v>
          </cell>
          <cell r="AW1050" t="str">
            <v>0</v>
          </cell>
        </row>
        <row r="1051">
          <cell r="AH1051">
            <v>9.42</v>
          </cell>
          <cell r="AW1051" t="str">
            <v>0</v>
          </cell>
        </row>
        <row r="1052">
          <cell r="AH1052">
            <v>9.42</v>
          </cell>
          <cell r="AW1052" t="str">
            <v>0</v>
          </cell>
        </row>
        <row r="1053">
          <cell r="AH1053">
            <v>9.42</v>
          </cell>
          <cell r="AW1053" t="str">
            <v>0</v>
          </cell>
        </row>
        <row r="1054">
          <cell r="AH1054">
            <v>9.42</v>
          </cell>
          <cell r="AW1054" t="str">
            <v>0</v>
          </cell>
        </row>
        <row r="1055">
          <cell r="AH1055">
            <v>9.42</v>
          </cell>
          <cell r="AW1055" t="str">
            <v>0</v>
          </cell>
        </row>
        <row r="1056">
          <cell r="AH1056">
            <v>9.42</v>
          </cell>
          <cell r="AW1056" t="str">
            <v>0</v>
          </cell>
        </row>
        <row r="1057">
          <cell r="AH1057">
            <v>9.42</v>
          </cell>
          <cell r="AW1057" t="str">
            <v>0</v>
          </cell>
        </row>
        <row r="1058">
          <cell r="AH1058">
            <v>9.42</v>
          </cell>
          <cell r="AW1058" t="str">
            <v>0</v>
          </cell>
        </row>
        <row r="1059">
          <cell r="AH1059">
            <v>9.42</v>
          </cell>
          <cell r="AW1059" t="str">
            <v>0</v>
          </cell>
        </row>
        <row r="1060">
          <cell r="AH1060">
            <v>9.42</v>
          </cell>
          <cell r="AW1060" t="str">
            <v>0</v>
          </cell>
        </row>
        <row r="1061">
          <cell r="AH1061">
            <v>9.42</v>
          </cell>
          <cell r="AW1061" t="str">
            <v>0</v>
          </cell>
        </row>
        <row r="1062">
          <cell r="AH1062">
            <v>9.42</v>
          </cell>
          <cell r="AW1062" t="str">
            <v>0</v>
          </cell>
        </row>
        <row r="1063">
          <cell r="AH1063">
            <v>9.42</v>
          </cell>
          <cell r="AW1063" t="str">
            <v>0</v>
          </cell>
        </row>
        <row r="1064">
          <cell r="AH1064">
            <v>9.42</v>
          </cell>
          <cell r="AW1064" t="str">
            <v>0</v>
          </cell>
        </row>
        <row r="1065">
          <cell r="AH1065">
            <v>9.42</v>
          </cell>
          <cell r="AW1065" t="str">
            <v>0</v>
          </cell>
        </row>
        <row r="1066">
          <cell r="AH1066">
            <v>9.42</v>
          </cell>
          <cell r="AW1066" t="str">
            <v>0</v>
          </cell>
        </row>
        <row r="1067">
          <cell r="AH1067">
            <v>9.42</v>
          </cell>
          <cell r="AW1067" t="str">
            <v>0</v>
          </cell>
        </row>
        <row r="1068">
          <cell r="AH1068">
            <v>9.42</v>
          </cell>
          <cell r="AW1068" t="str">
            <v>0</v>
          </cell>
        </row>
        <row r="1069">
          <cell r="AH1069">
            <v>9.42</v>
          </cell>
          <cell r="AW1069" t="str">
            <v>0</v>
          </cell>
        </row>
        <row r="1070">
          <cell r="AH1070">
            <v>9.42</v>
          </cell>
          <cell r="AW1070" t="str">
            <v>0</v>
          </cell>
        </row>
        <row r="1071">
          <cell r="AH1071">
            <v>9.42</v>
          </cell>
          <cell r="AW1071" t="str">
            <v>0</v>
          </cell>
        </row>
        <row r="1072">
          <cell r="AH1072">
            <v>9.42</v>
          </cell>
          <cell r="AW1072" t="str">
            <v>0</v>
          </cell>
        </row>
        <row r="1073">
          <cell r="AH1073">
            <v>9.42</v>
          </cell>
          <cell r="AW1073" t="str">
            <v>0</v>
          </cell>
        </row>
        <row r="1074">
          <cell r="AH1074">
            <v>9.42</v>
          </cell>
          <cell r="AW1074" t="str">
            <v>0</v>
          </cell>
        </row>
        <row r="1075">
          <cell r="AH1075">
            <v>9.42</v>
          </cell>
          <cell r="AW1075" t="str">
            <v>0</v>
          </cell>
        </row>
        <row r="1076">
          <cell r="AH1076">
            <v>9.42</v>
          </cell>
          <cell r="AW1076" t="str">
            <v>0</v>
          </cell>
        </row>
        <row r="1077">
          <cell r="AH1077">
            <v>9.42</v>
          </cell>
          <cell r="AW1077" t="str">
            <v>0</v>
          </cell>
        </row>
        <row r="1078">
          <cell r="AH1078">
            <v>9.42</v>
          </cell>
          <cell r="AW1078" t="str">
            <v>0</v>
          </cell>
        </row>
        <row r="1079">
          <cell r="AH1079">
            <v>9.42</v>
          </cell>
          <cell r="AW1079" t="str">
            <v>0</v>
          </cell>
        </row>
        <row r="1080">
          <cell r="AH1080">
            <v>9.42</v>
          </cell>
          <cell r="AW1080" t="str">
            <v>0</v>
          </cell>
        </row>
        <row r="1081">
          <cell r="AH1081">
            <v>9.42</v>
          </cell>
          <cell r="AW1081" t="str">
            <v>0</v>
          </cell>
        </row>
        <row r="1082">
          <cell r="AH1082">
            <v>9.42</v>
          </cell>
          <cell r="AW1082" t="str">
            <v>0</v>
          </cell>
        </row>
        <row r="1083">
          <cell r="AH1083">
            <v>9.42</v>
          </cell>
          <cell r="AW1083" t="str">
            <v>0</v>
          </cell>
        </row>
        <row r="1084">
          <cell r="AH1084">
            <v>9.42</v>
          </cell>
          <cell r="AW1084" t="str">
            <v>0</v>
          </cell>
        </row>
        <row r="1085">
          <cell r="AH1085">
            <v>9.42</v>
          </cell>
          <cell r="AW1085" t="str">
            <v>0</v>
          </cell>
        </row>
        <row r="1086">
          <cell r="AH1086">
            <v>9.42</v>
          </cell>
          <cell r="AW1086" t="str">
            <v>0</v>
          </cell>
        </row>
        <row r="1087">
          <cell r="AH1087">
            <v>9.42</v>
          </cell>
          <cell r="AW1087" t="str">
            <v>0</v>
          </cell>
        </row>
        <row r="1088">
          <cell r="AH1088">
            <v>9.42</v>
          </cell>
          <cell r="AW1088" t="str">
            <v>0</v>
          </cell>
        </row>
        <row r="1089">
          <cell r="AH1089">
            <v>9.42</v>
          </cell>
          <cell r="AW1089" t="str">
            <v>0</v>
          </cell>
        </row>
        <row r="1090">
          <cell r="AH1090">
            <v>9.42</v>
          </cell>
          <cell r="AW1090" t="str">
            <v>0</v>
          </cell>
        </row>
        <row r="1091">
          <cell r="AH1091">
            <v>9.42</v>
          </cell>
          <cell r="AW1091" t="str">
            <v>0</v>
          </cell>
        </row>
        <row r="1092">
          <cell r="AH1092">
            <v>9.42</v>
          </cell>
          <cell r="AW1092" t="str">
            <v>0</v>
          </cell>
        </row>
        <row r="1093">
          <cell r="AH1093">
            <v>9.42</v>
          </cell>
          <cell r="AW1093" t="str">
            <v>0</v>
          </cell>
        </row>
        <row r="1094">
          <cell r="AH1094">
            <v>9.42</v>
          </cell>
          <cell r="AW1094" t="str">
            <v>0</v>
          </cell>
        </row>
        <row r="1095">
          <cell r="AH1095">
            <v>9.42</v>
          </cell>
          <cell r="AW1095" t="str">
            <v>0</v>
          </cell>
        </row>
        <row r="1096">
          <cell r="AH1096">
            <v>9.42</v>
          </cell>
          <cell r="AW1096" t="str">
            <v>0</v>
          </cell>
        </row>
        <row r="1097">
          <cell r="AH1097">
            <v>9.42</v>
          </cell>
          <cell r="AW1097" t="str">
            <v>0</v>
          </cell>
        </row>
        <row r="1098">
          <cell r="AH1098">
            <v>9.42</v>
          </cell>
          <cell r="AW1098" t="str">
            <v>0</v>
          </cell>
        </row>
        <row r="1099">
          <cell r="AH1099">
            <v>9.42</v>
          </cell>
          <cell r="AW1099" t="str">
            <v>0</v>
          </cell>
        </row>
        <row r="1100">
          <cell r="AH1100">
            <v>9.42</v>
          </cell>
          <cell r="AW1100" t="str">
            <v>0</v>
          </cell>
        </row>
        <row r="1101">
          <cell r="AH1101">
            <v>9.42</v>
          </cell>
          <cell r="AW1101" t="str">
            <v>0</v>
          </cell>
        </row>
        <row r="1102">
          <cell r="AH1102">
            <v>9.42</v>
          </cell>
          <cell r="AW1102" t="str">
            <v>0</v>
          </cell>
        </row>
        <row r="1103">
          <cell r="AH1103">
            <v>9.42</v>
          </cell>
          <cell r="AW1103" t="str">
            <v>0</v>
          </cell>
        </row>
        <row r="1104">
          <cell r="AH1104">
            <v>9.42</v>
          </cell>
          <cell r="AW1104" t="str">
            <v>0</v>
          </cell>
        </row>
        <row r="1105">
          <cell r="AH1105">
            <v>9.42</v>
          </cell>
          <cell r="AW1105" t="str">
            <v>0</v>
          </cell>
        </row>
        <row r="1106">
          <cell r="AH1106">
            <v>9.42</v>
          </cell>
          <cell r="AW1106" t="str">
            <v>0</v>
          </cell>
        </row>
        <row r="1107">
          <cell r="AH1107">
            <v>9.42</v>
          </cell>
          <cell r="AW1107" t="str">
            <v>0</v>
          </cell>
        </row>
        <row r="1108">
          <cell r="AH1108">
            <v>9.42</v>
          </cell>
          <cell r="AW1108" t="str">
            <v>0</v>
          </cell>
        </row>
        <row r="1109">
          <cell r="AH1109">
            <v>9.42</v>
          </cell>
          <cell r="AW1109" t="str">
            <v>0</v>
          </cell>
        </row>
        <row r="1110">
          <cell r="AH1110">
            <v>9.42</v>
          </cell>
          <cell r="AW1110" t="str">
            <v>0</v>
          </cell>
        </row>
        <row r="1111">
          <cell r="AH1111">
            <v>9.42</v>
          </cell>
          <cell r="AW1111" t="str">
            <v>0</v>
          </cell>
        </row>
        <row r="1112">
          <cell r="AH1112">
            <v>9.42</v>
          </cell>
          <cell r="AW1112" t="str">
            <v>0</v>
          </cell>
        </row>
        <row r="1113">
          <cell r="AH1113">
            <v>9.42</v>
          </cell>
          <cell r="AW1113" t="str">
            <v>0</v>
          </cell>
        </row>
        <row r="1114">
          <cell r="AH1114">
            <v>9.42</v>
          </cell>
          <cell r="AW1114" t="str">
            <v>0</v>
          </cell>
        </row>
        <row r="1115">
          <cell r="AH1115">
            <v>9.42</v>
          </cell>
          <cell r="AW1115" t="str">
            <v>0</v>
          </cell>
        </row>
        <row r="1116">
          <cell r="AH1116">
            <v>9.42</v>
          </cell>
          <cell r="AW1116" t="str">
            <v>0</v>
          </cell>
        </row>
        <row r="1117">
          <cell r="AH1117">
            <v>9.42</v>
          </cell>
          <cell r="AW1117" t="str">
            <v>0</v>
          </cell>
        </row>
        <row r="1118">
          <cell r="AH1118">
            <v>9.42</v>
          </cell>
          <cell r="AW1118" t="str">
            <v>0</v>
          </cell>
        </row>
        <row r="1119">
          <cell r="AH1119">
            <v>9.42</v>
          </cell>
          <cell r="AW1119" t="str">
            <v>0</v>
          </cell>
        </row>
        <row r="1120">
          <cell r="AH1120">
            <v>9.42</v>
          </cell>
          <cell r="AW1120" t="str">
            <v>0</v>
          </cell>
        </row>
        <row r="1121">
          <cell r="AH1121">
            <v>9.42</v>
          </cell>
          <cell r="AW1121" t="str">
            <v>0</v>
          </cell>
        </row>
        <row r="1122">
          <cell r="AH1122">
            <v>9.42</v>
          </cell>
          <cell r="AW1122" t="str">
            <v>0</v>
          </cell>
        </row>
        <row r="1123">
          <cell r="AH1123">
            <v>9.42</v>
          </cell>
          <cell r="AW1123" t="str">
            <v>0</v>
          </cell>
        </row>
        <row r="1124">
          <cell r="AH1124">
            <v>9.42</v>
          </cell>
          <cell r="AW1124" t="str">
            <v>0</v>
          </cell>
        </row>
        <row r="1125">
          <cell r="AH1125">
            <v>9.42</v>
          </cell>
          <cell r="AW1125" t="str">
            <v>0</v>
          </cell>
        </row>
        <row r="1126">
          <cell r="AH1126">
            <v>9.42</v>
          </cell>
          <cell r="AW1126" t="str">
            <v>0</v>
          </cell>
        </row>
        <row r="1127">
          <cell r="AH1127">
            <v>9.42</v>
          </cell>
          <cell r="AW1127" t="str">
            <v>0</v>
          </cell>
        </row>
        <row r="1128">
          <cell r="AH1128">
            <v>9.42</v>
          </cell>
          <cell r="AW1128" t="str">
            <v>0</v>
          </cell>
        </row>
        <row r="1129">
          <cell r="AH1129">
            <v>9.42</v>
          </cell>
          <cell r="AW1129" t="str">
            <v>0</v>
          </cell>
        </row>
        <row r="1130">
          <cell r="AH1130">
            <v>9.42</v>
          </cell>
          <cell r="AW1130" t="str">
            <v>0</v>
          </cell>
        </row>
        <row r="1131">
          <cell r="AH1131">
            <v>9.42</v>
          </cell>
          <cell r="AW1131" t="str">
            <v>0</v>
          </cell>
        </row>
        <row r="1132">
          <cell r="AH1132">
            <v>9.42</v>
          </cell>
          <cell r="AW1132" t="str">
            <v>0</v>
          </cell>
        </row>
        <row r="1133">
          <cell r="AH1133">
            <v>9.42</v>
          </cell>
          <cell r="AW1133" t="str">
            <v>0</v>
          </cell>
        </row>
        <row r="1134">
          <cell r="AH1134">
            <v>9.42</v>
          </cell>
          <cell r="AW1134" t="str">
            <v>0</v>
          </cell>
        </row>
        <row r="1135">
          <cell r="AH1135">
            <v>9.42</v>
          </cell>
          <cell r="AW1135" t="str">
            <v>0</v>
          </cell>
        </row>
        <row r="1136">
          <cell r="AH1136">
            <v>9.42</v>
          </cell>
          <cell r="AW1136" t="str">
            <v>0</v>
          </cell>
        </row>
        <row r="1137">
          <cell r="AH1137">
            <v>9.42</v>
          </cell>
          <cell r="AW1137" t="str">
            <v>0</v>
          </cell>
        </row>
        <row r="1138">
          <cell r="AH1138">
            <v>9.42</v>
          </cell>
          <cell r="AW1138" t="str">
            <v>0</v>
          </cell>
        </row>
        <row r="1139">
          <cell r="AH1139">
            <v>9.42</v>
          </cell>
          <cell r="AW1139" t="str">
            <v>0</v>
          </cell>
        </row>
        <row r="1140">
          <cell r="AH1140">
            <v>9.42</v>
          </cell>
          <cell r="AW1140" t="str">
            <v>0</v>
          </cell>
        </row>
        <row r="1141">
          <cell r="AH1141">
            <v>9.42</v>
          </cell>
          <cell r="AW1141" t="str">
            <v>0</v>
          </cell>
        </row>
        <row r="1142">
          <cell r="AH1142">
            <v>9.42</v>
          </cell>
          <cell r="AW1142" t="str">
            <v>0</v>
          </cell>
        </row>
        <row r="1143">
          <cell r="AH1143">
            <v>9.42</v>
          </cell>
          <cell r="AW1143" t="str">
            <v>0</v>
          </cell>
        </row>
        <row r="1144">
          <cell r="AH1144">
            <v>9.42</v>
          </cell>
          <cell r="AW1144" t="str">
            <v>0</v>
          </cell>
        </row>
        <row r="1145">
          <cell r="AH1145">
            <v>9.42</v>
          </cell>
          <cell r="AW1145" t="str">
            <v>0</v>
          </cell>
        </row>
        <row r="1146">
          <cell r="AH1146">
            <v>9.42</v>
          </cell>
          <cell r="AW1146" t="str">
            <v>0</v>
          </cell>
        </row>
        <row r="1147">
          <cell r="AH1147">
            <v>9.42</v>
          </cell>
          <cell r="AW1147" t="str">
            <v>0</v>
          </cell>
        </row>
        <row r="1148">
          <cell r="AH1148">
            <v>9.42</v>
          </cell>
          <cell r="AW1148" t="str">
            <v>0</v>
          </cell>
        </row>
        <row r="1149">
          <cell r="AH1149">
            <v>9.42</v>
          </cell>
          <cell r="AW1149" t="str">
            <v>0</v>
          </cell>
        </row>
        <row r="1150">
          <cell r="AH1150">
            <v>9.42</v>
          </cell>
          <cell r="AW1150" t="str">
            <v>0</v>
          </cell>
        </row>
        <row r="1151">
          <cell r="AH1151">
            <v>9.42</v>
          </cell>
          <cell r="AW1151" t="str">
            <v>0</v>
          </cell>
        </row>
        <row r="1152">
          <cell r="AH1152">
            <v>9.42</v>
          </cell>
          <cell r="AW1152" t="str">
            <v>0</v>
          </cell>
        </row>
        <row r="1153">
          <cell r="AH1153">
            <v>9.42</v>
          </cell>
          <cell r="AW1153" t="str">
            <v>0</v>
          </cell>
        </row>
        <row r="1154">
          <cell r="AH1154">
            <v>9.42</v>
          </cell>
          <cell r="AW1154" t="str">
            <v>0</v>
          </cell>
        </row>
        <row r="1155">
          <cell r="AH1155">
            <v>9.42</v>
          </cell>
          <cell r="AW1155" t="str">
            <v>0</v>
          </cell>
        </row>
        <row r="1156">
          <cell r="AH1156">
            <v>9.42</v>
          </cell>
          <cell r="AW1156" t="str">
            <v>0</v>
          </cell>
        </row>
        <row r="1157">
          <cell r="AH1157">
            <v>9.42</v>
          </cell>
          <cell r="AW1157" t="str">
            <v>0</v>
          </cell>
        </row>
        <row r="1158">
          <cell r="AH1158">
            <v>9.42</v>
          </cell>
          <cell r="AW1158" t="str">
            <v>0</v>
          </cell>
        </row>
        <row r="1159">
          <cell r="AH1159">
            <v>9.42</v>
          </cell>
          <cell r="AW1159" t="str">
            <v>0</v>
          </cell>
        </row>
        <row r="1160">
          <cell r="AH1160">
            <v>9.42</v>
          </cell>
          <cell r="AW1160" t="str">
            <v>0</v>
          </cell>
        </row>
        <row r="1161">
          <cell r="AH1161">
            <v>9.42</v>
          </cell>
          <cell r="AW1161" t="str">
            <v>0</v>
          </cell>
        </row>
        <row r="1162">
          <cell r="AH1162">
            <v>9.42</v>
          </cell>
          <cell r="AW1162" t="str">
            <v>0</v>
          </cell>
        </row>
        <row r="1163">
          <cell r="AH1163">
            <v>9.42</v>
          </cell>
          <cell r="AW1163" t="str">
            <v>0</v>
          </cell>
        </row>
        <row r="1164">
          <cell r="AH1164">
            <v>9.42</v>
          </cell>
          <cell r="AW1164" t="str">
            <v>0</v>
          </cell>
        </row>
        <row r="1165">
          <cell r="AH1165">
            <v>9.42</v>
          </cell>
          <cell r="AW1165" t="str">
            <v>0</v>
          </cell>
        </row>
        <row r="1166">
          <cell r="AH1166">
            <v>9.42</v>
          </cell>
          <cell r="AW1166" t="str">
            <v>0</v>
          </cell>
        </row>
        <row r="1167">
          <cell r="AH1167">
            <v>9.42</v>
          </cell>
          <cell r="AW1167" t="str">
            <v>0</v>
          </cell>
        </row>
        <row r="1168">
          <cell r="AH1168">
            <v>9.42</v>
          </cell>
          <cell r="AW1168" t="str">
            <v>0</v>
          </cell>
        </row>
        <row r="1169">
          <cell r="AH1169">
            <v>9.42</v>
          </cell>
          <cell r="AW1169" t="str">
            <v>0</v>
          </cell>
        </row>
        <row r="1170">
          <cell r="AH1170">
            <v>9.42</v>
          </cell>
          <cell r="AW1170" t="str">
            <v>0</v>
          </cell>
        </row>
        <row r="1171">
          <cell r="AH1171">
            <v>9.42</v>
          </cell>
          <cell r="AW1171" t="str">
            <v>0</v>
          </cell>
        </row>
        <row r="1172">
          <cell r="AH1172">
            <v>9.42</v>
          </cell>
          <cell r="AW1172" t="str">
            <v>0</v>
          </cell>
        </row>
        <row r="1173">
          <cell r="AH1173">
            <v>9.42</v>
          </cell>
          <cell r="AW1173" t="str">
            <v>0</v>
          </cell>
        </row>
        <row r="1174">
          <cell r="AH1174">
            <v>9.42</v>
          </cell>
          <cell r="AW1174" t="str">
            <v>0</v>
          </cell>
        </row>
        <row r="1175">
          <cell r="AH1175">
            <v>9.42</v>
          </cell>
          <cell r="AW1175" t="str">
            <v>0</v>
          </cell>
        </row>
        <row r="1176">
          <cell r="AH1176">
            <v>9.42</v>
          </cell>
          <cell r="AW1176" t="str">
            <v>0</v>
          </cell>
        </row>
        <row r="1177">
          <cell r="AH1177">
            <v>9.42</v>
          </cell>
          <cell r="AW1177" t="str">
            <v>0</v>
          </cell>
        </row>
        <row r="1178">
          <cell r="AH1178">
            <v>9.42</v>
          </cell>
          <cell r="AW1178" t="str">
            <v>0</v>
          </cell>
        </row>
        <row r="1179">
          <cell r="AH1179">
            <v>9.42</v>
          </cell>
          <cell r="AW1179" t="str">
            <v>0</v>
          </cell>
        </row>
        <row r="1180">
          <cell r="AH1180">
            <v>9.42</v>
          </cell>
          <cell r="AW1180" t="str">
            <v>0</v>
          </cell>
        </row>
        <row r="1181">
          <cell r="AH1181">
            <v>9.42</v>
          </cell>
          <cell r="AW1181" t="str">
            <v>0</v>
          </cell>
        </row>
        <row r="1182">
          <cell r="AH1182">
            <v>9.42</v>
          </cell>
          <cell r="AW1182" t="str">
            <v>0</v>
          </cell>
        </row>
        <row r="1183">
          <cell r="AH1183">
            <v>9.42</v>
          </cell>
          <cell r="AW1183" t="str">
            <v>0</v>
          </cell>
        </row>
        <row r="1184">
          <cell r="AH1184">
            <v>9.42</v>
          </cell>
          <cell r="AW1184" t="str">
            <v>0</v>
          </cell>
        </row>
        <row r="1185">
          <cell r="AH1185">
            <v>9.42</v>
          </cell>
          <cell r="AW1185" t="str">
            <v>0</v>
          </cell>
        </row>
        <row r="1186">
          <cell r="AH1186">
            <v>9.42</v>
          </cell>
          <cell r="AW1186" t="str">
            <v>0</v>
          </cell>
        </row>
        <row r="1187">
          <cell r="AH1187">
            <v>9.42</v>
          </cell>
          <cell r="AW1187" t="str">
            <v>0</v>
          </cell>
        </row>
        <row r="1188">
          <cell r="AH1188">
            <v>9.42</v>
          </cell>
          <cell r="AW1188" t="str">
            <v>0</v>
          </cell>
        </row>
        <row r="1189">
          <cell r="AH1189">
            <v>9.42</v>
          </cell>
          <cell r="AW1189" t="str">
            <v>0</v>
          </cell>
        </row>
        <row r="1190">
          <cell r="AH1190">
            <v>9.42</v>
          </cell>
          <cell r="AW1190" t="str">
            <v>0</v>
          </cell>
        </row>
        <row r="1191">
          <cell r="AH1191">
            <v>9.42</v>
          </cell>
          <cell r="AW1191" t="str">
            <v>0</v>
          </cell>
        </row>
        <row r="1192">
          <cell r="AH1192">
            <v>9.42</v>
          </cell>
          <cell r="AW1192" t="str">
            <v>0</v>
          </cell>
        </row>
        <row r="1193">
          <cell r="AH1193">
            <v>9.42</v>
          </cell>
          <cell r="AW1193" t="str">
            <v>0</v>
          </cell>
        </row>
        <row r="1194">
          <cell r="AH1194">
            <v>9.42</v>
          </cell>
          <cell r="AW1194" t="str">
            <v>0</v>
          </cell>
        </row>
        <row r="1195">
          <cell r="AH1195">
            <v>9.42</v>
          </cell>
          <cell r="AW1195" t="str">
            <v>0</v>
          </cell>
        </row>
        <row r="1196">
          <cell r="AH1196">
            <v>9.42</v>
          </cell>
          <cell r="AW1196" t="str">
            <v>0</v>
          </cell>
        </row>
        <row r="1197">
          <cell r="AH1197">
            <v>9.42</v>
          </cell>
          <cell r="AW1197" t="str">
            <v>0</v>
          </cell>
        </row>
        <row r="1198">
          <cell r="AH1198">
            <v>9.42</v>
          </cell>
          <cell r="AW1198" t="str">
            <v>0</v>
          </cell>
        </row>
        <row r="1199">
          <cell r="AH1199">
            <v>9.42</v>
          </cell>
          <cell r="AW1199" t="str">
            <v>0</v>
          </cell>
        </row>
        <row r="1200">
          <cell r="AH1200">
            <v>9.42</v>
          </cell>
          <cell r="AW1200" t="str">
            <v>0</v>
          </cell>
        </row>
        <row r="1201">
          <cell r="AH1201">
            <v>9.42</v>
          </cell>
          <cell r="AW1201" t="str">
            <v>0</v>
          </cell>
        </row>
        <row r="1202">
          <cell r="AH1202">
            <v>9.42</v>
          </cell>
          <cell r="AW1202" t="str">
            <v>0</v>
          </cell>
        </row>
        <row r="1203">
          <cell r="AH1203">
            <v>9.42</v>
          </cell>
          <cell r="AW1203" t="str">
            <v>0</v>
          </cell>
        </row>
        <row r="1204">
          <cell r="AH1204">
            <v>9.42</v>
          </cell>
          <cell r="AW1204" t="str">
            <v>0</v>
          </cell>
        </row>
        <row r="1205">
          <cell r="AH1205">
            <v>9.42</v>
          </cell>
          <cell r="AW1205" t="str">
            <v>0</v>
          </cell>
        </row>
        <row r="1206">
          <cell r="AH1206">
            <v>9.42</v>
          </cell>
          <cell r="AW1206" t="str">
            <v>0</v>
          </cell>
        </row>
        <row r="1207">
          <cell r="AH1207">
            <v>9.42</v>
          </cell>
          <cell r="AW1207" t="str">
            <v>0</v>
          </cell>
        </row>
        <row r="1208">
          <cell r="AH1208">
            <v>9.42</v>
          </cell>
          <cell r="AW1208" t="str">
            <v>0</v>
          </cell>
        </row>
        <row r="1209">
          <cell r="AH1209">
            <v>9.42</v>
          </cell>
          <cell r="AW1209" t="str">
            <v>0</v>
          </cell>
        </row>
        <row r="1210">
          <cell r="AH1210">
            <v>9.42</v>
          </cell>
          <cell r="AW1210" t="str">
            <v>0</v>
          </cell>
        </row>
        <row r="1211">
          <cell r="AH1211">
            <v>9.42</v>
          </cell>
          <cell r="AW1211" t="str">
            <v>0</v>
          </cell>
        </row>
        <row r="1212">
          <cell r="AH1212">
            <v>9.42</v>
          </cell>
          <cell r="AW1212" t="str">
            <v>0</v>
          </cell>
        </row>
        <row r="1213">
          <cell r="AH1213">
            <v>9.42</v>
          </cell>
          <cell r="AW1213" t="str">
            <v>0</v>
          </cell>
        </row>
        <row r="1214">
          <cell r="AH1214">
            <v>9.42</v>
          </cell>
          <cell r="AW1214" t="str">
            <v>0</v>
          </cell>
        </row>
        <row r="1215">
          <cell r="AH1215">
            <v>9.42</v>
          </cell>
          <cell r="AW1215" t="str">
            <v>0</v>
          </cell>
        </row>
        <row r="1216">
          <cell r="AH1216">
            <v>9.42</v>
          </cell>
          <cell r="AW1216" t="str">
            <v>0</v>
          </cell>
        </row>
        <row r="1217">
          <cell r="AH1217">
            <v>9.42</v>
          </cell>
          <cell r="AW1217" t="str">
            <v>0</v>
          </cell>
        </row>
        <row r="1218">
          <cell r="AH1218">
            <v>9.42</v>
          </cell>
          <cell r="AW1218" t="str">
            <v>0</v>
          </cell>
        </row>
        <row r="1219">
          <cell r="AH1219">
            <v>9.42</v>
          </cell>
          <cell r="AW1219" t="str">
            <v>0</v>
          </cell>
        </row>
        <row r="1220">
          <cell r="AH1220">
            <v>9.42</v>
          </cell>
          <cell r="AW1220" t="str">
            <v>0</v>
          </cell>
        </row>
        <row r="1221">
          <cell r="AH1221">
            <v>9.42</v>
          </cell>
          <cell r="AW1221" t="str">
            <v>0</v>
          </cell>
        </row>
        <row r="1222">
          <cell r="AH1222">
            <v>9.42</v>
          </cell>
          <cell r="AW1222" t="str">
            <v>0</v>
          </cell>
        </row>
        <row r="1223">
          <cell r="AH1223">
            <v>9.42</v>
          </cell>
          <cell r="AW1223" t="str">
            <v>0</v>
          </cell>
        </row>
        <row r="1224">
          <cell r="AH1224">
            <v>9.42</v>
          </cell>
          <cell r="AW1224" t="str">
            <v>0</v>
          </cell>
        </row>
        <row r="1225">
          <cell r="AH1225">
            <v>9.42</v>
          </cell>
          <cell r="AW1225" t="str">
            <v>0</v>
          </cell>
        </row>
        <row r="1226">
          <cell r="AH1226">
            <v>9.42</v>
          </cell>
          <cell r="AW1226" t="str">
            <v>0</v>
          </cell>
        </row>
        <row r="1227">
          <cell r="AH1227">
            <v>9.42</v>
          </cell>
          <cell r="AW1227" t="str">
            <v>0</v>
          </cell>
        </row>
        <row r="1228">
          <cell r="AH1228">
            <v>9.42</v>
          </cell>
          <cell r="AW1228" t="str">
            <v>0</v>
          </cell>
        </row>
        <row r="1229">
          <cell r="AH1229">
            <v>9.42</v>
          </cell>
          <cell r="AW1229" t="str">
            <v>0</v>
          </cell>
        </row>
        <row r="1230">
          <cell r="AH1230">
            <v>9.42</v>
          </cell>
          <cell r="AW1230" t="str">
            <v>0</v>
          </cell>
        </row>
        <row r="1231">
          <cell r="AH1231">
            <v>9.42</v>
          </cell>
          <cell r="AW1231" t="str">
            <v>0</v>
          </cell>
        </row>
        <row r="1232">
          <cell r="AH1232">
            <v>9.42</v>
          </cell>
          <cell r="AW1232" t="str">
            <v>0</v>
          </cell>
        </row>
        <row r="1233">
          <cell r="AH1233">
            <v>9.42</v>
          </cell>
          <cell r="AW1233" t="str">
            <v>0</v>
          </cell>
        </row>
        <row r="1234">
          <cell r="AH1234">
            <v>9.42</v>
          </cell>
          <cell r="AW1234" t="str">
            <v>0</v>
          </cell>
        </row>
        <row r="1235">
          <cell r="AH1235">
            <v>9.42</v>
          </cell>
          <cell r="AW1235" t="str">
            <v>0</v>
          </cell>
        </row>
        <row r="1236">
          <cell r="AH1236">
            <v>9.42</v>
          </cell>
          <cell r="AW1236" t="str">
            <v>0</v>
          </cell>
        </row>
        <row r="1237">
          <cell r="AH1237">
            <v>9.42</v>
          </cell>
          <cell r="AW1237" t="str">
            <v>0</v>
          </cell>
        </row>
        <row r="1238">
          <cell r="AH1238">
            <v>9.42</v>
          </cell>
          <cell r="AW1238" t="str">
            <v>0</v>
          </cell>
        </row>
        <row r="1239">
          <cell r="AH1239">
            <v>9.42</v>
          </cell>
          <cell r="AW1239" t="str">
            <v>0</v>
          </cell>
        </row>
        <row r="1240">
          <cell r="AH1240">
            <v>9.42</v>
          </cell>
          <cell r="AW1240" t="str">
            <v>0</v>
          </cell>
        </row>
        <row r="1241">
          <cell r="AH1241">
            <v>9.42</v>
          </cell>
          <cell r="AW1241" t="str">
            <v>0</v>
          </cell>
        </row>
        <row r="1242">
          <cell r="AH1242">
            <v>9.42</v>
          </cell>
          <cell r="AW1242" t="str">
            <v>0</v>
          </cell>
        </row>
        <row r="1243">
          <cell r="AH1243">
            <v>9.42</v>
          </cell>
          <cell r="AW1243" t="str">
            <v>0</v>
          </cell>
        </row>
        <row r="1244">
          <cell r="AH1244">
            <v>9.42</v>
          </cell>
          <cell r="AW1244" t="str">
            <v>0</v>
          </cell>
        </row>
        <row r="1245">
          <cell r="AH1245">
            <v>9.42</v>
          </cell>
          <cell r="AW1245" t="str">
            <v>0</v>
          </cell>
        </row>
        <row r="1246">
          <cell r="AH1246">
            <v>9.42</v>
          </cell>
          <cell r="AW1246" t="str">
            <v>0</v>
          </cell>
        </row>
        <row r="1247">
          <cell r="AH1247">
            <v>9.42</v>
          </cell>
          <cell r="AW1247" t="str">
            <v>0</v>
          </cell>
        </row>
        <row r="1248">
          <cell r="AH1248">
            <v>9.42</v>
          </cell>
          <cell r="AW1248" t="str">
            <v>0</v>
          </cell>
        </row>
        <row r="1249">
          <cell r="AH1249">
            <v>9.42</v>
          </cell>
          <cell r="AW1249" t="str">
            <v>0</v>
          </cell>
        </row>
        <row r="1250">
          <cell r="AH1250">
            <v>9.42</v>
          </cell>
          <cell r="AW1250" t="str">
            <v>0</v>
          </cell>
        </row>
        <row r="1251">
          <cell r="AH1251">
            <v>9.42</v>
          </cell>
          <cell r="AW1251" t="str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C9D9-3EFE-4BEB-B54E-1A1F6962EFCB}">
  <dimension ref="A1:AT171"/>
  <sheetViews>
    <sheetView tabSelected="1" topLeftCell="C1" workbookViewId="0">
      <selection activeCell="N5" sqref="N5"/>
    </sheetView>
  </sheetViews>
  <sheetFormatPr defaultColWidth="9.140625" defaultRowHeight="15"/>
  <cols>
    <col min="1" max="1" width="7" style="8" customWidth="1"/>
    <col min="2" max="2" width="12.140625" style="8" customWidth="1"/>
    <col min="3" max="3" width="22.85546875" style="8" customWidth="1"/>
    <col min="4" max="4" width="9.5703125" style="9" customWidth="1"/>
    <col min="5" max="5" width="10.85546875" style="8" customWidth="1"/>
    <col min="6" max="6" width="15" style="8" customWidth="1"/>
    <col min="7" max="17" width="6" style="8" customWidth="1"/>
    <col min="18" max="18" width="6.28515625" style="8" customWidth="1"/>
    <col min="19" max="23" width="6" style="8" customWidth="1"/>
    <col min="24" max="24" width="5.85546875" style="8" customWidth="1"/>
    <col min="25" max="29" width="6" style="8" customWidth="1"/>
    <col min="30" max="30" width="4.85546875" style="8" customWidth="1"/>
    <col min="31" max="31" width="5.42578125" style="8" customWidth="1"/>
    <col min="32" max="32" width="5.28515625" style="8" hidden="1" customWidth="1"/>
    <col min="33" max="33" width="4.85546875" style="8" hidden="1" customWidth="1"/>
    <col min="34" max="34" width="4" style="8" hidden="1" customWidth="1"/>
    <col min="35" max="35" width="5.28515625" style="8" hidden="1" customWidth="1"/>
    <col min="36" max="36" width="5.140625" style="8" hidden="1" customWidth="1"/>
    <col min="37" max="37" width="10.42578125" style="43" customWidth="1"/>
    <col min="38" max="38" width="31.42578125" style="44" customWidth="1"/>
    <col min="39" max="40" width="7.42578125" style="8" customWidth="1"/>
    <col min="41" max="41" width="9.5703125" style="9" customWidth="1"/>
    <col min="42" max="42" width="9.28515625" style="8" customWidth="1"/>
    <col min="43" max="43" width="9.140625" style="8"/>
    <col min="44" max="45" width="9.140625" style="8" hidden="1" customWidth="1"/>
    <col min="46" max="16384" width="9.140625" style="8"/>
  </cols>
  <sheetData>
    <row r="1" spans="1:46" s="2" customFormat="1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6" ht="19.149999999999999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 t="s">
        <v>8</v>
      </c>
      <c r="AL2" s="7" t="s">
        <v>9</v>
      </c>
    </row>
    <row r="3" spans="1:46" ht="33" customHeight="1">
      <c r="A3" s="10"/>
      <c r="B3" s="11"/>
      <c r="C3" s="10"/>
      <c r="D3" s="10"/>
      <c r="E3" s="10"/>
      <c r="F3" s="11"/>
      <c r="G3" s="12">
        <v>1</v>
      </c>
      <c r="H3" s="12">
        <f>+G3+1</f>
        <v>2</v>
      </c>
      <c r="I3" s="12">
        <f t="shared" ref="I3:AJ3" si="0">+H3+1</f>
        <v>3</v>
      </c>
      <c r="J3" s="12">
        <f t="shared" si="0"/>
        <v>4</v>
      </c>
      <c r="K3" s="12">
        <f t="shared" si="0"/>
        <v>5</v>
      </c>
      <c r="L3" s="12">
        <f t="shared" si="0"/>
        <v>6</v>
      </c>
      <c r="M3" s="12">
        <f t="shared" si="0"/>
        <v>7</v>
      </c>
      <c r="N3" s="12">
        <f t="shared" si="0"/>
        <v>8</v>
      </c>
      <c r="O3" s="12">
        <f t="shared" si="0"/>
        <v>9</v>
      </c>
      <c r="P3" s="12">
        <f t="shared" si="0"/>
        <v>10</v>
      </c>
      <c r="Q3" s="12">
        <f t="shared" si="0"/>
        <v>11</v>
      </c>
      <c r="R3" s="12">
        <f t="shared" si="0"/>
        <v>12</v>
      </c>
      <c r="S3" s="12">
        <f t="shared" si="0"/>
        <v>13</v>
      </c>
      <c r="T3" s="12">
        <f t="shared" si="0"/>
        <v>14</v>
      </c>
      <c r="U3" s="12">
        <f t="shared" si="0"/>
        <v>15</v>
      </c>
      <c r="V3" s="12">
        <f t="shared" si="0"/>
        <v>16</v>
      </c>
      <c r="W3" s="12">
        <f t="shared" si="0"/>
        <v>17</v>
      </c>
      <c r="X3" s="12">
        <f t="shared" si="0"/>
        <v>18</v>
      </c>
      <c r="Y3" s="12">
        <f t="shared" si="0"/>
        <v>19</v>
      </c>
      <c r="Z3" s="12">
        <f t="shared" si="0"/>
        <v>20</v>
      </c>
      <c r="AA3" s="12">
        <f t="shared" si="0"/>
        <v>21</v>
      </c>
      <c r="AB3" s="12">
        <f t="shared" si="0"/>
        <v>22</v>
      </c>
      <c r="AC3" s="12">
        <f t="shared" si="0"/>
        <v>23</v>
      </c>
      <c r="AD3" s="12">
        <f t="shared" si="0"/>
        <v>24</v>
      </c>
      <c r="AE3" s="12">
        <f t="shared" si="0"/>
        <v>25</v>
      </c>
      <c r="AF3" s="12">
        <f t="shared" si="0"/>
        <v>26</v>
      </c>
      <c r="AG3" s="12">
        <f t="shared" si="0"/>
        <v>27</v>
      </c>
      <c r="AH3" s="12">
        <f t="shared" si="0"/>
        <v>28</v>
      </c>
      <c r="AI3" s="12">
        <f t="shared" si="0"/>
        <v>29</v>
      </c>
      <c r="AJ3" s="12">
        <f t="shared" si="0"/>
        <v>30</v>
      </c>
      <c r="AK3" s="13"/>
      <c r="AL3" s="14"/>
      <c r="AO3" s="15" t="s">
        <v>4</v>
      </c>
      <c r="AP3" s="15" t="s">
        <v>10</v>
      </c>
      <c r="AQ3" s="15" t="s">
        <v>11</v>
      </c>
      <c r="AR3" s="15" t="s">
        <v>12</v>
      </c>
      <c r="AS3" s="15" t="s">
        <v>13</v>
      </c>
    </row>
    <row r="4" spans="1:46" s="22" customFormat="1" ht="15.75" customHeight="1">
      <c r="A4" s="16"/>
      <c r="B4" s="16"/>
      <c r="C4" s="17" t="s">
        <v>14</v>
      </c>
      <c r="D4" s="16"/>
      <c r="E4" s="18"/>
      <c r="F4" s="18"/>
      <c r="G4" s="19" t="str">
        <f>IFERROR(INDEX([1]DATA!$AH:$AH,MATCH('[1]BC_ ĐG LX'!$C4&amp;'[1]BC_ ĐG LX'!G$3,[1]DATA!$AW:$AW,0)),"")</f>
        <v/>
      </c>
      <c r="H4" s="19" t="str">
        <f>IFERROR(INDEX([1]DATA!$AH:$AH,MATCH('[1]BC_ ĐG LX'!$C4&amp;'[1]BC_ ĐG LX'!H$3,[1]DATA!$AW:$AW,0)),"")</f>
        <v/>
      </c>
      <c r="I4" s="19" t="str">
        <f>IFERROR(INDEX([1]DATA!$AH:$AH,MATCH('[1]BC_ ĐG LX'!$C4&amp;'[1]BC_ ĐG LX'!I$3,[1]DATA!$AW:$AW,0)),"")</f>
        <v/>
      </c>
      <c r="J4" s="19" t="str">
        <f>IFERROR(INDEX([1]DATA!$AH:$AH,MATCH('[1]BC_ ĐG LX'!$C4&amp;'[1]BC_ ĐG LX'!J$3,[1]DATA!$AW:$AW,0)),"")</f>
        <v/>
      </c>
      <c r="K4" s="19" t="str">
        <f>IFERROR(INDEX([1]DATA!$AH:$AH,MATCH('[1]BC_ ĐG LX'!$C4&amp;'[1]BC_ ĐG LX'!K$3,[1]DATA!$AW:$AW,0)),"")</f>
        <v/>
      </c>
      <c r="L4" s="19" t="str">
        <f>IFERROR(INDEX([1]DATA!$AH:$AH,MATCH('[1]BC_ ĐG LX'!$C4&amp;'[1]BC_ ĐG LX'!L$3,[1]DATA!$AW:$AW,0)),"")</f>
        <v/>
      </c>
      <c r="M4" s="19" t="str">
        <f>IFERROR(INDEX([1]DATA!$AH:$AH,MATCH('[1]BC_ ĐG LX'!$C4&amp;'[1]BC_ ĐG LX'!M$3,[1]DATA!$AW:$AW,0)),"")</f>
        <v/>
      </c>
      <c r="N4" s="19" t="str">
        <f>IFERROR(INDEX([1]DATA!$AH:$AH,MATCH('[1]BC_ ĐG LX'!$C4&amp;'[1]BC_ ĐG LX'!N$3,[1]DATA!$AW:$AW,0)),"")</f>
        <v/>
      </c>
      <c r="O4" s="19" t="str">
        <f>IFERROR(INDEX([1]DATA!$AH:$AH,MATCH('[1]BC_ ĐG LX'!$C4&amp;'[1]BC_ ĐG LX'!O$3,[1]DATA!$AW:$AW,0)),"")</f>
        <v/>
      </c>
      <c r="P4" s="19" t="str">
        <f>IFERROR(INDEX([1]DATA!$AH:$AH,MATCH('[1]BC_ ĐG LX'!$C4&amp;'[1]BC_ ĐG LX'!P$3,[1]DATA!$AW:$AW,0)),"")</f>
        <v/>
      </c>
      <c r="Q4" s="19" t="str">
        <f>IFERROR(INDEX([1]DATA!$AH:$AH,MATCH('[1]BC_ ĐG LX'!$C4&amp;'[1]BC_ ĐG LX'!Q$3,[1]DATA!$AW:$AW,0)),"")</f>
        <v/>
      </c>
      <c r="R4" s="19" t="str">
        <f>IFERROR(INDEX([1]DATA!$AH:$AH,MATCH('[1]BC_ ĐG LX'!$C4&amp;'[1]BC_ ĐG LX'!R$3,[1]DATA!$AW:$AW,0)),"")</f>
        <v/>
      </c>
      <c r="S4" s="19" t="str">
        <f>IFERROR(INDEX([1]DATA!$AH:$AH,MATCH('[1]BC_ ĐG LX'!$C4&amp;'[1]BC_ ĐG LX'!S$3,[1]DATA!$AW:$AW,0)),"")</f>
        <v/>
      </c>
      <c r="T4" s="19" t="str">
        <f>IFERROR(INDEX([1]DATA!$AH:$AH,MATCH('[1]BC_ ĐG LX'!$C4&amp;'[1]BC_ ĐG LX'!T$3,[1]DATA!$AW:$AW,0)),"")</f>
        <v/>
      </c>
      <c r="U4" s="19" t="str">
        <f>IFERROR(INDEX([1]DATA!$AH:$AH,MATCH('[1]BC_ ĐG LX'!$C4&amp;'[1]BC_ ĐG LX'!U$3,[1]DATA!$AW:$AW,0)),"")</f>
        <v/>
      </c>
      <c r="V4" s="19" t="str">
        <f>IFERROR(INDEX([1]DATA!$AH:$AH,MATCH('[1]BC_ ĐG LX'!$C4&amp;'[1]BC_ ĐG LX'!V$3,[1]DATA!$AW:$AW,0)),"")</f>
        <v/>
      </c>
      <c r="W4" s="19" t="str">
        <f>IFERROR(INDEX([1]DATA!$AH:$AH,MATCH('[1]BC_ ĐG LX'!$C4&amp;'[1]BC_ ĐG LX'!W$3,[1]DATA!$AW:$AW,0)),"")</f>
        <v/>
      </c>
      <c r="X4" s="19" t="str">
        <f>IFERROR(INDEX([1]DATA!$AH:$AH,MATCH('[1]BC_ ĐG LX'!$C4&amp;'[1]BC_ ĐG LX'!X$3,[1]DATA!$AW:$AW,0)),"")</f>
        <v/>
      </c>
      <c r="Y4" s="19" t="str">
        <f>IFERROR(INDEX([1]DATA!$AH:$AH,MATCH('[1]BC_ ĐG LX'!$C4&amp;'[1]BC_ ĐG LX'!Y$3,[1]DATA!$AW:$AW,0)),"")</f>
        <v/>
      </c>
      <c r="Z4" s="19" t="str">
        <f>IFERROR(INDEX([1]DATA!$AH:$AH,MATCH('[1]BC_ ĐG LX'!$C4&amp;'[1]BC_ ĐG LX'!Z$3,[1]DATA!$AW:$AW,0)),"")</f>
        <v/>
      </c>
      <c r="AA4" s="19" t="str">
        <f>IFERROR(INDEX([1]DATA!$AH:$AH,MATCH('[1]BC_ ĐG LX'!$C4&amp;'[1]BC_ ĐG LX'!AA$3,[1]DATA!$AW:$AW,0)),"")</f>
        <v/>
      </c>
      <c r="AB4" s="19" t="str">
        <f>IFERROR(INDEX([1]DATA!$AH:$AH,MATCH('[1]BC_ ĐG LX'!$C4&amp;'[1]BC_ ĐG LX'!AB$3,[1]DATA!$AW:$AW,0)),"")</f>
        <v/>
      </c>
      <c r="AC4" s="19" t="str">
        <f>IFERROR(INDEX([1]DATA!$AH:$AH,MATCH('[1]BC_ ĐG LX'!$C4&amp;'[1]BC_ ĐG LX'!AC$3,[1]DATA!$AW:$AW,0)),"")</f>
        <v/>
      </c>
      <c r="AD4" s="19" t="str">
        <f>IFERROR(INDEX([1]DATA!$AH:$AH,MATCH('[1]BC_ ĐG LX'!$C4&amp;'[1]BC_ ĐG LX'!AD$3,[1]DATA!$AW:$AW,0)),"")</f>
        <v/>
      </c>
      <c r="AE4" s="19" t="str">
        <f>IFERROR(INDEX([1]DATA!$AH:$AH,MATCH('[1]BC_ ĐG LX'!$C4&amp;'[1]BC_ ĐG LX'!AE$3,[1]DATA!$AW:$AW,0)),"")</f>
        <v/>
      </c>
      <c r="AF4" s="19" t="str">
        <f>IFERROR(INDEX([1]DATA!$AH:$AH,MATCH('[1]BC_ ĐG LX'!$C4&amp;'[1]BC_ ĐG LX'!AF$3,[1]DATA!$AW:$AW,0)),"")</f>
        <v/>
      </c>
      <c r="AG4" s="19" t="str">
        <f>IFERROR(INDEX([1]DATA!$AH:$AH,MATCH('[1]BC_ ĐG LX'!$C4&amp;'[1]BC_ ĐG LX'!AG$3,[1]DATA!$AW:$AW,0)),"")</f>
        <v/>
      </c>
      <c r="AH4" s="19" t="str">
        <f>IFERROR(INDEX([1]DATA!$AH:$AH,MATCH('[1]BC_ ĐG LX'!$C4&amp;'[1]BC_ ĐG LX'!AH$3,[1]DATA!$AW:$AW,0)),"")</f>
        <v/>
      </c>
      <c r="AI4" s="19" t="str">
        <f>IFERROR(INDEX([1]DATA!$AH:$AH,MATCH('[1]BC_ ĐG LX'!$C4&amp;'[1]BC_ ĐG LX'!AI$3,[1]DATA!$AW:$AW,0)),"")</f>
        <v/>
      </c>
      <c r="AJ4" s="19" t="str">
        <f>IFERROR(INDEX([1]DATA!$AH:$AH,MATCH('[1]BC_ ĐG LX'!$C4&amp;'[1]BC_ ĐG LX'!AJ$3,[1]DATA!$AW:$AW,0)),"")</f>
        <v/>
      </c>
      <c r="AK4" s="20">
        <f>SUM(AK5:AK25)/COUNTIF(AK5:AK25,"&gt;0")</f>
        <v>9.3714285714285737</v>
      </c>
      <c r="AL4" s="21"/>
      <c r="AM4" s="22">
        <f t="shared" ref="AM4:AM19" si="1">COUNTIF((G4:AJ4),"&gt;"&amp;0)</f>
        <v>0</v>
      </c>
      <c r="AO4" s="23" t="s">
        <v>15</v>
      </c>
      <c r="AP4" s="24">
        <f>AVERAGEIF($D:$D,$AO4,$AK:$AK)</f>
        <v>9.4038461538461551</v>
      </c>
      <c r="AQ4" s="25">
        <f>COUNTIFS(D:D,AO4,AK:AK,"&gt;="&amp;9.5)</f>
        <v>11</v>
      </c>
      <c r="AR4" s="24">
        <v>9.6218749999999993</v>
      </c>
      <c r="AS4" s="25">
        <v>22</v>
      </c>
    </row>
    <row r="5" spans="1:46" s="22" customFormat="1" ht="15.75" customHeight="1">
      <c r="A5" s="16">
        <f>SUBTOTAL(3,$D$4:D5)</f>
        <v>1</v>
      </c>
      <c r="B5" s="16" t="str">
        <f>_xlfn.XLOOKUP(C5,[1]DATA!D:D,[1]DATA!AF:AF)</f>
        <v>XE00019</v>
      </c>
      <c r="C5" s="18" t="s">
        <v>16</v>
      </c>
      <c r="D5" s="16" t="s">
        <v>15</v>
      </c>
      <c r="E5" s="18" t="s">
        <v>17</v>
      </c>
      <c r="F5" s="18" t="s">
        <v>18</v>
      </c>
      <c r="G5" s="19">
        <f>IFERROR(INDEX([1]DATA!$AH:$AH,MATCH('[1]BC_ ĐG LX'!$C5&amp;'[1]BC_ ĐG LX'!G$3,[1]DATA!$AW:$AW,0)),"")</f>
        <v>9.42</v>
      </c>
      <c r="H5" s="19">
        <f>IFERROR(INDEX([1]DATA!$AH:$AH,MATCH('[1]BC_ ĐG LX'!$C5&amp;'[1]BC_ ĐG LX'!H$3,[1]DATA!$AW:$AW,0)),"")</f>
        <v>9.02</v>
      </c>
      <c r="I5" s="19">
        <f>IFERROR(INDEX([1]DATA!$AH:$AH,MATCH('[1]BC_ ĐG LX'!$C5&amp;'[1]BC_ ĐG LX'!I$3,[1]DATA!$AW:$AW,0)),"")</f>
        <v>9.82</v>
      </c>
      <c r="J5" s="19">
        <f>IFERROR(INDEX([1]DATA!$AH:$AH,MATCH('[1]BC_ ĐG LX'!$C5&amp;'[1]BC_ ĐG LX'!J$3,[1]DATA!$AW:$AW,0)),"")</f>
        <v>7.6400000000000006</v>
      </c>
      <c r="K5" s="19">
        <f>IFERROR(INDEX([1]DATA!$AH:$AH,MATCH('[1]BC_ ĐG LX'!$C5&amp;'[1]BC_ ĐG LX'!K$3,[1]DATA!$AW:$AW,0)),"")</f>
        <v>9.6199999999999992</v>
      </c>
      <c r="L5" s="19">
        <f>IFERROR(INDEX([1]DATA!$AH:$AH,MATCH('[1]BC_ ĐG LX'!$C5&amp;'[1]BC_ ĐG LX'!L$3,[1]DATA!$AW:$AW,0)),"")</f>
        <v>8.84</v>
      </c>
      <c r="M5" s="19">
        <f>IFERROR(INDEX([1]DATA!$AH:$AH,MATCH('[1]BC_ ĐG LX'!$C5&amp;'[1]BC_ ĐG LX'!M$3,[1]DATA!$AW:$AW,0)),"")</f>
        <v>9.82</v>
      </c>
      <c r="N5" s="19">
        <f>IFERROR(INDEX([1]DATA!$AH:$AH,MATCH('[1]BC_ ĐG LX'!$C5&amp;'[1]BC_ ĐG LX'!N$3,[1]DATA!$AW:$AW,0)),"")</f>
        <v>9.82</v>
      </c>
      <c r="O5" s="19">
        <f>IFERROR(INDEX([1]DATA!$AH:$AH,MATCH('[1]BC_ ĐG LX'!$C5&amp;'[1]BC_ ĐG LX'!O$3,[1]DATA!$AW:$AW,0)),"")</f>
        <v>9.82</v>
      </c>
      <c r="P5" s="19">
        <f>IFERROR(INDEX([1]DATA!$AH:$AH,MATCH('[1]BC_ ĐG LX'!$C5&amp;'[1]BC_ ĐG LX'!P$3,[1]DATA!$AW:$AW,0)),"")</f>
        <v>9.42</v>
      </c>
      <c r="Q5" s="19">
        <f>IFERROR(INDEX([1]DATA!$AH:$AH,MATCH('[1]BC_ ĐG LX'!$C5&amp;'[1]BC_ ĐG LX'!Q$3,[1]DATA!$AW:$AW,0)),"")</f>
        <v>8.84</v>
      </c>
      <c r="R5" s="19">
        <f>IFERROR(INDEX([1]DATA!$AH:$AH,MATCH('[1]BC_ ĐG LX'!$C5&amp;'[1]BC_ ĐG LX'!R$3,[1]DATA!$AW:$AW,0)),"")</f>
        <v>9.82</v>
      </c>
      <c r="S5" s="19">
        <f>IFERROR(INDEX([1]DATA!$AH:$AH,MATCH('[1]BC_ ĐG LX'!$C5&amp;'[1]BC_ ĐG LX'!S$3,[1]DATA!$AW:$AW,0)),"")</f>
        <v>9.2199999999999989</v>
      </c>
      <c r="T5" s="19">
        <f>IFERROR(INDEX([1]DATA!$AH:$AH,MATCH('[1]BC_ ĐG LX'!$C5&amp;'[1]BC_ ĐG LX'!T$3,[1]DATA!$AW:$AW,0)),"")</f>
        <v>9.42</v>
      </c>
      <c r="U5" s="19">
        <f>IFERROR(INDEX([1]DATA!$AH:$AH,MATCH('[1]BC_ ĐG LX'!$C5&amp;'[1]BC_ ĐG LX'!U$3,[1]DATA!$AW:$AW,0)),"")</f>
        <v>9.42</v>
      </c>
      <c r="V5" s="19">
        <f>IFERROR(INDEX([1]DATA!$AH:$AH,MATCH('[1]BC_ ĐG LX'!$C5&amp;'[1]BC_ ĐG LX'!V$3,[1]DATA!$AW:$AW,0)),"")</f>
        <v>9.82</v>
      </c>
      <c r="W5" s="19">
        <f>IFERROR(INDEX([1]DATA!$AH:$AH,MATCH('[1]BC_ ĐG LX'!$C5&amp;'[1]BC_ ĐG LX'!W$3,[1]DATA!$AW:$AW,0)),"")</f>
        <v>9.42</v>
      </c>
      <c r="X5" s="19">
        <f>IFERROR(INDEX([1]DATA!$AH:$AH,MATCH('[1]BC_ ĐG LX'!$C5&amp;'[1]BC_ ĐG LX'!X$3,[1]DATA!$AW:$AW,0)),"")</f>
        <v>9.82</v>
      </c>
      <c r="Y5" s="19">
        <f>IFERROR(INDEX([1]DATA!$AH:$AH,MATCH('[1]BC_ ĐG LX'!$C5&amp;'[1]BC_ ĐG LX'!Y$3,[1]DATA!$AW:$AW,0)),"")</f>
        <v>9.02</v>
      </c>
      <c r="Z5" s="19">
        <f>IFERROR(INDEX([1]DATA!$AH:$AH,MATCH('[1]BC_ ĐG LX'!$C5&amp;'[1]BC_ ĐG LX'!Z$3,[1]DATA!$AW:$AW,0)),"")</f>
        <v>9.42</v>
      </c>
      <c r="AA5" s="19">
        <f>IFERROR(INDEX([1]DATA!$AH:$AH,MATCH('[1]BC_ ĐG LX'!$C5&amp;'[1]BC_ ĐG LX'!AA$3,[1]DATA!$AW:$AW,0)),"")</f>
        <v>8.84</v>
      </c>
      <c r="AB5" s="19">
        <f>IFERROR(INDEX([1]DATA!$AH:$AH,MATCH('[1]BC_ ĐG LX'!$C5&amp;'[1]BC_ ĐG LX'!AB$3,[1]DATA!$AW:$AW,0)),"")</f>
        <v>9.82</v>
      </c>
      <c r="AC5" s="19">
        <f>IFERROR(INDEX([1]DATA!$AH:$AH,MATCH('[1]BC_ ĐG LX'!$C5&amp;'[1]BC_ ĐG LX'!AC$3,[1]DATA!$AW:$AW,0)),"")</f>
        <v>9.82</v>
      </c>
      <c r="AD5" s="19">
        <f>IFERROR(INDEX([1]DATA!$AH:$AH,MATCH('[1]BC_ ĐG LX'!$C5&amp;'[1]BC_ ĐG LX'!AD$3,[1]DATA!$AW:$AW,0)),"")</f>
        <v>9.42</v>
      </c>
      <c r="AE5" s="19">
        <f>IFERROR(INDEX([1]DATA!$AH:$AH,MATCH('[1]BC_ ĐG LX'!$C5&amp;'[1]BC_ ĐG LX'!AE$3,[1]DATA!$AW:$AW,0)),"")</f>
        <v>9.82</v>
      </c>
      <c r="AF5" s="19" t="str">
        <f>IFERROR(INDEX([1]DATA!$AH:$AH,MATCH('[1]BC_ ĐG LX'!$C5&amp;'[1]BC_ ĐG LX'!AF$3,[1]DATA!$AW:$AW,0)),"")</f>
        <v/>
      </c>
      <c r="AG5" s="19" t="str">
        <f>IFERROR(INDEX([1]DATA!$AH:$AH,MATCH('[1]BC_ ĐG LX'!$C5&amp;'[1]BC_ ĐG LX'!AG$3,[1]DATA!$AW:$AW,0)),"")</f>
        <v/>
      </c>
      <c r="AH5" s="19" t="str">
        <f>IFERROR(INDEX([1]DATA!$AH:$AH,MATCH('[1]BC_ ĐG LX'!$C5&amp;'[1]BC_ ĐG LX'!AH$3,[1]DATA!$AW:$AW,0)),"")</f>
        <v/>
      </c>
      <c r="AI5" s="19" t="str">
        <f>IFERROR(INDEX([1]DATA!$AH:$AH,MATCH('[1]BC_ ĐG LX'!$C5&amp;'[1]BC_ ĐG LX'!AI$3,[1]DATA!$AW:$AW,0)),"")</f>
        <v/>
      </c>
      <c r="AJ5" s="19" t="str">
        <f>IFERROR(INDEX([1]DATA!$AH:$AH,MATCH('[1]BC_ ĐG LX'!$C5&amp;'[1]BC_ ĐG LX'!AJ$3,[1]DATA!$AW:$AW,0)),"")</f>
        <v/>
      </c>
      <c r="AK5" s="26">
        <f>IFERROR(ROUNDUP(+SUM(G5:AJ5)/COUNTIF(G5:AJ5,"&gt;"&amp;0),1),"")</f>
        <v>9.5</v>
      </c>
      <c r="AL5" s="21"/>
      <c r="AM5" s="22">
        <f t="shared" si="1"/>
        <v>25</v>
      </c>
      <c r="AN5" s="22" t="str">
        <f>_xlfn.XLOOKUP(B5,[1]DATA!AF:AF,[1]DATA!AX:AX)</f>
        <v>Lương</v>
      </c>
      <c r="AO5" s="23" t="s">
        <v>19</v>
      </c>
      <c r="AP5" s="24">
        <f>AVERAGEIF($D:$D,$AO5,$AK:$AK)</f>
        <v>9.4526315789473649</v>
      </c>
      <c r="AQ5" s="25">
        <f>COUNTIFS(D:D,AO5,AK:AK,"&gt;="&amp;9.5)</f>
        <v>28</v>
      </c>
      <c r="AR5" s="24">
        <v>9.6821428571428605</v>
      </c>
      <c r="AS5" s="25">
        <v>22</v>
      </c>
    </row>
    <row r="6" spans="1:46" s="22" customFormat="1" ht="15.75" customHeight="1">
      <c r="A6" s="16">
        <f>SUBTOTAL(3,$D$4:D6)</f>
        <v>2</v>
      </c>
      <c r="B6" s="16" t="str">
        <f>_xlfn.XLOOKUP(C6,[1]DATA!D:D,[1]DATA!AF:AF)</f>
        <v>XE00020</v>
      </c>
      <c r="C6" s="18" t="s">
        <v>20</v>
      </c>
      <c r="D6" s="16" t="s">
        <v>15</v>
      </c>
      <c r="E6" s="18" t="s">
        <v>17</v>
      </c>
      <c r="F6" s="18" t="s">
        <v>18</v>
      </c>
      <c r="G6" s="19">
        <f>IFERROR(INDEX([1]DATA!$AH:$AH,MATCH('[1]BC_ ĐG LX'!$C6&amp;'[1]BC_ ĐG LX'!G$3,[1]DATA!$AW:$AW,0)),"")</f>
        <v>9.2199999999999989</v>
      </c>
      <c r="H6" s="19">
        <f>IFERROR(INDEX([1]DATA!$AH:$AH,MATCH('[1]BC_ ĐG LX'!$C6&amp;'[1]BC_ ĐG LX'!H$3,[1]DATA!$AW:$AW,0)),"")</f>
        <v>9.42</v>
      </c>
      <c r="I6" s="19">
        <f>IFERROR(INDEX([1]DATA!$AH:$AH,MATCH('[1]BC_ ĐG LX'!$C6&amp;'[1]BC_ ĐG LX'!I$3,[1]DATA!$AW:$AW,0)),"")</f>
        <v>7.6400000000000006</v>
      </c>
      <c r="J6" s="19">
        <f>IFERROR(INDEX([1]DATA!$AH:$AH,MATCH('[1]BC_ ĐG LX'!$C6&amp;'[1]BC_ ĐG LX'!J$3,[1]DATA!$AW:$AW,0)),"")</f>
        <v>9.42</v>
      </c>
      <c r="K6" s="19">
        <f>IFERROR(INDEX([1]DATA!$AH:$AH,MATCH('[1]BC_ ĐG LX'!$C6&amp;'[1]BC_ ĐG LX'!K$3,[1]DATA!$AW:$AW,0)),"")</f>
        <v>9.82</v>
      </c>
      <c r="L6" s="19">
        <f>IFERROR(INDEX([1]DATA!$AH:$AH,MATCH('[1]BC_ ĐG LX'!$C6&amp;'[1]BC_ ĐG LX'!L$3,[1]DATA!$AW:$AW,0)),"")</f>
        <v>9.82</v>
      </c>
      <c r="M6" s="19">
        <f>IFERROR(INDEX([1]DATA!$AH:$AH,MATCH('[1]BC_ ĐG LX'!$C6&amp;'[1]BC_ ĐG LX'!M$3,[1]DATA!$AW:$AW,0)),"")</f>
        <v>9.42</v>
      </c>
      <c r="N6" s="19">
        <f>IFERROR(INDEX([1]DATA!$AH:$AH,MATCH('[1]BC_ ĐG LX'!$C6&amp;'[1]BC_ ĐG LX'!N$3,[1]DATA!$AW:$AW,0)),"")</f>
        <v>9.2199999999999989</v>
      </c>
      <c r="O6" s="19">
        <f>IFERROR(INDEX([1]DATA!$AH:$AH,MATCH('[1]BC_ ĐG LX'!$C6&amp;'[1]BC_ ĐG LX'!O$3,[1]DATA!$AW:$AW,0)),"")</f>
        <v>9.82</v>
      </c>
      <c r="P6" s="19">
        <f>IFERROR(INDEX([1]DATA!$AH:$AH,MATCH('[1]BC_ ĐG LX'!$C6&amp;'[1]BC_ ĐG LX'!P$3,[1]DATA!$AW:$AW,0)),"")</f>
        <v>8.84</v>
      </c>
      <c r="Q6" s="19">
        <f>IFERROR(INDEX([1]DATA!$AH:$AH,MATCH('[1]BC_ ĐG LX'!$C6&amp;'[1]BC_ ĐG LX'!Q$3,[1]DATA!$AW:$AW,0)),"")</f>
        <v>8.0400000000000009</v>
      </c>
      <c r="R6" s="19">
        <f>IFERROR(INDEX([1]DATA!$AH:$AH,MATCH('[1]BC_ ĐG LX'!$C6&amp;'[1]BC_ ĐG LX'!R$3,[1]DATA!$AW:$AW,0)),"")</f>
        <v>8.84</v>
      </c>
      <c r="S6" s="19">
        <f>IFERROR(INDEX([1]DATA!$AH:$AH,MATCH('[1]BC_ ĐG LX'!$C6&amp;'[1]BC_ ĐG LX'!S$3,[1]DATA!$AW:$AW,0)),"")</f>
        <v>9.82</v>
      </c>
      <c r="T6" s="19">
        <f>IFERROR(INDEX([1]DATA!$AH:$AH,MATCH('[1]BC_ ĐG LX'!$C6&amp;'[1]BC_ ĐG LX'!T$3,[1]DATA!$AW:$AW,0)),"")</f>
        <v>9.42</v>
      </c>
      <c r="U6" s="19">
        <f>IFERROR(INDEX([1]DATA!$AH:$AH,MATCH('[1]BC_ ĐG LX'!$C6&amp;'[1]BC_ ĐG LX'!U$3,[1]DATA!$AW:$AW,0)),"")</f>
        <v>9.42</v>
      </c>
      <c r="V6" s="19">
        <f>IFERROR(INDEX([1]DATA!$AH:$AH,MATCH('[1]BC_ ĐG LX'!$C6&amp;'[1]BC_ ĐG LX'!V$3,[1]DATA!$AW:$AW,0)),"")</f>
        <v>9.82</v>
      </c>
      <c r="W6" s="19">
        <f>IFERROR(INDEX([1]DATA!$AH:$AH,MATCH('[1]BC_ ĐG LX'!$C6&amp;'[1]BC_ ĐG LX'!W$3,[1]DATA!$AW:$AW,0)),"")</f>
        <v>9.82</v>
      </c>
      <c r="X6" s="19">
        <f>IFERROR(INDEX([1]DATA!$AH:$AH,MATCH('[1]BC_ ĐG LX'!$C6&amp;'[1]BC_ ĐG LX'!X$3,[1]DATA!$AW:$AW,0)),"")</f>
        <v>9.02</v>
      </c>
      <c r="Y6" s="19">
        <f>IFERROR(INDEX([1]DATA!$AH:$AH,MATCH('[1]BC_ ĐG LX'!$C6&amp;'[1]BC_ ĐG LX'!Y$3,[1]DATA!$AW:$AW,0)),"")</f>
        <v>9.82</v>
      </c>
      <c r="Z6" s="19">
        <f>IFERROR(INDEX([1]DATA!$AH:$AH,MATCH('[1]BC_ ĐG LX'!$C6&amp;'[1]BC_ ĐG LX'!Z$3,[1]DATA!$AW:$AW,0)),"")</f>
        <v>9.42</v>
      </c>
      <c r="AA6" s="19">
        <f>IFERROR(INDEX([1]DATA!$AH:$AH,MATCH('[1]BC_ ĐG LX'!$C6&amp;'[1]BC_ ĐG LX'!AA$3,[1]DATA!$AW:$AW,0)),"")</f>
        <v>8.84</v>
      </c>
      <c r="AB6" s="19">
        <f>IFERROR(INDEX([1]DATA!$AH:$AH,MATCH('[1]BC_ ĐG LX'!$C6&amp;'[1]BC_ ĐG LX'!AB$3,[1]DATA!$AW:$AW,0)),"")</f>
        <v>9.42</v>
      </c>
      <c r="AC6" s="19">
        <f>IFERROR(INDEX([1]DATA!$AH:$AH,MATCH('[1]BC_ ĐG LX'!$C6&amp;'[1]BC_ ĐG LX'!AC$3,[1]DATA!$AW:$AW,0)),"")</f>
        <v>9.82</v>
      </c>
      <c r="AD6" s="19">
        <f>IFERROR(INDEX([1]DATA!$AH:$AH,MATCH('[1]BC_ ĐG LX'!$C6&amp;'[1]BC_ ĐG LX'!AD$3,[1]DATA!$AW:$AW,0)),"")</f>
        <v>9.82</v>
      </c>
      <c r="AE6" s="19">
        <f>IFERROR(INDEX([1]DATA!$AH:$AH,MATCH('[1]BC_ ĐG LX'!$C6&amp;'[1]BC_ ĐG LX'!AE$3,[1]DATA!$AW:$AW,0)),"")</f>
        <v>9.42</v>
      </c>
      <c r="AF6" s="19" t="str">
        <f>IFERROR(INDEX([1]DATA!$AH:$AH,MATCH('[1]BC_ ĐG LX'!$C6&amp;'[1]BC_ ĐG LX'!AF$3,[1]DATA!$AW:$AW,0)),"")</f>
        <v/>
      </c>
      <c r="AG6" s="19" t="str">
        <f>IFERROR(INDEX([1]DATA!$AH:$AH,MATCH('[1]BC_ ĐG LX'!$C6&amp;'[1]BC_ ĐG LX'!AG$3,[1]DATA!$AW:$AW,0)),"")</f>
        <v/>
      </c>
      <c r="AH6" s="19" t="str">
        <f>IFERROR(INDEX([1]DATA!$AH:$AH,MATCH('[1]BC_ ĐG LX'!$C6&amp;'[1]BC_ ĐG LX'!AH$3,[1]DATA!$AW:$AW,0)),"")</f>
        <v/>
      </c>
      <c r="AI6" s="19" t="str">
        <f>IFERROR(INDEX([1]DATA!$AH:$AH,MATCH('[1]BC_ ĐG LX'!$C6&amp;'[1]BC_ ĐG LX'!AI$3,[1]DATA!$AW:$AW,0)),"")</f>
        <v/>
      </c>
      <c r="AJ6" s="19" t="str">
        <f>IFERROR(INDEX([1]DATA!$AH:$AH,MATCH('[1]BC_ ĐG LX'!$C6&amp;'[1]BC_ ĐG LX'!AJ$3,[1]DATA!$AW:$AW,0)),"")</f>
        <v/>
      </c>
      <c r="AK6" s="26">
        <f t="shared" ref="AK6:AK69" si="2">IFERROR(ROUNDUP(+SUM(G6:AJ6)/COUNTIF(G6:AJ6,"&gt;"&amp;0),1),"")</f>
        <v>9.4</v>
      </c>
      <c r="AL6" s="21"/>
      <c r="AM6" s="22">
        <f t="shared" si="1"/>
        <v>25</v>
      </c>
      <c r="AN6" s="22" t="str">
        <f>_xlfn.XLOOKUP(B6,[1]DATA!AF:AF,[1]DATA!AX:AX)</f>
        <v>Lương</v>
      </c>
      <c r="AO6" s="23" t="s">
        <v>21</v>
      </c>
      <c r="AP6" s="24">
        <f>AVERAGEIF($D:$D,$AO6,$AK:$AK)</f>
        <v>9.3875000000000011</v>
      </c>
      <c r="AQ6" s="25">
        <f>COUNTIFS(D:D,AO6,AK:AK,"&gt;="&amp;9.5)</f>
        <v>9</v>
      </c>
      <c r="AR6" s="24">
        <v>9.6761904761904702</v>
      </c>
      <c r="AS6" s="25">
        <v>18</v>
      </c>
    </row>
    <row r="7" spans="1:46" s="22" customFormat="1" ht="15.75" customHeight="1">
      <c r="A7" s="16">
        <f>SUBTOTAL(3,$D$4:D7)</f>
        <v>3</v>
      </c>
      <c r="B7" s="16" t="str">
        <f>_xlfn.XLOOKUP(C7,[1]DATA!D:D,[1]DATA!AF:AF)</f>
        <v>XE00050</v>
      </c>
      <c r="C7" s="18" t="s">
        <v>22</v>
      </c>
      <c r="D7" s="16" t="s">
        <v>15</v>
      </c>
      <c r="E7" s="18" t="s">
        <v>17</v>
      </c>
      <c r="F7" s="18" t="s">
        <v>18</v>
      </c>
      <c r="G7" s="19">
        <f>IFERROR(INDEX([1]DATA!$AH:$AH,MATCH('[1]BC_ ĐG LX'!$C7&amp;'[1]BC_ ĐG LX'!G$3,[1]DATA!$AW:$AW,0)),"")</f>
        <v>8.44</v>
      </c>
      <c r="H7" s="19">
        <f>IFERROR(INDEX([1]DATA!$AH:$AH,MATCH('[1]BC_ ĐG LX'!$C7&amp;'[1]BC_ ĐG LX'!H$3,[1]DATA!$AW:$AW,0)),"")</f>
        <v>9.82</v>
      </c>
      <c r="I7" s="19">
        <f>IFERROR(INDEX([1]DATA!$AH:$AH,MATCH('[1]BC_ ĐG LX'!$C7&amp;'[1]BC_ ĐG LX'!I$3,[1]DATA!$AW:$AW,0)),"")</f>
        <v>9.42</v>
      </c>
      <c r="J7" s="19">
        <f>IFERROR(INDEX([1]DATA!$AH:$AH,MATCH('[1]BC_ ĐG LX'!$C7&amp;'[1]BC_ ĐG LX'!J$3,[1]DATA!$AW:$AW,0)),"")</f>
        <v>9.82</v>
      </c>
      <c r="K7" s="19">
        <f>IFERROR(INDEX([1]DATA!$AH:$AH,MATCH('[1]BC_ ĐG LX'!$C7&amp;'[1]BC_ ĐG LX'!K$3,[1]DATA!$AW:$AW,0)),"")</f>
        <v>9.42</v>
      </c>
      <c r="L7" s="19">
        <f>IFERROR(INDEX([1]DATA!$AH:$AH,MATCH('[1]BC_ ĐG LX'!$C7&amp;'[1]BC_ ĐG LX'!L$3,[1]DATA!$AW:$AW,0)),"")</f>
        <v>9.82</v>
      </c>
      <c r="M7" s="19">
        <f>IFERROR(INDEX([1]DATA!$AH:$AH,MATCH('[1]BC_ ĐG LX'!$C7&amp;'[1]BC_ ĐG LX'!M$3,[1]DATA!$AW:$AW,0)),"")</f>
        <v>9.64</v>
      </c>
      <c r="N7" s="19">
        <f>IFERROR(INDEX([1]DATA!$AH:$AH,MATCH('[1]BC_ ĐG LX'!$C7&amp;'[1]BC_ ĐG LX'!N$3,[1]DATA!$AW:$AW,0)),"")</f>
        <v>8.84</v>
      </c>
      <c r="O7" s="19">
        <f>IFERROR(INDEX([1]DATA!$AH:$AH,MATCH('[1]BC_ ĐG LX'!$C7&amp;'[1]BC_ ĐG LX'!O$3,[1]DATA!$AW:$AW,0)),"")</f>
        <v>9.82</v>
      </c>
      <c r="P7" s="19">
        <f>IFERROR(INDEX([1]DATA!$AH:$AH,MATCH('[1]BC_ ĐG LX'!$C7&amp;'[1]BC_ ĐG LX'!P$3,[1]DATA!$AW:$AW,0)),"")</f>
        <v>9.42</v>
      </c>
      <c r="Q7" s="19">
        <f>IFERROR(INDEX([1]DATA!$AH:$AH,MATCH('[1]BC_ ĐG LX'!$C7&amp;'[1]BC_ ĐG LX'!Q$3,[1]DATA!$AW:$AW,0)),"")</f>
        <v>8.2200000000000006</v>
      </c>
      <c r="R7" s="19">
        <f>IFERROR(INDEX([1]DATA!$AH:$AH,MATCH('[1]BC_ ĐG LX'!$C7&amp;'[1]BC_ ĐG LX'!R$3,[1]DATA!$AW:$AW,0)),"")</f>
        <v>7.82</v>
      </c>
      <c r="S7" s="19">
        <f>IFERROR(INDEX([1]DATA!$AH:$AH,MATCH('[1]BC_ ĐG LX'!$C7&amp;'[1]BC_ ĐG LX'!S$3,[1]DATA!$AW:$AW,0)),"")</f>
        <v>8.84</v>
      </c>
      <c r="T7" s="19">
        <f>IFERROR(INDEX([1]DATA!$AH:$AH,MATCH('[1]BC_ ĐG LX'!$C7&amp;'[1]BC_ ĐG LX'!T$3,[1]DATA!$AW:$AW,0)),"")</f>
        <v>9.42</v>
      </c>
      <c r="U7" s="19">
        <f>IFERROR(INDEX([1]DATA!$AH:$AH,MATCH('[1]BC_ ĐG LX'!$C7&amp;'[1]BC_ ĐG LX'!U$3,[1]DATA!$AW:$AW,0)),"")</f>
        <v>9.42</v>
      </c>
      <c r="V7" s="19">
        <f>IFERROR(INDEX([1]DATA!$AH:$AH,MATCH('[1]BC_ ĐG LX'!$C7&amp;'[1]BC_ ĐG LX'!V$3,[1]DATA!$AW:$AW,0)),"")</f>
        <v>9.42</v>
      </c>
      <c r="W7" s="19">
        <f>IFERROR(INDEX([1]DATA!$AH:$AH,MATCH('[1]BC_ ĐG LX'!$C7&amp;'[1]BC_ ĐG LX'!W$3,[1]DATA!$AW:$AW,0)),"")</f>
        <v>9.42</v>
      </c>
      <c r="X7" s="19">
        <f>IFERROR(INDEX([1]DATA!$AH:$AH,MATCH('[1]BC_ ĐG LX'!$C7&amp;'[1]BC_ ĐG LX'!X$3,[1]DATA!$AW:$AW,0)),"")</f>
        <v>8.84</v>
      </c>
      <c r="Y7" s="19">
        <f>IFERROR(INDEX([1]DATA!$AH:$AH,MATCH('[1]BC_ ĐG LX'!$C7&amp;'[1]BC_ ĐG LX'!Y$3,[1]DATA!$AW:$AW,0)),"")</f>
        <v>9.6199999999999992</v>
      </c>
      <c r="Z7" s="19">
        <f>IFERROR(INDEX([1]DATA!$AH:$AH,MATCH('[1]BC_ ĐG LX'!$C7&amp;'[1]BC_ ĐG LX'!Z$3,[1]DATA!$AW:$AW,0)),"")</f>
        <v>9.82</v>
      </c>
      <c r="AA7" s="19">
        <f>IFERROR(INDEX([1]DATA!$AH:$AH,MATCH('[1]BC_ ĐG LX'!$C7&amp;'[1]BC_ ĐG LX'!AA$3,[1]DATA!$AW:$AW,0)),"")</f>
        <v>8.24</v>
      </c>
      <c r="AB7" s="19">
        <f>IFERROR(INDEX([1]DATA!$AH:$AH,MATCH('[1]BC_ ĐG LX'!$C7&amp;'[1]BC_ ĐG LX'!AB$3,[1]DATA!$AW:$AW,0)),"")</f>
        <v>9.02</v>
      </c>
      <c r="AC7" s="19">
        <f>IFERROR(INDEX([1]DATA!$AH:$AH,MATCH('[1]BC_ ĐG LX'!$C7&amp;'[1]BC_ ĐG LX'!AC$3,[1]DATA!$AW:$AW,0)),"")</f>
        <v>9.42</v>
      </c>
      <c r="AD7" s="19">
        <f>IFERROR(INDEX([1]DATA!$AH:$AH,MATCH('[1]BC_ ĐG LX'!$C7&amp;'[1]BC_ ĐG LX'!AD$3,[1]DATA!$AW:$AW,0)),"")</f>
        <v>9.42</v>
      </c>
      <c r="AE7" s="19">
        <f>IFERROR(INDEX([1]DATA!$AH:$AH,MATCH('[1]BC_ ĐG LX'!$C7&amp;'[1]BC_ ĐG LX'!AE$3,[1]DATA!$AW:$AW,0)),"")</f>
        <v>9.2199999999999989</v>
      </c>
      <c r="AF7" s="19" t="str">
        <f>IFERROR(INDEX([1]DATA!$AH:$AH,MATCH('[1]BC_ ĐG LX'!$C7&amp;'[1]BC_ ĐG LX'!AF$3,[1]DATA!$AW:$AW,0)),"")</f>
        <v/>
      </c>
      <c r="AG7" s="19" t="str">
        <f>IFERROR(INDEX([1]DATA!$AH:$AH,MATCH('[1]BC_ ĐG LX'!$C7&amp;'[1]BC_ ĐG LX'!AG$3,[1]DATA!$AW:$AW,0)),"")</f>
        <v/>
      </c>
      <c r="AH7" s="19" t="str">
        <f>IFERROR(INDEX([1]DATA!$AH:$AH,MATCH('[1]BC_ ĐG LX'!$C7&amp;'[1]BC_ ĐG LX'!AH$3,[1]DATA!$AW:$AW,0)),"")</f>
        <v/>
      </c>
      <c r="AI7" s="19" t="str">
        <f>IFERROR(INDEX([1]DATA!$AH:$AH,MATCH('[1]BC_ ĐG LX'!$C7&amp;'[1]BC_ ĐG LX'!AI$3,[1]DATA!$AW:$AW,0)),"")</f>
        <v/>
      </c>
      <c r="AJ7" s="19" t="str">
        <f>IFERROR(INDEX([1]DATA!$AH:$AH,MATCH('[1]BC_ ĐG LX'!$C7&amp;'[1]BC_ ĐG LX'!AJ$3,[1]DATA!$AW:$AW,0)),"")</f>
        <v/>
      </c>
      <c r="AK7" s="26">
        <f t="shared" si="2"/>
        <v>9.2999999999999989</v>
      </c>
      <c r="AL7" s="21"/>
      <c r="AM7" s="22">
        <f t="shared" si="1"/>
        <v>25</v>
      </c>
      <c r="AN7" s="22" t="str">
        <f>_xlfn.XLOOKUP(B7,[1]DATA!AF:AF,[1]DATA!AX:AX)</f>
        <v>Lương</v>
      </c>
      <c r="AO7" s="23" t="s">
        <v>23</v>
      </c>
      <c r="AP7" s="24">
        <f>AVERAGEIF($D:$D,$AO7,$AK:$AK)</f>
        <v>9.4749999999999996</v>
      </c>
      <c r="AQ7" s="25">
        <f>COUNTIFS(D:D,AO7,AK:AK,"&gt;="&amp;9.5)</f>
        <v>13</v>
      </c>
      <c r="AR7" s="24">
        <v>9.7133333333333294</v>
      </c>
      <c r="AS7" s="25">
        <v>15</v>
      </c>
    </row>
    <row r="8" spans="1:46" s="22" customFormat="1" ht="15.75" customHeight="1">
      <c r="A8" s="16">
        <f>SUBTOTAL(3,$D$4:D8)</f>
        <v>4</v>
      </c>
      <c r="B8" s="16" t="str">
        <f>_xlfn.XLOOKUP(C8,[1]DATA!D:D,[1]DATA!AF:AF)</f>
        <v>XE00098</v>
      </c>
      <c r="C8" s="18" t="s">
        <v>24</v>
      </c>
      <c r="D8" s="16" t="s">
        <v>15</v>
      </c>
      <c r="E8" s="18" t="s">
        <v>17</v>
      </c>
      <c r="F8" s="18" t="s">
        <v>18</v>
      </c>
      <c r="G8" s="19">
        <f>IFERROR(INDEX([1]DATA!$AH:$AH,MATCH('[1]BC_ ĐG LX'!$C8&amp;'[1]BC_ ĐG LX'!G$3,[1]DATA!$AW:$AW,0)),"")</f>
        <v>9.42</v>
      </c>
      <c r="H8" s="19">
        <f>IFERROR(INDEX([1]DATA!$AH:$AH,MATCH('[1]BC_ ĐG LX'!$C8&amp;'[1]BC_ ĐG LX'!H$3,[1]DATA!$AW:$AW,0)),"")</f>
        <v>9.02</v>
      </c>
      <c r="I8" s="19">
        <f>IFERROR(INDEX([1]DATA!$AH:$AH,MATCH('[1]BC_ ĐG LX'!$C8&amp;'[1]BC_ ĐG LX'!I$3,[1]DATA!$AW:$AW,0)),"")</f>
        <v>9.02</v>
      </c>
      <c r="J8" s="19">
        <f>IFERROR(INDEX([1]DATA!$AH:$AH,MATCH('[1]BC_ ĐG LX'!$C8&amp;'[1]BC_ ĐG LX'!J$3,[1]DATA!$AW:$AW,0)),"")</f>
        <v>8.84</v>
      </c>
      <c r="K8" s="19">
        <f>IFERROR(INDEX([1]DATA!$AH:$AH,MATCH('[1]BC_ ĐG LX'!$C8&amp;'[1]BC_ ĐG LX'!K$3,[1]DATA!$AW:$AW,0)),"")</f>
        <v>9.6</v>
      </c>
      <c r="L8" s="19">
        <f>IFERROR(INDEX([1]DATA!$AH:$AH,MATCH('[1]BC_ ĐG LX'!$C8&amp;'[1]BC_ ĐG LX'!L$3,[1]DATA!$AW:$AW,0)),"")</f>
        <v>7.24</v>
      </c>
      <c r="M8" s="19">
        <f>IFERROR(INDEX([1]DATA!$AH:$AH,MATCH('[1]BC_ ĐG LX'!$C8&amp;'[1]BC_ ĐG LX'!M$3,[1]DATA!$AW:$AW,0)),"")</f>
        <v>9.82</v>
      </c>
      <c r="N8" s="19">
        <f>IFERROR(INDEX([1]DATA!$AH:$AH,MATCH('[1]BC_ ĐG LX'!$C8&amp;'[1]BC_ ĐG LX'!N$3,[1]DATA!$AW:$AW,0)),"")</f>
        <v>9.82</v>
      </c>
      <c r="O8" s="19">
        <f>IFERROR(INDEX([1]DATA!$AH:$AH,MATCH('[1]BC_ ĐG LX'!$C8&amp;'[1]BC_ ĐG LX'!O$3,[1]DATA!$AW:$AW,0)),"")</f>
        <v>9.42</v>
      </c>
      <c r="P8" s="19">
        <f>IFERROR(INDEX([1]DATA!$AH:$AH,MATCH('[1]BC_ ĐG LX'!$C8&amp;'[1]BC_ ĐG LX'!P$3,[1]DATA!$AW:$AW,0)),"")</f>
        <v>9.82</v>
      </c>
      <c r="Q8" s="19">
        <f>IFERROR(INDEX([1]DATA!$AH:$AH,MATCH('[1]BC_ ĐG LX'!$C8&amp;'[1]BC_ ĐG LX'!Q$3,[1]DATA!$AW:$AW,0)),"")</f>
        <v>9.82</v>
      </c>
      <c r="R8" s="19">
        <f>IFERROR(INDEX([1]DATA!$AH:$AH,MATCH('[1]BC_ ĐG LX'!$C8&amp;'[1]BC_ ĐG LX'!R$3,[1]DATA!$AW:$AW,0)),"")</f>
        <v>9.82</v>
      </c>
      <c r="S8" s="19">
        <f>IFERROR(INDEX([1]DATA!$AH:$AH,MATCH('[1]BC_ ĐG LX'!$C8&amp;'[1]BC_ ĐG LX'!S$3,[1]DATA!$AW:$AW,0)),"")</f>
        <v>9.82</v>
      </c>
      <c r="T8" s="19">
        <f>IFERROR(INDEX([1]DATA!$AH:$AH,MATCH('[1]BC_ ĐG LX'!$C8&amp;'[1]BC_ ĐG LX'!T$3,[1]DATA!$AW:$AW,0)),"")</f>
        <v>8.44</v>
      </c>
      <c r="U8" s="19">
        <f>IFERROR(INDEX([1]DATA!$AH:$AH,MATCH('[1]BC_ ĐG LX'!$C8&amp;'[1]BC_ ĐG LX'!U$3,[1]DATA!$AW:$AW,0)),"")</f>
        <v>7.82</v>
      </c>
      <c r="V8" s="19">
        <f>IFERROR(INDEX([1]DATA!$AH:$AH,MATCH('[1]BC_ ĐG LX'!$C8&amp;'[1]BC_ ĐG LX'!V$3,[1]DATA!$AW:$AW,0)),"")</f>
        <v>9.82</v>
      </c>
      <c r="W8" s="19">
        <f>IFERROR(INDEX([1]DATA!$AH:$AH,MATCH('[1]BC_ ĐG LX'!$C8&amp;'[1]BC_ ĐG LX'!W$3,[1]DATA!$AW:$AW,0)),"")</f>
        <v>9.82</v>
      </c>
      <c r="X8" s="19">
        <f>IFERROR(INDEX([1]DATA!$AH:$AH,MATCH('[1]BC_ ĐG LX'!$C8&amp;'[1]BC_ ĐG LX'!X$3,[1]DATA!$AW:$AW,0)),"")</f>
        <v>9.02</v>
      </c>
      <c r="Y8" s="19">
        <f>IFERROR(INDEX([1]DATA!$AH:$AH,MATCH('[1]BC_ ĐG LX'!$C8&amp;'[1]BC_ ĐG LX'!Y$3,[1]DATA!$AW:$AW,0)),"")</f>
        <v>9.42</v>
      </c>
      <c r="Z8" s="19">
        <f>IFERROR(INDEX([1]DATA!$AH:$AH,MATCH('[1]BC_ ĐG LX'!$C8&amp;'[1]BC_ ĐG LX'!Z$3,[1]DATA!$AW:$AW,0)),"")</f>
        <v>9.82</v>
      </c>
      <c r="AA8" s="19">
        <f>IFERROR(INDEX([1]DATA!$AH:$AH,MATCH('[1]BC_ ĐG LX'!$C8&amp;'[1]BC_ ĐG LX'!AA$3,[1]DATA!$AW:$AW,0)),"")</f>
        <v>9.42</v>
      </c>
      <c r="AB8" s="19">
        <f>IFERROR(INDEX([1]DATA!$AH:$AH,MATCH('[1]BC_ ĐG LX'!$C8&amp;'[1]BC_ ĐG LX'!AB$3,[1]DATA!$AW:$AW,0)),"")</f>
        <v>9.82</v>
      </c>
      <c r="AC8" s="19">
        <f>IFERROR(INDEX([1]DATA!$AH:$AH,MATCH('[1]BC_ ĐG LX'!$C8&amp;'[1]BC_ ĐG LX'!AC$3,[1]DATA!$AW:$AW,0)),"")</f>
        <v>9.82</v>
      </c>
      <c r="AD8" s="19">
        <f>IFERROR(INDEX([1]DATA!$AH:$AH,MATCH('[1]BC_ ĐG LX'!$C8&amp;'[1]BC_ ĐG LX'!AD$3,[1]DATA!$AW:$AW,0)),"")</f>
        <v>9.42</v>
      </c>
      <c r="AE8" s="19">
        <f>IFERROR(INDEX([1]DATA!$AH:$AH,MATCH('[1]BC_ ĐG LX'!$C8&amp;'[1]BC_ ĐG LX'!AE$3,[1]DATA!$AW:$AW,0)),"")</f>
        <v>9.42</v>
      </c>
      <c r="AF8" s="19" t="str">
        <f>IFERROR(INDEX([1]DATA!$AH:$AH,MATCH('[1]BC_ ĐG LX'!$C8&amp;'[1]BC_ ĐG LX'!AF$3,[1]DATA!$AW:$AW,0)),"")</f>
        <v/>
      </c>
      <c r="AG8" s="19" t="str">
        <f>IFERROR(INDEX([1]DATA!$AH:$AH,MATCH('[1]BC_ ĐG LX'!$C8&amp;'[1]BC_ ĐG LX'!AG$3,[1]DATA!$AW:$AW,0)),"")</f>
        <v/>
      </c>
      <c r="AH8" s="19" t="str">
        <f>IFERROR(INDEX([1]DATA!$AH:$AH,MATCH('[1]BC_ ĐG LX'!$C8&amp;'[1]BC_ ĐG LX'!AH$3,[1]DATA!$AW:$AW,0)),"")</f>
        <v/>
      </c>
      <c r="AI8" s="19" t="str">
        <f>IFERROR(INDEX([1]DATA!$AH:$AH,MATCH('[1]BC_ ĐG LX'!$C8&amp;'[1]BC_ ĐG LX'!AI$3,[1]DATA!$AW:$AW,0)),"")</f>
        <v/>
      </c>
      <c r="AJ8" s="19" t="str">
        <f>IFERROR(INDEX([1]DATA!$AH:$AH,MATCH('[1]BC_ ĐG LX'!$C8&amp;'[1]BC_ ĐG LX'!AJ$3,[1]DATA!$AW:$AW,0)),"")</f>
        <v/>
      </c>
      <c r="AK8" s="26">
        <f t="shared" si="2"/>
        <v>9.4</v>
      </c>
      <c r="AL8" s="21"/>
      <c r="AM8" s="22">
        <f t="shared" si="1"/>
        <v>25</v>
      </c>
      <c r="AN8" s="22" t="str">
        <f>_xlfn.XLOOKUP(B8,[1]DATA!AF:AF,[1]DATA!AX:AX)</f>
        <v>Lương</v>
      </c>
      <c r="AO8" s="23" t="s">
        <v>25</v>
      </c>
      <c r="AP8" s="24">
        <f>AVERAGEIF($D:$D,$AO8,$AK:$AK)</f>
        <v>9.3714285714285701</v>
      </c>
      <c r="AQ8" s="25">
        <f>COUNTIFS(D:D,AO8,AK:AK,"&gt;="&amp;9.5)</f>
        <v>5</v>
      </c>
    </row>
    <row r="9" spans="1:46" s="22" customFormat="1" ht="15.75" customHeight="1">
      <c r="A9" s="16">
        <f>SUBTOTAL(3,$D$4:D9)</f>
        <v>5</v>
      </c>
      <c r="B9" s="16" t="str">
        <f>_xlfn.XLOOKUP(C9,[1]DATA!D:D,[1]DATA!AF:AF)</f>
        <v>XE00109</v>
      </c>
      <c r="C9" s="18" t="s">
        <v>26</v>
      </c>
      <c r="D9" s="16" t="s">
        <v>15</v>
      </c>
      <c r="E9" s="18" t="s">
        <v>17</v>
      </c>
      <c r="F9" s="18" t="s">
        <v>18</v>
      </c>
      <c r="G9" s="19">
        <f>IFERROR(INDEX([1]DATA!$AH:$AH,MATCH('[1]BC_ ĐG LX'!$C9&amp;'[1]BC_ ĐG LX'!G$3,[1]DATA!$AW:$AW,0)),"")</f>
        <v>9.42</v>
      </c>
      <c r="H9" s="19">
        <f>IFERROR(INDEX([1]DATA!$AH:$AH,MATCH('[1]BC_ ĐG LX'!$C9&amp;'[1]BC_ ĐG LX'!H$3,[1]DATA!$AW:$AW,0)),"")</f>
        <v>10</v>
      </c>
      <c r="I9" s="19">
        <f>IFERROR(INDEX([1]DATA!$AH:$AH,MATCH('[1]BC_ ĐG LX'!$C9&amp;'[1]BC_ ĐG LX'!I$3,[1]DATA!$AW:$AW,0)),"")</f>
        <v>9.42</v>
      </c>
      <c r="J9" s="19">
        <f>IFERROR(INDEX([1]DATA!$AH:$AH,MATCH('[1]BC_ ĐG LX'!$C9&amp;'[1]BC_ ĐG LX'!J$3,[1]DATA!$AW:$AW,0)),"")</f>
        <v>9.82</v>
      </c>
      <c r="K9" s="19">
        <f>IFERROR(INDEX([1]DATA!$AH:$AH,MATCH('[1]BC_ ĐG LX'!$C9&amp;'[1]BC_ ĐG LX'!K$3,[1]DATA!$AW:$AW,0)),"")</f>
        <v>9.82</v>
      </c>
      <c r="L9" s="19">
        <f>IFERROR(INDEX([1]DATA!$AH:$AH,MATCH('[1]BC_ ĐG LX'!$C9&amp;'[1]BC_ ĐG LX'!L$3,[1]DATA!$AW:$AW,0)),"")</f>
        <v>9.02</v>
      </c>
      <c r="M9" s="19">
        <f>IFERROR(INDEX([1]DATA!$AH:$AH,MATCH('[1]BC_ ĐG LX'!$C9&amp;'[1]BC_ ĐG LX'!M$3,[1]DATA!$AW:$AW,0)),"")</f>
        <v>9.42</v>
      </c>
      <c r="N9" s="19">
        <f>IFERROR(INDEX([1]DATA!$AH:$AH,MATCH('[1]BC_ ĐG LX'!$C9&amp;'[1]BC_ ĐG LX'!N$3,[1]DATA!$AW:$AW,0)),"")</f>
        <v>9.82</v>
      </c>
      <c r="O9" s="19">
        <f>IFERROR(INDEX([1]DATA!$AH:$AH,MATCH('[1]BC_ ĐG LX'!$C9&amp;'[1]BC_ ĐG LX'!O$3,[1]DATA!$AW:$AW,0)),"")</f>
        <v>9.82</v>
      </c>
      <c r="P9" s="19">
        <f>IFERROR(INDEX([1]DATA!$AH:$AH,MATCH('[1]BC_ ĐG LX'!$C9&amp;'[1]BC_ ĐG LX'!P$3,[1]DATA!$AW:$AW,0)),"")</f>
        <v>9.82</v>
      </c>
      <c r="Q9" s="19">
        <f>IFERROR(INDEX([1]DATA!$AH:$AH,MATCH('[1]BC_ ĐG LX'!$C9&amp;'[1]BC_ ĐG LX'!Q$3,[1]DATA!$AW:$AW,0)),"")</f>
        <v>9.42</v>
      </c>
      <c r="R9" s="19">
        <f>IFERROR(INDEX([1]DATA!$AH:$AH,MATCH('[1]BC_ ĐG LX'!$C9&amp;'[1]BC_ ĐG LX'!R$3,[1]DATA!$AW:$AW,0)),"")</f>
        <v>9.42</v>
      </c>
      <c r="S9" s="19">
        <f>IFERROR(INDEX([1]DATA!$AH:$AH,MATCH('[1]BC_ ĐG LX'!$C9&amp;'[1]BC_ ĐG LX'!S$3,[1]DATA!$AW:$AW,0)),"")</f>
        <v>9.82</v>
      </c>
      <c r="T9" s="19">
        <f>IFERROR(INDEX([1]DATA!$AH:$AH,MATCH('[1]BC_ ĐG LX'!$C9&amp;'[1]BC_ ĐG LX'!T$3,[1]DATA!$AW:$AW,0)),"")</f>
        <v>9.82</v>
      </c>
      <c r="U9" s="19">
        <f>IFERROR(INDEX([1]DATA!$AH:$AH,MATCH('[1]BC_ ĐG LX'!$C9&amp;'[1]BC_ ĐG LX'!U$3,[1]DATA!$AW:$AW,0)),"")</f>
        <v>9.82</v>
      </c>
      <c r="V9" s="19">
        <f>IFERROR(INDEX([1]DATA!$AH:$AH,MATCH('[1]BC_ ĐG LX'!$C9&amp;'[1]BC_ ĐG LX'!V$3,[1]DATA!$AW:$AW,0)),"")</f>
        <v>9.42</v>
      </c>
      <c r="W9" s="19">
        <f>IFERROR(INDEX([1]DATA!$AH:$AH,MATCH('[1]BC_ ĐG LX'!$C9&amp;'[1]BC_ ĐG LX'!W$3,[1]DATA!$AW:$AW,0)),"")</f>
        <v>9.42</v>
      </c>
      <c r="X9" s="19">
        <f>IFERROR(INDEX([1]DATA!$AH:$AH,MATCH('[1]BC_ ĐG LX'!$C9&amp;'[1]BC_ ĐG LX'!X$3,[1]DATA!$AW:$AW,0)),"")</f>
        <v>9.82</v>
      </c>
      <c r="Y9" s="19">
        <f>IFERROR(INDEX([1]DATA!$AH:$AH,MATCH('[1]BC_ ĐG LX'!$C9&amp;'[1]BC_ ĐG LX'!Y$3,[1]DATA!$AW:$AW,0)),"")</f>
        <v>9.82</v>
      </c>
      <c r="Z9" s="19">
        <f>IFERROR(INDEX([1]DATA!$AH:$AH,MATCH('[1]BC_ ĐG LX'!$C9&amp;'[1]BC_ ĐG LX'!Z$3,[1]DATA!$AW:$AW,0)),"")</f>
        <v>9.42</v>
      </c>
      <c r="AA9" s="19">
        <f>IFERROR(INDEX([1]DATA!$AH:$AH,MATCH('[1]BC_ ĐG LX'!$C9&amp;'[1]BC_ ĐG LX'!AA$3,[1]DATA!$AW:$AW,0)),"")</f>
        <v>9.82</v>
      </c>
      <c r="AB9" s="19">
        <f>IFERROR(INDEX([1]DATA!$AH:$AH,MATCH('[1]BC_ ĐG LX'!$C9&amp;'[1]BC_ ĐG LX'!AB$3,[1]DATA!$AW:$AW,0)),"")</f>
        <v>9.82</v>
      </c>
      <c r="AC9" s="19">
        <f>IFERROR(INDEX([1]DATA!$AH:$AH,MATCH('[1]BC_ ĐG LX'!$C9&amp;'[1]BC_ ĐG LX'!AC$3,[1]DATA!$AW:$AW,0)),"")</f>
        <v>9.82</v>
      </c>
      <c r="AD9" s="19">
        <f>IFERROR(INDEX([1]DATA!$AH:$AH,MATCH('[1]BC_ ĐG LX'!$C9&amp;'[1]BC_ ĐG LX'!AD$3,[1]DATA!$AW:$AW,0)),"")</f>
        <v>9.82</v>
      </c>
      <c r="AE9" s="19">
        <f>IFERROR(INDEX([1]DATA!$AH:$AH,MATCH('[1]BC_ ĐG LX'!$C9&amp;'[1]BC_ ĐG LX'!AE$3,[1]DATA!$AW:$AW,0)),"")</f>
        <v>9.82</v>
      </c>
      <c r="AF9" s="19" t="str">
        <f>IFERROR(INDEX([1]DATA!$AH:$AH,MATCH('[1]BC_ ĐG LX'!$C9&amp;'[1]BC_ ĐG LX'!AF$3,[1]DATA!$AW:$AW,0)),"")</f>
        <v/>
      </c>
      <c r="AG9" s="19" t="str">
        <f>IFERROR(INDEX([1]DATA!$AH:$AH,MATCH('[1]BC_ ĐG LX'!$C9&amp;'[1]BC_ ĐG LX'!AG$3,[1]DATA!$AW:$AW,0)),"")</f>
        <v/>
      </c>
      <c r="AH9" s="19" t="str">
        <f>IFERROR(INDEX([1]DATA!$AH:$AH,MATCH('[1]BC_ ĐG LX'!$C9&amp;'[1]BC_ ĐG LX'!AH$3,[1]DATA!$AW:$AW,0)),"")</f>
        <v/>
      </c>
      <c r="AI9" s="19" t="str">
        <f>IFERROR(INDEX([1]DATA!$AH:$AH,MATCH('[1]BC_ ĐG LX'!$C9&amp;'[1]BC_ ĐG LX'!AI$3,[1]DATA!$AW:$AW,0)),"")</f>
        <v/>
      </c>
      <c r="AJ9" s="19" t="str">
        <f>IFERROR(INDEX([1]DATA!$AH:$AH,MATCH('[1]BC_ ĐG LX'!$C9&amp;'[1]BC_ ĐG LX'!AJ$3,[1]DATA!$AW:$AW,0)),"")</f>
        <v/>
      </c>
      <c r="AK9" s="26">
        <f t="shared" si="2"/>
        <v>9.6999999999999993</v>
      </c>
      <c r="AL9" s="21"/>
      <c r="AM9" s="22">
        <f t="shared" si="1"/>
        <v>25</v>
      </c>
      <c r="AN9" s="22" t="str">
        <f>_xlfn.XLOOKUP(B9,[1]DATA!AF:AF,[1]DATA!AX:AX)</f>
        <v>Lương</v>
      </c>
      <c r="AO9"/>
      <c r="AQ9" s="22">
        <f>SUM(AQ4:AQ8)</f>
        <v>66</v>
      </c>
      <c r="AT9" s="22">
        <f>COUNTA(B4:B171)</f>
        <v>156</v>
      </c>
    </row>
    <row r="10" spans="1:46" s="22" customFormat="1" ht="15.75" customHeight="1">
      <c r="A10" s="16">
        <f>SUBTOTAL(3,$D$4:D10)</f>
        <v>6</v>
      </c>
      <c r="B10" s="16" t="str">
        <f>_xlfn.XLOOKUP(C10,[1]DATA!D:D,[1]DATA!AF:AF)</f>
        <v>XE00137</v>
      </c>
      <c r="C10" s="18" t="s">
        <v>27</v>
      </c>
      <c r="D10" s="16" t="s">
        <v>15</v>
      </c>
      <c r="E10" s="18" t="s">
        <v>17</v>
      </c>
      <c r="F10" s="18" t="s">
        <v>18</v>
      </c>
      <c r="G10" s="19">
        <f>IFERROR(INDEX([1]DATA!$AH:$AH,MATCH('[1]BC_ ĐG LX'!$C10&amp;'[1]BC_ ĐG LX'!G$3,[1]DATA!$AW:$AW,0)),"")</f>
        <v>9.82</v>
      </c>
      <c r="H10" s="19">
        <f>IFERROR(INDEX([1]DATA!$AH:$AH,MATCH('[1]BC_ ĐG LX'!$C10&amp;'[1]BC_ ĐG LX'!H$3,[1]DATA!$AW:$AW,0)),"")</f>
        <v>9.82</v>
      </c>
      <c r="I10" s="19">
        <f>IFERROR(INDEX([1]DATA!$AH:$AH,MATCH('[1]BC_ ĐG LX'!$C10&amp;'[1]BC_ ĐG LX'!I$3,[1]DATA!$AW:$AW,0)),"")</f>
        <v>7.6199999999999992</v>
      </c>
      <c r="J10" s="19">
        <f>IFERROR(INDEX([1]DATA!$AH:$AH,MATCH('[1]BC_ ĐG LX'!$C10&amp;'[1]BC_ ĐG LX'!J$3,[1]DATA!$AW:$AW,0)),"")</f>
        <v>9.82</v>
      </c>
      <c r="K10" s="19">
        <f>IFERROR(INDEX([1]DATA!$AH:$AH,MATCH('[1]BC_ ĐG LX'!$C10&amp;'[1]BC_ ĐG LX'!K$3,[1]DATA!$AW:$AW,0)),"")</f>
        <v>9.82</v>
      </c>
      <c r="L10" s="19">
        <f>IFERROR(INDEX([1]DATA!$AH:$AH,MATCH('[1]BC_ ĐG LX'!$C10&amp;'[1]BC_ ĐG LX'!L$3,[1]DATA!$AW:$AW,0)),"")</f>
        <v>9.42</v>
      </c>
      <c r="M10" s="19">
        <f>IFERROR(INDEX([1]DATA!$AH:$AH,MATCH('[1]BC_ ĐG LX'!$C10&amp;'[1]BC_ ĐG LX'!M$3,[1]DATA!$AW:$AW,0)),"")</f>
        <v>9.6199999999999992</v>
      </c>
      <c r="N10" s="19">
        <f>IFERROR(INDEX([1]DATA!$AH:$AH,MATCH('[1]BC_ ĐG LX'!$C10&amp;'[1]BC_ ĐG LX'!N$3,[1]DATA!$AW:$AW,0)),"")</f>
        <v>7.44</v>
      </c>
      <c r="O10" s="19">
        <f>IFERROR(INDEX([1]DATA!$AH:$AH,MATCH('[1]BC_ ĐG LX'!$C10&amp;'[1]BC_ ĐG LX'!O$3,[1]DATA!$AW:$AW,0)),"")</f>
        <v>9.2199999999999989</v>
      </c>
      <c r="P10" s="19">
        <f>IFERROR(INDEX([1]DATA!$AH:$AH,MATCH('[1]BC_ ĐG LX'!$C10&amp;'[1]BC_ ĐG LX'!P$3,[1]DATA!$AW:$AW,0)),"")</f>
        <v>9.64</v>
      </c>
      <c r="Q10" s="19">
        <f>IFERROR(INDEX([1]DATA!$AH:$AH,MATCH('[1]BC_ ĐG LX'!$C10&amp;'[1]BC_ ĐG LX'!Q$3,[1]DATA!$AW:$AW,0)),"")</f>
        <v>9.42</v>
      </c>
      <c r="R10" s="19">
        <f>IFERROR(INDEX([1]DATA!$AH:$AH,MATCH('[1]BC_ ĐG LX'!$C10&amp;'[1]BC_ ĐG LX'!R$3,[1]DATA!$AW:$AW,0)),"")</f>
        <v>9.82</v>
      </c>
      <c r="S10" s="19">
        <f>IFERROR(INDEX([1]DATA!$AH:$AH,MATCH('[1]BC_ ĐG LX'!$C10&amp;'[1]BC_ ĐG LX'!S$3,[1]DATA!$AW:$AW,0)),"")</f>
        <v>9.82</v>
      </c>
      <c r="T10" s="19">
        <f>IFERROR(INDEX([1]DATA!$AH:$AH,MATCH('[1]BC_ ĐG LX'!$C10&amp;'[1]BC_ ĐG LX'!T$3,[1]DATA!$AW:$AW,0)),"")</f>
        <v>9.02</v>
      </c>
      <c r="U10" s="19">
        <f>IFERROR(INDEX([1]DATA!$AH:$AH,MATCH('[1]BC_ ĐG LX'!$C10&amp;'[1]BC_ ĐG LX'!U$3,[1]DATA!$AW:$AW,0)),"")</f>
        <v>9.24</v>
      </c>
      <c r="V10" s="19">
        <f>IFERROR(INDEX([1]DATA!$AH:$AH,MATCH('[1]BC_ ĐG LX'!$C10&amp;'[1]BC_ ĐG LX'!V$3,[1]DATA!$AW:$AW,0)),"")</f>
        <v>9.02</v>
      </c>
      <c r="W10" s="19">
        <f>IFERROR(INDEX([1]DATA!$AH:$AH,MATCH('[1]BC_ ĐG LX'!$C10&amp;'[1]BC_ ĐG LX'!W$3,[1]DATA!$AW:$AW,0)),"")</f>
        <v>9.82</v>
      </c>
      <c r="X10" s="19">
        <f>IFERROR(INDEX([1]DATA!$AH:$AH,MATCH('[1]BC_ ĐG LX'!$C10&amp;'[1]BC_ ĐG LX'!X$3,[1]DATA!$AW:$AW,0)),"")</f>
        <v>9.02</v>
      </c>
      <c r="Y10" s="19">
        <f>IFERROR(INDEX([1]DATA!$AH:$AH,MATCH('[1]BC_ ĐG LX'!$C10&amp;'[1]BC_ ĐG LX'!Y$3,[1]DATA!$AW:$AW,0)),"")</f>
        <v>9.82</v>
      </c>
      <c r="Z10" s="19">
        <f>IFERROR(INDEX([1]DATA!$AH:$AH,MATCH('[1]BC_ ĐG LX'!$C10&amp;'[1]BC_ ĐG LX'!Z$3,[1]DATA!$AW:$AW,0)),"")</f>
        <v>9.82</v>
      </c>
      <c r="AA10" s="19">
        <f>IFERROR(INDEX([1]DATA!$AH:$AH,MATCH('[1]BC_ ĐG LX'!$C10&amp;'[1]BC_ ĐG LX'!AA$3,[1]DATA!$AW:$AW,0)),"")</f>
        <v>9.42</v>
      </c>
      <c r="AB10" s="19">
        <f>IFERROR(INDEX([1]DATA!$AH:$AH,MATCH('[1]BC_ ĐG LX'!$C10&amp;'[1]BC_ ĐG LX'!AB$3,[1]DATA!$AW:$AW,0)),"")</f>
        <v>8.84</v>
      </c>
      <c r="AC10" s="19">
        <f>IFERROR(INDEX([1]DATA!$AH:$AH,MATCH('[1]BC_ ĐG LX'!$C10&amp;'[1]BC_ ĐG LX'!AC$3,[1]DATA!$AW:$AW,0)),"")</f>
        <v>8.0399999999999991</v>
      </c>
      <c r="AD10" s="19">
        <f>IFERROR(INDEX([1]DATA!$AH:$AH,MATCH('[1]BC_ ĐG LX'!$C10&amp;'[1]BC_ ĐG LX'!AD$3,[1]DATA!$AW:$AW,0)),"")</f>
        <v>9.02</v>
      </c>
      <c r="AE10" s="19">
        <f>IFERROR(INDEX([1]DATA!$AH:$AH,MATCH('[1]BC_ ĐG LX'!$C10&amp;'[1]BC_ ĐG LX'!AE$3,[1]DATA!$AW:$AW,0)),"")</f>
        <v>9.42</v>
      </c>
      <c r="AF10" s="19" t="str">
        <f>IFERROR(INDEX([1]DATA!$AH:$AH,MATCH('[1]BC_ ĐG LX'!$C10&amp;'[1]BC_ ĐG LX'!AF$3,[1]DATA!$AW:$AW,0)),"")</f>
        <v/>
      </c>
      <c r="AG10" s="19" t="str">
        <f>IFERROR(INDEX([1]DATA!$AH:$AH,MATCH('[1]BC_ ĐG LX'!$C10&amp;'[1]BC_ ĐG LX'!AG$3,[1]DATA!$AW:$AW,0)),"")</f>
        <v/>
      </c>
      <c r="AH10" s="19" t="str">
        <f>IFERROR(INDEX([1]DATA!$AH:$AH,MATCH('[1]BC_ ĐG LX'!$C10&amp;'[1]BC_ ĐG LX'!AH$3,[1]DATA!$AW:$AW,0)),"")</f>
        <v/>
      </c>
      <c r="AI10" s="19" t="str">
        <f>IFERROR(INDEX([1]DATA!$AH:$AH,MATCH('[1]BC_ ĐG LX'!$C10&amp;'[1]BC_ ĐG LX'!AI$3,[1]DATA!$AW:$AW,0)),"")</f>
        <v/>
      </c>
      <c r="AJ10" s="19" t="str">
        <f>IFERROR(INDEX([1]DATA!$AH:$AH,MATCH('[1]BC_ ĐG LX'!$C10&amp;'[1]BC_ ĐG LX'!AJ$3,[1]DATA!$AW:$AW,0)),"")</f>
        <v/>
      </c>
      <c r="AK10" s="26">
        <f t="shared" si="2"/>
        <v>9.2999999999999989</v>
      </c>
      <c r="AL10" s="21"/>
      <c r="AM10" s="22">
        <f t="shared" si="1"/>
        <v>25</v>
      </c>
      <c r="AN10" s="22" t="str">
        <f>_xlfn.XLOOKUP(B10,[1]DATA!AF:AF,[1]DATA!AX:AX)</f>
        <v>Lương</v>
      </c>
      <c r="AO10"/>
      <c r="AQ10" s="27">
        <f>AQ9/AT9</f>
        <v>0.42307692307692307</v>
      </c>
    </row>
    <row r="11" spans="1:46" s="22" customFormat="1" ht="15.75" customHeight="1">
      <c r="A11" s="16">
        <f>SUBTOTAL(3,$D$4:D11)</f>
        <v>7</v>
      </c>
      <c r="B11" s="16" t="str">
        <f>_xlfn.XLOOKUP(C11,[1]DATA!D:D,[1]DATA!AF:AF)</f>
        <v>XE00195</v>
      </c>
      <c r="C11" s="18" t="s">
        <v>28</v>
      </c>
      <c r="D11" s="16" t="s">
        <v>15</v>
      </c>
      <c r="E11" s="18" t="s">
        <v>17</v>
      </c>
      <c r="F11" s="18" t="s">
        <v>18</v>
      </c>
      <c r="G11" s="19">
        <f>IFERROR(INDEX([1]DATA!$AH:$AH,MATCH('[1]BC_ ĐG LX'!$C11&amp;'[1]BC_ ĐG LX'!G$3,[1]DATA!$AW:$AW,0)),"")</f>
        <v>9.82</v>
      </c>
      <c r="H11" s="19">
        <f>IFERROR(INDEX([1]DATA!$AH:$AH,MATCH('[1]BC_ ĐG LX'!$C11&amp;'[1]BC_ ĐG LX'!H$3,[1]DATA!$AW:$AW,0)),"")</f>
        <v>8.84</v>
      </c>
      <c r="I11" s="19">
        <f>IFERROR(INDEX([1]DATA!$AH:$AH,MATCH('[1]BC_ ĐG LX'!$C11&amp;'[1]BC_ ĐG LX'!I$3,[1]DATA!$AW:$AW,0)),"")</f>
        <v>7.6800000000000006</v>
      </c>
      <c r="J11" s="19">
        <f>IFERROR(INDEX([1]DATA!$AH:$AH,MATCH('[1]BC_ ĐG LX'!$C11&amp;'[1]BC_ ĐG LX'!J$3,[1]DATA!$AW:$AW,0)),"")</f>
        <v>9.82</v>
      </c>
      <c r="K11" s="19">
        <f>IFERROR(INDEX([1]DATA!$AH:$AH,MATCH('[1]BC_ ĐG LX'!$C11&amp;'[1]BC_ ĐG LX'!K$3,[1]DATA!$AW:$AW,0)),"")</f>
        <v>9.02</v>
      </c>
      <c r="L11" s="19">
        <f>IFERROR(INDEX([1]DATA!$AH:$AH,MATCH('[1]BC_ ĐG LX'!$C11&amp;'[1]BC_ ĐG LX'!L$3,[1]DATA!$AW:$AW,0)),"")</f>
        <v>9.82</v>
      </c>
      <c r="M11" s="19">
        <f>IFERROR(INDEX([1]DATA!$AH:$AH,MATCH('[1]BC_ ĐG LX'!$C11&amp;'[1]BC_ ĐG LX'!M$3,[1]DATA!$AW:$AW,0)),"")</f>
        <v>6.8400000000000007</v>
      </c>
      <c r="N11" s="19">
        <f>IFERROR(INDEX([1]DATA!$AH:$AH,MATCH('[1]BC_ ĐG LX'!$C11&amp;'[1]BC_ ĐG LX'!N$3,[1]DATA!$AW:$AW,0)),"")</f>
        <v>9.02</v>
      </c>
      <c r="O11" s="19">
        <f>IFERROR(INDEX([1]DATA!$AH:$AH,MATCH('[1]BC_ ĐG LX'!$C11&amp;'[1]BC_ ĐG LX'!O$3,[1]DATA!$AW:$AW,0)),"")</f>
        <v>7.24</v>
      </c>
      <c r="P11" s="19">
        <f>IFERROR(INDEX([1]DATA!$AH:$AH,MATCH('[1]BC_ ĐG LX'!$C11&amp;'[1]BC_ ĐG LX'!P$3,[1]DATA!$AW:$AW,0)),"")</f>
        <v>9.02</v>
      </c>
      <c r="Q11" s="19">
        <f>IFERROR(INDEX([1]DATA!$AH:$AH,MATCH('[1]BC_ ĐG LX'!$C11&amp;'[1]BC_ ĐG LX'!Q$3,[1]DATA!$AW:$AW,0)),"")</f>
        <v>8.44</v>
      </c>
      <c r="R11" s="19">
        <f>IFERROR(INDEX([1]DATA!$AH:$AH,MATCH('[1]BC_ ĐG LX'!$C11&amp;'[1]BC_ ĐG LX'!R$3,[1]DATA!$AW:$AW,0)),"")</f>
        <v>8.44</v>
      </c>
      <c r="S11" s="19">
        <f>IFERROR(INDEX([1]DATA!$AH:$AH,MATCH('[1]BC_ ĐG LX'!$C11&amp;'[1]BC_ ĐG LX'!S$3,[1]DATA!$AW:$AW,0)),"")</f>
        <v>9.82</v>
      </c>
      <c r="T11" s="19">
        <f>IFERROR(INDEX([1]DATA!$AH:$AH,MATCH('[1]BC_ ĐG LX'!$C11&amp;'[1]BC_ ĐG LX'!T$3,[1]DATA!$AW:$AW,0)),"")</f>
        <v>8.84</v>
      </c>
      <c r="U11" s="19">
        <f>IFERROR(INDEX([1]DATA!$AH:$AH,MATCH('[1]BC_ ĐG LX'!$C11&amp;'[1]BC_ ĐG LX'!U$3,[1]DATA!$AW:$AW,0)),"")</f>
        <v>9.42</v>
      </c>
      <c r="V11" s="19">
        <f>IFERROR(INDEX([1]DATA!$AH:$AH,MATCH('[1]BC_ ĐG LX'!$C11&amp;'[1]BC_ ĐG LX'!V$3,[1]DATA!$AW:$AW,0)),"")</f>
        <v>9.64</v>
      </c>
      <c r="W11" s="19">
        <f>IFERROR(INDEX([1]DATA!$AH:$AH,MATCH('[1]BC_ ĐG LX'!$C11&amp;'[1]BC_ ĐG LX'!W$3,[1]DATA!$AW:$AW,0)),"")</f>
        <v>9.6199999999999992</v>
      </c>
      <c r="X11" s="19">
        <f>IFERROR(INDEX([1]DATA!$AH:$AH,MATCH('[1]BC_ ĐG LX'!$C11&amp;'[1]BC_ ĐG LX'!X$3,[1]DATA!$AW:$AW,0)),"")</f>
        <v>8.84</v>
      </c>
      <c r="Y11" s="19">
        <f>IFERROR(INDEX([1]DATA!$AH:$AH,MATCH('[1]BC_ ĐG LX'!$C11&amp;'[1]BC_ ĐG LX'!Y$3,[1]DATA!$AW:$AW,0)),"")</f>
        <v>7.24</v>
      </c>
      <c r="Z11" s="19">
        <f>IFERROR(INDEX([1]DATA!$AH:$AH,MATCH('[1]BC_ ĐG LX'!$C11&amp;'[1]BC_ ĐG LX'!Z$3,[1]DATA!$AW:$AW,0)),"")</f>
        <v>9.42</v>
      </c>
      <c r="AA11" s="19">
        <f>IFERROR(INDEX([1]DATA!$AH:$AH,MATCH('[1]BC_ ĐG LX'!$C11&amp;'[1]BC_ ĐG LX'!AA$3,[1]DATA!$AW:$AW,0)),"")</f>
        <v>9.42</v>
      </c>
      <c r="AB11" s="19">
        <f>IFERROR(INDEX([1]DATA!$AH:$AH,MATCH('[1]BC_ ĐG LX'!$C11&amp;'[1]BC_ ĐG LX'!AB$3,[1]DATA!$AW:$AW,0)),"")</f>
        <v>9.42</v>
      </c>
      <c r="AC11" s="19">
        <f>IFERROR(INDEX([1]DATA!$AH:$AH,MATCH('[1]BC_ ĐG LX'!$C11&amp;'[1]BC_ ĐG LX'!AC$3,[1]DATA!$AW:$AW,0)),"")</f>
        <v>9.82</v>
      </c>
      <c r="AD11" s="19">
        <f>IFERROR(INDEX([1]DATA!$AH:$AH,MATCH('[1]BC_ ĐG LX'!$C11&amp;'[1]BC_ ĐG LX'!AD$3,[1]DATA!$AW:$AW,0)),"")</f>
        <v>9.42</v>
      </c>
      <c r="AE11" s="19">
        <f>IFERROR(INDEX([1]DATA!$AH:$AH,MATCH('[1]BC_ ĐG LX'!$C11&amp;'[1]BC_ ĐG LX'!AE$3,[1]DATA!$AW:$AW,0)),"")</f>
        <v>9.42</v>
      </c>
      <c r="AF11" s="19" t="str">
        <f>IFERROR(INDEX([1]DATA!$AH:$AH,MATCH('[1]BC_ ĐG LX'!$C11&amp;'[1]BC_ ĐG LX'!AF$3,[1]DATA!$AW:$AW,0)),"")</f>
        <v/>
      </c>
      <c r="AG11" s="19" t="str">
        <f>IFERROR(INDEX([1]DATA!$AH:$AH,MATCH('[1]BC_ ĐG LX'!$C11&amp;'[1]BC_ ĐG LX'!AG$3,[1]DATA!$AW:$AW,0)),"")</f>
        <v/>
      </c>
      <c r="AH11" s="19" t="str">
        <f>IFERROR(INDEX([1]DATA!$AH:$AH,MATCH('[1]BC_ ĐG LX'!$C11&amp;'[1]BC_ ĐG LX'!AH$3,[1]DATA!$AW:$AW,0)),"")</f>
        <v/>
      </c>
      <c r="AI11" s="19" t="str">
        <f>IFERROR(INDEX([1]DATA!$AH:$AH,MATCH('[1]BC_ ĐG LX'!$C11&amp;'[1]BC_ ĐG LX'!AI$3,[1]DATA!$AW:$AW,0)),"")</f>
        <v/>
      </c>
      <c r="AJ11" s="19" t="str">
        <f>IFERROR(INDEX([1]DATA!$AH:$AH,MATCH('[1]BC_ ĐG LX'!$C11&amp;'[1]BC_ ĐG LX'!AJ$3,[1]DATA!$AW:$AW,0)),"")</f>
        <v/>
      </c>
      <c r="AK11" s="26">
        <f t="shared" si="2"/>
        <v>9</v>
      </c>
      <c r="AL11" s="21"/>
      <c r="AM11" s="22">
        <f t="shared" si="1"/>
        <v>25</v>
      </c>
      <c r="AN11" s="22" t="str">
        <f>_xlfn.XLOOKUP(B11,[1]DATA!AF:AF,[1]DATA!AX:AX)</f>
        <v>Lương</v>
      </c>
      <c r="AO11"/>
    </row>
    <row r="12" spans="1:46" s="22" customFormat="1" ht="15.75" customHeight="1">
      <c r="A12" s="16">
        <f>SUBTOTAL(3,$D$4:D12)</f>
        <v>8</v>
      </c>
      <c r="B12" s="16" t="str">
        <f>_xlfn.XLOOKUP(C12,[1]DATA!D:D,[1]DATA!AF:AF)</f>
        <v>XE00240</v>
      </c>
      <c r="C12" s="18" t="s">
        <v>29</v>
      </c>
      <c r="D12" s="16" t="s">
        <v>15</v>
      </c>
      <c r="E12" s="18" t="s">
        <v>17</v>
      </c>
      <c r="F12" s="18" t="s">
        <v>18</v>
      </c>
      <c r="G12" s="19">
        <f>IFERROR(INDEX([1]DATA!$AH:$AH,MATCH('[1]BC_ ĐG LX'!$C12&amp;'[1]BC_ ĐG LX'!G$3,[1]DATA!$AW:$AW,0)),"")</f>
        <v>9.42</v>
      </c>
      <c r="H12" s="19">
        <f>IFERROR(INDEX([1]DATA!$AH:$AH,MATCH('[1]BC_ ĐG LX'!$C12&amp;'[1]BC_ ĐG LX'!H$3,[1]DATA!$AW:$AW,0)),"")</f>
        <v>9.42</v>
      </c>
      <c r="I12" s="19">
        <f>IFERROR(INDEX([1]DATA!$AH:$AH,MATCH('[1]BC_ ĐG LX'!$C12&amp;'[1]BC_ ĐG LX'!I$3,[1]DATA!$AW:$AW,0)),"")</f>
        <v>9.42</v>
      </c>
      <c r="J12" s="19">
        <f>IFERROR(INDEX([1]DATA!$AH:$AH,MATCH('[1]BC_ ĐG LX'!$C12&amp;'[1]BC_ ĐG LX'!J$3,[1]DATA!$AW:$AW,0)),"")</f>
        <v>9.42</v>
      </c>
      <c r="K12" s="19">
        <f>IFERROR(INDEX([1]DATA!$AH:$AH,MATCH('[1]BC_ ĐG LX'!$C12&amp;'[1]BC_ ĐG LX'!K$3,[1]DATA!$AW:$AW,0)),"")</f>
        <v>9.02</v>
      </c>
      <c r="L12" s="19">
        <f>IFERROR(INDEX([1]DATA!$AH:$AH,MATCH('[1]BC_ ĐG LX'!$C12&amp;'[1]BC_ ĐG LX'!L$3,[1]DATA!$AW:$AW,0)),"")</f>
        <v>9.42</v>
      </c>
      <c r="M12" s="19">
        <f>IFERROR(INDEX([1]DATA!$AH:$AH,MATCH('[1]BC_ ĐG LX'!$C12&amp;'[1]BC_ ĐG LX'!M$3,[1]DATA!$AW:$AW,0)),"")</f>
        <v>9.42</v>
      </c>
      <c r="N12" s="19">
        <f>IFERROR(INDEX([1]DATA!$AH:$AH,MATCH('[1]BC_ ĐG LX'!$C12&amp;'[1]BC_ ĐG LX'!N$3,[1]DATA!$AW:$AW,0)),"")</f>
        <v>8.2200000000000006</v>
      </c>
      <c r="O12" s="19">
        <f>IFERROR(INDEX([1]DATA!$AH:$AH,MATCH('[1]BC_ ĐG LX'!$C12&amp;'[1]BC_ ĐG LX'!O$3,[1]DATA!$AW:$AW,0)),"")</f>
        <v>8.2200000000000006</v>
      </c>
      <c r="P12" s="19">
        <f>IFERROR(INDEX([1]DATA!$AH:$AH,MATCH('[1]BC_ ĐG LX'!$C12&amp;'[1]BC_ ĐG LX'!P$3,[1]DATA!$AW:$AW,0)),"")</f>
        <v>8.2200000000000006</v>
      </c>
      <c r="Q12" s="19">
        <f>IFERROR(INDEX([1]DATA!$AH:$AH,MATCH('[1]BC_ ĐG LX'!$C12&amp;'[1]BC_ ĐG LX'!Q$3,[1]DATA!$AW:$AW,0)),"")</f>
        <v>9.82</v>
      </c>
      <c r="R12" s="19">
        <f>IFERROR(INDEX([1]DATA!$AH:$AH,MATCH('[1]BC_ ĐG LX'!$C12&amp;'[1]BC_ ĐG LX'!R$3,[1]DATA!$AW:$AW,0)),"")</f>
        <v>9.02</v>
      </c>
      <c r="S12" s="19">
        <f>IFERROR(INDEX([1]DATA!$AH:$AH,MATCH('[1]BC_ ĐG LX'!$C12&amp;'[1]BC_ ĐG LX'!S$3,[1]DATA!$AW:$AW,0)),"")</f>
        <v>9.42</v>
      </c>
      <c r="T12" s="19">
        <f>IFERROR(INDEX([1]DATA!$AH:$AH,MATCH('[1]BC_ ĐG LX'!$C12&amp;'[1]BC_ ĐG LX'!T$3,[1]DATA!$AW:$AW,0)),"")</f>
        <v>9.24</v>
      </c>
      <c r="U12" s="19">
        <f>IFERROR(INDEX([1]DATA!$AH:$AH,MATCH('[1]BC_ ĐG LX'!$C12&amp;'[1]BC_ ĐG LX'!U$3,[1]DATA!$AW:$AW,0)),"")</f>
        <v>9.02</v>
      </c>
      <c r="V12" s="19">
        <f>IFERROR(INDEX([1]DATA!$AH:$AH,MATCH('[1]BC_ ĐG LX'!$C12&amp;'[1]BC_ ĐG LX'!V$3,[1]DATA!$AW:$AW,0)),"")</f>
        <v>7.6400000000000006</v>
      </c>
      <c r="W12" s="19">
        <f>IFERROR(INDEX([1]DATA!$AH:$AH,MATCH('[1]BC_ ĐG LX'!$C12&amp;'[1]BC_ ĐG LX'!W$3,[1]DATA!$AW:$AW,0)),"")</f>
        <v>9.42</v>
      </c>
      <c r="X12" s="19">
        <f>IFERROR(INDEX([1]DATA!$AH:$AH,MATCH('[1]BC_ ĐG LX'!$C12&amp;'[1]BC_ ĐG LX'!X$3,[1]DATA!$AW:$AW,0)),"")</f>
        <v>9.42</v>
      </c>
      <c r="Y12" s="19">
        <f>IFERROR(INDEX([1]DATA!$AH:$AH,MATCH('[1]BC_ ĐG LX'!$C12&amp;'[1]BC_ ĐG LX'!Y$3,[1]DATA!$AW:$AW,0)),"")</f>
        <v>9.82</v>
      </c>
      <c r="Z12" s="19">
        <f>IFERROR(INDEX([1]DATA!$AH:$AH,MATCH('[1]BC_ ĐG LX'!$C12&amp;'[1]BC_ ĐG LX'!Z$3,[1]DATA!$AW:$AW,0)),"")</f>
        <v>8.6199999999999992</v>
      </c>
      <c r="AA12" s="19">
        <f>IFERROR(INDEX([1]DATA!$AH:$AH,MATCH('[1]BC_ ĐG LX'!$C12&amp;'[1]BC_ ĐG LX'!AA$3,[1]DATA!$AW:$AW,0)),"")</f>
        <v>7.82</v>
      </c>
      <c r="AB12" s="19">
        <f>IFERROR(INDEX([1]DATA!$AH:$AH,MATCH('[1]BC_ ĐG LX'!$C12&amp;'[1]BC_ ĐG LX'!AB$3,[1]DATA!$AW:$AW,0)),"")</f>
        <v>9.82</v>
      </c>
      <c r="AC12" s="19">
        <f>IFERROR(INDEX([1]DATA!$AH:$AH,MATCH('[1]BC_ ĐG LX'!$C12&amp;'[1]BC_ ĐG LX'!AC$3,[1]DATA!$AW:$AW,0)),"")</f>
        <v>9.24</v>
      </c>
      <c r="AD12" s="19">
        <f>IFERROR(INDEX([1]DATA!$AH:$AH,MATCH('[1]BC_ ĐG LX'!$C12&amp;'[1]BC_ ĐG LX'!AD$3,[1]DATA!$AW:$AW,0)),"")</f>
        <v>9.82</v>
      </c>
      <c r="AE12" s="19">
        <f>IFERROR(INDEX([1]DATA!$AH:$AH,MATCH('[1]BC_ ĐG LX'!$C12&amp;'[1]BC_ ĐG LX'!AE$3,[1]DATA!$AW:$AW,0)),"")</f>
        <v>9.42</v>
      </c>
      <c r="AF12" s="19" t="str">
        <f>IFERROR(INDEX([1]DATA!$AH:$AH,MATCH('[1]BC_ ĐG LX'!$C12&amp;'[1]BC_ ĐG LX'!AF$3,[1]DATA!$AW:$AW,0)),"")</f>
        <v/>
      </c>
      <c r="AG12" s="19" t="str">
        <f>IFERROR(INDEX([1]DATA!$AH:$AH,MATCH('[1]BC_ ĐG LX'!$C12&amp;'[1]BC_ ĐG LX'!AG$3,[1]DATA!$AW:$AW,0)),"")</f>
        <v/>
      </c>
      <c r="AH12" s="19" t="str">
        <f>IFERROR(INDEX([1]DATA!$AH:$AH,MATCH('[1]BC_ ĐG LX'!$C12&amp;'[1]BC_ ĐG LX'!AH$3,[1]DATA!$AW:$AW,0)),"")</f>
        <v/>
      </c>
      <c r="AI12" s="19" t="str">
        <f>IFERROR(INDEX([1]DATA!$AH:$AH,MATCH('[1]BC_ ĐG LX'!$C12&amp;'[1]BC_ ĐG LX'!AI$3,[1]DATA!$AW:$AW,0)),"")</f>
        <v/>
      </c>
      <c r="AJ12" s="19" t="str">
        <f>IFERROR(INDEX([1]DATA!$AH:$AH,MATCH('[1]BC_ ĐG LX'!$C12&amp;'[1]BC_ ĐG LX'!AJ$3,[1]DATA!$AW:$AW,0)),"")</f>
        <v/>
      </c>
      <c r="AK12" s="26">
        <f t="shared" si="2"/>
        <v>9.1999999999999993</v>
      </c>
      <c r="AL12" s="21"/>
      <c r="AM12" s="22">
        <f t="shared" si="1"/>
        <v>25</v>
      </c>
      <c r="AN12" s="22" t="str">
        <f>_xlfn.XLOOKUP(B12,[1]DATA!AF:AF,[1]DATA!AX:AX)</f>
        <v>Lương</v>
      </c>
      <c r="AO12"/>
    </row>
    <row r="13" spans="1:46" s="22" customFormat="1" ht="15.75" customHeight="1">
      <c r="A13" s="16">
        <f>SUBTOTAL(3,$D$4:D13)</f>
        <v>9</v>
      </c>
      <c r="B13" s="16" t="str">
        <f>_xlfn.XLOOKUP(C13,[1]DATA!D:D,[1]DATA!AF:AF)</f>
        <v>XE00256</v>
      </c>
      <c r="C13" s="18" t="s">
        <v>30</v>
      </c>
      <c r="D13" s="16" t="s">
        <v>15</v>
      </c>
      <c r="E13" s="18" t="s">
        <v>17</v>
      </c>
      <c r="F13" s="18" t="s">
        <v>18</v>
      </c>
      <c r="G13" s="19">
        <f>IFERROR(INDEX([1]DATA!$AH:$AH,MATCH('[1]BC_ ĐG LX'!$C13&amp;'[1]BC_ ĐG LX'!G$3,[1]DATA!$AW:$AW,0)),"")</f>
        <v>8.84</v>
      </c>
      <c r="H13" s="19">
        <f>IFERROR(INDEX([1]DATA!$AH:$AH,MATCH('[1]BC_ ĐG LX'!$C13&amp;'[1]BC_ ĐG LX'!H$3,[1]DATA!$AW:$AW,0)),"")</f>
        <v>9.82</v>
      </c>
      <c r="I13" s="19">
        <f>IFERROR(INDEX([1]DATA!$AH:$AH,MATCH('[1]BC_ ĐG LX'!$C13&amp;'[1]BC_ ĐG LX'!I$3,[1]DATA!$AW:$AW,0)),"")</f>
        <v>9.82</v>
      </c>
      <c r="J13" s="19">
        <f>IFERROR(INDEX([1]DATA!$AH:$AH,MATCH('[1]BC_ ĐG LX'!$C13&amp;'[1]BC_ ĐG LX'!J$3,[1]DATA!$AW:$AW,0)),"")</f>
        <v>9.7199999999999989</v>
      </c>
      <c r="K13" s="19">
        <f>IFERROR(INDEX([1]DATA!$AH:$AH,MATCH('[1]BC_ ĐG LX'!$C13&amp;'[1]BC_ ĐG LX'!K$3,[1]DATA!$AW:$AW,0)),"")</f>
        <v>8.2200000000000006</v>
      </c>
      <c r="L13" s="19">
        <f>IFERROR(INDEX([1]DATA!$AH:$AH,MATCH('[1]BC_ ĐG LX'!$C13&amp;'[1]BC_ ĐG LX'!L$3,[1]DATA!$AW:$AW,0)),"")</f>
        <v>8.84</v>
      </c>
      <c r="M13" s="19">
        <f>IFERROR(INDEX([1]DATA!$AH:$AH,MATCH('[1]BC_ ĐG LX'!$C13&amp;'[1]BC_ ĐG LX'!M$3,[1]DATA!$AW:$AW,0)),"")</f>
        <v>9.02</v>
      </c>
      <c r="N13" s="19">
        <f>IFERROR(INDEX([1]DATA!$AH:$AH,MATCH('[1]BC_ ĐG LX'!$C13&amp;'[1]BC_ ĐG LX'!N$3,[1]DATA!$AW:$AW,0)),"")</f>
        <v>9.42</v>
      </c>
      <c r="O13" s="19">
        <f>IFERROR(INDEX([1]DATA!$AH:$AH,MATCH('[1]BC_ ĐG LX'!$C13&amp;'[1]BC_ ĐG LX'!O$3,[1]DATA!$AW:$AW,0)),"")</f>
        <v>9.24</v>
      </c>
      <c r="P13" s="19">
        <f>IFERROR(INDEX([1]DATA!$AH:$AH,MATCH('[1]BC_ ĐG LX'!$C13&amp;'[1]BC_ ĐG LX'!P$3,[1]DATA!$AW:$AW,0)),"")</f>
        <v>9.24</v>
      </c>
      <c r="Q13" s="19">
        <f>IFERROR(INDEX([1]DATA!$AH:$AH,MATCH('[1]BC_ ĐG LX'!$C13&amp;'[1]BC_ ĐG LX'!Q$3,[1]DATA!$AW:$AW,0)),"")</f>
        <v>7.82</v>
      </c>
      <c r="R13" s="19">
        <f>IFERROR(INDEX([1]DATA!$AH:$AH,MATCH('[1]BC_ ĐG LX'!$C13&amp;'[1]BC_ ĐG LX'!R$3,[1]DATA!$AW:$AW,0)),"")</f>
        <v>9.42</v>
      </c>
      <c r="S13" s="19">
        <f>IFERROR(INDEX([1]DATA!$AH:$AH,MATCH('[1]BC_ ĐG LX'!$C13&amp;'[1]BC_ ĐG LX'!S$3,[1]DATA!$AW:$AW,0)),"")</f>
        <v>9.82</v>
      </c>
      <c r="T13" s="19">
        <f>IFERROR(INDEX([1]DATA!$AH:$AH,MATCH('[1]BC_ ĐG LX'!$C13&amp;'[1]BC_ ĐG LX'!T$3,[1]DATA!$AW:$AW,0)),"")</f>
        <v>7.6400000000000006</v>
      </c>
      <c r="U13" s="19">
        <f>IFERROR(INDEX([1]DATA!$AH:$AH,MATCH('[1]BC_ ĐG LX'!$C13&amp;'[1]BC_ ĐG LX'!U$3,[1]DATA!$AW:$AW,0)),"")</f>
        <v>9.82</v>
      </c>
      <c r="V13" s="19">
        <f>IFERROR(INDEX([1]DATA!$AH:$AH,MATCH('[1]BC_ ĐG LX'!$C13&amp;'[1]BC_ ĐG LX'!V$3,[1]DATA!$AW:$AW,0)),"")</f>
        <v>9.02</v>
      </c>
      <c r="W13" s="19">
        <f>IFERROR(INDEX([1]DATA!$AH:$AH,MATCH('[1]BC_ ĐG LX'!$C13&amp;'[1]BC_ ĐG LX'!W$3,[1]DATA!$AW:$AW,0)),"")</f>
        <v>6.8400000000000007</v>
      </c>
      <c r="X13" s="19">
        <f>IFERROR(INDEX([1]DATA!$AH:$AH,MATCH('[1]BC_ ĐG LX'!$C13&amp;'[1]BC_ ĐG LX'!X$3,[1]DATA!$AW:$AW,0)),"")</f>
        <v>9.42</v>
      </c>
      <c r="Y13" s="19">
        <f>IFERROR(INDEX([1]DATA!$AH:$AH,MATCH('[1]BC_ ĐG LX'!$C13&amp;'[1]BC_ ĐG LX'!Y$3,[1]DATA!$AW:$AW,0)),"")</f>
        <v>9.42</v>
      </c>
      <c r="Z13" s="19">
        <f>IFERROR(INDEX([1]DATA!$AH:$AH,MATCH('[1]BC_ ĐG LX'!$C13&amp;'[1]BC_ ĐG LX'!Z$3,[1]DATA!$AW:$AW,0)),"")</f>
        <v>9.42</v>
      </c>
      <c r="AA13" s="19">
        <f>IFERROR(INDEX([1]DATA!$AH:$AH,MATCH('[1]BC_ ĐG LX'!$C13&amp;'[1]BC_ ĐG LX'!AA$3,[1]DATA!$AW:$AW,0)),"")</f>
        <v>9.82</v>
      </c>
      <c r="AB13" s="19">
        <f>IFERROR(INDEX([1]DATA!$AH:$AH,MATCH('[1]BC_ ĐG LX'!$C13&amp;'[1]BC_ ĐG LX'!AB$3,[1]DATA!$AW:$AW,0)),"")</f>
        <v>9.42</v>
      </c>
      <c r="AC13" s="19">
        <f>IFERROR(INDEX([1]DATA!$AH:$AH,MATCH('[1]BC_ ĐG LX'!$C13&amp;'[1]BC_ ĐG LX'!AC$3,[1]DATA!$AW:$AW,0)),"")</f>
        <v>9.42</v>
      </c>
      <c r="AD13" s="19">
        <f>IFERROR(INDEX([1]DATA!$AH:$AH,MATCH('[1]BC_ ĐG LX'!$C13&amp;'[1]BC_ ĐG LX'!AD$3,[1]DATA!$AW:$AW,0)),"")</f>
        <v>9.82</v>
      </c>
      <c r="AE13" s="19">
        <f>IFERROR(INDEX([1]DATA!$AH:$AH,MATCH('[1]BC_ ĐG LX'!$C13&amp;'[1]BC_ ĐG LX'!AE$3,[1]DATA!$AW:$AW,0)),"")</f>
        <v>9.82</v>
      </c>
      <c r="AF13" s="19" t="str">
        <f>IFERROR(INDEX([1]DATA!$AH:$AH,MATCH('[1]BC_ ĐG LX'!$C13&amp;'[1]BC_ ĐG LX'!AF$3,[1]DATA!$AW:$AW,0)),"")</f>
        <v/>
      </c>
      <c r="AG13" s="19" t="str">
        <f>IFERROR(INDEX([1]DATA!$AH:$AH,MATCH('[1]BC_ ĐG LX'!$C13&amp;'[1]BC_ ĐG LX'!AG$3,[1]DATA!$AW:$AW,0)),"")</f>
        <v/>
      </c>
      <c r="AH13" s="19" t="str">
        <f>IFERROR(INDEX([1]DATA!$AH:$AH,MATCH('[1]BC_ ĐG LX'!$C13&amp;'[1]BC_ ĐG LX'!AH$3,[1]DATA!$AW:$AW,0)),"")</f>
        <v/>
      </c>
      <c r="AI13" s="19" t="str">
        <f>IFERROR(INDEX([1]DATA!$AH:$AH,MATCH('[1]BC_ ĐG LX'!$C13&amp;'[1]BC_ ĐG LX'!AI$3,[1]DATA!$AW:$AW,0)),"")</f>
        <v/>
      </c>
      <c r="AJ13" s="19" t="str">
        <f>IFERROR(INDEX([1]DATA!$AH:$AH,MATCH('[1]BC_ ĐG LX'!$C13&amp;'[1]BC_ ĐG LX'!AJ$3,[1]DATA!$AW:$AW,0)),"")</f>
        <v/>
      </c>
      <c r="AK13" s="26">
        <f t="shared" si="2"/>
        <v>9.1999999999999993</v>
      </c>
      <c r="AL13" s="21"/>
      <c r="AM13" s="22">
        <f t="shared" si="1"/>
        <v>25</v>
      </c>
      <c r="AN13" s="22" t="str">
        <f>_xlfn.XLOOKUP(B13,[1]DATA!AF:AF,[1]DATA!AX:AX)</f>
        <v>Lương</v>
      </c>
      <c r="AO13"/>
    </row>
    <row r="14" spans="1:46" s="22" customFormat="1" ht="15" customHeight="1">
      <c r="A14" s="16">
        <f>SUBTOTAL(3,$D$4:D14)</f>
        <v>10</v>
      </c>
      <c r="B14" s="16" t="str">
        <f>_xlfn.XLOOKUP(C14,[1]DATA!D:D,[1]DATA!AF:AF)</f>
        <v>XE00282</v>
      </c>
      <c r="C14" s="18" t="s">
        <v>31</v>
      </c>
      <c r="D14" s="16" t="s">
        <v>15</v>
      </c>
      <c r="E14" s="18" t="s">
        <v>17</v>
      </c>
      <c r="F14" s="18" t="s">
        <v>18</v>
      </c>
      <c r="G14" s="19">
        <f>IFERROR(INDEX([1]DATA!$AH:$AH,MATCH('[1]BC_ ĐG LX'!$C14&amp;'[1]BC_ ĐG LX'!G$3,[1]DATA!$AW:$AW,0)),"")</f>
        <v>9.82</v>
      </c>
      <c r="H14" s="19">
        <f>IFERROR(INDEX([1]DATA!$AH:$AH,MATCH('[1]BC_ ĐG LX'!$C14&amp;'[1]BC_ ĐG LX'!H$3,[1]DATA!$AW:$AW,0)),"")</f>
        <v>9.82</v>
      </c>
      <c r="I14" s="19">
        <f>IFERROR(INDEX([1]DATA!$AH:$AH,MATCH('[1]BC_ ĐG LX'!$C14&amp;'[1]BC_ ĐG LX'!I$3,[1]DATA!$AW:$AW,0)),"")</f>
        <v>9.82</v>
      </c>
      <c r="J14" s="19">
        <f>IFERROR(INDEX([1]DATA!$AH:$AH,MATCH('[1]BC_ ĐG LX'!$C14&amp;'[1]BC_ ĐG LX'!J$3,[1]DATA!$AW:$AW,0)),"")</f>
        <v>9.82</v>
      </c>
      <c r="K14" s="19">
        <f>IFERROR(INDEX([1]DATA!$AH:$AH,MATCH('[1]BC_ ĐG LX'!$C14&amp;'[1]BC_ ĐG LX'!K$3,[1]DATA!$AW:$AW,0)),"")</f>
        <v>9.42</v>
      </c>
      <c r="L14" s="19">
        <f>IFERROR(INDEX([1]DATA!$AH:$AH,MATCH('[1]BC_ ĐG LX'!$C14&amp;'[1]BC_ ĐG LX'!L$3,[1]DATA!$AW:$AW,0)),"")</f>
        <v>8.2200000000000006</v>
      </c>
      <c r="M14" s="19">
        <f>IFERROR(INDEX([1]DATA!$AH:$AH,MATCH('[1]BC_ ĐG LX'!$C14&amp;'[1]BC_ ĐG LX'!M$3,[1]DATA!$AW:$AW,0)),"")</f>
        <v>9.82</v>
      </c>
      <c r="N14" s="19">
        <f>IFERROR(INDEX([1]DATA!$AH:$AH,MATCH('[1]BC_ ĐG LX'!$C14&amp;'[1]BC_ ĐG LX'!N$3,[1]DATA!$AW:$AW,0)),"")</f>
        <v>9.42</v>
      </c>
      <c r="O14" s="19">
        <f>IFERROR(INDEX([1]DATA!$AH:$AH,MATCH('[1]BC_ ĐG LX'!$C14&amp;'[1]BC_ ĐG LX'!O$3,[1]DATA!$AW:$AW,0)),"")</f>
        <v>9.24</v>
      </c>
      <c r="P14" s="19">
        <f>IFERROR(INDEX([1]DATA!$AH:$AH,MATCH('[1]BC_ ĐG LX'!$C14&amp;'[1]BC_ ĐG LX'!P$3,[1]DATA!$AW:$AW,0)),"")</f>
        <v>9.42</v>
      </c>
      <c r="Q14" s="19">
        <f>IFERROR(INDEX([1]DATA!$AH:$AH,MATCH('[1]BC_ ĐG LX'!$C14&amp;'[1]BC_ ĐG LX'!Q$3,[1]DATA!$AW:$AW,0)),"")</f>
        <v>9.42</v>
      </c>
      <c r="R14" s="19">
        <f>IFERROR(INDEX([1]DATA!$AH:$AH,MATCH('[1]BC_ ĐG LX'!$C14&amp;'[1]BC_ ĐG LX'!R$3,[1]DATA!$AW:$AW,0)),"")</f>
        <v>9.82</v>
      </c>
      <c r="S14" s="19">
        <f>IFERROR(INDEX([1]DATA!$AH:$AH,MATCH('[1]BC_ ĐG LX'!$C14&amp;'[1]BC_ ĐG LX'!S$3,[1]DATA!$AW:$AW,0)),"")</f>
        <v>9.82</v>
      </c>
      <c r="T14" s="19">
        <f>IFERROR(INDEX([1]DATA!$AH:$AH,MATCH('[1]BC_ ĐG LX'!$C14&amp;'[1]BC_ ĐG LX'!T$3,[1]DATA!$AW:$AW,0)),"")</f>
        <v>9.82</v>
      </c>
      <c r="U14" s="19">
        <f>IFERROR(INDEX([1]DATA!$AH:$AH,MATCH('[1]BC_ ĐG LX'!$C14&amp;'[1]BC_ ĐG LX'!U$3,[1]DATA!$AW:$AW,0)),"")</f>
        <v>9.82</v>
      </c>
      <c r="V14" s="19">
        <f>IFERROR(INDEX([1]DATA!$AH:$AH,MATCH('[1]BC_ ĐG LX'!$C14&amp;'[1]BC_ ĐG LX'!V$3,[1]DATA!$AW:$AW,0)),"")</f>
        <v>9.02</v>
      </c>
      <c r="W14" s="19">
        <f>IFERROR(INDEX([1]DATA!$AH:$AH,MATCH('[1]BC_ ĐG LX'!$C14&amp;'[1]BC_ ĐG LX'!W$3,[1]DATA!$AW:$AW,0)),"")</f>
        <v>9.42</v>
      </c>
      <c r="X14" s="19">
        <f>IFERROR(INDEX([1]DATA!$AH:$AH,MATCH('[1]BC_ ĐG LX'!$C14&amp;'[1]BC_ ĐG LX'!X$3,[1]DATA!$AW:$AW,0)),"")</f>
        <v>9.82</v>
      </c>
      <c r="Y14" s="19">
        <f>IFERROR(INDEX([1]DATA!$AH:$AH,MATCH('[1]BC_ ĐG LX'!$C14&amp;'[1]BC_ ĐG LX'!Y$3,[1]DATA!$AW:$AW,0)),"")</f>
        <v>9.82</v>
      </c>
      <c r="Z14" s="19">
        <f>IFERROR(INDEX([1]DATA!$AH:$AH,MATCH('[1]BC_ ĐG LX'!$C14&amp;'[1]BC_ ĐG LX'!Z$3,[1]DATA!$AW:$AW,0)),"")</f>
        <v>9.42</v>
      </c>
      <c r="AA14" s="19">
        <f>IFERROR(INDEX([1]DATA!$AH:$AH,MATCH('[1]BC_ ĐG LX'!$C14&amp;'[1]BC_ ĐG LX'!AA$3,[1]DATA!$AW:$AW,0)),"")</f>
        <v>9.82</v>
      </c>
      <c r="AB14" s="19">
        <f>IFERROR(INDEX([1]DATA!$AH:$AH,MATCH('[1]BC_ ĐG LX'!$C14&amp;'[1]BC_ ĐG LX'!AB$3,[1]DATA!$AW:$AW,0)),"")</f>
        <v>9.82</v>
      </c>
      <c r="AC14" s="19">
        <f>IFERROR(INDEX([1]DATA!$AH:$AH,MATCH('[1]BC_ ĐG LX'!$C14&amp;'[1]BC_ ĐG LX'!AC$3,[1]DATA!$AW:$AW,0)),"")</f>
        <v>9.6199999999999992</v>
      </c>
      <c r="AD14" s="19">
        <f>IFERROR(INDEX([1]DATA!$AH:$AH,MATCH('[1]BC_ ĐG LX'!$C14&amp;'[1]BC_ ĐG LX'!AD$3,[1]DATA!$AW:$AW,0)),"")</f>
        <v>9.24</v>
      </c>
      <c r="AE14" s="19">
        <f>IFERROR(INDEX([1]DATA!$AH:$AH,MATCH('[1]BC_ ĐG LX'!$C14&amp;'[1]BC_ ĐG LX'!AE$3,[1]DATA!$AW:$AW,0)),"")</f>
        <v>10</v>
      </c>
      <c r="AF14" s="19" t="str">
        <f>IFERROR(INDEX([1]DATA!$AH:$AH,MATCH('[1]BC_ ĐG LX'!$C14&amp;'[1]BC_ ĐG LX'!AF$3,[1]DATA!$AW:$AW,0)),"")</f>
        <v/>
      </c>
      <c r="AG14" s="19" t="str">
        <f>IFERROR(INDEX([1]DATA!$AH:$AH,MATCH('[1]BC_ ĐG LX'!$C14&amp;'[1]BC_ ĐG LX'!AG$3,[1]DATA!$AW:$AW,0)),"")</f>
        <v/>
      </c>
      <c r="AH14" s="19" t="str">
        <f>IFERROR(INDEX([1]DATA!$AH:$AH,MATCH('[1]BC_ ĐG LX'!$C14&amp;'[1]BC_ ĐG LX'!AH$3,[1]DATA!$AW:$AW,0)),"")</f>
        <v/>
      </c>
      <c r="AI14" s="19" t="str">
        <f>IFERROR(INDEX([1]DATA!$AH:$AH,MATCH('[1]BC_ ĐG LX'!$C14&amp;'[1]BC_ ĐG LX'!AI$3,[1]DATA!$AW:$AW,0)),"")</f>
        <v/>
      </c>
      <c r="AJ14" s="19" t="str">
        <f>IFERROR(INDEX([1]DATA!$AH:$AH,MATCH('[1]BC_ ĐG LX'!$C14&amp;'[1]BC_ ĐG LX'!AJ$3,[1]DATA!$AW:$AW,0)),"")</f>
        <v/>
      </c>
      <c r="AK14" s="26">
        <f t="shared" si="2"/>
        <v>9.6</v>
      </c>
      <c r="AL14" s="21"/>
      <c r="AM14" s="22">
        <f t="shared" si="1"/>
        <v>25</v>
      </c>
      <c r="AN14" s="22" t="str">
        <f>_xlfn.XLOOKUP(B14,[1]DATA!AF:AF,[1]DATA!AX:AX)</f>
        <v>Lương</v>
      </c>
      <c r="AO14"/>
    </row>
    <row r="15" spans="1:46" s="22" customFormat="1" ht="15.75" customHeight="1">
      <c r="A15" s="16">
        <f>SUBTOTAL(3,$D$4:D15)</f>
        <v>11</v>
      </c>
      <c r="B15" s="16" t="str">
        <f>_xlfn.XLOOKUP(C15,[1]DATA!D:D,[1]DATA!AF:AF)</f>
        <v>XE00559</v>
      </c>
      <c r="C15" s="18" t="s">
        <v>32</v>
      </c>
      <c r="D15" s="16" t="s">
        <v>15</v>
      </c>
      <c r="E15" s="18" t="s">
        <v>17</v>
      </c>
      <c r="F15" s="18" t="s">
        <v>18</v>
      </c>
      <c r="G15" s="19">
        <f>IFERROR(INDEX([1]DATA!$AH:$AH,MATCH('[1]BC_ ĐG LX'!$C15&amp;'[1]BC_ ĐG LX'!G$3,[1]DATA!$AW:$AW,0)),"")</f>
        <v>9.02</v>
      </c>
      <c r="H15" s="19">
        <f>IFERROR(INDEX([1]DATA!$AH:$AH,MATCH('[1]BC_ ĐG LX'!$C15&amp;'[1]BC_ ĐG LX'!H$3,[1]DATA!$AW:$AW,0)),"")</f>
        <v>9.82</v>
      </c>
      <c r="I15" s="19">
        <f>IFERROR(INDEX([1]DATA!$AH:$AH,MATCH('[1]BC_ ĐG LX'!$C15&amp;'[1]BC_ ĐG LX'!I$3,[1]DATA!$AW:$AW,0)),"")</f>
        <v>9.82</v>
      </c>
      <c r="J15" s="19">
        <f>IFERROR(INDEX([1]DATA!$AH:$AH,MATCH('[1]BC_ ĐG LX'!$C15&amp;'[1]BC_ ĐG LX'!J$3,[1]DATA!$AW:$AW,0)),"")</f>
        <v>9.6199999999999992</v>
      </c>
      <c r="K15" s="19">
        <f>IFERROR(INDEX([1]DATA!$AH:$AH,MATCH('[1]BC_ ĐG LX'!$C15&amp;'[1]BC_ ĐG LX'!K$3,[1]DATA!$AW:$AW,0)),"")</f>
        <v>9.82</v>
      </c>
      <c r="L15" s="19">
        <f>IFERROR(INDEX([1]DATA!$AH:$AH,MATCH('[1]BC_ ĐG LX'!$C15&amp;'[1]BC_ ĐG LX'!L$3,[1]DATA!$AW:$AW,0)),"")</f>
        <v>9.42</v>
      </c>
      <c r="M15" s="19">
        <f>IFERROR(INDEX([1]DATA!$AH:$AH,MATCH('[1]BC_ ĐG LX'!$C15&amp;'[1]BC_ ĐG LX'!M$3,[1]DATA!$AW:$AW,0)),"")</f>
        <v>9.42</v>
      </c>
      <c r="N15" s="19">
        <f>IFERROR(INDEX([1]DATA!$AH:$AH,MATCH('[1]BC_ ĐG LX'!$C15&amp;'[1]BC_ ĐG LX'!N$3,[1]DATA!$AW:$AW,0)),"")</f>
        <v>9.82</v>
      </c>
      <c r="O15" s="19">
        <f>IFERROR(INDEX([1]DATA!$AH:$AH,MATCH('[1]BC_ ĐG LX'!$C15&amp;'[1]BC_ ĐG LX'!O$3,[1]DATA!$AW:$AW,0)),"")</f>
        <v>9.82</v>
      </c>
      <c r="P15" s="19">
        <f>IFERROR(INDEX([1]DATA!$AH:$AH,MATCH('[1]BC_ ĐG LX'!$C15&amp;'[1]BC_ ĐG LX'!P$3,[1]DATA!$AW:$AW,0)),"")</f>
        <v>9.42</v>
      </c>
      <c r="Q15" s="19">
        <f>IFERROR(INDEX([1]DATA!$AH:$AH,MATCH('[1]BC_ ĐG LX'!$C15&amp;'[1]BC_ ĐG LX'!Q$3,[1]DATA!$AW:$AW,0)),"")</f>
        <v>9.82</v>
      </c>
      <c r="R15" s="19">
        <f>IFERROR(INDEX([1]DATA!$AH:$AH,MATCH('[1]BC_ ĐG LX'!$C15&amp;'[1]BC_ ĐG LX'!R$3,[1]DATA!$AW:$AW,0)),"")</f>
        <v>8.84</v>
      </c>
      <c r="S15" s="19">
        <f>IFERROR(INDEX([1]DATA!$AH:$AH,MATCH('[1]BC_ ĐG LX'!$C15&amp;'[1]BC_ ĐG LX'!S$3,[1]DATA!$AW:$AW,0)),"")</f>
        <v>9.42</v>
      </c>
      <c r="T15" s="19">
        <f>IFERROR(INDEX([1]DATA!$AH:$AH,MATCH('[1]BC_ ĐG LX'!$C15&amp;'[1]BC_ ĐG LX'!T$3,[1]DATA!$AW:$AW,0)),"")</f>
        <v>9.82</v>
      </c>
      <c r="U15" s="19">
        <f>IFERROR(INDEX([1]DATA!$AH:$AH,MATCH('[1]BC_ ĐG LX'!$C15&amp;'[1]BC_ ĐG LX'!U$3,[1]DATA!$AW:$AW,0)),"")</f>
        <v>7.6199999999999992</v>
      </c>
      <c r="V15" s="19">
        <f>IFERROR(INDEX([1]DATA!$AH:$AH,MATCH('[1]BC_ ĐG LX'!$C15&amp;'[1]BC_ ĐG LX'!V$3,[1]DATA!$AW:$AW,0)),"")</f>
        <v>9.02</v>
      </c>
      <c r="W15" s="19">
        <f>IFERROR(INDEX([1]DATA!$AH:$AH,MATCH('[1]BC_ ĐG LX'!$C15&amp;'[1]BC_ ĐG LX'!W$3,[1]DATA!$AW:$AW,0)),"")</f>
        <v>9.82</v>
      </c>
      <c r="X15" s="19">
        <f>IFERROR(INDEX([1]DATA!$AH:$AH,MATCH('[1]BC_ ĐG LX'!$C15&amp;'[1]BC_ ĐG LX'!X$3,[1]DATA!$AW:$AW,0)),"")</f>
        <v>9.6199999999999992</v>
      </c>
      <c r="Y15" s="19">
        <f>IFERROR(INDEX([1]DATA!$AH:$AH,MATCH('[1]BC_ ĐG LX'!$C15&amp;'[1]BC_ ĐG LX'!Y$3,[1]DATA!$AW:$AW,0)),"")</f>
        <v>8.44</v>
      </c>
      <c r="Z15" s="19">
        <f>IFERROR(INDEX([1]DATA!$AH:$AH,MATCH('[1]BC_ ĐG LX'!$C15&amp;'[1]BC_ ĐG LX'!Z$3,[1]DATA!$AW:$AW,0)),"")</f>
        <v>9.82</v>
      </c>
      <c r="AA15" s="19">
        <f>IFERROR(INDEX([1]DATA!$AH:$AH,MATCH('[1]BC_ ĐG LX'!$C15&amp;'[1]BC_ ĐG LX'!AA$3,[1]DATA!$AW:$AW,0)),"")</f>
        <v>9.82</v>
      </c>
      <c r="AB15" s="19">
        <f>IFERROR(INDEX([1]DATA!$AH:$AH,MATCH('[1]BC_ ĐG LX'!$C15&amp;'[1]BC_ ĐG LX'!AB$3,[1]DATA!$AW:$AW,0)),"")</f>
        <v>9.82</v>
      </c>
      <c r="AC15" s="19">
        <f>IFERROR(INDEX([1]DATA!$AH:$AH,MATCH('[1]BC_ ĐG LX'!$C15&amp;'[1]BC_ ĐG LX'!AC$3,[1]DATA!$AW:$AW,0)),"")</f>
        <v>9.42</v>
      </c>
      <c r="AD15" s="19">
        <f>IFERROR(INDEX([1]DATA!$AH:$AH,MATCH('[1]BC_ ĐG LX'!$C15&amp;'[1]BC_ ĐG LX'!AD$3,[1]DATA!$AW:$AW,0)),"")</f>
        <v>8.620000000000001</v>
      </c>
      <c r="AE15" s="19">
        <f>IFERROR(INDEX([1]DATA!$AH:$AH,MATCH('[1]BC_ ĐG LX'!$C15&amp;'[1]BC_ ĐG LX'!AE$3,[1]DATA!$AW:$AW,0)),"")</f>
        <v>9.42</v>
      </c>
      <c r="AF15" s="19" t="str">
        <f>IFERROR(INDEX([1]DATA!$AH:$AH,MATCH('[1]BC_ ĐG LX'!$C15&amp;'[1]BC_ ĐG LX'!AF$3,[1]DATA!$AW:$AW,0)),"")</f>
        <v/>
      </c>
      <c r="AG15" s="19" t="str">
        <f>IFERROR(INDEX([1]DATA!$AH:$AH,MATCH('[1]BC_ ĐG LX'!$C15&amp;'[1]BC_ ĐG LX'!AG$3,[1]DATA!$AW:$AW,0)),"")</f>
        <v/>
      </c>
      <c r="AH15" s="19" t="str">
        <f>IFERROR(INDEX([1]DATA!$AH:$AH,MATCH('[1]BC_ ĐG LX'!$C15&amp;'[1]BC_ ĐG LX'!AH$3,[1]DATA!$AW:$AW,0)),"")</f>
        <v/>
      </c>
      <c r="AI15" s="19" t="str">
        <f>IFERROR(INDEX([1]DATA!$AH:$AH,MATCH('[1]BC_ ĐG LX'!$C15&amp;'[1]BC_ ĐG LX'!AI$3,[1]DATA!$AW:$AW,0)),"")</f>
        <v/>
      </c>
      <c r="AJ15" s="19" t="str">
        <f>IFERROR(INDEX([1]DATA!$AH:$AH,MATCH('[1]BC_ ĐG LX'!$C15&amp;'[1]BC_ ĐG LX'!AJ$3,[1]DATA!$AW:$AW,0)),"")</f>
        <v/>
      </c>
      <c r="AK15" s="26">
        <f t="shared" si="2"/>
        <v>9.5</v>
      </c>
      <c r="AL15" s="21"/>
      <c r="AM15" s="22">
        <f t="shared" si="1"/>
        <v>25</v>
      </c>
      <c r="AN15" s="22" t="str">
        <f>_xlfn.XLOOKUP(B15,[1]DATA!AF:AF,[1]DATA!AX:AX)</f>
        <v>Lương</v>
      </c>
      <c r="AO15"/>
    </row>
    <row r="16" spans="1:46" s="22" customFormat="1" ht="15.75" customHeight="1">
      <c r="A16" s="16">
        <f>SUBTOTAL(3,$D$4:D16)</f>
        <v>12</v>
      </c>
      <c r="B16" s="16" t="str">
        <f>_xlfn.XLOOKUP(C16,[1]DATA!D:D,[1]DATA!AF:AF)</f>
        <v>XE00627</v>
      </c>
      <c r="C16" s="18" t="s">
        <v>33</v>
      </c>
      <c r="D16" s="16" t="s">
        <v>15</v>
      </c>
      <c r="E16" s="18" t="s">
        <v>17</v>
      </c>
      <c r="F16" s="18" t="s">
        <v>18</v>
      </c>
      <c r="G16" s="19">
        <f>IFERROR(INDEX([1]DATA!$AH:$AH,MATCH('[1]BC_ ĐG LX'!$C16&amp;'[1]BC_ ĐG LX'!G$3,[1]DATA!$AW:$AW,0)),"")</f>
        <v>9.5</v>
      </c>
      <c r="H16" s="19">
        <f>IFERROR(INDEX([1]DATA!$AH:$AH,MATCH('[1]BC_ ĐG LX'!$C16&amp;'[1]BC_ ĐG LX'!H$3,[1]DATA!$AW:$AW,0)),"")</f>
        <v>9.6199999999999992</v>
      </c>
      <c r="I16" s="19">
        <f>IFERROR(INDEX([1]DATA!$AH:$AH,MATCH('[1]BC_ ĐG LX'!$C16&amp;'[1]BC_ ĐG LX'!I$3,[1]DATA!$AW:$AW,0)),"")</f>
        <v>9.82</v>
      </c>
      <c r="J16" s="19">
        <f>IFERROR(INDEX([1]DATA!$AH:$AH,MATCH('[1]BC_ ĐG LX'!$C16&amp;'[1]BC_ ĐG LX'!J$3,[1]DATA!$AW:$AW,0)),"")</f>
        <v>9.42</v>
      </c>
      <c r="K16" s="19">
        <f>IFERROR(INDEX([1]DATA!$AH:$AH,MATCH('[1]BC_ ĐG LX'!$C16&amp;'[1]BC_ ĐG LX'!K$3,[1]DATA!$AW:$AW,0)),"")</f>
        <v>9.02</v>
      </c>
      <c r="L16" s="19">
        <f>IFERROR(INDEX([1]DATA!$AH:$AH,MATCH('[1]BC_ ĐG LX'!$C16&amp;'[1]BC_ ĐG LX'!L$3,[1]DATA!$AW:$AW,0)),"")</f>
        <v>8.2200000000000006</v>
      </c>
      <c r="M16" s="19">
        <f>IFERROR(INDEX([1]DATA!$AH:$AH,MATCH('[1]BC_ ĐG LX'!$C16&amp;'[1]BC_ ĐG LX'!M$3,[1]DATA!$AW:$AW,0)),"")</f>
        <v>9.82</v>
      </c>
      <c r="N16" s="19">
        <f>IFERROR(INDEX([1]DATA!$AH:$AH,MATCH('[1]BC_ ĐG LX'!$C16&amp;'[1]BC_ ĐG LX'!N$3,[1]DATA!$AW:$AW,0)),"")</f>
        <v>8.44</v>
      </c>
      <c r="O16" s="19">
        <f>IFERROR(INDEX([1]DATA!$AH:$AH,MATCH('[1]BC_ ĐG LX'!$C16&amp;'[1]BC_ ĐG LX'!O$3,[1]DATA!$AW:$AW,0)),"")</f>
        <v>9.82</v>
      </c>
      <c r="P16" s="19">
        <f>IFERROR(INDEX([1]DATA!$AH:$AH,MATCH('[1]BC_ ĐG LX'!$C16&amp;'[1]BC_ ĐG LX'!P$3,[1]DATA!$AW:$AW,0)),"")</f>
        <v>9.02</v>
      </c>
      <c r="Q16" s="19">
        <f>IFERROR(INDEX([1]DATA!$AH:$AH,MATCH('[1]BC_ ĐG LX'!$C16&amp;'[1]BC_ ĐG LX'!Q$3,[1]DATA!$AW:$AW,0)),"")</f>
        <v>9.82</v>
      </c>
      <c r="R16" s="19">
        <f>IFERROR(INDEX([1]DATA!$AH:$AH,MATCH('[1]BC_ ĐG LX'!$C16&amp;'[1]BC_ ĐG LX'!R$3,[1]DATA!$AW:$AW,0)),"")</f>
        <v>8.84</v>
      </c>
      <c r="S16" s="19">
        <f>IFERROR(INDEX([1]DATA!$AH:$AH,MATCH('[1]BC_ ĐG LX'!$C16&amp;'[1]BC_ ĐG LX'!S$3,[1]DATA!$AW:$AW,0)),"")</f>
        <v>9.24</v>
      </c>
      <c r="T16" s="19">
        <f>IFERROR(INDEX([1]DATA!$AH:$AH,MATCH('[1]BC_ ĐG LX'!$C16&amp;'[1]BC_ ĐG LX'!T$3,[1]DATA!$AW:$AW,0)),"")</f>
        <v>9.42</v>
      </c>
      <c r="U16" s="19">
        <f>IFERROR(INDEX([1]DATA!$AH:$AH,MATCH('[1]BC_ ĐG LX'!$C16&amp;'[1]BC_ ĐG LX'!U$3,[1]DATA!$AW:$AW,0)),"")</f>
        <v>9.82</v>
      </c>
      <c r="V16" s="19">
        <f>IFERROR(INDEX([1]DATA!$AH:$AH,MATCH('[1]BC_ ĐG LX'!$C16&amp;'[1]BC_ ĐG LX'!V$3,[1]DATA!$AW:$AW,0)),"")</f>
        <v>9.42</v>
      </c>
      <c r="W16" s="19">
        <f>IFERROR(INDEX([1]DATA!$AH:$AH,MATCH('[1]BC_ ĐG LX'!$C16&amp;'[1]BC_ ĐG LX'!W$3,[1]DATA!$AW:$AW,0)),"")</f>
        <v>9.02</v>
      </c>
      <c r="X16" s="19">
        <f>IFERROR(INDEX([1]DATA!$AH:$AH,MATCH('[1]BC_ ĐG LX'!$C16&amp;'[1]BC_ ĐG LX'!X$3,[1]DATA!$AW:$AW,0)),"")</f>
        <v>9.82</v>
      </c>
      <c r="Y16" s="19">
        <f>IFERROR(INDEX([1]DATA!$AH:$AH,MATCH('[1]BC_ ĐG LX'!$C16&amp;'[1]BC_ ĐG LX'!Y$3,[1]DATA!$AW:$AW,0)),"")</f>
        <v>9.42</v>
      </c>
      <c r="Z16" s="19">
        <f>IFERROR(INDEX([1]DATA!$AH:$AH,MATCH('[1]BC_ ĐG LX'!$C16&amp;'[1]BC_ ĐG LX'!Z$3,[1]DATA!$AW:$AW,0)),"")</f>
        <v>9.24</v>
      </c>
      <c r="AA16" s="19">
        <f>IFERROR(INDEX([1]DATA!$AH:$AH,MATCH('[1]BC_ ĐG LX'!$C16&amp;'[1]BC_ ĐG LX'!AA$3,[1]DATA!$AW:$AW,0)),"")</f>
        <v>9.82</v>
      </c>
      <c r="AB16" s="19">
        <f>IFERROR(INDEX([1]DATA!$AH:$AH,MATCH('[1]BC_ ĐG LX'!$C16&amp;'[1]BC_ ĐG LX'!AB$3,[1]DATA!$AW:$AW,0)),"")</f>
        <v>9.02</v>
      </c>
      <c r="AC16" s="19">
        <f>IFERROR(INDEX([1]DATA!$AH:$AH,MATCH('[1]BC_ ĐG LX'!$C16&amp;'[1]BC_ ĐG LX'!AC$3,[1]DATA!$AW:$AW,0)),"")</f>
        <v>9.42</v>
      </c>
      <c r="AD16" s="19">
        <f>IFERROR(INDEX([1]DATA!$AH:$AH,MATCH('[1]BC_ ĐG LX'!$C16&amp;'[1]BC_ ĐG LX'!AD$3,[1]DATA!$AW:$AW,0)),"")</f>
        <v>9.02</v>
      </c>
      <c r="AE16" s="19">
        <f>IFERROR(INDEX([1]DATA!$AH:$AH,MATCH('[1]BC_ ĐG LX'!$C16&amp;'[1]BC_ ĐG LX'!AE$3,[1]DATA!$AW:$AW,0)),"")</f>
        <v>9.82</v>
      </c>
      <c r="AF16" s="19" t="str">
        <f>IFERROR(INDEX([1]DATA!$AH:$AH,MATCH('[1]BC_ ĐG LX'!$C16&amp;'[1]BC_ ĐG LX'!AF$3,[1]DATA!$AW:$AW,0)),"")</f>
        <v/>
      </c>
      <c r="AG16" s="19" t="str">
        <f>IFERROR(INDEX([1]DATA!$AH:$AH,MATCH('[1]BC_ ĐG LX'!$C16&amp;'[1]BC_ ĐG LX'!AG$3,[1]DATA!$AW:$AW,0)),"")</f>
        <v/>
      </c>
      <c r="AH16" s="19" t="str">
        <f>IFERROR(INDEX([1]DATA!$AH:$AH,MATCH('[1]BC_ ĐG LX'!$C16&amp;'[1]BC_ ĐG LX'!AH$3,[1]DATA!$AW:$AW,0)),"")</f>
        <v/>
      </c>
      <c r="AI16" s="19" t="str">
        <f>IFERROR(INDEX([1]DATA!$AH:$AH,MATCH('[1]BC_ ĐG LX'!$C16&amp;'[1]BC_ ĐG LX'!AI$3,[1]DATA!$AW:$AW,0)),"")</f>
        <v/>
      </c>
      <c r="AJ16" s="19" t="str">
        <f>IFERROR(INDEX([1]DATA!$AH:$AH,MATCH('[1]BC_ ĐG LX'!$C16&amp;'[1]BC_ ĐG LX'!AJ$3,[1]DATA!$AW:$AW,0)),"")</f>
        <v/>
      </c>
      <c r="AK16" s="26">
        <f t="shared" si="2"/>
        <v>9.4</v>
      </c>
      <c r="AL16" s="21"/>
      <c r="AM16" s="22">
        <f t="shared" si="1"/>
        <v>25</v>
      </c>
      <c r="AN16" s="22" t="str">
        <f>_xlfn.XLOOKUP(B16,[1]DATA!AF:AF,[1]DATA!AX:AX)</f>
        <v>Lương</v>
      </c>
      <c r="AO16"/>
    </row>
    <row r="17" spans="1:41" s="22" customFormat="1" ht="15.75" customHeight="1">
      <c r="A17" s="16">
        <f>SUBTOTAL(3,$D$4:D17)</f>
        <v>13</v>
      </c>
      <c r="B17" s="16" t="str">
        <f>_xlfn.XLOOKUP(C17,[1]DATA!D:D,[1]DATA!AF:AF)</f>
        <v>XE00812</v>
      </c>
      <c r="C17" s="18" t="s">
        <v>34</v>
      </c>
      <c r="D17" s="16" t="s">
        <v>15</v>
      </c>
      <c r="E17" s="18" t="s">
        <v>17</v>
      </c>
      <c r="F17" s="18" t="s">
        <v>18</v>
      </c>
      <c r="G17" s="19">
        <f>IFERROR(INDEX([1]DATA!$AH:$AH,MATCH('[1]BC_ ĐG LX'!$C17&amp;'[1]BC_ ĐG LX'!G$3,[1]DATA!$AW:$AW,0)),"")</f>
        <v>9.82</v>
      </c>
      <c r="H17" s="19">
        <f>IFERROR(INDEX([1]DATA!$AH:$AH,MATCH('[1]BC_ ĐG LX'!$C17&amp;'[1]BC_ ĐG LX'!H$3,[1]DATA!$AW:$AW,0)),"")</f>
        <v>9.82</v>
      </c>
      <c r="I17" s="19">
        <f>IFERROR(INDEX([1]DATA!$AH:$AH,MATCH('[1]BC_ ĐG LX'!$C17&amp;'[1]BC_ ĐG LX'!I$3,[1]DATA!$AW:$AW,0)),"")</f>
        <v>9.42</v>
      </c>
      <c r="J17" s="19">
        <f>IFERROR(INDEX([1]DATA!$AH:$AH,MATCH('[1]BC_ ĐG LX'!$C17&amp;'[1]BC_ ĐG LX'!J$3,[1]DATA!$AW:$AW,0)),"")</f>
        <v>9.82</v>
      </c>
      <c r="K17" s="19">
        <f>IFERROR(INDEX([1]DATA!$AH:$AH,MATCH('[1]BC_ ĐG LX'!$C17&amp;'[1]BC_ ĐG LX'!K$3,[1]DATA!$AW:$AW,0)),"")</f>
        <v>9.82</v>
      </c>
      <c r="L17" s="19">
        <f>IFERROR(INDEX([1]DATA!$AH:$AH,MATCH('[1]BC_ ĐG LX'!$C17&amp;'[1]BC_ ĐG LX'!L$3,[1]DATA!$AW:$AW,0)),"")</f>
        <v>9.42</v>
      </c>
      <c r="M17" s="19">
        <f>IFERROR(INDEX([1]DATA!$AH:$AH,MATCH('[1]BC_ ĐG LX'!$C17&amp;'[1]BC_ ĐG LX'!M$3,[1]DATA!$AW:$AW,0)),"")</f>
        <v>9.82</v>
      </c>
      <c r="N17" s="19">
        <f>IFERROR(INDEX([1]DATA!$AH:$AH,MATCH('[1]BC_ ĐG LX'!$C17&amp;'[1]BC_ ĐG LX'!N$3,[1]DATA!$AW:$AW,0)),"")</f>
        <v>9.82</v>
      </c>
      <c r="O17" s="19">
        <f>IFERROR(INDEX([1]DATA!$AH:$AH,MATCH('[1]BC_ ĐG LX'!$C17&amp;'[1]BC_ ĐG LX'!O$3,[1]DATA!$AW:$AW,0)),"")</f>
        <v>9.02</v>
      </c>
      <c r="P17" s="19">
        <f>IFERROR(INDEX([1]DATA!$AH:$AH,MATCH('[1]BC_ ĐG LX'!$C17&amp;'[1]BC_ ĐG LX'!P$3,[1]DATA!$AW:$AW,0)),"")</f>
        <v>9.82</v>
      </c>
      <c r="Q17" s="19">
        <f>IFERROR(INDEX([1]DATA!$AH:$AH,MATCH('[1]BC_ ĐG LX'!$C17&amp;'[1]BC_ ĐG LX'!Q$3,[1]DATA!$AW:$AW,0)),"")</f>
        <v>8.44</v>
      </c>
      <c r="R17" s="19">
        <f>IFERROR(INDEX([1]DATA!$AH:$AH,MATCH('[1]BC_ ĐG LX'!$C17&amp;'[1]BC_ ĐG LX'!R$3,[1]DATA!$AW:$AW,0)),"")</f>
        <v>9.82</v>
      </c>
      <c r="S17" s="19">
        <f>IFERROR(INDEX([1]DATA!$AH:$AH,MATCH('[1]BC_ ĐG LX'!$C17&amp;'[1]BC_ ĐG LX'!S$3,[1]DATA!$AW:$AW,0)),"")</f>
        <v>9.82</v>
      </c>
      <c r="T17" s="19">
        <f>IFERROR(INDEX([1]DATA!$AH:$AH,MATCH('[1]BC_ ĐG LX'!$C17&amp;'[1]BC_ ĐG LX'!T$3,[1]DATA!$AW:$AW,0)),"")</f>
        <v>8.84</v>
      </c>
      <c r="U17" s="19">
        <f>IFERROR(INDEX([1]DATA!$AH:$AH,MATCH('[1]BC_ ĐG LX'!$C17&amp;'[1]BC_ ĐG LX'!U$3,[1]DATA!$AW:$AW,0)),"")</f>
        <v>9.82</v>
      </c>
      <c r="V17" s="19">
        <f>IFERROR(INDEX([1]DATA!$AH:$AH,MATCH('[1]BC_ ĐG LX'!$C17&amp;'[1]BC_ ĐG LX'!V$3,[1]DATA!$AW:$AW,0)),"")</f>
        <v>9.42</v>
      </c>
      <c r="W17" s="19">
        <f>IFERROR(INDEX([1]DATA!$AH:$AH,MATCH('[1]BC_ ĐG LX'!$C17&amp;'[1]BC_ ĐG LX'!W$3,[1]DATA!$AW:$AW,0)),"")</f>
        <v>9.82</v>
      </c>
      <c r="X17" s="19">
        <f>IFERROR(INDEX([1]DATA!$AH:$AH,MATCH('[1]BC_ ĐG LX'!$C17&amp;'[1]BC_ ĐG LX'!X$3,[1]DATA!$AW:$AW,0)),"")</f>
        <v>9.82</v>
      </c>
      <c r="Y17" s="19">
        <f>IFERROR(INDEX([1]DATA!$AH:$AH,MATCH('[1]BC_ ĐG LX'!$C17&amp;'[1]BC_ ĐG LX'!Y$3,[1]DATA!$AW:$AW,0)),"")</f>
        <v>9.82</v>
      </c>
      <c r="Z17" s="19">
        <f>IFERROR(INDEX([1]DATA!$AH:$AH,MATCH('[1]BC_ ĐG LX'!$C17&amp;'[1]BC_ ĐG LX'!Z$3,[1]DATA!$AW:$AW,0)),"")</f>
        <v>9.42</v>
      </c>
      <c r="AA17" s="19">
        <f>IFERROR(INDEX([1]DATA!$AH:$AH,MATCH('[1]BC_ ĐG LX'!$C17&amp;'[1]BC_ ĐG LX'!AA$3,[1]DATA!$AW:$AW,0)),"")</f>
        <v>9.82</v>
      </c>
      <c r="AB17" s="19">
        <f>IFERROR(INDEX([1]DATA!$AH:$AH,MATCH('[1]BC_ ĐG LX'!$C17&amp;'[1]BC_ ĐG LX'!AB$3,[1]DATA!$AW:$AW,0)),"")</f>
        <v>9.42</v>
      </c>
      <c r="AC17" s="19">
        <f>IFERROR(INDEX([1]DATA!$AH:$AH,MATCH('[1]BC_ ĐG LX'!$C17&amp;'[1]BC_ ĐG LX'!AC$3,[1]DATA!$AW:$AW,0)),"")</f>
        <v>9.82</v>
      </c>
      <c r="AD17" s="19">
        <f>IFERROR(INDEX([1]DATA!$AH:$AH,MATCH('[1]BC_ ĐG LX'!$C17&amp;'[1]BC_ ĐG LX'!AD$3,[1]DATA!$AW:$AW,0)),"")</f>
        <v>9.6199999999999992</v>
      </c>
      <c r="AE17" s="19">
        <f>IFERROR(INDEX([1]DATA!$AH:$AH,MATCH('[1]BC_ ĐG LX'!$C17&amp;'[1]BC_ ĐG LX'!AE$3,[1]DATA!$AW:$AW,0)),"")</f>
        <v>9.82</v>
      </c>
      <c r="AF17" s="19" t="str">
        <f>IFERROR(INDEX([1]DATA!$AH:$AH,MATCH('[1]BC_ ĐG LX'!$C17&amp;'[1]BC_ ĐG LX'!AF$3,[1]DATA!$AW:$AW,0)),"")</f>
        <v/>
      </c>
      <c r="AG17" s="19" t="str">
        <f>IFERROR(INDEX([1]DATA!$AH:$AH,MATCH('[1]BC_ ĐG LX'!$C17&amp;'[1]BC_ ĐG LX'!AG$3,[1]DATA!$AW:$AW,0)),"")</f>
        <v/>
      </c>
      <c r="AH17" s="19" t="str">
        <f>IFERROR(INDEX([1]DATA!$AH:$AH,MATCH('[1]BC_ ĐG LX'!$C17&amp;'[1]BC_ ĐG LX'!AH$3,[1]DATA!$AW:$AW,0)),"")</f>
        <v/>
      </c>
      <c r="AI17" s="19" t="str">
        <f>IFERROR(INDEX([1]DATA!$AH:$AH,MATCH('[1]BC_ ĐG LX'!$C17&amp;'[1]BC_ ĐG LX'!AI$3,[1]DATA!$AW:$AW,0)),"")</f>
        <v/>
      </c>
      <c r="AJ17" s="19" t="str">
        <f>IFERROR(INDEX([1]DATA!$AH:$AH,MATCH('[1]BC_ ĐG LX'!$C17&amp;'[1]BC_ ĐG LX'!AJ$3,[1]DATA!$AW:$AW,0)),"")</f>
        <v/>
      </c>
      <c r="AK17" s="26">
        <f t="shared" si="2"/>
        <v>9.6999999999999993</v>
      </c>
      <c r="AL17" s="21"/>
      <c r="AM17" s="22">
        <f t="shared" si="1"/>
        <v>25</v>
      </c>
      <c r="AN17" s="22" t="str">
        <f>_xlfn.XLOOKUP(B17,[1]DATA!AF:AF,[1]DATA!AX:AX)</f>
        <v>Lương</v>
      </c>
      <c r="AO17"/>
    </row>
    <row r="18" spans="1:41" s="22" customFormat="1" ht="15.75" customHeight="1">
      <c r="A18" s="16">
        <f>SUBTOTAL(3,$D$4:D18)</f>
        <v>14</v>
      </c>
      <c r="B18" s="16" t="str">
        <f>_xlfn.XLOOKUP(C18,[1]DATA!D:D,[1]DATA!AF:AF)</f>
        <v>XE00887</v>
      </c>
      <c r="C18" s="18" t="s">
        <v>35</v>
      </c>
      <c r="D18" s="16" t="s">
        <v>15</v>
      </c>
      <c r="E18" s="18" t="s">
        <v>17</v>
      </c>
      <c r="F18" s="18" t="s">
        <v>18</v>
      </c>
      <c r="G18" s="19">
        <f>IFERROR(INDEX([1]DATA!$AH:$AH,MATCH('[1]BC_ ĐG LX'!$C18&amp;'[1]BC_ ĐG LX'!G$3,[1]DATA!$AW:$AW,0)),"")</f>
        <v>9.42</v>
      </c>
      <c r="H18" s="19">
        <f>IFERROR(INDEX([1]DATA!$AH:$AH,MATCH('[1]BC_ ĐG LX'!$C18&amp;'[1]BC_ ĐG LX'!H$3,[1]DATA!$AW:$AW,0)),"")</f>
        <v>9.82</v>
      </c>
      <c r="I18" s="19">
        <f>IFERROR(INDEX([1]DATA!$AH:$AH,MATCH('[1]BC_ ĐG LX'!$C18&amp;'[1]BC_ ĐG LX'!I$3,[1]DATA!$AW:$AW,0)),"")</f>
        <v>8.84</v>
      </c>
      <c r="J18" s="19">
        <f>IFERROR(INDEX([1]DATA!$AH:$AH,MATCH('[1]BC_ ĐG LX'!$C18&amp;'[1]BC_ ĐG LX'!J$3,[1]DATA!$AW:$AW,0)),"")</f>
        <v>9.42</v>
      </c>
      <c r="K18" s="19">
        <f>IFERROR(INDEX([1]DATA!$AH:$AH,MATCH('[1]BC_ ĐG LX'!$C18&amp;'[1]BC_ ĐG LX'!K$3,[1]DATA!$AW:$AW,0)),"")</f>
        <v>9.42</v>
      </c>
      <c r="L18" s="19">
        <f>IFERROR(INDEX([1]DATA!$AH:$AH,MATCH('[1]BC_ ĐG LX'!$C18&amp;'[1]BC_ ĐG LX'!L$3,[1]DATA!$AW:$AW,0)),"")</f>
        <v>9.42</v>
      </c>
      <c r="M18" s="19">
        <f>IFERROR(INDEX([1]DATA!$AH:$AH,MATCH('[1]BC_ ĐG LX'!$C18&amp;'[1]BC_ ĐG LX'!M$3,[1]DATA!$AW:$AW,0)),"")</f>
        <v>9.82</v>
      </c>
      <c r="N18" s="19">
        <f>IFERROR(INDEX([1]DATA!$AH:$AH,MATCH('[1]BC_ ĐG LX'!$C18&amp;'[1]BC_ ĐG LX'!N$3,[1]DATA!$AW:$AW,0)),"")</f>
        <v>9.42</v>
      </c>
      <c r="O18" s="19">
        <f>IFERROR(INDEX([1]DATA!$AH:$AH,MATCH('[1]BC_ ĐG LX'!$C18&amp;'[1]BC_ ĐG LX'!O$3,[1]DATA!$AW:$AW,0)),"")</f>
        <v>9.82</v>
      </c>
      <c r="P18" s="19">
        <f>IFERROR(INDEX([1]DATA!$AH:$AH,MATCH('[1]BC_ ĐG LX'!$C18&amp;'[1]BC_ ĐG LX'!P$3,[1]DATA!$AW:$AW,0)),"")</f>
        <v>9.82</v>
      </c>
      <c r="Q18" s="19">
        <f>IFERROR(INDEX([1]DATA!$AH:$AH,MATCH('[1]BC_ ĐG LX'!$C18&amp;'[1]BC_ ĐG LX'!Q$3,[1]DATA!$AW:$AW,0)),"")</f>
        <v>9.82</v>
      </c>
      <c r="R18" s="19">
        <f>IFERROR(INDEX([1]DATA!$AH:$AH,MATCH('[1]BC_ ĐG LX'!$C18&amp;'[1]BC_ ĐG LX'!R$3,[1]DATA!$AW:$AW,0)),"")</f>
        <v>9.82</v>
      </c>
      <c r="S18" s="19">
        <f>IFERROR(INDEX([1]DATA!$AH:$AH,MATCH('[1]BC_ ĐG LX'!$C18&amp;'[1]BC_ ĐG LX'!S$3,[1]DATA!$AW:$AW,0)),"")</f>
        <v>9.82</v>
      </c>
      <c r="T18" s="19">
        <f>IFERROR(INDEX([1]DATA!$AH:$AH,MATCH('[1]BC_ ĐG LX'!$C18&amp;'[1]BC_ ĐG LX'!T$3,[1]DATA!$AW:$AW,0)),"")</f>
        <v>9.82</v>
      </c>
      <c r="U18" s="19">
        <f>IFERROR(INDEX([1]DATA!$AH:$AH,MATCH('[1]BC_ ĐG LX'!$C18&amp;'[1]BC_ ĐG LX'!U$3,[1]DATA!$AW:$AW,0)),"")</f>
        <v>9.82</v>
      </c>
      <c r="V18" s="19">
        <f>IFERROR(INDEX([1]DATA!$AH:$AH,MATCH('[1]BC_ ĐG LX'!$C18&amp;'[1]BC_ ĐG LX'!V$3,[1]DATA!$AW:$AW,0)),"")</f>
        <v>9.82</v>
      </c>
      <c r="W18" s="19">
        <f>IFERROR(INDEX([1]DATA!$AH:$AH,MATCH('[1]BC_ ĐG LX'!$C18&amp;'[1]BC_ ĐG LX'!W$3,[1]DATA!$AW:$AW,0)),"")</f>
        <v>9.02</v>
      </c>
      <c r="X18" s="19">
        <f>IFERROR(INDEX([1]DATA!$AH:$AH,MATCH('[1]BC_ ĐG LX'!$C18&amp;'[1]BC_ ĐG LX'!X$3,[1]DATA!$AW:$AW,0)),"")</f>
        <v>9.42</v>
      </c>
      <c r="Y18" s="19">
        <f>IFERROR(INDEX([1]DATA!$AH:$AH,MATCH('[1]BC_ ĐG LX'!$C18&amp;'[1]BC_ ĐG LX'!Y$3,[1]DATA!$AW:$AW,0)),"")</f>
        <v>9.2199999999999989</v>
      </c>
      <c r="Z18" s="19">
        <f>IFERROR(INDEX([1]DATA!$AH:$AH,MATCH('[1]BC_ ĐG LX'!$C18&amp;'[1]BC_ ĐG LX'!Z$3,[1]DATA!$AW:$AW,0)),"")</f>
        <v>9.2199999999999989</v>
      </c>
      <c r="AA18" s="19">
        <f>IFERROR(INDEX([1]DATA!$AH:$AH,MATCH('[1]BC_ ĐG LX'!$C18&amp;'[1]BC_ ĐG LX'!AA$3,[1]DATA!$AW:$AW,0)),"")</f>
        <v>9.42</v>
      </c>
      <c r="AB18" s="19">
        <f>IFERROR(INDEX([1]DATA!$AH:$AH,MATCH('[1]BC_ ĐG LX'!$C18&amp;'[1]BC_ ĐG LX'!AB$3,[1]DATA!$AW:$AW,0)),"")</f>
        <v>9.82</v>
      </c>
      <c r="AC18" s="19">
        <f>IFERROR(INDEX([1]DATA!$AH:$AH,MATCH('[1]BC_ ĐG LX'!$C18&amp;'[1]BC_ ĐG LX'!AC$3,[1]DATA!$AW:$AW,0)),"")</f>
        <v>9.82</v>
      </c>
      <c r="AD18" s="19">
        <f>IFERROR(INDEX([1]DATA!$AH:$AH,MATCH('[1]BC_ ĐG LX'!$C18&amp;'[1]BC_ ĐG LX'!AD$3,[1]DATA!$AW:$AW,0)),"")</f>
        <v>9.2199999999999989</v>
      </c>
      <c r="AE18" s="19">
        <f>IFERROR(INDEX([1]DATA!$AH:$AH,MATCH('[1]BC_ ĐG LX'!$C18&amp;'[1]BC_ ĐG LX'!AE$3,[1]DATA!$AW:$AW,0)),"")</f>
        <v>9.6199999999999992</v>
      </c>
      <c r="AF18" s="19">
        <f>IFERROR(INDEX([1]DATA!$AH:$AH,MATCH('[1]BC_ ĐG LX'!$C18&amp;'[1]BC_ ĐG LX'!AF$3,[1]DATA!$AW:$AW,0)),"")</f>
        <v>9.82</v>
      </c>
      <c r="AG18" s="19" t="str">
        <f>IFERROR(INDEX([1]DATA!$AH:$AH,MATCH('[1]BC_ ĐG LX'!$C18&amp;'[1]BC_ ĐG LX'!AG$3,[1]DATA!$AW:$AW,0)),"")</f>
        <v/>
      </c>
      <c r="AH18" s="19" t="str">
        <f>IFERROR(INDEX([1]DATA!$AH:$AH,MATCH('[1]BC_ ĐG LX'!$C18&amp;'[1]BC_ ĐG LX'!AH$3,[1]DATA!$AW:$AW,0)),"")</f>
        <v/>
      </c>
      <c r="AI18" s="19" t="str">
        <f>IFERROR(INDEX([1]DATA!$AH:$AH,MATCH('[1]BC_ ĐG LX'!$C18&amp;'[1]BC_ ĐG LX'!AI$3,[1]DATA!$AW:$AW,0)),"")</f>
        <v/>
      </c>
      <c r="AJ18" s="19" t="str">
        <f>IFERROR(INDEX([1]DATA!$AH:$AH,MATCH('[1]BC_ ĐG LX'!$C18&amp;'[1]BC_ ĐG LX'!AJ$3,[1]DATA!$AW:$AW,0)),"")</f>
        <v/>
      </c>
      <c r="AK18" s="26">
        <f t="shared" si="2"/>
        <v>9.6</v>
      </c>
      <c r="AL18" s="21"/>
      <c r="AM18" s="22">
        <f t="shared" si="1"/>
        <v>26</v>
      </c>
      <c r="AN18" s="22" t="str">
        <f>_xlfn.XLOOKUP(B18,[1]DATA!AF:AF,[1]DATA!AX:AX)</f>
        <v>Lương</v>
      </c>
      <c r="AO18"/>
    </row>
    <row r="19" spans="1:41" s="22" customFormat="1" ht="15.75" customHeight="1">
      <c r="A19" s="16">
        <f>SUBTOTAL(3,$D$4:D19)</f>
        <v>15</v>
      </c>
      <c r="B19" s="16" t="str">
        <f>_xlfn.XLOOKUP(C19,[1]DATA!D:D,[1]DATA!AF:AF)</f>
        <v>XE01229</v>
      </c>
      <c r="C19" s="18" t="s">
        <v>36</v>
      </c>
      <c r="D19" s="16" t="s">
        <v>15</v>
      </c>
      <c r="E19" s="18" t="s">
        <v>17</v>
      </c>
      <c r="F19" s="18" t="s">
        <v>18</v>
      </c>
      <c r="G19" s="19">
        <f>IFERROR(INDEX([1]DATA!$AH:$AH,MATCH('[1]BC_ ĐG LX'!$C19&amp;'[1]BC_ ĐG LX'!G$3,[1]DATA!$AW:$AW,0)),"")</f>
        <v>9.42</v>
      </c>
      <c r="H19" s="19">
        <f>IFERROR(INDEX([1]DATA!$AH:$AH,MATCH('[1]BC_ ĐG LX'!$C19&amp;'[1]BC_ ĐG LX'!H$3,[1]DATA!$AW:$AW,0)),"")</f>
        <v>9.42</v>
      </c>
      <c r="I19" s="19">
        <f>IFERROR(INDEX([1]DATA!$AH:$AH,MATCH('[1]BC_ ĐG LX'!$C19&amp;'[1]BC_ ĐG LX'!I$3,[1]DATA!$AW:$AW,0)),"")</f>
        <v>9.82</v>
      </c>
      <c r="J19" s="19">
        <f>IFERROR(INDEX([1]DATA!$AH:$AH,MATCH('[1]BC_ ĐG LX'!$C19&amp;'[1]BC_ ĐG LX'!J$3,[1]DATA!$AW:$AW,0)),"")</f>
        <v>9.82</v>
      </c>
      <c r="K19" s="19">
        <f>IFERROR(INDEX([1]DATA!$AH:$AH,MATCH('[1]BC_ ĐG LX'!$C19&amp;'[1]BC_ ĐG LX'!K$3,[1]DATA!$AW:$AW,0)),"")</f>
        <v>9.42</v>
      </c>
      <c r="L19" s="19">
        <f>IFERROR(INDEX([1]DATA!$AH:$AH,MATCH('[1]BC_ ĐG LX'!$C19&amp;'[1]BC_ ĐG LX'!L$3,[1]DATA!$AW:$AW,0)),"")</f>
        <v>9.82</v>
      </c>
      <c r="M19" s="19">
        <f>IFERROR(INDEX([1]DATA!$AH:$AH,MATCH('[1]BC_ ĐG LX'!$C19&amp;'[1]BC_ ĐG LX'!M$3,[1]DATA!$AW:$AW,0)),"")</f>
        <v>9.42</v>
      </c>
      <c r="N19" s="19">
        <f>IFERROR(INDEX([1]DATA!$AH:$AH,MATCH('[1]BC_ ĐG LX'!$C19&amp;'[1]BC_ ĐG LX'!N$3,[1]DATA!$AW:$AW,0)),"")</f>
        <v>7.24</v>
      </c>
      <c r="O19" s="19">
        <f>IFERROR(INDEX([1]DATA!$AH:$AH,MATCH('[1]BC_ ĐG LX'!$C19&amp;'[1]BC_ ĐG LX'!O$3,[1]DATA!$AW:$AW,0)),"")</f>
        <v>8.64</v>
      </c>
      <c r="P19" s="19">
        <f>IFERROR(INDEX([1]DATA!$AH:$AH,MATCH('[1]BC_ ĐG LX'!$C19&amp;'[1]BC_ ĐG LX'!P$3,[1]DATA!$AW:$AW,0)),"")</f>
        <v>9.82</v>
      </c>
      <c r="Q19" s="19">
        <f>IFERROR(INDEX([1]DATA!$AH:$AH,MATCH('[1]BC_ ĐG LX'!$C19&amp;'[1]BC_ ĐG LX'!Q$3,[1]DATA!$AW:$AW,0)),"")</f>
        <v>9.82</v>
      </c>
      <c r="R19" s="19">
        <f>IFERROR(INDEX([1]DATA!$AH:$AH,MATCH('[1]BC_ ĐG LX'!$C19&amp;'[1]BC_ ĐG LX'!R$3,[1]DATA!$AW:$AW,0)),"")</f>
        <v>9.82</v>
      </c>
      <c r="S19" s="19">
        <f>IFERROR(INDEX([1]DATA!$AH:$AH,MATCH('[1]BC_ ĐG LX'!$C19&amp;'[1]BC_ ĐG LX'!S$3,[1]DATA!$AW:$AW,0)),"")</f>
        <v>9.42</v>
      </c>
      <c r="T19" s="19">
        <f>IFERROR(INDEX([1]DATA!$AH:$AH,MATCH('[1]BC_ ĐG LX'!$C19&amp;'[1]BC_ ĐG LX'!T$3,[1]DATA!$AW:$AW,0)),"")</f>
        <v>9.42</v>
      </c>
      <c r="U19" s="19">
        <f>IFERROR(INDEX([1]DATA!$AH:$AH,MATCH('[1]BC_ ĐG LX'!$C19&amp;'[1]BC_ ĐG LX'!U$3,[1]DATA!$AW:$AW,0)),"")</f>
        <v>9.82</v>
      </c>
      <c r="V19" s="19">
        <f>IFERROR(INDEX([1]DATA!$AH:$AH,MATCH('[1]BC_ ĐG LX'!$C19&amp;'[1]BC_ ĐG LX'!V$3,[1]DATA!$AW:$AW,0)),"")</f>
        <v>7.82</v>
      </c>
      <c r="W19" s="19">
        <f>IFERROR(INDEX([1]DATA!$AH:$AH,MATCH('[1]BC_ ĐG LX'!$C19&amp;'[1]BC_ ĐG LX'!W$3,[1]DATA!$AW:$AW,0)),"")</f>
        <v>9.82</v>
      </c>
      <c r="X19" s="19">
        <f>IFERROR(INDEX([1]DATA!$AH:$AH,MATCH('[1]BC_ ĐG LX'!$C19&amp;'[1]BC_ ĐG LX'!X$3,[1]DATA!$AW:$AW,0)),"")</f>
        <v>9.82</v>
      </c>
      <c r="Y19" s="19">
        <f>IFERROR(INDEX([1]DATA!$AH:$AH,MATCH('[1]BC_ ĐG LX'!$C19&amp;'[1]BC_ ĐG LX'!Y$3,[1]DATA!$AW:$AW,0)),"")</f>
        <v>8.6199999999999992</v>
      </c>
      <c r="Z19" s="19">
        <f>IFERROR(INDEX([1]DATA!$AH:$AH,MATCH('[1]BC_ ĐG LX'!$C19&amp;'[1]BC_ ĐG LX'!Z$3,[1]DATA!$AW:$AW,0)),"")</f>
        <v>9.42</v>
      </c>
      <c r="AA19" s="19">
        <f>IFERROR(INDEX([1]DATA!$AH:$AH,MATCH('[1]BC_ ĐG LX'!$C19&amp;'[1]BC_ ĐG LX'!AA$3,[1]DATA!$AW:$AW,0)),"")</f>
        <v>9.02</v>
      </c>
      <c r="AB19" s="19">
        <f>IFERROR(INDEX([1]DATA!$AH:$AH,MATCH('[1]BC_ ĐG LX'!$C19&amp;'[1]BC_ ĐG LX'!AB$3,[1]DATA!$AW:$AW,0)),"")</f>
        <v>7.82</v>
      </c>
      <c r="AC19" s="19">
        <f>IFERROR(INDEX([1]DATA!$AH:$AH,MATCH('[1]BC_ ĐG LX'!$C19&amp;'[1]BC_ ĐG LX'!AC$3,[1]DATA!$AW:$AW,0)),"")</f>
        <v>9.82</v>
      </c>
      <c r="AD19" s="19">
        <f>IFERROR(INDEX([1]DATA!$AH:$AH,MATCH('[1]BC_ ĐG LX'!$C19&amp;'[1]BC_ ĐG LX'!AD$3,[1]DATA!$AW:$AW,0)),"")</f>
        <v>9.02</v>
      </c>
      <c r="AE19" s="19">
        <f>IFERROR(INDEX([1]DATA!$AH:$AH,MATCH('[1]BC_ ĐG LX'!$C19&amp;'[1]BC_ ĐG LX'!AE$3,[1]DATA!$AW:$AW,0)),"")</f>
        <v>9.82</v>
      </c>
      <c r="AF19" s="19" t="str">
        <f>IFERROR(INDEX([1]DATA!$AH:$AH,MATCH('[1]BC_ ĐG LX'!$C19&amp;'[1]BC_ ĐG LX'!AF$3,[1]DATA!$AW:$AW,0)),"")</f>
        <v/>
      </c>
      <c r="AG19" s="19" t="str">
        <f>IFERROR(INDEX([1]DATA!$AH:$AH,MATCH('[1]BC_ ĐG LX'!$C19&amp;'[1]BC_ ĐG LX'!AG$3,[1]DATA!$AW:$AW,0)),"")</f>
        <v/>
      </c>
      <c r="AH19" s="19" t="str">
        <f>IFERROR(INDEX([1]DATA!$AH:$AH,MATCH('[1]BC_ ĐG LX'!$C19&amp;'[1]BC_ ĐG LX'!AH$3,[1]DATA!$AW:$AW,0)),"")</f>
        <v/>
      </c>
      <c r="AI19" s="19" t="str">
        <f>IFERROR(INDEX([1]DATA!$AH:$AH,MATCH('[1]BC_ ĐG LX'!$C19&amp;'[1]BC_ ĐG LX'!AI$3,[1]DATA!$AW:$AW,0)),"")</f>
        <v/>
      </c>
      <c r="AJ19" s="19" t="str">
        <f>IFERROR(INDEX([1]DATA!$AH:$AH,MATCH('[1]BC_ ĐG LX'!$C19&amp;'[1]BC_ ĐG LX'!AJ$3,[1]DATA!$AW:$AW,0)),"")</f>
        <v/>
      </c>
      <c r="AK19" s="26">
        <f t="shared" si="2"/>
        <v>9.2999999999999989</v>
      </c>
      <c r="AL19" s="21"/>
      <c r="AM19" s="22">
        <f t="shared" si="1"/>
        <v>25</v>
      </c>
      <c r="AN19" s="22" t="str">
        <f>_xlfn.XLOOKUP(B19,[1]DATA!AF:AF,[1]DATA!AX:AX)</f>
        <v>Lương</v>
      </c>
      <c r="AO19"/>
    </row>
    <row r="20" spans="1:41" s="22" customFormat="1" ht="15.75" customHeight="1">
      <c r="A20" s="16">
        <f>SUBTOTAL(3,$D$4:D20)</f>
        <v>16</v>
      </c>
      <c r="B20" s="16" t="str">
        <f>_xlfn.XLOOKUP(C20,[1]DATA!D:D,[1]DATA!AF:AF)</f>
        <v>XE01385</v>
      </c>
      <c r="C20" s="18" t="s">
        <v>37</v>
      </c>
      <c r="D20" s="16" t="s">
        <v>15</v>
      </c>
      <c r="E20" s="18" t="s">
        <v>17</v>
      </c>
      <c r="F20" s="18" t="s">
        <v>18</v>
      </c>
      <c r="G20" s="19">
        <f>IFERROR(INDEX([1]DATA!$AH:$AH,MATCH('[1]BC_ ĐG LX'!$C20&amp;'[1]BC_ ĐG LX'!G$3,[1]DATA!$AW:$AW,0)),"")</f>
        <v>9.02</v>
      </c>
      <c r="H20" s="19">
        <f>IFERROR(INDEX([1]DATA!$AH:$AH,MATCH('[1]BC_ ĐG LX'!$C20&amp;'[1]BC_ ĐG LX'!H$3,[1]DATA!$AW:$AW,0)),"")</f>
        <v>9.82</v>
      </c>
      <c r="I20" s="19">
        <f>IFERROR(INDEX([1]DATA!$AH:$AH,MATCH('[1]BC_ ĐG LX'!$C20&amp;'[1]BC_ ĐG LX'!I$3,[1]DATA!$AW:$AW,0)),"")</f>
        <v>5.84</v>
      </c>
      <c r="J20" s="19">
        <f>IFERROR(INDEX([1]DATA!$AH:$AH,MATCH('[1]BC_ ĐG LX'!$C20&amp;'[1]BC_ ĐG LX'!J$3,[1]DATA!$AW:$AW,0)),"")</f>
        <v>9.82</v>
      </c>
      <c r="K20" s="19">
        <f>IFERROR(INDEX([1]DATA!$AH:$AH,MATCH('[1]BC_ ĐG LX'!$C20&amp;'[1]BC_ ĐG LX'!K$3,[1]DATA!$AW:$AW,0)),"")</f>
        <v>7.6400000000000006</v>
      </c>
      <c r="L20" s="19">
        <f>IFERROR(INDEX([1]DATA!$AH:$AH,MATCH('[1]BC_ ĐG LX'!$C20&amp;'[1]BC_ ĐG LX'!L$3,[1]DATA!$AW:$AW,0)),"")</f>
        <v>8.64</v>
      </c>
      <c r="M20" s="19">
        <f>IFERROR(INDEX([1]DATA!$AH:$AH,MATCH('[1]BC_ ĐG LX'!$C20&amp;'[1]BC_ ĐG LX'!M$3,[1]DATA!$AW:$AW,0)),"")</f>
        <v>9.44</v>
      </c>
      <c r="N20" s="19">
        <f>IFERROR(INDEX([1]DATA!$AH:$AH,MATCH('[1]BC_ ĐG LX'!$C20&amp;'[1]BC_ ĐG LX'!N$3,[1]DATA!$AW:$AW,0)),"")</f>
        <v>9.42</v>
      </c>
      <c r="O20" s="19">
        <f>IFERROR(INDEX([1]DATA!$AH:$AH,MATCH('[1]BC_ ĐG LX'!$C20&amp;'[1]BC_ ĐG LX'!O$3,[1]DATA!$AW:$AW,0)),"")</f>
        <v>9.02</v>
      </c>
      <c r="P20" s="19">
        <f>IFERROR(INDEX([1]DATA!$AH:$AH,MATCH('[1]BC_ ĐG LX'!$C20&amp;'[1]BC_ ĐG LX'!P$3,[1]DATA!$AW:$AW,0)),"")</f>
        <v>8.84</v>
      </c>
      <c r="Q20" s="19">
        <f>IFERROR(INDEX([1]DATA!$AH:$AH,MATCH('[1]BC_ ĐG LX'!$C20&amp;'[1]BC_ ĐG LX'!Q$3,[1]DATA!$AW:$AW,0)),"")</f>
        <v>9.32</v>
      </c>
      <c r="R20" s="19">
        <f>IFERROR(INDEX([1]DATA!$AH:$AH,MATCH('[1]BC_ ĐG LX'!$C20&amp;'[1]BC_ ĐG LX'!R$3,[1]DATA!$AW:$AW,0)),"")</f>
        <v>9.0399999999999991</v>
      </c>
      <c r="S20" s="19">
        <f>IFERROR(INDEX([1]DATA!$AH:$AH,MATCH('[1]BC_ ĐG LX'!$C20&amp;'[1]BC_ ĐG LX'!S$3,[1]DATA!$AW:$AW,0)),"")</f>
        <v>9.42</v>
      </c>
      <c r="T20" s="19">
        <f>IFERROR(INDEX([1]DATA!$AH:$AH,MATCH('[1]BC_ ĐG LX'!$C20&amp;'[1]BC_ ĐG LX'!T$3,[1]DATA!$AW:$AW,0)),"")</f>
        <v>9.02</v>
      </c>
      <c r="U20" s="19">
        <f>IFERROR(INDEX([1]DATA!$AH:$AH,MATCH('[1]BC_ ĐG LX'!$C20&amp;'[1]BC_ ĐG LX'!U$3,[1]DATA!$AW:$AW,0)),"")</f>
        <v>9.82</v>
      </c>
      <c r="V20" s="19">
        <f>IFERROR(INDEX([1]DATA!$AH:$AH,MATCH('[1]BC_ ĐG LX'!$C20&amp;'[1]BC_ ĐG LX'!V$3,[1]DATA!$AW:$AW,0)),"")</f>
        <v>9.6199999999999992</v>
      </c>
      <c r="W20" s="19">
        <f>IFERROR(INDEX([1]DATA!$AH:$AH,MATCH('[1]BC_ ĐG LX'!$C20&amp;'[1]BC_ ĐG LX'!W$3,[1]DATA!$AW:$AW,0)),"")</f>
        <v>8.44</v>
      </c>
      <c r="X20" s="19">
        <f>IFERROR(INDEX([1]DATA!$AH:$AH,MATCH('[1]BC_ ĐG LX'!$C20&amp;'[1]BC_ ĐG LX'!X$3,[1]DATA!$AW:$AW,0)),"")</f>
        <v>9.42</v>
      </c>
      <c r="Y20" s="19">
        <f>IFERROR(INDEX([1]DATA!$AH:$AH,MATCH('[1]BC_ ĐG LX'!$C20&amp;'[1]BC_ ĐG LX'!Y$3,[1]DATA!$AW:$AW,0)),"")</f>
        <v>8.2200000000000006</v>
      </c>
      <c r="Z20" s="19">
        <f>IFERROR(INDEX([1]DATA!$AH:$AH,MATCH('[1]BC_ ĐG LX'!$C20&amp;'[1]BC_ ĐG LX'!Z$3,[1]DATA!$AW:$AW,0)),"")</f>
        <v>8.84</v>
      </c>
      <c r="AA20" s="19">
        <f>IFERROR(INDEX([1]DATA!$AH:$AH,MATCH('[1]BC_ ĐG LX'!$C20&amp;'[1]BC_ ĐG LX'!AA$3,[1]DATA!$AW:$AW,0)),"")</f>
        <v>9.82</v>
      </c>
      <c r="AB20" s="19">
        <f>IFERROR(INDEX([1]DATA!$AH:$AH,MATCH('[1]BC_ ĐG LX'!$C20&amp;'[1]BC_ ĐG LX'!AB$3,[1]DATA!$AW:$AW,0)),"")</f>
        <v>9.82</v>
      </c>
      <c r="AC20" s="19">
        <f>IFERROR(INDEX([1]DATA!$AH:$AH,MATCH('[1]BC_ ĐG LX'!$C20&amp;'[1]BC_ ĐG LX'!AC$3,[1]DATA!$AW:$AW,0)),"")</f>
        <v>9.82</v>
      </c>
      <c r="AD20" s="19">
        <f>IFERROR(INDEX([1]DATA!$AH:$AH,MATCH('[1]BC_ ĐG LX'!$C20&amp;'[1]BC_ ĐG LX'!AD$3,[1]DATA!$AW:$AW,0)),"")</f>
        <v>9.42</v>
      </c>
      <c r="AE20" s="19">
        <f>IFERROR(INDEX([1]DATA!$AH:$AH,MATCH('[1]BC_ ĐG LX'!$C20&amp;'[1]BC_ ĐG LX'!AE$3,[1]DATA!$AW:$AW,0)),"")</f>
        <v>9.82</v>
      </c>
      <c r="AF20" s="19" t="str">
        <f>IFERROR(INDEX([1]DATA!$AH:$AH,MATCH('[1]BC_ ĐG LX'!$C20&amp;'[1]BC_ ĐG LX'!AF$3,[1]DATA!$AW:$AW,0)),"")</f>
        <v/>
      </c>
      <c r="AG20" s="19" t="str">
        <f>IFERROR(INDEX([1]DATA!$AH:$AH,MATCH('[1]BC_ ĐG LX'!$C20&amp;'[1]BC_ ĐG LX'!AG$3,[1]DATA!$AW:$AW,0)),"")</f>
        <v/>
      </c>
      <c r="AH20" s="19" t="str">
        <f>IFERROR(INDEX([1]DATA!$AH:$AH,MATCH('[1]BC_ ĐG LX'!$C20&amp;'[1]BC_ ĐG LX'!AH$3,[1]DATA!$AW:$AW,0)),"")</f>
        <v/>
      </c>
      <c r="AI20" s="19" t="str">
        <f>IFERROR(INDEX([1]DATA!$AH:$AH,MATCH('[1]BC_ ĐG LX'!$C20&amp;'[1]BC_ ĐG LX'!AI$3,[1]DATA!$AW:$AW,0)),"")</f>
        <v/>
      </c>
      <c r="AJ20" s="19" t="str">
        <f>IFERROR(INDEX([1]DATA!$AH:$AH,MATCH('[1]BC_ ĐG LX'!$C20&amp;'[1]BC_ ĐG LX'!AJ$3,[1]DATA!$AW:$AW,0)),"")</f>
        <v/>
      </c>
      <c r="AK20" s="26">
        <f t="shared" si="2"/>
        <v>9.1</v>
      </c>
      <c r="AL20" s="21"/>
      <c r="AN20" s="22" t="str">
        <f>_xlfn.XLOOKUP(B20,[1]DATA!AF:AF,[1]DATA!AX:AX)</f>
        <v>Lương</v>
      </c>
      <c r="AO20"/>
    </row>
    <row r="21" spans="1:41" s="22" customFormat="1" ht="15.75" customHeight="1">
      <c r="A21" s="16">
        <f>SUBTOTAL(3,$D$4:D21)</f>
        <v>17</v>
      </c>
      <c r="B21" s="16" t="str">
        <f>_xlfn.XLOOKUP(C21,[1]DATA!D:D,[1]DATA!AF:AF)</f>
        <v>XE01468</v>
      </c>
      <c r="C21" s="18" t="s">
        <v>38</v>
      </c>
      <c r="D21" s="16" t="s">
        <v>15</v>
      </c>
      <c r="E21" s="18" t="s">
        <v>17</v>
      </c>
      <c r="F21" s="18" t="s">
        <v>18</v>
      </c>
      <c r="G21" s="19">
        <f>IFERROR(INDEX([1]DATA!$AH:$AH,MATCH('[1]BC_ ĐG LX'!$C21&amp;'[1]BC_ ĐG LX'!G$3,[1]DATA!$AW:$AW,0)),"")</f>
        <v>9.82</v>
      </c>
      <c r="H21" s="19">
        <f>IFERROR(INDEX([1]DATA!$AH:$AH,MATCH('[1]BC_ ĐG LX'!$C21&amp;'[1]BC_ ĐG LX'!H$3,[1]DATA!$AW:$AW,0)),"")</f>
        <v>9.82</v>
      </c>
      <c r="I21" s="19">
        <f>IFERROR(INDEX([1]DATA!$AH:$AH,MATCH('[1]BC_ ĐG LX'!$C21&amp;'[1]BC_ ĐG LX'!I$3,[1]DATA!$AW:$AW,0)),"")</f>
        <v>8.2200000000000006</v>
      </c>
      <c r="J21" s="19">
        <f>IFERROR(INDEX([1]DATA!$AH:$AH,MATCH('[1]BC_ ĐG LX'!$C21&amp;'[1]BC_ ĐG LX'!J$3,[1]DATA!$AW:$AW,0)),"")</f>
        <v>9.82</v>
      </c>
      <c r="K21" s="19">
        <f>IFERROR(INDEX([1]DATA!$AH:$AH,MATCH('[1]BC_ ĐG LX'!$C21&amp;'[1]BC_ ĐG LX'!K$3,[1]DATA!$AW:$AW,0)),"")</f>
        <v>9.82</v>
      </c>
      <c r="L21" s="19">
        <f>IFERROR(INDEX([1]DATA!$AH:$AH,MATCH('[1]BC_ ĐG LX'!$C21&amp;'[1]BC_ ĐG LX'!L$3,[1]DATA!$AW:$AW,0)),"")</f>
        <v>9.42</v>
      </c>
      <c r="M21" s="19">
        <f>IFERROR(INDEX([1]DATA!$AH:$AH,MATCH('[1]BC_ ĐG LX'!$C21&amp;'[1]BC_ ĐG LX'!M$3,[1]DATA!$AW:$AW,0)),"")</f>
        <v>9.82</v>
      </c>
      <c r="N21" s="19">
        <f>IFERROR(INDEX([1]DATA!$AH:$AH,MATCH('[1]BC_ ĐG LX'!$C21&amp;'[1]BC_ ĐG LX'!N$3,[1]DATA!$AW:$AW,0)),"")</f>
        <v>8.84</v>
      </c>
      <c r="O21" s="19">
        <f>IFERROR(INDEX([1]DATA!$AH:$AH,MATCH('[1]BC_ ĐG LX'!$C21&amp;'[1]BC_ ĐG LX'!O$3,[1]DATA!$AW:$AW,0)),"")</f>
        <v>7.6800000000000006</v>
      </c>
      <c r="P21" s="19">
        <f>IFERROR(INDEX([1]DATA!$AH:$AH,MATCH('[1]BC_ ĐG LX'!$C21&amp;'[1]BC_ ĐG LX'!P$3,[1]DATA!$AW:$AW,0)),"")</f>
        <v>9.82</v>
      </c>
      <c r="Q21" s="19">
        <f>IFERROR(INDEX([1]DATA!$AH:$AH,MATCH('[1]BC_ ĐG LX'!$C21&amp;'[1]BC_ ĐG LX'!Q$3,[1]DATA!$AW:$AW,0)),"")</f>
        <v>9.82</v>
      </c>
      <c r="R21" s="19">
        <f>IFERROR(INDEX([1]DATA!$AH:$AH,MATCH('[1]BC_ ĐG LX'!$C21&amp;'[1]BC_ ĐG LX'!R$3,[1]DATA!$AW:$AW,0)),"")</f>
        <v>9.42</v>
      </c>
      <c r="S21" s="19">
        <f>IFERROR(INDEX([1]DATA!$AH:$AH,MATCH('[1]BC_ ĐG LX'!$C21&amp;'[1]BC_ ĐG LX'!S$3,[1]DATA!$AW:$AW,0)),"")</f>
        <v>8.0400000000000009</v>
      </c>
      <c r="T21" s="19">
        <f>IFERROR(INDEX([1]DATA!$AH:$AH,MATCH('[1]BC_ ĐG LX'!$C21&amp;'[1]BC_ ĐG LX'!T$3,[1]DATA!$AW:$AW,0)),"")</f>
        <v>9.82</v>
      </c>
      <c r="U21" s="19">
        <f>IFERROR(INDEX([1]DATA!$AH:$AH,MATCH('[1]BC_ ĐG LX'!$C21&amp;'[1]BC_ ĐG LX'!U$3,[1]DATA!$AW:$AW,0)),"")</f>
        <v>9.2199999999999989</v>
      </c>
      <c r="V21" s="19">
        <f>IFERROR(INDEX([1]DATA!$AH:$AH,MATCH('[1]BC_ ĐG LX'!$C21&amp;'[1]BC_ ĐG LX'!V$3,[1]DATA!$AW:$AW,0)),"")</f>
        <v>9.82</v>
      </c>
      <c r="W21" s="19">
        <f>IFERROR(INDEX([1]DATA!$AH:$AH,MATCH('[1]BC_ ĐG LX'!$C21&amp;'[1]BC_ ĐG LX'!W$3,[1]DATA!$AW:$AW,0)),"")</f>
        <v>9.82</v>
      </c>
      <c r="X21" s="19">
        <f>IFERROR(INDEX([1]DATA!$AH:$AH,MATCH('[1]BC_ ĐG LX'!$C21&amp;'[1]BC_ ĐG LX'!X$3,[1]DATA!$AW:$AW,0)),"")</f>
        <v>9.42</v>
      </c>
      <c r="Y21" s="19">
        <f>IFERROR(INDEX([1]DATA!$AH:$AH,MATCH('[1]BC_ ĐG LX'!$C21&amp;'[1]BC_ ĐG LX'!Y$3,[1]DATA!$AW:$AW,0)),"")</f>
        <v>9.82</v>
      </c>
      <c r="Z21" s="19">
        <f>IFERROR(INDEX([1]DATA!$AH:$AH,MATCH('[1]BC_ ĐG LX'!$C21&amp;'[1]BC_ ĐG LX'!Z$3,[1]DATA!$AW:$AW,0)),"")</f>
        <v>8.620000000000001</v>
      </c>
      <c r="AA21" s="19">
        <f>IFERROR(INDEX([1]DATA!$AH:$AH,MATCH('[1]BC_ ĐG LX'!$C21&amp;'[1]BC_ ĐG LX'!AA$3,[1]DATA!$AW:$AW,0)),"")</f>
        <v>9.24</v>
      </c>
      <c r="AB21" s="19">
        <f>IFERROR(INDEX([1]DATA!$AH:$AH,MATCH('[1]BC_ ĐG LX'!$C21&amp;'[1]BC_ ĐG LX'!AB$3,[1]DATA!$AW:$AW,0)),"")</f>
        <v>9.42</v>
      </c>
      <c r="AC21" s="19">
        <f>IFERROR(INDEX([1]DATA!$AH:$AH,MATCH('[1]BC_ ĐG LX'!$C21&amp;'[1]BC_ ĐG LX'!AC$3,[1]DATA!$AW:$AW,0)),"")</f>
        <v>9.42</v>
      </c>
      <c r="AD21" s="19">
        <f>IFERROR(INDEX([1]DATA!$AH:$AH,MATCH('[1]BC_ ĐG LX'!$C21&amp;'[1]BC_ ĐG LX'!AD$3,[1]DATA!$AW:$AW,0)),"")</f>
        <v>9.42</v>
      </c>
      <c r="AE21" s="19">
        <f>IFERROR(INDEX([1]DATA!$AH:$AH,MATCH('[1]BC_ ĐG LX'!$C21&amp;'[1]BC_ ĐG LX'!AE$3,[1]DATA!$AW:$AW,0)),"")</f>
        <v>9.42</v>
      </c>
      <c r="AF21" s="19" t="str">
        <f>IFERROR(INDEX([1]DATA!$AH:$AH,MATCH('[1]BC_ ĐG LX'!$C21&amp;'[1]BC_ ĐG LX'!AF$3,[1]DATA!$AW:$AW,0)),"")</f>
        <v/>
      </c>
      <c r="AG21" s="19" t="str">
        <f>IFERROR(INDEX([1]DATA!$AH:$AH,MATCH('[1]BC_ ĐG LX'!$C21&amp;'[1]BC_ ĐG LX'!AG$3,[1]DATA!$AW:$AW,0)),"")</f>
        <v/>
      </c>
      <c r="AH21" s="19" t="str">
        <f>IFERROR(INDEX([1]DATA!$AH:$AH,MATCH('[1]BC_ ĐG LX'!$C21&amp;'[1]BC_ ĐG LX'!AH$3,[1]DATA!$AW:$AW,0)),"")</f>
        <v/>
      </c>
      <c r="AI21" s="19" t="str">
        <f>IFERROR(INDEX([1]DATA!$AH:$AH,MATCH('[1]BC_ ĐG LX'!$C21&amp;'[1]BC_ ĐG LX'!AI$3,[1]DATA!$AW:$AW,0)),"")</f>
        <v/>
      </c>
      <c r="AJ21" s="19" t="str">
        <f>IFERROR(INDEX([1]DATA!$AH:$AH,MATCH('[1]BC_ ĐG LX'!$C21&amp;'[1]BC_ ĐG LX'!AJ$3,[1]DATA!$AW:$AW,0)),"")</f>
        <v/>
      </c>
      <c r="AK21" s="26">
        <f t="shared" si="2"/>
        <v>9.4</v>
      </c>
      <c r="AL21" s="21"/>
      <c r="AN21" s="22" t="str">
        <f>_xlfn.XLOOKUP(B21,[1]DATA!AF:AF,[1]DATA!AX:AX)</f>
        <v>Lương</v>
      </c>
      <c r="AO21"/>
    </row>
    <row r="22" spans="1:41" s="22" customFormat="1" ht="15.75" customHeight="1">
      <c r="A22" s="16">
        <f>SUBTOTAL(3,$D$4:D22)</f>
        <v>18</v>
      </c>
      <c r="B22" s="16" t="str">
        <f>_xlfn.XLOOKUP(C22,[1]DATA!D:D,[1]DATA!AF:AF)</f>
        <v>XE01479</v>
      </c>
      <c r="C22" s="18" t="s">
        <v>39</v>
      </c>
      <c r="D22" s="16" t="s">
        <v>15</v>
      </c>
      <c r="E22" s="18" t="s">
        <v>17</v>
      </c>
      <c r="F22" s="18" t="s">
        <v>18</v>
      </c>
      <c r="G22" s="19">
        <f>IFERROR(INDEX([1]DATA!$AH:$AH,MATCH('[1]BC_ ĐG LX'!$C22&amp;'[1]BC_ ĐG LX'!G$3,[1]DATA!$AW:$AW,0)),"")</f>
        <v>9.42</v>
      </c>
      <c r="H22" s="19">
        <f>IFERROR(INDEX([1]DATA!$AH:$AH,MATCH('[1]BC_ ĐG LX'!$C22&amp;'[1]BC_ ĐG LX'!H$3,[1]DATA!$AW:$AW,0)),"")</f>
        <v>9.42</v>
      </c>
      <c r="I22" s="19">
        <f>IFERROR(INDEX([1]DATA!$AH:$AH,MATCH('[1]BC_ ĐG LX'!$C22&amp;'[1]BC_ ĐG LX'!I$3,[1]DATA!$AW:$AW,0)),"")</f>
        <v>9.42</v>
      </c>
      <c r="J22" s="19">
        <f>IFERROR(INDEX([1]DATA!$AH:$AH,MATCH('[1]BC_ ĐG LX'!$C22&amp;'[1]BC_ ĐG LX'!J$3,[1]DATA!$AW:$AW,0)),"")</f>
        <v>9.82</v>
      </c>
      <c r="K22" s="19">
        <f>IFERROR(INDEX([1]DATA!$AH:$AH,MATCH('[1]BC_ ĐG LX'!$C22&amp;'[1]BC_ ĐG LX'!K$3,[1]DATA!$AW:$AW,0)),"")</f>
        <v>9.24</v>
      </c>
      <c r="L22" s="19">
        <f>IFERROR(INDEX([1]DATA!$AH:$AH,MATCH('[1]BC_ ĐG LX'!$C22&amp;'[1]BC_ ĐG LX'!L$3,[1]DATA!$AW:$AW,0)),"")</f>
        <v>7.42</v>
      </c>
      <c r="M22" s="19">
        <f>IFERROR(INDEX([1]DATA!$AH:$AH,MATCH('[1]BC_ ĐG LX'!$C22&amp;'[1]BC_ ĐG LX'!M$3,[1]DATA!$AW:$AW,0)),"")</f>
        <v>8.84</v>
      </c>
      <c r="N22" s="19">
        <f>IFERROR(INDEX([1]DATA!$AH:$AH,MATCH('[1]BC_ ĐG LX'!$C22&amp;'[1]BC_ ĐG LX'!N$3,[1]DATA!$AW:$AW,0)),"")</f>
        <v>8.84</v>
      </c>
      <c r="O22" s="19">
        <f>IFERROR(INDEX([1]DATA!$AH:$AH,MATCH('[1]BC_ ĐG LX'!$C22&amp;'[1]BC_ ĐG LX'!O$3,[1]DATA!$AW:$AW,0)),"")</f>
        <v>9.02</v>
      </c>
      <c r="P22" s="19">
        <f>IFERROR(INDEX([1]DATA!$AH:$AH,MATCH('[1]BC_ ĐG LX'!$C22&amp;'[1]BC_ ĐG LX'!P$3,[1]DATA!$AW:$AW,0)),"")</f>
        <v>9.82</v>
      </c>
      <c r="Q22" s="19">
        <f>IFERROR(INDEX([1]DATA!$AH:$AH,MATCH('[1]BC_ ĐG LX'!$C22&amp;'[1]BC_ ĐG LX'!Q$3,[1]DATA!$AW:$AW,0)),"")</f>
        <v>9.02</v>
      </c>
      <c r="R22" s="19">
        <f>IFERROR(INDEX([1]DATA!$AH:$AH,MATCH('[1]BC_ ĐG LX'!$C22&amp;'[1]BC_ ĐG LX'!R$3,[1]DATA!$AW:$AW,0)),"")</f>
        <v>9.82</v>
      </c>
      <c r="S22" s="19">
        <f>IFERROR(INDEX([1]DATA!$AH:$AH,MATCH('[1]BC_ ĐG LX'!$C22&amp;'[1]BC_ ĐG LX'!S$3,[1]DATA!$AW:$AW,0)),"")</f>
        <v>9.42</v>
      </c>
      <c r="T22" s="19">
        <f>IFERROR(INDEX([1]DATA!$AH:$AH,MATCH('[1]BC_ ĐG LX'!$C22&amp;'[1]BC_ ĐG LX'!T$3,[1]DATA!$AW:$AW,0)),"")</f>
        <v>9.42</v>
      </c>
      <c r="U22" s="19">
        <f>IFERROR(INDEX([1]DATA!$AH:$AH,MATCH('[1]BC_ ĐG LX'!$C22&amp;'[1]BC_ ĐG LX'!U$3,[1]DATA!$AW:$AW,0)),"")</f>
        <v>9.82</v>
      </c>
      <c r="V22" s="19">
        <f>IFERROR(INDEX([1]DATA!$AH:$AH,MATCH('[1]BC_ ĐG LX'!$C22&amp;'[1]BC_ ĐG LX'!V$3,[1]DATA!$AW:$AW,0)),"")</f>
        <v>9.42</v>
      </c>
      <c r="W22" s="19">
        <f>IFERROR(INDEX([1]DATA!$AH:$AH,MATCH('[1]BC_ ĐG LX'!$C22&amp;'[1]BC_ ĐG LX'!W$3,[1]DATA!$AW:$AW,0)),"")</f>
        <v>8.84</v>
      </c>
      <c r="X22" s="19">
        <f>IFERROR(INDEX([1]DATA!$AH:$AH,MATCH('[1]BC_ ĐG LX'!$C22&amp;'[1]BC_ ĐG LX'!X$3,[1]DATA!$AW:$AW,0)),"")</f>
        <v>9.02</v>
      </c>
      <c r="Y22" s="19">
        <f>IFERROR(INDEX([1]DATA!$AH:$AH,MATCH('[1]BC_ ĐG LX'!$C22&amp;'[1]BC_ ĐG LX'!Y$3,[1]DATA!$AW:$AW,0)),"")</f>
        <v>9.42</v>
      </c>
      <c r="Z22" s="19">
        <f>IFERROR(INDEX([1]DATA!$AH:$AH,MATCH('[1]BC_ ĐG LX'!$C22&amp;'[1]BC_ ĐG LX'!Z$3,[1]DATA!$AW:$AW,0)),"")</f>
        <v>9.82</v>
      </c>
      <c r="AA22" s="19">
        <f>IFERROR(INDEX([1]DATA!$AH:$AH,MATCH('[1]BC_ ĐG LX'!$C22&amp;'[1]BC_ ĐG LX'!AA$3,[1]DATA!$AW:$AW,0)),"")</f>
        <v>9.42</v>
      </c>
      <c r="AB22" s="19">
        <f>IFERROR(INDEX([1]DATA!$AH:$AH,MATCH('[1]BC_ ĐG LX'!$C22&amp;'[1]BC_ ĐG LX'!AB$3,[1]DATA!$AW:$AW,0)),"")</f>
        <v>9.82</v>
      </c>
      <c r="AC22" s="19">
        <f>IFERROR(INDEX([1]DATA!$AH:$AH,MATCH('[1]BC_ ĐG LX'!$C22&amp;'[1]BC_ ĐG LX'!AC$3,[1]DATA!$AW:$AW,0)),"")</f>
        <v>9.42</v>
      </c>
      <c r="AD22" s="19">
        <f>IFERROR(INDEX([1]DATA!$AH:$AH,MATCH('[1]BC_ ĐG LX'!$C22&amp;'[1]BC_ ĐG LX'!AD$3,[1]DATA!$AW:$AW,0)),"")</f>
        <v>9.82</v>
      </c>
      <c r="AE22" s="19">
        <f>IFERROR(INDEX([1]DATA!$AH:$AH,MATCH('[1]BC_ ĐG LX'!$C22&amp;'[1]BC_ ĐG LX'!AE$3,[1]DATA!$AW:$AW,0)),"")</f>
        <v>7.82</v>
      </c>
      <c r="AF22" s="19" t="str">
        <f>IFERROR(INDEX([1]DATA!$AH:$AH,MATCH('[1]BC_ ĐG LX'!$C22&amp;'[1]BC_ ĐG LX'!AF$3,[1]DATA!$AW:$AW,0)),"")</f>
        <v/>
      </c>
      <c r="AG22" s="19" t="str">
        <f>IFERROR(INDEX([1]DATA!$AH:$AH,MATCH('[1]BC_ ĐG LX'!$C22&amp;'[1]BC_ ĐG LX'!AG$3,[1]DATA!$AW:$AW,0)),"")</f>
        <v/>
      </c>
      <c r="AH22" s="19" t="str">
        <f>IFERROR(INDEX([1]DATA!$AH:$AH,MATCH('[1]BC_ ĐG LX'!$C22&amp;'[1]BC_ ĐG LX'!AH$3,[1]DATA!$AW:$AW,0)),"")</f>
        <v/>
      </c>
      <c r="AI22" s="19" t="str">
        <f>IFERROR(INDEX([1]DATA!$AH:$AH,MATCH('[1]BC_ ĐG LX'!$C22&amp;'[1]BC_ ĐG LX'!AI$3,[1]DATA!$AW:$AW,0)),"")</f>
        <v/>
      </c>
      <c r="AJ22" s="19" t="str">
        <f>IFERROR(INDEX([1]DATA!$AH:$AH,MATCH('[1]BC_ ĐG LX'!$C22&amp;'[1]BC_ ĐG LX'!AJ$3,[1]DATA!$AW:$AW,0)),"")</f>
        <v/>
      </c>
      <c r="AK22" s="26">
        <f t="shared" si="2"/>
        <v>9.2999999999999989</v>
      </c>
      <c r="AL22" s="21"/>
      <c r="AN22" s="22" t="str">
        <f>_xlfn.XLOOKUP(B22,[1]DATA!AF:AF,[1]DATA!AX:AX)</f>
        <v>Lương</v>
      </c>
      <c r="AO22"/>
    </row>
    <row r="23" spans="1:41" s="22" customFormat="1" ht="15.75" customHeight="1">
      <c r="A23" s="16">
        <f>SUBTOTAL(3,$D$4:D23)</f>
        <v>19</v>
      </c>
      <c r="B23" s="16" t="str">
        <f>_xlfn.XLOOKUP(C23,[1]DATA!D:D,[1]DATA!AF:AF)</f>
        <v>XE01502</v>
      </c>
      <c r="C23" s="18" t="s">
        <v>40</v>
      </c>
      <c r="D23" s="16" t="s">
        <v>15</v>
      </c>
      <c r="E23" s="18" t="s">
        <v>17</v>
      </c>
      <c r="F23" s="18" t="s">
        <v>18</v>
      </c>
      <c r="G23" s="19">
        <f>IFERROR(INDEX([1]DATA!$AH:$AH,MATCH('[1]BC_ ĐG LX'!$C23&amp;'[1]BC_ ĐG LX'!G$3,[1]DATA!$AW:$AW,0)),"")</f>
        <v>9.42</v>
      </c>
      <c r="H23" s="19">
        <f>IFERROR(INDEX([1]DATA!$AH:$AH,MATCH('[1]BC_ ĐG LX'!$C23&amp;'[1]BC_ ĐG LX'!H$3,[1]DATA!$AW:$AW,0)),"")</f>
        <v>9.82</v>
      </c>
      <c r="I23" s="19">
        <f>IFERROR(INDEX([1]DATA!$AH:$AH,MATCH('[1]BC_ ĐG LX'!$C23&amp;'[1]BC_ ĐG LX'!I$3,[1]DATA!$AW:$AW,0)),"")</f>
        <v>9.42</v>
      </c>
      <c r="J23" s="19">
        <f>IFERROR(INDEX([1]DATA!$AH:$AH,MATCH('[1]BC_ ĐG LX'!$C23&amp;'[1]BC_ ĐG LX'!J$3,[1]DATA!$AW:$AW,0)),"")</f>
        <v>9.02</v>
      </c>
      <c r="K23" s="19">
        <f>IFERROR(INDEX([1]DATA!$AH:$AH,MATCH('[1]BC_ ĐG LX'!$C23&amp;'[1]BC_ ĐG LX'!K$3,[1]DATA!$AW:$AW,0)),"")</f>
        <v>9.6199999999999992</v>
      </c>
      <c r="L23" s="19">
        <f>IFERROR(INDEX([1]DATA!$AH:$AH,MATCH('[1]BC_ ĐG LX'!$C23&amp;'[1]BC_ ĐG LX'!L$3,[1]DATA!$AW:$AW,0)),"")</f>
        <v>9.42</v>
      </c>
      <c r="M23" s="19">
        <f>IFERROR(INDEX([1]DATA!$AH:$AH,MATCH('[1]BC_ ĐG LX'!$C23&amp;'[1]BC_ ĐG LX'!M$3,[1]DATA!$AW:$AW,0)),"")</f>
        <v>9.42</v>
      </c>
      <c r="N23" s="19">
        <f>IFERROR(INDEX([1]DATA!$AH:$AH,MATCH('[1]BC_ ĐG LX'!$C23&amp;'[1]BC_ ĐG LX'!N$3,[1]DATA!$AW:$AW,0)),"")</f>
        <v>9.82</v>
      </c>
      <c r="O23" s="19">
        <f>IFERROR(INDEX([1]DATA!$AH:$AH,MATCH('[1]BC_ ĐG LX'!$C23&amp;'[1]BC_ ĐG LX'!O$3,[1]DATA!$AW:$AW,0)),"")</f>
        <v>9.82</v>
      </c>
      <c r="P23" s="19">
        <f>IFERROR(INDEX([1]DATA!$AH:$AH,MATCH('[1]BC_ ĐG LX'!$C23&amp;'[1]BC_ ĐG LX'!P$3,[1]DATA!$AW:$AW,0)),"")</f>
        <v>7.6400000000000006</v>
      </c>
      <c r="Q23" s="19">
        <f>IFERROR(INDEX([1]DATA!$AH:$AH,MATCH('[1]BC_ ĐG LX'!$C23&amp;'[1]BC_ ĐG LX'!Q$3,[1]DATA!$AW:$AW,0)),"")</f>
        <v>9.82</v>
      </c>
      <c r="R23" s="19">
        <f>IFERROR(INDEX([1]DATA!$AH:$AH,MATCH('[1]BC_ ĐG LX'!$C23&amp;'[1]BC_ ĐG LX'!R$3,[1]DATA!$AW:$AW,0)),"")</f>
        <v>9.82</v>
      </c>
      <c r="S23" s="19">
        <f>IFERROR(INDEX([1]DATA!$AH:$AH,MATCH('[1]BC_ ĐG LX'!$C23&amp;'[1]BC_ ĐG LX'!S$3,[1]DATA!$AW:$AW,0)),"")</f>
        <v>9.42</v>
      </c>
      <c r="T23" s="19">
        <f>IFERROR(INDEX([1]DATA!$AH:$AH,MATCH('[1]BC_ ĐG LX'!$C23&amp;'[1]BC_ ĐG LX'!T$3,[1]DATA!$AW:$AW,0)),"")</f>
        <v>9.02</v>
      </c>
      <c r="U23" s="19">
        <f>IFERROR(INDEX([1]DATA!$AH:$AH,MATCH('[1]BC_ ĐG LX'!$C23&amp;'[1]BC_ ĐG LX'!U$3,[1]DATA!$AW:$AW,0)),"")</f>
        <v>9.82</v>
      </c>
      <c r="V23" s="19">
        <f>IFERROR(INDEX([1]DATA!$AH:$AH,MATCH('[1]BC_ ĐG LX'!$C23&amp;'[1]BC_ ĐG LX'!V$3,[1]DATA!$AW:$AW,0)),"")</f>
        <v>9.42</v>
      </c>
      <c r="W23" s="19">
        <f>IFERROR(INDEX([1]DATA!$AH:$AH,MATCH('[1]BC_ ĐG LX'!$C23&amp;'[1]BC_ ĐG LX'!W$3,[1]DATA!$AW:$AW,0)),"")</f>
        <v>9.02</v>
      </c>
      <c r="X23" s="19">
        <f>IFERROR(INDEX([1]DATA!$AH:$AH,MATCH('[1]BC_ ĐG LX'!$C23&amp;'[1]BC_ ĐG LX'!X$3,[1]DATA!$AW:$AW,0)),"")</f>
        <v>9.82</v>
      </c>
      <c r="Y23" s="19">
        <f>IFERROR(INDEX([1]DATA!$AH:$AH,MATCH('[1]BC_ ĐG LX'!$C23&amp;'[1]BC_ ĐG LX'!Y$3,[1]DATA!$AW:$AW,0)),"")</f>
        <v>9.82</v>
      </c>
      <c r="Z23" s="19">
        <f>IFERROR(INDEX([1]DATA!$AH:$AH,MATCH('[1]BC_ ĐG LX'!$C23&amp;'[1]BC_ ĐG LX'!Z$3,[1]DATA!$AW:$AW,0)),"")</f>
        <v>9.42</v>
      </c>
      <c r="AA23" s="19">
        <f>IFERROR(INDEX([1]DATA!$AH:$AH,MATCH('[1]BC_ ĐG LX'!$C23&amp;'[1]BC_ ĐG LX'!AA$3,[1]DATA!$AW:$AW,0)),"")</f>
        <v>9.82</v>
      </c>
      <c r="AB23" s="19">
        <f>IFERROR(INDEX([1]DATA!$AH:$AH,MATCH('[1]BC_ ĐG LX'!$C23&amp;'[1]BC_ ĐG LX'!AB$3,[1]DATA!$AW:$AW,0)),"")</f>
        <v>9.82</v>
      </c>
      <c r="AC23" s="19">
        <f>IFERROR(INDEX([1]DATA!$AH:$AH,MATCH('[1]BC_ ĐG LX'!$C23&amp;'[1]BC_ ĐG LX'!AC$3,[1]DATA!$AW:$AW,0)),"")</f>
        <v>9.6</v>
      </c>
      <c r="AD23" s="19">
        <f>IFERROR(INDEX([1]DATA!$AH:$AH,MATCH('[1]BC_ ĐG LX'!$C23&amp;'[1]BC_ ĐG LX'!AD$3,[1]DATA!$AW:$AW,0)),"")</f>
        <v>8.84</v>
      </c>
      <c r="AE23" s="19">
        <f>IFERROR(INDEX([1]DATA!$AH:$AH,MATCH('[1]BC_ ĐG LX'!$C23&amp;'[1]BC_ ĐG LX'!AE$3,[1]DATA!$AW:$AW,0)),"")</f>
        <v>9.42</v>
      </c>
      <c r="AF23" s="19" t="str">
        <f>IFERROR(INDEX([1]DATA!$AH:$AH,MATCH('[1]BC_ ĐG LX'!$C23&amp;'[1]BC_ ĐG LX'!AF$3,[1]DATA!$AW:$AW,0)),"")</f>
        <v/>
      </c>
      <c r="AG23" s="19" t="str">
        <f>IFERROR(INDEX([1]DATA!$AH:$AH,MATCH('[1]BC_ ĐG LX'!$C23&amp;'[1]BC_ ĐG LX'!AG$3,[1]DATA!$AW:$AW,0)),"")</f>
        <v/>
      </c>
      <c r="AH23" s="19" t="str">
        <f>IFERROR(INDEX([1]DATA!$AH:$AH,MATCH('[1]BC_ ĐG LX'!$C23&amp;'[1]BC_ ĐG LX'!AH$3,[1]DATA!$AW:$AW,0)),"")</f>
        <v/>
      </c>
      <c r="AI23" s="19" t="str">
        <f>IFERROR(INDEX([1]DATA!$AH:$AH,MATCH('[1]BC_ ĐG LX'!$C23&amp;'[1]BC_ ĐG LX'!AI$3,[1]DATA!$AW:$AW,0)),"")</f>
        <v/>
      </c>
      <c r="AJ23" s="19" t="str">
        <f>IFERROR(INDEX([1]DATA!$AH:$AH,MATCH('[1]BC_ ĐG LX'!$C23&amp;'[1]BC_ ĐG LX'!AJ$3,[1]DATA!$AW:$AW,0)),"")</f>
        <v/>
      </c>
      <c r="AK23" s="26">
        <f t="shared" si="2"/>
        <v>9.5</v>
      </c>
      <c r="AL23" s="21"/>
      <c r="AN23" s="22" t="str">
        <f>_xlfn.XLOOKUP(B23,[1]DATA!AF:AF,[1]DATA!AX:AX)</f>
        <v>Lương</v>
      </c>
      <c r="AO23"/>
    </row>
    <row r="24" spans="1:41" s="22" customFormat="1" ht="15.75" customHeight="1">
      <c r="A24" s="16">
        <f>SUBTOTAL(3,$D$4:D24)</f>
        <v>20</v>
      </c>
      <c r="B24" s="16" t="str">
        <f>_xlfn.XLOOKUP(C24,[1]DATA!D:D,[1]DATA!AF:AF)</f>
        <v>XE01596</v>
      </c>
      <c r="C24" s="18" t="s">
        <v>41</v>
      </c>
      <c r="D24" s="16" t="s">
        <v>15</v>
      </c>
      <c r="E24" s="18" t="s">
        <v>17</v>
      </c>
      <c r="F24" s="18" t="s">
        <v>18</v>
      </c>
      <c r="G24" s="19">
        <f>IFERROR(INDEX([1]DATA!$AH:$AH,MATCH('[1]BC_ ĐG LX'!$C24&amp;'[1]BC_ ĐG LX'!G$3,[1]DATA!$AW:$AW,0)),"")</f>
        <v>9.82</v>
      </c>
      <c r="H24" s="19">
        <f>IFERROR(INDEX([1]DATA!$AH:$AH,MATCH('[1]BC_ ĐG LX'!$C24&amp;'[1]BC_ ĐG LX'!H$3,[1]DATA!$AW:$AW,0)),"")</f>
        <v>9.42</v>
      </c>
      <c r="I24" s="19">
        <f>IFERROR(INDEX([1]DATA!$AH:$AH,MATCH('[1]BC_ ĐG LX'!$C24&amp;'[1]BC_ ĐG LX'!I$3,[1]DATA!$AW:$AW,0)),"")</f>
        <v>8.84</v>
      </c>
      <c r="J24" s="19">
        <f>IFERROR(INDEX([1]DATA!$AH:$AH,MATCH('[1]BC_ ĐG LX'!$C24&amp;'[1]BC_ ĐG LX'!J$3,[1]DATA!$AW:$AW,0)),"")</f>
        <v>9.82</v>
      </c>
      <c r="K24" s="19">
        <f>IFERROR(INDEX([1]DATA!$AH:$AH,MATCH('[1]BC_ ĐG LX'!$C24&amp;'[1]BC_ ĐG LX'!K$3,[1]DATA!$AW:$AW,0)),"")</f>
        <v>9.6199999999999992</v>
      </c>
      <c r="L24" s="19">
        <f>IFERROR(INDEX([1]DATA!$AH:$AH,MATCH('[1]BC_ ĐG LX'!$C24&amp;'[1]BC_ ĐG LX'!L$3,[1]DATA!$AW:$AW,0)),"")</f>
        <v>8.84</v>
      </c>
      <c r="M24" s="19">
        <f>IFERROR(INDEX([1]DATA!$AH:$AH,MATCH('[1]BC_ ĐG LX'!$C24&amp;'[1]BC_ ĐG LX'!M$3,[1]DATA!$AW:$AW,0)),"")</f>
        <v>8.44</v>
      </c>
      <c r="N24" s="19">
        <f>IFERROR(INDEX([1]DATA!$AH:$AH,MATCH('[1]BC_ ĐG LX'!$C24&amp;'[1]BC_ ĐG LX'!N$3,[1]DATA!$AW:$AW,0)),"")</f>
        <v>9.42</v>
      </c>
      <c r="O24" s="19">
        <f>IFERROR(INDEX([1]DATA!$AH:$AH,MATCH('[1]BC_ ĐG LX'!$C24&amp;'[1]BC_ ĐG LX'!O$3,[1]DATA!$AW:$AW,0)),"")</f>
        <v>7.6199999999999992</v>
      </c>
      <c r="P24" s="19">
        <f>IFERROR(INDEX([1]DATA!$AH:$AH,MATCH('[1]BC_ ĐG LX'!$C24&amp;'[1]BC_ ĐG LX'!P$3,[1]DATA!$AW:$AW,0)),"")</f>
        <v>9.82</v>
      </c>
      <c r="Q24" s="19">
        <f>IFERROR(INDEX([1]DATA!$AH:$AH,MATCH('[1]BC_ ĐG LX'!$C24&amp;'[1]BC_ ĐG LX'!Q$3,[1]DATA!$AW:$AW,0)),"")</f>
        <v>9.02</v>
      </c>
      <c r="R24" s="19">
        <f>IFERROR(INDEX([1]DATA!$AH:$AH,MATCH('[1]BC_ ĐG LX'!$C24&amp;'[1]BC_ ĐG LX'!R$3,[1]DATA!$AW:$AW,0)),"")</f>
        <v>9.82</v>
      </c>
      <c r="S24" s="19">
        <f>IFERROR(INDEX([1]DATA!$AH:$AH,MATCH('[1]BC_ ĐG LX'!$C24&amp;'[1]BC_ ĐG LX'!S$3,[1]DATA!$AW:$AW,0)),"")</f>
        <v>8.0400000000000009</v>
      </c>
      <c r="T24" s="19">
        <f>IFERROR(INDEX([1]DATA!$AH:$AH,MATCH('[1]BC_ ĐG LX'!$C24&amp;'[1]BC_ ĐG LX'!T$3,[1]DATA!$AW:$AW,0)),"")</f>
        <v>7.6400000000000006</v>
      </c>
      <c r="U24" s="19">
        <f>IFERROR(INDEX([1]DATA!$AH:$AH,MATCH('[1]BC_ ĐG LX'!$C24&amp;'[1]BC_ ĐG LX'!U$3,[1]DATA!$AW:$AW,0)),"")</f>
        <v>7.6400000000000006</v>
      </c>
      <c r="V24" s="19">
        <f>IFERROR(INDEX([1]DATA!$AH:$AH,MATCH('[1]BC_ ĐG LX'!$C24&amp;'[1]BC_ ĐG LX'!V$3,[1]DATA!$AW:$AW,0)),"")</f>
        <v>9.42</v>
      </c>
      <c r="W24" s="19">
        <f>IFERROR(INDEX([1]DATA!$AH:$AH,MATCH('[1]BC_ ĐG LX'!$C24&amp;'[1]BC_ ĐG LX'!W$3,[1]DATA!$AW:$AW,0)),"")</f>
        <v>9.42</v>
      </c>
      <c r="X24" s="19">
        <f>IFERROR(INDEX([1]DATA!$AH:$AH,MATCH('[1]BC_ ĐG LX'!$C24&amp;'[1]BC_ ĐG LX'!X$3,[1]DATA!$AW:$AW,0)),"")</f>
        <v>9.42</v>
      </c>
      <c r="Y24" s="19">
        <f>IFERROR(INDEX([1]DATA!$AH:$AH,MATCH('[1]BC_ ĐG LX'!$C24&amp;'[1]BC_ ĐG LX'!Y$3,[1]DATA!$AW:$AW,0)),"")</f>
        <v>7.82</v>
      </c>
      <c r="Z24" s="19">
        <f>IFERROR(INDEX([1]DATA!$AH:$AH,MATCH('[1]BC_ ĐG LX'!$C24&amp;'[1]BC_ ĐG LX'!Z$3,[1]DATA!$AW:$AW,0)),"")</f>
        <v>9.82</v>
      </c>
      <c r="AA24" s="19">
        <f>IFERROR(INDEX([1]DATA!$AH:$AH,MATCH('[1]BC_ ĐG LX'!$C24&amp;'[1]BC_ ĐG LX'!AA$3,[1]DATA!$AW:$AW,0)),"")</f>
        <v>9.2199999999999989</v>
      </c>
      <c r="AB24" s="19">
        <f>IFERROR(INDEX([1]DATA!$AH:$AH,MATCH('[1]BC_ ĐG LX'!$C24&amp;'[1]BC_ ĐG LX'!AB$3,[1]DATA!$AW:$AW,0)),"")</f>
        <v>9.64</v>
      </c>
      <c r="AC24" s="19">
        <f>IFERROR(INDEX([1]DATA!$AH:$AH,MATCH('[1]BC_ ĐG LX'!$C24&amp;'[1]BC_ ĐG LX'!AC$3,[1]DATA!$AW:$AW,0)),"")</f>
        <v>6.62</v>
      </c>
      <c r="AD24" s="19">
        <f>IFERROR(INDEX([1]DATA!$AH:$AH,MATCH('[1]BC_ ĐG LX'!$C24&amp;'[1]BC_ ĐG LX'!AD$3,[1]DATA!$AW:$AW,0)),"")</f>
        <v>9.82</v>
      </c>
      <c r="AE24" s="19">
        <f>IFERROR(INDEX([1]DATA!$AH:$AH,MATCH('[1]BC_ ĐG LX'!$C24&amp;'[1]BC_ ĐG LX'!AE$3,[1]DATA!$AW:$AW,0)),"")</f>
        <v>9.42</v>
      </c>
      <c r="AF24" s="19" t="str">
        <f>IFERROR(INDEX([1]DATA!$AH:$AH,MATCH('[1]BC_ ĐG LX'!$C24&amp;'[1]BC_ ĐG LX'!AF$3,[1]DATA!$AW:$AW,0)),"")</f>
        <v/>
      </c>
      <c r="AG24" s="19" t="str">
        <f>IFERROR(INDEX([1]DATA!$AH:$AH,MATCH('[1]BC_ ĐG LX'!$C24&amp;'[1]BC_ ĐG LX'!AG$3,[1]DATA!$AW:$AW,0)),"")</f>
        <v/>
      </c>
      <c r="AH24" s="19" t="str">
        <f>IFERROR(INDEX([1]DATA!$AH:$AH,MATCH('[1]BC_ ĐG LX'!$C24&amp;'[1]BC_ ĐG LX'!AH$3,[1]DATA!$AW:$AW,0)),"")</f>
        <v/>
      </c>
      <c r="AI24" s="19" t="str">
        <f>IFERROR(INDEX([1]DATA!$AH:$AH,MATCH('[1]BC_ ĐG LX'!$C24&amp;'[1]BC_ ĐG LX'!AI$3,[1]DATA!$AW:$AW,0)),"")</f>
        <v/>
      </c>
      <c r="AJ24" s="19" t="str">
        <f>IFERROR(INDEX([1]DATA!$AH:$AH,MATCH('[1]BC_ ĐG LX'!$C24&amp;'[1]BC_ ĐG LX'!AJ$3,[1]DATA!$AW:$AW,0)),"")</f>
        <v/>
      </c>
      <c r="AK24" s="26">
        <f t="shared" si="2"/>
        <v>9</v>
      </c>
      <c r="AL24" s="21"/>
      <c r="AN24" s="22" t="str">
        <f>_xlfn.XLOOKUP(B24,[1]DATA!AF:AF,[1]DATA!AX:AX)</f>
        <v>Lương</v>
      </c>
      <c r="AO24"/>
    </row>
    <row r="25" spans="1:41" s="22" customFormat="1" ht="15.75" customHeight="1">
      <c r="A25" s="16">
        <f>SUBTOTAL(3,$D$4:D25)</f>
        <v>21</v>
      </c>
      <c r="B25" s="16" t="str">
        <f>_xlfn.XLOOKUP(C25,[1]DATA!D:D,[1]DATA!AF:AF)</f>
        <v>XE01402</v>
      </c>
      <c r="C25" s="18" t="s">
        <v>42</v>
      </c>
      <c r="D25" s="16" t="s">
        <v>15</v>
      </c>
      <c r="E25" s="18" t="s">
        <v>17</v>
      </c>
      <c r="F25" s="18" t="s">
        <v>18</v>
      </c>
      <c r="G25" s="19">
        <f>IFERROR(INDEX([1]DATA!$AH:$AH,MATCH('[1]BC_ ĐG LX'!$C25&amp;'[1]BC_ ĐG LX'!G$3,[1]DATA!$AW:$AW,0)),"")</f>
        <v>9.82</v>
      </c>
      <c r="H25" s="19">
        <f>IFERROR(INDEX([1]DATA!$AH:$AH,MATCH('[1]BC_ ĐG LX'!$C25&amp;'[1]BC_ ĐG LX'!H$3,[1]DATA!$AW:$AW,0)),"")</f>
        <v>9.2199999999999989</v>
      </c>
      <c r="I25" s="19">
        <f>IFERROR(INDEX([1]DATA!$AH:$AH,MATCH('[1]BC_ ĐG LX'!$C25&amp;'[1]BC_ ĐG LX'!I$3,[1]DATA!$AW:$AW,0)),"")</f>
        <v>9.82</v>
      </c>
      <c r="J25" s="19">
        <f>IFERROR(INDEX([1]DATA!$AH:$AH,MATCH('[1]BC_ ĐG LX'!$C25&amp;'[1]BC_ ĐG LX'!J$3,[1]DATA!$AW:$AW,0)),"")</f>
        <v>9.82</v>
      </c>
      <c r="K25" s="19">
        <f>IFERROR(INDEX([1]DATA!$AH:$AH,MATCH('[1]BC_ ĐG LX'!$C25&amp;'[1]BC_ ĐG LX'!K$3,[1]DATA!$AW:$AW,0)),"")</f>
        <v>9.42</v>
      </c>
      <c r="L25" s="19">
        <f>IFERROR(INDEX([1]DATA!$AH:$AH,MATCH('[1]BC_ ĐG LX'!$C25&amp;'[1]BC_ ĐG LX'!L$3,[1]DATA!$AW:$AW,0)),"")</f>
        <v>9.82</v>
      </c>
      <c r="M25" s="19">
        <f>IFERROR(INDEX([1]DATA!$AH:$AH,MATCH('[1]BC_ ĐG LX'!$C25&amp;'[1]BC_ ĐG LX'!M$3,[1]DATA!$AW:$AW,0)),"")</f>
        <v>9.42</v>
      </c>
      <c r="N25" s="19">
        <f>IFERROR(INDEX([1]DATA!$AH:$AH,MATCH('[1]BC_ ĐG LX'!$C25&amp;'[1]BC_ ĐG LX'!N$3,[1]DATA!$AW:$AW,0)),"")</f>
        <v>9.24</v>
      </c>
      <c r="O25" s="19">
        <f>IFERROR(INDEX([1]DATA!$AH:$AH,MATCH('[1]BC_ ĐG LX'!$C25&amp;'[1]BC_ ĐG LX'!O$3,[1]DATA!$AW:$AW,0)),"")</f>
        <v>8.44</v>
      </c>
      <c r="P25" s="19">
        <f>IFERROR(INDEX([1]DATA!$AH:$AH,MATCH('[1]BC_ ĐG LX'!$C25&amp;'[1]BC_ ĐG LX'!P$3,[1]DATA!$AW:$AW,0)),"")</f>
        <v>9.42</v>
      </c>
      <c r="Q25" s="19">
        <f>IFERROR(INDEX([1]DATA!$AH:$AH,MATCH('[1]BC_ ĐG LX'!$C25&amp;'[1]BC_ ĐG LX'!Q$3,[1]DATA!$AW:$AW,0)),"")</f>
        <v>9.42</v>
      </c>
      <c r="R25" s="19">
        <f>IFERROR(INDEX([1]DATA!$AH:$AH,MATCH('[1]BC_ ĐG LX'!$C25&amp;'[1]BC_ ĐG LX'!R$3,[1]DATA!$AW:$AW,0)),"")</f>
        <v>9.02</v>
      </c>
      <c r="S25" s="19">
        <f>IFERROR(INDEX([1]DATA!$AH:$AH,MATCH('[1]BC_ ĐG LX'!$C25&amp;'[1]BC_ ĐG LX'!S$3,[1]DATA!$AW:$AW,0)),"")</f>
        <v>9.42</v>
      </c>
      <c r="T25" s="19">
        <f>IFERROR(INDEX([1]DATA!$AH:$AH,MATCH('[1]BC_ ĐG LX'!$C25&amp;'[1]BC_ ĐG LX'!T$3,[1]DATA!$AW:$AW,0)),"")</f>
        <v>9.82</v>
      </c>
      <c r="U25" s="19">
        <f>IFERROR(INDEX([1]DATA!$AH:$AH,MATCH('[1]BC_ ĐG LX'!$C25&amp;'[1]BC_ ĐG LX'!U$3,[1]DATA!$AW:$AW,0)),"")</f>
        <v>9.42</v>
      </c>
      <c r="V25" s="19">
        <f>IFERROR(INDEX([1]DATA!$AH:$AH,MATCH('[1]BC_ ĐG LX'!$C25&amp;'[1]BC_ ĐG LX'!V$3,[1]DATA!$AW:$AW,0)),"")</f>
        <v>9.42</v>
      </c>
      <c r="W25" s="19">
        <f>IFERROR(INDEX([1]DATA!$AH:$AH,MATCH('[1]BC_ ĐG LX'!$C25&amp;'[1]BC_ ĐG LX'!W$3,[1]DATA!$AW:$AW,0)),"")</f>
        <v>9.82</v>
      </c>
      <c r="X25" s="19">
        <f>IFERROR(INDEX([1]DATA!$AH:$AH,MATCH('[1]BC_ ĐG LX'!$C25&amp;'[1]BC_ ĐG LX'!X$3,[1]DATA!$AW:$AW,0)),"")</f>
        <v>9.2199999999999989</v>
      </c>
      <c r="Y25" s="19">
        <f>IFERROR(INDEX([1]DATA!$AH:$AH,MATCH('[1]BC_ ĐG LX'!$C25&amp;'[1]BC_ ĐG LX'!Y$3,[1]DATA!$AW:$AW,0)),"")</f>
        <v>9.42</v>
      </c>
      <c r="Z25" s="19">
        <f>IFERROR(INDEX([1]DATA!$AH:$AH,MATCH('[1]BC_ ĐG LX'!$C25&amp;'[1]BC_ ĐG LX'!Z$3,[1]DATA!$AW:$AW,0)),"")</f>
        <v>9.42</v>
      </c>
      <c r="AA25" s="19">
        <f>IFERROR(INDEX([1]DATA!$AH:$AH,MATCH('[1]BC_ ĐG LX'!$C25&amp;'[1]BC_ ĐG LX'!AA$3,[1]DATA!$AW:$AW,0)),"")</f>
        <v>9.42</v>
      </c>
      <c r="AB25" s="19">
        <f>IFERROR(INDEX([1]DATA!$AH:$AH,MATCH('[1]BC_ ĐG LX'!$C25&amp;'[1]BC_ ĐG LX'!AB$3,[1]DATA!$AW:$AW,0)),"")</f>
        <v>9.82</v>
      </c>
      <c r="AC25" s="19">
        <f>IFERROR(INDEX([1]DATA!$AH:$AH,MATCH('[1]BC_ ĐG LX'!$C25&amp;'[1]BC_ ĐG LX'!AC$3,[1]DATA!$AW:$AW,0)),"")</f>
        <v>9.82</v>
      </c>
      <c r="AD25" s="19">
        <f>IFERROR(INDEX([1]DATA!$AH:$AH,MATCH('[1]BC_ ĐG LX'!$C25&amp;'[1]BC_ ĐG LX'!AD$3,[1]DATA!$AW:$AW,0)),"")</f>
        <v>9.42</v>
      </c>
      <c r="AE25" s="19">
        <f>IFERROR(INDEX([1]DATA!$AH:$AH,MATCH('[1]BC_ ĐG LX'!$C25&amp;'[1]BC_ ĐG LX'!AE$3,[1]DATA!$AW:$AW,0)),"")</f>
        <v>7.6400000000000006</v>
      </c>
      <c r="AF25" s="19" t="str">
        <f>IFERROR(INDEX([1]DATA!$AH:$AH,MATCH('[1]BC_ ĐG LX'!$C25&amp;'[1]BC_ ĐG LX'!AF$3,[1]DATA!$AW:$AW,0)),"")</f>
        <v/>
      </c>
      <c r="AG25" s="19" t="str">
        <f>IFERROR(INDEX([1]DATA!$AH:$AH,MATCH('[1]BC_ ĐG LX'!$C25&amp;'[1]BC_ ĐG LX'!AG$3,[1]DATA!$AW:$AW,0)),"")</f>
        <v/>
      </c>
      <c r="AH25" s="19" t="str">
        <f>IFERROR(INDEX([1]DATA!$AH:$AH,MATCH('[1]BC_ ĐG LX'!$C25&amp;'[1]BC_ ĐG LX'!AH$3,[1]DATA!$AW:$AW,0)),"")</f>
        <v/>
      </c>
      <c r="AI25" s="19" t="str">
        <f>IFERROR(INDEX([1]DATA!$AH:$AH,MATCH('[1]BC_ ĐG LX'!$C25&amp;'[1]BC_ ĐG LX'!AI$3,[1]DATA!$AW:$AW,0)),"")</f>
        <v/>
      </c>
      <c r="AJ25" s="19" t="str">
        <f>IFERROR(INDEX([1]DATA!$AH:$AH,MATCH('[1]BC_ ĐG LX'!$C25&amp;'[1]BC_ ĐG LX'!AJ$3,[1]DATA!$AW:$AW,0)),"")</f>
        <v/>
      </c>
      <c r="AK25" s="26">
        <f t="shared" si="2"/>
        <v>9.4</v>
      </c>
      <c r="AL25" s="21"/>
      <c r="AN25" s="22" t="str">
        <f>_xlfn.XLOOKUP(B25,[1]DATA!AF:AF,[1]DATA!AX:AX)</f>
        <v>Lương</v>
      </c>
      <c r="AO25"/>
    </row>
    <row r="26" spans="1:41" s="34" customFormat="1" ht="15.75" customHeight="1">
      <c r="A26" s="28"/>
      <c r="B26" s="29" t="str">
        <f>_xlfn.XLOOKUP(C26,[2]DATA!D:D,[2]DATA!AF:AF)</f>
        <v>XE01660</v>
      </c>
      <c r="C26" s="30" t="s">
        <v>43</v>
      </c>
      <c r="D26" s="28" t="s">
        <v>15</v>
      </c>
      <c r="E26" s="31" t="s">
        <v>17</v>
      </c>
      <c r="F26" s="31" t="s">
        <v>44</v>
      </c>
      <c r="G26" s="32">
        <f>IFERROR(INDEX([2]DATA!$AH:$AH,MATCH('[2]BC_ ĐG LX'!$C29&amp;'[2]BC_ ĐG LX'!G$3,[2]DATA!$AW:$AW,0)),"")</f>
        <v>9.82</v>
      </c>
      <c r="H26" s="32">
        <f>IFERROR(INDEX([2]DATA!$AH:$AH,MATCH('[2]BC_ ĐG LX'!$C29&amp;'[2]BC_ ĐG LX'!H$3,[2]DATA!$AW:$AW,0)),"")</f>
        <v>9.82</v>
      </c>
      <c r="I26" s="32">
        <f>IFERROR(INDEX([2]DATA!$AH:$AH,MATCH('[2]BC_ ĐG LX'!$C29&amp;'[2]BC_ ĐG LX'!I$3,[2]DATA!$AW:$AW,0)),"")</f>
        <v>8.6199999999999992</v>
      </c>
      <c r="J26" s="32">
        <f>IFERROR(INDEX([2]DATA!$AH:$AH,MATCH('[2]BC_ ĐG LX'!$C29&amp;'[2]BC_ ĐG LX'!J$3,[2]DATA!$AW:$AW,0)),"")</f>
        <v>9.82</v>
      </c>
      <c r="K26" s="32">
        <f>IFERROR(INDEX([2]DATA!$AH:$AH,MATCH('[2]BC_ ĐG LX'!$C29&amp;'[2]BC_ ĐG LX'!K$3,[2]DATA!$AW:$AW,0)),"")</f>
        <v>9.42</v>
      </c>
      <c r="L26" s="32">
        <f>IFERROR(INDEX([2]DATA!$AH:$AH,MATCH('[2]BC_ ĐG LX'!$C29&amp;'[2]BC_ ĐG LX'!L$3,[2]DATA!$AW:$AW,0)),"")</f>
        <v>10</v>
      </c>
      <c r="M26" s="32">
        <f>IFERROR(INDEX([2]DATA!$AH:$AH,MATCH('[2]BC_ ĐG LX'!$C29&amp;'[2]BC_ ĐG LX'!M$3,[2]DATA!$AW:$AW,0)),"")</f>
        <v>9.02</v>
      </c>
      <c r="N26" s="32">
        <f>IFERROR(INDEX([2]DATA!$AH:$AH,MATCH('[2]BC_ ĐG LX'!$C29&amp;'[2]BC_ ĐG LX'!N$3,[2]DATA!$AW:$AW,0)),"")</f>
        <v>10</v>
      </c>
      <c r="O26" s="32">
        <f>IFERROR(INDEX([2]DATA!$AH:$AH,MATCH('[2]BC_ ĐG LX'!$C29&amp;'[2]BC_ ĐG LX'!O$3,[2]DATA!$AW:$AW,0)),"")</f>
        <v>9.82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19" t="str">
        <f>IFERROR(INDEX([1]DATA!$AH:$AH,MATCH('[1]BC_ ĐG LX'!$C26&amp;'[1]BC_ ĐG LX'!AD$3,[1]DATA!$AW:$AW,0)),"")</f>
        <v/>
      </c>
      <c r="AE26" s="19" t="str">
        <f>IFERROR(INDEX([1]DATA!$AH:$AH,MATCH('[1]BC_ ĐG LX'!$C26&amp;'[1]BC_ ĐG LX'!AE$3,[1]DATA!$AW:$AW,0)),"")</f>
        <v/>
      </c>
      <c r="AF26" s="19" t="str">
        <f>IFERROR(INDEX([1]DATA!$AH:$AH,MATCH('[1]BC_ ĐG LX'!$C26&amp;'[1]BC_ ĐG LX'!AF$3,[1]DATA!$AW:$AW,0)),"")</f>
        <v/>
      </c>
      <c r="AG26" s="19" t="str">
        <f>IFERROR(INDEX([1]DATA!$AH:$AH,MATCH('[1]BC_ ĐG LX'!$C26&amp;'[1]BC_ ĐG LX'!AG$3,[1]DATA!$AW:$AW,0)),"")</f>
        <v/>
      </c>
      <c r="AH26" s="19" t="str">
        <f>IFERROR(INDEX([1]DATA!$AH:$AH,MATCH('[1]BC_ ĐG LX'!$C26&amp;'[1]BC_ ĐG LX'!AH$3,[1]DATA!$AW:$AW,0)),"")</f>
        <v/>
      </c>
      <c r="AI26" s="19" t="str">
        <f>IFERROR(INDEX([1]DATA!$AH:$AH,MATCH('[1]BC_ ĐG LX'!$C26&amp;'[1]BC_ ĐG LX'!AI$3,[1]DATA!$AW:$AW,0)),"")</f>
        <v/>
      </c>
      <c r="AJ26" s="19" t="str">
        <f>IFERROR(INDEX([1]DATA!$AH:$AH,MATCH('[1]BC_ ĐG LX'!$C26&amp;'[1]BC_ ĐG LX'!AJ$3,[1]DATA!$AW:$AW,0)),"")</f>
        <v/>
      </c>
      <c r="AK26" s="26">
        <f t="shared" si="2"/>
        <v>9.6</v>
      </c>
      <c r="AL26" s="21" t="s">
        <v>45</v>
      </c>
      <c r="AO26" s="35"/>
    </row>
    <row r="27" spans="1:41" s="34" customFormat="1" ht="15.75" customHeight="1">
      <c r="A27" s="28"/>
      <c r="B27" s="29" t="str">
        <f>_xlfn.XLOOKUP(C27,[2]DATA!D:D,[2]DATA!AF:AF)</f>
        <v>XE01661</v>
      </c>
      <c r="C27" s="36" t="s">
        <v>46</v>
      </c>
      <c r="D27" s="28" t="s">
        <v>15</v>
      </c>
      <c r="E27" s="31" t="s">
        <v>17</v>
      </c>
      <c r="F27" s="31" t="s">
        <v>44</v>
      </c>
      <c r="G27" s="32">
        <f>IFERROR(INDEX([2]DATA!$AH:$AH,MATCH('[2]BC_ ĐG LX'!$C30&amp;'[2]BC_ ĐG LX'!G$3,[2]DATA!$AW:$AW,0)),"")</f>
        <v>9.42</v>
      </c>
      <c r="H27" s="32">
        <f>IFERROR(INDEX([2]DATA!$AH:$AH,MATCH('[2]BC_ ĐG LX'!$C30&amp;'[2]BC_ ĐG LX'!H$3,[2]DATA!$AW:$AW,0)),"")</f>
        <v>10</v>
      </c>
      <c r="I27" s="32">
        <f>IFERROR(INDEX([2]DATA!$AH:$AH,MATCH('[2]BC_ ĐG LX'!$C30&amp;'[2]BC_ ĐG LX'!I$3,[2]DATA!$AW:$AW,0)),"")</f>
        <v>9.6</v>
      </c>
      <c r="J27" s="32">
        <f>IFERROR(INDEX([2]DATA!$AH:$AH,MATCH('[2]BC_ ĐG LX'!$C30&amp;'[2]BC_ ĐG LX'!J$3,[2]DATA!$AW:$AW,0)),"")</f>
        <v>9.02</v>
      </c>
      <c r="K27" s="32">
        <f>IFERROR(INDEX([2]DATA!$AH:$AH,MATCH('[2]BC_ ĐG LX'!$C30&amp;'[2]BC_ ĐG LX'!K$3,[2]DATA!$AW:$AW,0)),"")</f>
        <v>9.02</v>
      </c>
      <c r="L27" s="32">
        <f>IFERROR(INDEX([2]DATA!$AH:$AH,MATCH('[2]BC_ ĐG LX'!$C30&amp;'[2]BC_ ĐG LX'!L$3,[2]DATA!$AW:$AW,0)),"")</f>
        <v>9.82</v>
      </c>
      <c r="M27" s="32">
        <f>IFERROR(INDEX([2]DATA!$AH:$AH,MATCH('[2]BC_ ĐG LX'!$C30&amp;'[2]BC_ ĐG LX'!M$3,[2]DATA!$AW:$AW,0)),"")</f>
        <v>9.42</v>
      </c>
      <c r="N27" s="32">
        <f>IFERROR(INDEX([2]DATA!$AH:$AH,MATCH('[2]BC_ ĐG LX'!$C30&amp;'[2]BC_ ĐG LX'!N$3,[2]DATA!$AW:$AW,0)),"")</f>
        <v>9.02</v>
      </c>
      <c r="O27" s="32">
        <f>IFERROR(INDEX([2]DATA!$AH:$AH,MATCH('[2]BC_ ĐG LX'!$C30&amp;'[2]BC_ ĐG LX'!O$3,[2]DATA!$AW:$AW,0)),"")</f>
        <v>9.82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19" t="str">
        <f>IFERROR(INDEX([1]DATA!$AH:$AH,MATCH('[1]BC_ ĐG LX'!$C27&amp;'[1]BC_ ĐG LX'!AD$3,[1]DATA!$AW:$AW,0)),"")</f>
        <v/>
      </c>
      <c r="AE27" s="19" t="str">
        <f>IFERROR(INDEX([1]DATA!$AH:$AH,MATCH('[1]BC_ ĐG LX'!$C27&amp;'[1]BC_ ĐG LX'!AE$3,[1]DATA!$AW:$AW,0)),"")</f>
        <v/>
      </c>
      <c r="AF27" s="19" t="str">
        <f>IFERROR(INDEX([1]DATA!$AH:$AH,MATCH('[1]BC_ ĐG LX'!$C27&amp;'[1]BC_ ĐG LX'!AF$3,[1]DATA!$AW:$AW,0)),"")</f>
        <v/>
      </c>
      <c r="AG27" s="19" t="str">
        <f>IFERROR(INDEX([1]DATA!$AH:$AH,MATCH('[1]BC_ ĐG LX'!$C27&amp;'[1]BC_ ĐG LX'!AG$3,[1]DATA!$AW:$AW,0)),"")</f>
        <v/>
      </c>
      <c r="AH27" s="19" t="str">
        <f>IFERROR(INDEX([1]DATA!$AH:$AH,MATCH('[1]BC_ ĐG LX'!$C27&amp;'[1]BC_ ĐG LX'!AH$3,[1]DATA!$AW:$AW,0)),"")</f>
        <v/>
      </c>
      <c r="AI27" s="19" t="str">
        <f>IFERROR(INDEX([1]DATA!$AH:$AH,MATCH('[1]BC_ ĐG LX'!$C27&amp;'[1]BC_ ĐG LX'!AI$3,[1]DATA!$AW:$AW,0)),"")</f>
        <v/>
      </c>
      <c r="AJ27" s="19" t="str">
        <f>IFERROR(INDEX([1]DATA!$AH:$AH,MATCH('[1]BC_ ĐG LX'!$C27&amp;'[1]BC_ ĐG LX'!AJ$3,[1]DATA!$AW:$AW,0)),"")</f>
        <v/>
      </c>
      <c r="AK27" s="26">
        <f t="shared" si="2"/>
        <v>9.5</v>
      </c>
      <c r="AL27" s="21" t="s">
        <v>45</v>
      </c>
      <c r="AO27" s="35"/>
    </row>
    <row r="28" spans="1:41" s="34" customFormat="1" ht="15.75" customHeight="1">
      <c r="A28" s="28"/>
      <c r="B28" s="29" t="str">
        <f>_xlfn.XLOOKUP(C28,[2]DATA!D:D,[2]DATA!AF:AF)</f>
        <v>XE01703</v>
      </c>
      <c r="C28" s="37" t="s">
        <v>47</v>
      </c>
      <c r="D28" s="28" t="s">
        <v>15</v>
      </c>
      <c r="E28" s="31" t="s">
        <v>17</v>
      </c>
      <c r="F28" s="31" t="s">
        <v>44</v>
      </c>
      <c r="G28" s="32">
        <f>IFERROR(INDEX([2]DATA!$AH:$AH,MATCH('[2]BC_ ĐG LX'!$C31&amp;'[2]BC_ ĐG LX'!G$3,[2]DATA!$AW:$AW,0)),"")</f>
        <v>9.42</v>
      </c>
      <c r="H28" s="32">
        <f>IFERROR(INDEX([2]DATA!$AH:$AH,MATCH('[2]BC_ ĐG LX'!$C31&amp;'[2]BC_ ĐG LX'!H$3,[2]DATA!$AW:$AW,0)),"")</f>
        <v>9.82</v>
      </c>
      <c r="I28" s="32">
        <f>IFERROR(INDEX([2]DATA!$AH:$AH,MATCH('[2]BC_ ĐG LX'!$C31&amp;'[2]BC_ ĐG LX'!I$3,[2]DATA!$AW:$AW,0)),"")</f>
        <v>9.1999999999999993</v>
      </c>
      <c r="J28" s="32">
        <f>IFERROR(INDEX([2]DATA!$AH:$AH,MATCH('[2]BC_ ĐG LX'!$C31&amp;'[2]BC_ ĐG LX'!J$3,[2]DATA!$AW:$AW,0)),"")</f>
        <v>9.82</v>
      </c>
      <c r="K28" s="32">
        <f>IFERROR(INDEX([2]DATA!$AH:$AH,MATCH('[2]BC_ ĐG LX'!$C31&amp;'[2]BC_ ĐG LX'!K$3,[2]DATA!$AW:$AW,0)),"")</f>
        <v>10</v>
      </c>
      <c r="L28" s="32">
        <f>IFERROR(INDEX([2]DATA!$AH:$AH,MATCH('[2]BC_ ĐG LX'!$C31&amp;'[2]BC_ ĐG LX'!L$3,[2]DATA!$AW:$AW,0)),"")</f>
        <v>9.42</v>
      </c>
      <c r="M28" s="32">
        <f>IFERROR(INDEX([2]DATA!$AH:$AH,MATCH('[2]BC_ ĐG LX'!$C31&amp;'[2]BC_ ĐG LX'!M$3,[2]DATA!$AW:$AW,0)),"")</f>
        <v>9.02</v>
      </c>
      <c r="N28" s="32">
        <f>IFERROR(INDEX([2]DATA!$AH:$AH,MATCH('[2]BC_ ĐG LX'!$C31&amp;'[2]BC_ ĐG LX'!N$3,[2]DATA!$AW:$AW,0)),"")</f>
        <v>9.6</v>
      </c>
      <c r="O28" s="32">
        <f>IFERROR(INDEX([2]DATA!$AH:$AH,MATCH('[2]BC_ ĐG LX'!$C31&amp;'[2]BC_ ĐG LX'!O$3,[2]DATA!$AW:$AW,0)),"")</f>
        <v>9.02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19">
        <f>IFERROR(INDEX([1]DATA!$AH:$AH,MATCH('[1]BC_ ĐG LX'!$C28&amp;'[1]BC_ ĐG LX'!AD$3,[1]DATA!$AW:$AW,0)),"")</f>
        <v>7.62</v>
      </c>
      <c r="AE28" s="19">
        <f>IFERROR(INDEX([1]DATA!$AH:$AH,MATCH('[1]BC_ ĐG LX'!$C28&amp;'[1]BC_ ĐG LX'!AE$3,[1]DATA!$AW:$AW,0)),"")</f>
        <v>9.82</v>
      </c>
      <c r="AF28" s="19" t="str">
        <f>IFERROR(INDEX([1]DATA!$AH:$AH,MATCH('[1]BC_ ĐG LX'!$C28&amp;'[1]BC_ ĐG LX'!AF$3,[1]DATA!$AW:$AW,0)),"")</f>
        <v/>
      </c>
      <c r="AG28" s="19" t="str">
        <f>IFERROR(INDEX([1]DATA!$AH:$AH,MATCH('[1]BC_ ĐG LX'!$C28&amp;'[1]BC_ ĐG LX'!AG$3,[1]DATA!$AW:$AW,0)),"")</f>
        <v/>
      </c>
      <c r="AH28" s="19" t="str">
        <f>IFERROR(INDEX([1]DATA!$AH:$AH,MATCH('[1]BC_ ĐG LX'!$C28&amp;'[1]BC_ ĐG LX'!AH$3,[1]DATA!$AW:$AW,0)),"")</f>
        <v/>
      </c>
      <c r="AI28" s="19" t="str">
        <f>IFERROR(INDEX([1]DATA!$AH:$AH,MATCH('[1]BC_ ĐG LX'!$C28&amp;'[1]BC_ ĐG LX'!AI$3,[1]DATA!$AW:$AW,0)),"")</f>
        <v/>
      </c>
      <c r="AJ28" s="19" t="str">
        <f>IFERROR(INDEX([1]DATA!$AH:$AH,MATCH('[1]BC_ ĐG LX'!$C28&amp;'[1]BC_ ĐG LX'!AJ$3,[1]DATA!$AW:$AW,0)),"")</f>
        <v/>
      </c>
      <c r="AK28" s="26">
        <f t="shared" si="2"/>
        <v>9.4</v>
      </c>
      <c r="AL28" s="21" t="s">
        <v>45</v>
      </c>
      <c r="AO28" s="35"/>
    </row>
    <row r="29" spans="1:41" s="34" customFormat="1" ht="15.75" customHeight="1">
      <c r="A29" s="28"/>
      <c r="B29" s="29" t="str">
        <f>_xlfn.XLOOKUP(C29,[2]DATA!D:D,[2]DATA!AF:AF)</f>
        <v>XE01177</v>
      </c>
      <c r="C29" s="36" t="s">
        <v>48</v>
      </c>
      <c r="D29" s="28" t="s">
        <v>15</v>
      </c>
      <c r="E29" s="31" t="s">
        <v>17</v>
      </c>
      <c r="F29" s="31" t="s">
        <v>44</v>
      </c>
      <c r="G29" s="32">
        <f>IFERROR(INDEX([2]DATA!$AH:$AH,MATCH('[2]BC_ ĐG LX'!$C32&amp;'[2]BC_ ĐG LX'!G$3,[2]DATA!$AW:$AW,0)),"")</f>
        <v>9.42</v>
      </c>
      <c r="H29" s="32">
        <f>IFERROR(INDEX([2]DATA!$AH:$AH,MATCH('[2]BC_ ĐG LX'!$C32&amp;'[2]BC_ ĐG LX'!H$3,[2]DATA!$AW:$AW,0)),"")</f>
        <v>10</v>
      </c>
      <c r="I29" s="32">
        <f>IFERROR(INDEX([2]DATA!$AH:$AH,MATCH('[2]BC_ ĐG LX'!$C32&amp;'[2]BC_ ĐG LX'!I$3,[2]DATA!$AW:$AW,0)),"")</f>
        <v>9.82</v>
      </c>
      <c r="J29" s="32">
        <f>IFERROR(INDEX([2]DATA!$AH:$AH,MATCH('[2]BC_ ĐG LX'!$C32&amp;'[2]BC_ ĐG LX'!J$3,[2]DATA!$AW:$AW,0)),"")</f>
        <v>9.02</v>
      </c>
      <c r="K29" s="32">
        <f>IFERROR(INDEX([2]DATA!$AH:$AH,MATCH('[2]BC_ ĐG LX'!$C32&amp;'[2]BC_ ĐG LX'!K$3,[2]DATA!$AW:$AW,0)),"")</f>
        <v>9.6</v>
      </c>
      <c r="L29" s="32">
        <f>IFERROR(INDEX([2]DATA!$AH:$AH,MATCH('[2]BC_ ĐG LX'!$C32&amp;'[2]BC_ ĐG LX'!L$3,[2]DATA!$AW:$AW,0)),"")</f>
        <v>9.42</v>
      </c>
      <c r="M29" s="32">
        <f>IFERROR(INDEX([2]DATA!$AH:$AH,MATCH('[2]BC_ ĐG LX'!$C32&amp;'[2]BC_ ĐG LX'!M$3,[2]DATA!$AW:$AW,0)),"")</f>
        <v>10</v>
      </c>
      <c r="N29" s="32">
        <f>IFERROR(INDEX([2]DATA!$AH:$AH,MATCH('[2]BC_ ĐG LX'!$C32&amp;'[2]BC_ ĐG LX'!N$3,[2]DATA!$AW:$AW,0)),"")</f>
        <v>10</v>
      </c>
      <c r="O29" s="32">
        <f>IFERROR(INDEX([2]DATA!$AH:$AH,MATCH('[2]BC_ ĐG LX'!$C32&amp;'[2]BC_ ĐG LX'!O$3,[2]DATA!$AW:$AW,0)),"")</f>
        <v>10</v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19">
        <f>IFERROR(INDEX([1]DATA!$AH:$AH,MATCH('[1]BC_ ĐG LX'!$C29&amp;'[1]BC_ ĐG LX'!AD$3,[1]DATA!$AW:$AW,0)),"")</f>
        <v>9.42</v>
      </c>
      <c r="AE29" s="19">
        <f>IFERROR(INDEX([1]DATA!$AH:$AH,MATCH('[1]BC_ ĐG LX'!$C29&amp;'[1]BC_ ĐG LX'!AE$3,[1]DATA!$AW:$AW,0)),"")</f>
        <v>9.42</v>
      </c>
      <c r="AF29" s="19" t="str">
        <f>IFERROR(INDEX([1]DATA!$AH:$AH,MATCH('[1]BC_ ĐG LX'!$C29&amp;'[1]BC_ ĐG LX'!AF$3,[1]DATA!$AW:$AW,0)),"")</f>
        <v/>
      </c>
      <c r="AG29" s="19" t="str">
        <f>IFERROR(INDEX([1]DATA!$AH:$AH,MATCH('[1]BC_ ĐG LX'!$C29&amp;'[1]BC_ ĐG LX'!AG$3,[1]DATA!$AW:$AW,0)),"")</f>
        <v/>
      </c>
      <c r="AH29" s="19" t="str">
        <f>IFERROR(INDEX([1]DATA!$AH:$AH,MATCH('[1]BC_ ĐG LX'!$C29&amp;'[1]BC_ ĐG LX'!AH$3,[1]DATA!$AW:$AW,0)),"")</f>
        <v/>
      </c>
      <c r="AI29" s="19" t="str">
        <f>IFERROR(INDEX([1]DATA!$AH:$AH,MATCH('[1]BC_ ĐG LX'!$C29&amp;'[1]BC_ ĐG LX'!AI$3,[1]DATA!$AW:$AW,0)),"")</f>
        <v/>
      </c>
      <c r="AJ29" s="19" t="str">
        <f>IFERROR(INDEX([1]DATA!$AH:$AH,MATCH('[1]BC_ ĐG LX'!$C29&amp;'[1]BC_ ĐG LX'!AJ$3,[1]DATA!$AW:$AW,0)),"")</f>
        <v/>
      </c>
      <c r="AK29" s="26">
        <f t="shared" si="2"/>
        <v>9.6999999999999993</v>
      </c>
      <c r="AL29" s="21" t="s">
        <v>45</v>
      </c>
      <c r="AO29" s="35"/>
    </row>
    <row r="30" spans="1:41" s="34" customFormat="1" ht="15.75" customHeight="1">
      <c r="A30" s="28"/>
      <c r="B30" s="29" t="str">
        <f>_xlfn.XLOOKUP(C30,[2]DATA!D:D,[2]DATA!AF:AF)</f>
        <v>XE00406</v>
      </c>
      <c r="C30" s="36" t="s">
        <v>49</v>
      </c>
      <c r="D30" s="28" t="s">
        <v>15</v>
      </c>
      <c r="E30" s="31" t="s">
        <v>17</v>
      </c>
      <c r="F30" s="31" t="s">
        <v>18</v>
      </c>
      <c r="G30" s="32">
        <f>IFERROR(INDEX([2]DATA!$AH:$AH,MATCH('[2]BC_ ĐG LX'!$C33&amp;'[2]BC_ ĐG LX'!G$3,[2]DATA!$AW:$AW,0)),"")</f>
        <v>10</v>
      </c>
      <c r="H30" s="32">
        <f>IFERROR(INDEX([2]DATA!$AH:$AH,MATCH('[2]BC_ ĐG LX'!$C33&amp;'[2]BC_ ĐG LX'!H$3,[2]DATA!$AW:$AW,0)),"")</f>
        <v>10</v>
      </c>
      <c r="I30" s="32">
        <f>IFERROR(INDEX([2]DATA!$AH:$AH,MATCH('[2]BC_ ĐG LX'!$C33&amp;'[2]BC_ ĐG LX'!I$3,[2]DATA!$AW:$AW,0)),"")</f>
        <v>9.02</v>
      </c>
      <c r="J30" s="32">
        <f>IFERROR(INDEX([2]DATA!$AH:$AH,MATCH('[2]BC_ ĐG LX'!$C33&amp;'[2]BC_ ĐG LX'!J$3,[2]DATA!$AW:$AW,0)),"")</f>
        <v>9.42</v>
      </c>
      <c r="K30" s="32">
        <f>IFERROR(INDEX([2]DATA!$AH:$AH,MATCH('[2]BC_ ĐG LX'!$C33&amp;'[2]BC_ ĐG LX'!K$3,[2]DATA!$AW:$AW,0)),"")</f>
        <v>10</v>
      </c>
      <c r="L30" s="32">
        <f>IFERROR(INDEX([2]DATA!$AH:$AH,MATCH('[2]BC_ ĐG LX'!$C33&amp;'[2]BC_ ĐG LX'!L$3,[2]DATA!$AW:$AW,0)),"")</f>
        <v>9.02</v>
      </c>
      <c r="M30" s="32">
        <f>IFERROR(INDEX([2]DATA!$AH:$AH,MATCH('[2]BC_ ĐG LX'!$C33&amp;'[2]BC_ ĐG LX'!M$3,[2]DATA!$AW:$AW,0)),"")</f>
        <v>9.02</v>
      </c>
      <c r="N30" s="32">
        <f>IFERROR(INDEX([2]DATA!$AH:$AH,MATCH('[2]BC_ ĐG LX'!$C33&amp;'[2]BC_ ĐG LX'!N$3,[2]DATA!$AW:$AW,0)),"")</f>
        <v>9.02</v>
      </c>
      <c r="O30" s="32">
        <f>IFERROR(INDEX([2]DATA!$AH:$AH,MATCH('[2]BC_ ĐG LX'!$C33&amp;'[2]BC_ ĐG LX'!O$3,[2]DATA!$AW:$AW,0)),"")</f>
        <v>9.64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19">
        <f>IFERROR(INDEX([1]DATA!$AH:$AH,MATCH('[1]BC_ ĐG LX'!$C30&amp;'[1]BC_ ĐG LX'!AD$3,[1]DATA!$AW:$AW,0)),"")</f>
        <v>9.02</v>
      </c>
      <c r="AE30" s="19">
        <f>IFERROR(INDEX([1]DATA!$AH:$AH,MATCH('[1]BC_ ĐG LX'!$C30&amp;'[1]BC_ ĐG LX'!AE$3,[1]DATA!$AW:$AW,0)),"")</f>
        <v>9.82</v>
      </c>
      <c r="AF30" s="19" t="str">
        <f>IFERROR(INDEX([1]DATA!$AH:$AH,MATCH('[1]BC_ ĐG LX'!$C30&amp;'[1]BC_ ĐG LX'!AF$3,[1]DATA!$AW:$AW,0)),"")</f>
        <v/>
      </c>
      <c r="AG30" s="19" t="str">
        <f>IFERROR(INDEX([1]DATA!$AH:$AH,MATCH('[1]BC_ ĐG LX'!$C30&amp;'[1]BC_ ĐG LX'!AG$3,[1]DATA!$AW:$AW,0)),"")</f>
        <v/>
      </c>
      <c r="AH30" s="19" t="str">
        <f>IFERROR(INDEX([1]DATA!$AH:$AH,MATCH('[1]BC_ ĐG LX'!$C30&amp;'[1]BC_ ĐG LX'!AH$3,[1]DATA!$AW:$AW,0)),"")</f>
        <v/>
      </c>
      <c r="AI30" s="19" t="str">
        <f>IFERROR(INDEX([1]DATA!$AH:$AH,MATCH('[1]BC_ ĐG LX'!$C30&amp;'[1]BC_ ĐG LX'!AI$3,[1]DATA!$AW:$AW,0)),"")</f>
        <v/>
      </c>
      <c r="AJ30" s="19" t="str">
        <f>IFERROR(INDEX([1]DATA!$AH:$AH,MATCH('[1]BC_ ĐG LX'!$C30&amp;'[1]BC_ ĐG LX'!AJ$3,[1]DATA!$AW:$AW,0)),"")</f>
        <v/>
      </c>
      <c r="AK30" s="26">
        <f t="shared" si="2"/>
        <v>9.5</v>
      </c>
      <c r="AL30" s="21" t="s">
        <v>50</v>
      </c>
      <c r="AO30" s="35"/>
    </row>
    <row r="31" spans="1:41" s="22" customFormat="1" ht="15.75" customHeight="1">
      <c r="A31" s="18"/>
      <c r="B31" s="18"/>
      <c r="C31" s="18"/>
      <c r="D31" s="16"/>
      <c r="E31" s="18"/>
      <c r="F31" s="18"/>
      <c r="G31" s="19" t="str">
        <f>IFERROR(INDEX([1]DATA!$AH:$AH,MATCH('[1]BC_ ĐG LX'!$C31&amp;'[1]BC_ ĐG LX'!G$3,[1]DATA!$AW:$AW,0)),"")</f>
        <v/>
      </c>
      <c r="H31" s="19" t="str">
        <f>IFERROR(INDEX([1]DATA!$AH:$AH,MATCH('[1]BC_ ĐG LX'!$C31&amp;'[1]BC_ ĐG LX'!H$3,[1]DATA!$AW:$AW,0)),"")</f>
        <v/>
      </c>
      <c r="I31" s="19" t="str">
        <f>IFERROR(INDEX([1]DATA!$AH:$AH,MATCH('[1]BC_ ĐG LX'!$C31&amp;'[1]BC_ ĐG LX'!I$3,[1]DATA!$AW:$AW,0)),"")</f>
        <v/>
      </c>
      <c r="J31" s="19" t="str">
        <f>IFERROR(INDEX([1]DATA!$AH:$AH,MATCH('[1]BC_ ĐG LX'!$C31&amp;'[1]BC_ ĐG LX'!J$3,[1]DATA!$AW:$AW,0)),"")</f>
        <v/>
      </c>
      <c r="K31" s="19" t="str">
        <f>IFERROR(INDEX([1]DATA!$AH:$AH,MATCH('[1]BC_ ĐG LX'!$C31&amp;'[1]BC_ ĐG LX'!K$3,[1]DATA!$AW:$AW,0)),"")</f>
        <v/>
      </c>
      <c r="L31" s="19" t="str">
        <f>IFERROR(INDEX([1]DATA!$AH:$AH,MATCH('[1]BC_ ĐG LX'!$C31&amp;'[1]BC_ ĐG LX'!L$3,[1]DATA!$AW:$AW,0)),"")</f>
        <v/>
      </c>
      <c r="M31" s="19" t="str">
        <f>IFERROR(INDEX([1]DATA!$AH:$AH,MATCH('[1]BC_ ĐG LX'!$C31&amp;'[1]BC_ ĐG LX'!M$3,[1]DATA!$AW:$AW,0)),"")</f>
        <v/>
      </c>
      <c r="N31" s="19" t="str">
        <f>IFERROR(INDEX([1]DATA!$AH:$AH,MATCH('[1]BC_ ĐG LX'!$C31&amp;'[1]BC_ ĐG LX'!N$3,[1]DATA!$AW:$AW,0)),"")</f>
        <v/>
      </c>
      <c r="O31" s="19" t="str">
        <f>IFERROR(INDEX([1]DATA!$AH:$AH,MATCH('[1]BC_ ĐG LX'!$C31&amp;'[1]BC_ ĐG LX'!O$3,[1]DATA!$AW:$AW,0)),"")</f>
        <v/>
      </c>
      <c r="P31" s="19" t="str">
        <f>IFERROR(INDEX([1]DATA!$AH:$AH,MATCH('[1]BC_ ĐG LX'!$C31&amp;'[1]BC_ ĐG LX'!P$3,[1]DATA!$AW:$AW,0)),"")</f>
        <v/>
      </c>
      <c r="Q31" s="19" t="str">
        <f>IFERROR(INDEX([1]DATA!$AH:$AH,MATCH('[1]BC_ ĐG LX'!$C31&amp;'[1]BC_ ĐG LX'!Q$3,[1]DATA!$AW:$AW,0)),"")</f>
        <v/>
      </c>
      <c r="R31" s="19" t="str">
        <f>IFERROR(INDEX([1]DATA!$AH:$AH,MATCH('[1]BC_ ĐG LX'!$C31&amp;'[1]BC_ ĐG LX'!R$3,[1]DATA!$AW:$AW,0)),"")</f>
        <v/>
      </c>
      <c r="S31" s="19" t="str">
        <f>IFERROR(INDEX([1]DATA!$AH:$AH,MATCH('[1]BC_ ĐG LX'!$C31&amp;'[1]BC_ ĐG LX'!S$3,[1]DATA!$AW:$AW,0)),"")</f>
        <v/>
      </c>
      <c r="T31" s="19" t="str">
        <f>IFERROR(INDEX([1]DATA!$AH:$AH,MATCH('[1]BC_ ĐG LX'!$C31&amp;'[1]BC_ ĐG LX'!T$3,[1]DATA!$AW:$AW,0)),"")</f>
        <v/>
      </c>
      <c r="U31" s="19" t="str">
        <f>IFERROR(INDEX([1]DATA!$AH:$AH,MATCH('[1]BC_ ĐG LX'!$C31&amp;'[1]BC_ ĐG LX'!U$3,[1]DATA!$AW:$AW,0)),"")</f>
        <v/>
      </c>
      <c r="V31" s="19" t="str">
        <f>IFERROR(INDEX([1]DATA!$AH:$AH,MATCH('[1]BC_ ĐG LX'!$C31&amp;'[1]BC_ ĐG LX'!V$3,[1]DATA!$AW:$AW,0)),"")</f>
        <v/>
      </c>
      <c r="W31" s="19" t="str">
        <f>IFERROR(INDEX([1]DATA!$AH:$AH,MATCH('[1]BC_ ĐG LX'!$C31&amp;'[1]BC_ ĐG LX'!W$3,[1]DATA!$AW:$AW,0)),"")</f>
        <v/>
      </c>
      <c r="X31" s="19" t="str">
        <f>IFERROR(INDEX([1]DATA!$AH:$AH,MATCH('[1]BC_ ĐG LX'!$C31&amp;'[1]BC_ ĐG LX'!X$3,[1]DATA!$AW:$AW,0)),"")</f>
        <v/>
      </c>
      <c r="Y31" s="19" t="str">
        <f>IFERROR(INDEX([1]DATA!$AH:$AH,MATCH('[1]BC_ ĐG LX'!$C31&amp;'[1]BC_ ĐG LX'!Y$3,[1]DATA!$AW:$AW,0)),"")</f>
        <v/>
      </c>
      <c r="Z31" s="19" t="str">
        <f>IFERROR(INDEX([1]DATA!$AH:$AH,MATCH('[1]BC_ ĐG LX'!$C31&amp;'[1]BC_ ĐG LX'!Z$3,[1]DATA!$AW:$AW,0)),"")</f>
        <v/>
      </c>
      <c r="AA31" s="19" t="str">
        <f>IFERROR(INDEX([1]DATA!$AH:$AH,MATCH('[1]BC_ ĐG LX'!$C31&amp;'[1]BC_ ĐG LX'!AA$3,[1]DATA!$AW:$AW,0)),"")</f>
        <v/>
      </c>
      <c r="AB31" s="19" t="str">
        <f>IFERROR(INDEX([1]DATA!$AH:$AH,MATCH('[1]BC_ ĐG LX'!$C31&amp;'[1]BC_ ĐG LX'!AB$3,[1]DATA!$AW:$AW,0)),"")</f>
        <v/>
      </c>
      <c r="AC31" s="19" t="str">
        <f>IFERROR(INDEX([1]DATA!$AH:$AH,MATCH('[1]BC_ ĐG LX'!$C31&amp;'[1]BC_ ĐG LX'!AC$3,[1]DATA!$AW:$AW,0)),"")</f>
        <v/>
      </c>
      <c r="AD31" s="19" t="str">
        <f>IFERROR(INDEX([1]DATA!$AH:$AH,MATCH('[1]BC_ ĐG LX'!$C31&amp;'[1]BC_ ĐG LX'!AD$3,[1]DATA!$AW:$AW,0)),"")</f>
        <v/>
      </c>
      <c r="AE31" s="19" t="str">
        <f>IFERROR(INDEX([1]DATA!$AH:$AH,MATCH('[1]BC_ ĐG LX'!$C31&amp;'[1]BC_ ĐG LX'!AE$3,[1]DATA!$AW:$AW,0)),"")</f>
        <v/>
      </c>
      <c r="AF31" s="19" t="str">
        <f>IFERROR(INDEX([1]DATA!$AH:$AH,MATCH('[1]BC_ ĐG LX'!$C31&amp;'[1]BC_ ĐG LX'!AF$3,[1]DATA!$AW:$AW,0)),"")</f>
        <v/>
      </c>
      <c r="AG31" s="19" t="str">
        <f>IFERROR(INDEX([1]DATA!$AH:$AH,MATCH('[1]BC_ ĐG LX'!$C31&amp;'[1]BC_ ĐG LX'!AG$3,[1]DATA!$AW:$AW,0)),"")</f>
        <v/>
      </c>
      <c r="AH31" s="19" t="str">
        <f>IFERROR(INDEX([1]DATA!$AH:$AH,MATCH('[1]BC_ ĐG LX'!$C31&amp;'[1]BC_ ĐG LX'!AH$3,[1]DATA!$AW:$AW,0)),"")</f>
        <v/>
      </c>
      <c r="AI31" s="19" t="str">
        <f>IFERROR(INDEX([1]DATA!$AH:$AH,MATCH('[1]BC_ ĐG LX'!$C31&amp;'[1]BC_ ĐG LX'!AI$3,[1]DATA!$AW:$AW,0)),"")</f>
        <v/>
      </c>
      <c r="AJ31" s="19" t="str">
        <f>IFERROR(INDEX([1]DATA!$AH:$AH,MATCH('[1]BC_ ĐG LX'!$C31&amp;'[1]BC_ ĐG LX'!AJ$3,[1]DATA!$AW:$AW,0)),"")</f>
        <v/>
      </c>
      <c r="AK31" s="26" t="str">
        <f t="shared" si="2"/>
        <v/>
      </c>
      <c r="AL31" s="21"/>
      <c r="AM31" s="22">
        <f t="shared" ref="AM31:AM94" si="3">COUNTIF((G31:AJ31),"&gt;"&amp;0)</f>
        <v>0</v>
      </c>
      <c r="AN31" s="22">
        <f>_xlfn.XLOOKUP(B31,[1]DATA!AF:AF,[1]DATA!AX:AX)</f>
        <v>0</v>
      </c>
      <c r="AO31"/>
    </row>
    <row r="32" spans="1:41" s="22" customFormat="1" ht="14.25" customHeight="1">
      <c r="A32" s="18"/>
      <c r="B32" s="18"/>
      <c r="C32" s="17" t="s">
        <v>51</v>
      </c>
      <c r="D32" s="16"/>
      <c r="E32" s="18"/>
      <c r="F32" s="18"/>
      <c r="G32" s="19" t="str">
        <f>IFERROR(INDEX([1]DATA!$AH:$AH,MATCH('[1]BC_ ĐG LX'!$C32&amp;'[1]BC_ ĐG LX'!G$3,[1]DATA!$AW:$AW,0)),"")</f>
        <v/>
      </c>
      <c r="H32" s="19" t="str">
        <f>IFERROR(INDEX([1]DATA!$AH:$AH,MATCH('[1]BC_ ĐG LX'!$C32&amp;'[1]BC_ ĐG LX'!H$3,[1]DATA!$AW:$AW,0)),"")</f>
        <v/>
      </c>
      <c r="I32" s="19" t="str">
        <f>IFERROR(INDEX([1]DATA!$AH:$AH,MATCH('[1]BC_ ĐG LX'!$C32&amp;'[1]BC_ ĐG LX'!I$3,[1]DATA!$AW:$AW,0)),"")</f>
        <v/>
      </c>
      <c r="J32" s="19" t="str">
        <f>IFERROR(INDEX([1]DATA!$AH:$AH,MATCH('[1]BC_ ĐG LX'!$C32&amp;'[1]BC_ ĐG LX'!J$3,[1]DATA!$AW:$AW,0)),"")</f>
        <v/>
      </c>
      <c r="K32" s="19" t="str">
        <f>IFERROR(INDEX([1]DATA!$AH:$AH,MATCH('[1]BC_ ĐG LX'!$C32&amp;'[1]BC_ ĐG LX'!K$3,[1]DATA!$AW:$AW,0)),"")</f>
        <v/>
      </c>
      <c r="L32" s="19" t="str">
        <f>IFERROR(INDEX([1]DATA!$AH:$AH,MATCH('[1]BC_ ĐG LX'!$C32&amp;'[1]BC_ ĐG LX'!L$3,[1]DATA!$AW:$AW,0)),"")</f>
        <v/>
      </c>
      <c r="M32" s="19" t="str">
        <f>IFERROR(INDEX([1]DATA!$AH:$AH,MATCH('[1]BC_ ĐG LX'!$C32&amp;'[1]BC_ ĐG LX'!M$3,[1]DATA!$AW:$AW,0)),"")</f>
        <v/>
      </c>
      <c r="N32" s="19" t="str">
        <f>IFERROR(INDEX([1]DATA!$AH:$AH,MATCH('[1]BC_ ĐG LX'!$C32&amp;'[1]BC_ ĐG LX'!N$3,[1]DATA!$AW:$AW,0)),"")</f>
        <v/>
      </c>
      <c r="O32" s="19" t="str">
        <f>IFERROR(INDEX([1]DATA!$AH:$AH,MATCH('[1]BC_ ĐG LX'!$C32&amp;'[1]BC_ ĐG LX'!O$3,[1]DATA!$AW:$AW,0)),"")</f>
        <v/>
      </c>
      <c r="P32" s="19" t="str">
        <f>IFERROR(INDEX([1]DATA!$AH:$AH,MATCH('[1]BC_ ĐG LX'!$C32&amp;'[1]BC_ ĐG LX'!P$3,[1]DATA!$AW:$AW,0)),"")</f>
        <v/>
      </c>
      <c r="Q32" s="19" t="str">
        <f>IFERROR(INDEX([1]DATA!$AH:$AH,MATCH('[1]BC_ ĐG LX'!$C32&amp;'[1]BC_ ĐG LX'!Q$3,[1]DATA!$AW:$AW,0)),"")</f>
        <v/>
      </c>
      <c r="R32" s="19" t="str">
        <f>IFERROR(INDEX([1]DATA!$AH:$AH,MATCH('[1]BC_ ĐG LX'!$C32&amp;'[1]BC_ ĐG LX'!R$3,[1]DATA!$AW:$AW,0)),"")</f>
        <v/>
      </c>
      <c r="S32" s="19" t="str">
        <f>IFERROR(INDEX([1]DATA!$AH:$AH,MATCH('[1]BC_ ĐG LX'!$C32&amp;'[1]BC_ ĐG LX'!S$3,[1]DATA!$AW:$AW,0)),"")</f>
        <v/>
      </c>
      <c r="T32" s="19" t="str">
        <f>IFERROR(INDEX([1]DATA!$AH:$AH,MATCH('[1]BC_ ĐG LX'!$C32&amp;'[1]BC_ ĐG LX'!T$3,[1]DATA!$AW:$AW,0)),"")</f>
        <v/>
      </c>
      <c r="U32" s="19" t="str">
        <f>IFERROR(INDEX([1]DATA!$AH:$AH,MATCH('[1]BC_ ĐG LX'!$C32&amp;'[1]BC_ ĐG LX'!U$3,[1]DATA!$AW:$AW,0)),"")</f>
        <v/>
      </c>
      <c r="V32" s="19" t="str">
        <f>IFERROR(INDEX([1]DATA!$AH:$AH,MATCH('[1]BC_ ĐG LX'!$C32&amp;'[1]BC_ ĐG LX'!V$3,[1]DATA!$AW:$AW,0)),"")</f>
        <v/>
      </c>
      <c r="W32" s="19" t="str">
        <f>IFERROR(INDEX([1]DATA!$AH:$AH,MATCH('[1]BC_ ĐG LX'!$C32&amp;'[1]BC_ ĐG LX'!W$3,[1]DATA!$AW:$AW,0)),"")</f>
        <v/>
      </c>
      <c r="X32" s="19" t="str">
        <f>IFERROR(INDEX([1]DATA!$AH:$AH,MATCH('[1]BC_ ĐG LX'!$C32&amp;'[1]BC_ ĐG LX'!X$3,[1]DATA!$AW:$AW,0)),"")</f>
        <v/>
      </c>
      <c r="Y32" s="19" t="str">
        <f>IFERROR(INDEX([1]DATA!$AH:$AH,MATCH('[1]BC_ ĐG LX'!$C32&amp;'[1]BC_ ĐG LX'!Y$3,[1]DATA!$AW:$AW,0)),"")</f>
        <v/>
      </c>
      <c r="Z32" s="19" t="str">
        <f>IFERROR(INDEX([1]DATA!$AH:$AH,MATCH('[1]BC_ ĐG LX'!$C32&amp;'[1]BC_ ĐG LX'!Z$3,[1]DATA!$AW:$AW,0)),"")</f>
        <v/>
      </c>
      <c r="AA32" s="19" t="str">
        <f>IFERROR(INDEX([1]DATA!$AH:$AH,MATCH('[1]BC_ ĐG LX'!$C32&amp;'[1]BC_ ĐG LX'!AA$3,[1]DATA!$AW:$AW,0)),"")</f>
        <v/>
      </c>
      <c r="AB32" s="19" t="str">
        <f>IFERROR(INDEX([1]DATA!$AH:$AH,MATCH('[1]BC_ ĐG LX'!$C32&amp;'[1]BC_ ĐG LX'!AB$3,[1]DATA!$AW:$AW,0)),"")</f>
        <v/>
      </c>
      <c r="AC32" s="19" t="str">
        <f>IFERROR(INDEX([1]DATA!$AH:$AH,MATCH('[1]BC_ ĐG LX'!$C32&amp;'[1]BC_ ĐG LX'!AC$3,[1]DATA!$AW:$AW,0)),"")</f>
        <v/>
      </c>
      <c r="AD32" s="19" t="str">
        <f>IFERROR(INDEX([1]DATA!$AH:$AH,MATCH('[1]BC_ ĐG LX'!$C32&amp;'[1]BC_ ĐG LX'!AD$3,[1]DATA!$AW:$AW,0)),"")</f>
        <v/>
      </c>
      <c r="AE32" s="19" t="str">
        <f>IFERROR(INDEX([1]DATA!$AH:$AH,MATCH('[1]BC_ ĐG LX'!$C32&amp;'[1]BC_ ĐG LX'!AE$3,[1]DATA!$AW:$AW,0)),"")</f>
        <v/>
      </c>
      <c r="AF32" s="19" t="str">
        <f>IFERROR(INDEX([1]DATA!$AH:$AH,MATCH('[1]BC_ ĐG LX'!$C32&amp;'[1]BC_ ĐG LX'!AF$3,[1]DATA!$AW:$AW,0)),"")</f>
        <v/>
      </c>
      <c r="AG32" s="19" t="str">
        <f>IFERROR(INDEX([1]DATA!$AH:$AH,MATCH('[1]BC_ ĐG LX'!$C32&amp;'[1]BC_ ĐG LX'!AG$3,[1]DATA!$AW:$AW,0)),"")</f>
        <v/>
      </c>
      <c r="AH32" s="19" t="str">
        <f>IFERROR(INDEX([1]DATA!$AH:$AH,MATCH('[1]BC_ ĐG LX'!$C32&amp;'[1]BC_ ĐG LX'!AH$3,[1]DATA!$AW:$AW,0)),"")</f>
        <v/>
      </c>
      <c r="AI32" s="19" t="str">
        <f>IFERROR(INDEX([1]DATA!$AH:$AH,MATCH('[1]BC_ ĐG LX'!$C32&amp;'[1]BC_ ĐG LX'!AI$3,[1]DATA!$AW:$AW,0)),"")</f>
        <v/>
      </c>
      <c r="AJ32" s="19" t="str">
        <f>IFERROR(INDEX([1]DATA!$AH:$AH,MATCH('[1]BC_ ĐG LX'!$C32&amp;'[1]BC_ ĐG LX'!AJ$3,[1]DATA!$AW:$AW,0)),"")</f>
        <v/>
      </c>
      <c r="AK32" s="26" t="str">
        <f t="shared" si="2"/>
        <v/>
      </c>
      <c r="AL32" s="21"/>
      <c r="AM32" s="22">
        <f t="shared" si="3"/>
        <v>0</v>
      </c>
      <c r="AN32" s="22">
        <f>_xlfn.XLOOKUP(B32,[1]DATA!AF:AF,[1]DATA!AX:AX)</f>
        <v>0</v>
      </c>
      <c r="AO32"/>
    </row>
    <row r="33" spans="1:41" s="22" customFormat="1" ht="14.25" customHeight="1">
      <c r="A33" s="16">
        <f>SUBTOTAL(3,$D$33:D33)</f>
        <v>1</v>
      </c>
      <c r="B33" s="16" t="str">
        <f>_xlfn.XLOOKUP(C33,[1]DATA!D:D,[1]DATA!AF:AF)</f>
        <v>XE00013</v>
      </c>
      <c r="C33" s="18" t="s">
        <v>52</v>
      </c>
      <c r="D33" s="16" t="s">
        <v>19</v>
      </c>
      <c r="E33" s="18" t="s">
        <v>17</v>
      </c>
      <c r="F33" s="18" t="s">
        <v>18</v>
      </c>
      <c r="G33" s="19">
        <f>IFERROR(INDEX([1]DATA!$AH:$AH,MATCH('[1]BC_ ĐG LX'!$C33&amp;'[1]BC_ ĐG LX'!G$3,[1]DATA!$AW:$AW,0)),"")</f>
        <v>9.42</v>
      </c>
      <c r="H33" s="19">
        <f>IFERROR(INDEX([1]DATA!$AH:$AH,MATCH('[1]BC_ ĐG LX'!$C33&amp;'[1]BC_ ĐG LX'!H$3,[1]DATA!$AW:$AW,0)),"")</f>
        <v>9.82</v>
      </c>
      <c r="I33" s="19">
        <f>IFERROR(INDEX([1]DATA!$AH:$AH,MATCH('[1]BC_ ĐG LX'!$C33&amp;'[1]BC_ ĐG LX'!I$3,[1]DATA!$AW:$AW,0)),"")</f>
        <v>9.42</v>
      </c>
      <c r="J33" s="19">
        <f>IFERROR(INDEX([1]DATA!$AH:$AH,MATCH('[1]BC_ ĐG LX'!$C33&amp;'[1]BC_ ĐG LX'!J$3,[1]DATA!$AW:$AW,0)),"")</f>
        <v>9.02</v>
      </c>
      <c r="K33" s="19">
        <f>IFERROR(INDEX([1]DATA!$AH:$AH,MATCH('[1]BC_ ĐG LX'!$C33&amp;'[1]BC_ ĐG LX'!K$3,[1]DATA!$AW:$AW,0)),"")</f>
        <v>9.42</v>
      </c>
      <c r="L33" s="19">
        <f>IFERROR(INDEX([1]DATA!$AH:$AH,MATCH('[1]BC_ ĐG LX'!$C33&amp;'[1]BC_ ĐG LX'!L$3,[1]DATA!$AW:$AW,0)),"")</f>
        <v>8.44</v>
      </c>
      <c r="M33" s="19">
        <f>IFERROR(INDEX([1]DATA!$AH:$AH,MATCH('[1]BC_ ĐG LX'!$C33&amp;'[1]BC_ ĐG LX'!M$3,[1]DATA!$AW:$AW,0)),"")</f>
        <v>8.84</v>
      </c>
      <c r="N33" s="19">
        <f>IFERROR(INDEX([1]DATA!$AH:$AH,MATCH('[1]BC_ ĐG LX'!$C33&amp;'[1]BC_ ĐG LX'!N$3,[1]DATA!$AW:$AW,0)),"")</f>
        <v>9.82</v>
      </c>
      <c r="O33" s="19">
        <f>IFERROR(INDEX([1]DATA!$AH:$AH,MATCH('[1]BC_ ĐG LX'!$C33&amp;'[1]BC_ ĐG LX'!O$3,[1]DATA!$AW:$AW,0)),"")</f>
        <v>9.42</v>
      </c>
      <c r="P33" s="19">
        <f>IFERROR(INDEX([1]DATA!$AH:$AH,MATCH('[1]BC_ ĐG LX'!$C33&amp;'[1]BC_ ĐG LX'!P$3,[1]DATA!$AW:$AW,0)),"")</f>
        <v>7.6400000000000006</v>
      </c>
      <c r="Q33" s="19">
        <f>IFERROR(INDEX([1]DATA!$AH:$AH,MATCH('[1]BC_ ĐG LX'!$C33&amp;'[1]BC_ ĐG LX'!Q$3,[1]DATA!$AW:$AW,0)),"")</f>
        <v>9.42</v>
      </c>
      <c r="R33" s="19">
        <f>IFERROR(INDEX([1]DATA!$AH:$AH,MATCH('[1]BC_ ĐG LX'!$C33&amp;'[1]BC_ ĐG LX'!R$3,[1]DATA!$AW:$AW,0)),"")</f>
        <v>9.42</v>
      </c>
      <c r="S33" s="19">
        <f>IFERROR(INDEX([1]DATA!$AH:$AH,MATCH('[1]BC_ ĐG LX'!$C33&amp;'[1]BC_ ĐG LX'!S$3,[1]DATA!$AW:$AW,0)),"")</f>
        <v>8.44</v>
      </c>
      <c r="T33" s="19">
        <f>IFERROR(INDEX([1]DATA!$AH:$AH,MATCH('[1]BC_ ĐG LX'!$C33&amp;'[1]BC_ ĐG LX'!T$3,[1]DATA!$AW:$AW,0)),"")</f>
        <v>8.84</v>
      </c>
      <c r="U33" s="19">
        <f>IFERROR(INDEX([1]DATA!$AH:$AH,MATCH('[1]BC_ ĐG LX'!$C33&amp;'[1]BC_ ĐG LX'!U$3,[1]DATA!$AW:$AW,0)),"")</f>
        <v>9.24</v>
      </c>
      <c r="V33" s="19">
        <f>IFERROR(INDEX([1]DATA!$AH:$AH,MATCH('[1]BC_ ĐG LX'!$C33&amp;'[1]BC_ ĐG LX'!V$3,[1]DATA!$AW:$AW,0)),"")</f>
        <v>9.82</v>
      </c>
      <c r="W33" s="19">
        <f>IFERROR(INDEX([1]DATA!$AH:$AH,MATCH('[1]BC_ ĐG LX'!$C33&amp;'[1]BC_ ĐG LX'!W$3,[1]DATA!$AW:$AW,0)),"")</f>
        <v>9.82</v>
      </c>
      <c r="X33" s="19">
        <f>IFERROR(INDEX([1]DATA!$AH:$AH,MATCH('[1]BC_ ĐG LX'!$C33&amp;'[1]BC_ ĐG LX'!X$3,[1]DATA!$AW:$AW,0)),"")</f>
        <v>9.82</v>
      </c>
      <c r="Y33" s="19">
        <f>IFERROR(INDEX([1]DATA!$AH:$AH,MATCH('[1]BC_ ĐG LX'!$C33&amp;'[1]BC_ ĐG LX'!Y$3,[1]DATA!$AW:$AW,0)),"")</f>
        <v>9.42</v>
      </c>
      <c r="Z33" s="19">
        <f>IFERROR(INDEX([1]DATA!$AH:$AH,MATCH('[1]BC_ ĐG LX'!$C33&amp;'[1]BC_ ĐG LX'!Z$3,[1]DATA!$AW:$AW,0)),"")</f>
        <v>8.620000000000001</v>
      </c>
      <c r="AA33" s="19">
        <f>IFERROR(INDEX([1]DATA!$AH:$AH,MATCH('[1]BC_ ĐG LX'!$C33&amp;'[1]BC_ ĐG LX'!AA$3,[1]DATA!$AW:$AW,0)),"")</f>
        <v>7.24</v>
      </c>
      <c r="AB33" s="19">
        <f>IFERROR(INDEX([1]DATA!$AH:$AH,MATCH('[1]BC_ ĐG LX'!$C33&amp;'[1]BC_ ĐG LX'!AB$3,[1]DATA!$AW:$AW,0)),"")</f>
        <v>9.42</v>
      </c>
      <c r="AC33" s="19">
        <f>IFERROR(INDEX([1]DATA!$AH:$AH,MATCH('[1]BC_ ĐG LX'!$C33&amp;'[1]BC_ ĐG LX'!AC$3,[1]DATA!$AW:$AW,0)),"")</f>
        <v>9.82</v>
      </c>
      <c r="AD33" s="19">
        <f>IFERROR(INDEX([1]DATA!$AH:$AH,MATCH('[1]BC_ ĐG LX'!$C33&amp;'[1]BC_ ĐG LX'!AD$3,[1]DATA!$AW:$AW,0)),"")</f>
        <v>9.24</v>
      </c>
      <c r="AE33" s="19">
        <f>IFERROR(INDEX([1]DATA!$AH:$AH,MATCH('[1]BC_ ĐG LX'!$C33&amp;'[1]BC_ ĐG LX'!AE$3,[1]DATA!$AW:$AW,0)),"")</f>
        <v>8.44</v>
      </c>
      <c r="AF33" s="19" t="str">
        <f>IFERROR(INDEX([1]DATA!$AH:$AH,MATCH('[1]BC_ ĐG LX'!$C33&amp;'[1]BC_ ĐG LX'!AF$3,[1]DATA!$AW:$AW,0)),"")</f>
        <v/>
      </c>
      <c r="AG33" s="19" t="str">
        <f>IFERROR(INDEX([1]DATA!$AH:$AH,MATCH('[1]BC_ ĐG LX'!$C33&amp;'[1]BC_ ĐG LX'!AG$3,[1]DATA!$AW:$AW,0)),"")</f>
        <v/>
      </c>
      <c r="AH33" s="19" t="str">
        <f>IFERROR(INDEX([1]DATA!$AH:$AH,MATCH('[1]BC_ ĐG LX'!$C33&amp;'[1]BC_ ĐG LX'!AH$3,[1]DATA!$AW:$AW,0)),"")</f>
        <v/>
      </c>
      <c r="AI33" s="19" t="str">
        <f>IFERROR(INDEX([1]DATA!$AH:$AH,MATCH('[1]BC_ ĐG LX'!$C33&amp;'[1]BC_ ĐG LX'!AI$3,[1]DATA!$AW:$AW,0)),"")</f>
        <v/>
      </c>
      <c r="AJ33" s="19" t="str">
        <f>IFERROR(INDEX([1]DATA!$AH:$AH,MATCH('[1]BC_ ĐG LX'!$C33&amp;'[1]BC_ ĐG LX'!AJ$3,[1]DATA!$AW:$AW,0)),"")</f>
        <v/>
      </c>
      <c r="AK33" s="26">
        <f t="shared" si="2"/>
        <v>9.1999999999999993</v>
      </c>
      <c r="AL33" s="21"/>
      <c r="AM33" s="22">
        <f t="shared" si="3"/>
        <v>25</v>
      </c>
      <c r="AN33" s="22" t="str">
        <f>_xlfn.XLOOKUP(B33,[1]DATA!AF:AF,[1]DATA!AX:AX)</f>
        <v>Linh</v>
      </c>
      <c r="AO33"/>
    </row>
    <row r="34" spans="1:41" s="22" customFormat="1" ht="14.25" customHeight="1">
      <c r="A34" s="16">
        <f>SUBTOTAL(3,$D$33:D34)</f>
        <v>2</v>
      </c>
      <c r="B34" s="16" t="str">
        <f>_xlfn.XLOOKUP(C34,[1]DATA!D:D,[1]DATA!AF:AF)</f>
        <v>XE00024</v>
      </c>
      <c r="C34" s="18" t="s">
        <v>53</v>
      </c>
      <c r="D34" s="16" t="s">
        <v>19</v>
      </c>
      <c r="E34" s="18" t="s">
        <v>17</v>
      </c>
      <c r="F34" s="18" t="s">
        <v>18</v>
      </c>
      <c r="G34" s="19">
        <f>IFERROR(INDEX([1]DATA!$AH:$AH,MATCH('[1]BC_ ĐG LX'!$C34&amp;'[1]BC_ ĐG LX'!G$3,[1]DATA!$AW:$AW,0)),"")</f>
        <v>9.42</v>
      </c>
      <c r="H34" s="19">
        <f>IFERROR(INDEX([1]DATA!$AH:$AH,MATCH('[1]BC_ ĐG LX'!$C34&amp;'[1]BC_ ĐG LX'!H$3,[1]DATA!$AW:$AW,0)),"")</f>
        <v>9.82</v>
      </c>
      <c r="I34" s="19">
        <f>IFERROR(INDEX([1]DATA!$AH:$AH,MATCH('[1]BC_ ĐG LX'!$C34&amp;'[1]BC_ ĐG LX'!I$3,[1]DATA!$AW:$AW,0)),"")</f>
        <v>9.02</v>
      </c>
      <c r="J34" s="19">
        <f>IFERROR(INDEX([1]DATA!$AH:$AH,MATCH('[1]BC_ ĐG LX'!$C34&amp;'[1]BC_ ĐG LX'!J$3,[1]DATA!$AW:$AW,0)),"")</f>
        <v>9.82</v>
      </c>
      <c r="K34" s="19">
        <f>IFERROR(INDEX([1]DATA!$AH:$AH,MATCH('[1]BC_ ĐG LX'!$C34&amp;'[1]BC_ ĐG LX'!K$3,[1]DATA!$AW:$AW,0)),"")</f>
        <v>8.6199999999999992</v>
      </c>
      <c r="L34" s="19">
        <f>IFERROR(INDEX([1]DATA!$AH:$AH,MATCH('[1]BC_ ĐG LX'!$C34&amp;'[1]BC_ ĐG LX'!L$3,[1]DATA!$AW:$AW,0)),"")</f>
        <v>9.82</v>
      </c>
      <c r="M34" s="19">
        <f>IFERROR(INDEX([1]DATA!$AH:$AH,MATCH('[1]BC_ ĐG LX'!$C34&amp;'[1]BC_ ĐG LX'!M$3,[1]DATA!$AW:$AW,0)),"")</f>
        <v>9.42</v>
      </c>
      <c r="N34" s="19">
        <f>IFERROR(INDEX([1]DATA!$AH:$AH,MATCH('[1]BC_ ĐG LX'!$C34&amp;'[1]BC_ ĐG LX'!N$3,[1]DATA!$AW:$AW,0)),"")</f>
        <v>9.82</v>
      </c>
      <c r="O34" s="19">
        <f>IFERROR(INDEX([1]DATA!$AH:$AH,MATCH('[1]BC_ ĐG LX'!$C34&amp;'[1]BC_ ĐG LX'!O$3,[1]DATA!$AW:$AW,0)),"")</f>
        <v>9.42</v>
      </c>
      <c r="P34" s="19">
        <f>IFERROR(INDEX([1]DATA!$AH:$AH,MATCH('[1]BC_ ĐG LX'!$C34&amp;'[1]BC_ ĐG LX'!P$3,[1]DATA!$AW:$AW,0)),"")</f>
        <v>9.82</v>
      </c>
      <c r="Q34" s="19">
        <f>IFERROR(INDEX([1]DATA!$AH:$AH,MATCH('[1]BC_ ĐG LX'!$C34&amp;'[1]BC_ ĐG LX'!Q$3,[1]DATA!$AW:$AW,0)),"")</f>
        <v>9.42</v>
      </c>
      <c r="R34" s="19">
        <f>IFERROR(INDEX([1]DATA!$AH:$AH,MATCH('[1]BC_ ĐG LX'!$C34&amp;'[1]BC_ ĐG LX'!R$3,[1]DATA!$AW:$AW,0)),"")</f>
        <v>8.84</v>
      </c>
      <c r="S34" s="19">
        <f>IFERROR(INDEX([1]DATA!$AH:$AH,MATCH('[1]BC_ ĐG LX'!$C34&amp;'[1]BC_ ĐG LX'!S$3,[1]DATA!$AW:$AW,0)),"")</f>
        <v>9.82</v>
      </c>
      <c r="T34" s="19">
        <f>IFERROR(INDEX([1]DATA!$AH:$AH,MATCH('[1]BC_ ĐG LX'!$C34&amp;'[1]BC_ ĐG LX'!T$3,[1]DATA!$AW:$AW,0)),"")</f>
        <v>8.84</v>
      </c>
      <c r="U34" s="19">
        <f>IFERROR(INDEX([1]DATA!$AH:$AH,MATCH('[1]BC_ ĐG LX'!$C34&amp;'[1]BC_ ĐG LX'!U$3,[1]DATA!$AW:$AW,0)),"")</f>
        <v>8.84</v>
      </c>
      <c r="V34" s="19">
        <f>IFERROR(INDEX([1]DATA!$AH:$AH,MATCH('[1]BC_ ĐG LX'!$C34&amp;'[1]BC_ ĐG LX'!V$3,[1]DATA!$AW:$AW,0)),"")</f>
        <v>9.82</v>
      </c>
      <c r="W34" s="19">
        <f>IFERROR(INDEX([1]DATA!$AH:$AH,MATCH('[1]BC_ ĐG LX'!$C34&amp;'[1]BC_ ĐG LX'!W$3,[1]DATA!$AW:$AW,0)),"")</f>
        <v>9.82</v>
      </c>
      <c r="X34" s="19">
        <f>IFERROR(INDEX([1]DATA!$AH:$AH,MATCH('[1]BC_ ĐG LX'!$C34&amp;'[1]BC_ ĐG LX'!X$3,[1]DATA!$AW:$AW,0)),"")</f>
        <v>9.82</v>
      </c>
      <c r="Y34" s="19">
        <f>IFERROR(INDEX([1]DATA!$AH:$AH,MATCH('[1]BC_ ĐG LX'!$C34&amp;'[1]BC_ ĐG LX'!Y$3,[1]DATA!$AW:$AW,0)),"")</f>
        <v>9.42</v>
      </c>
      <c r="Z34" s="19">
        <f>IFERROR(INDEX([1]DATA!$AH:$AH,MATCH('[1]BC_ ĐG LX'!$C34&amp;'[1]BC_ ĐG LX'!Z$3,[1]DATA!$AW:$AW,0)),"")</f>
        <v>9.82</v>
      </c>
      <c r="AA34" s="19">
        <f>IFERROR(INDEX([1]DATA!$AH:$AH,MATCH('[1]BC_ ĐG LX'!$C34&amp;'[1]BC_ ĐG LX'!AA$3,[1]DATA!$AW:$AW,0)),"")</f>
        <v>8.44</v>
      </c>
      <c r="AB34" s="19">
        <f>IFERROR(INDEX([1]DATA!$AH:$AH,MATCH('[1]BC_ ĐG LX'!$C34&amp;'[1]BC_ ĐG LX'!AB$3,[1]DATA!$AW:$AW,0)),"")</f>
        <v>9.02</v>
      </c>
      <c r="AC34" s="19">
        <f>IFERROR(INDEX([1]DATA!$AH:$AH,MATCH('[1]BC_ ĐG LX'!$C34&amp;'[1]BC_ ĐG LX'!AC$3,[1]DATA!$AW:$AW,0)),"")</f>
        <v>9.82</v>
      </c>
      <c r="AD34" s="19">
        <f>IFERROR(INDEX([1]DATA!$AH:$AH,MATCH('[1]BC_ ĐG LX'!$C34&amp;'[1]BC_ ĐG LX'!AD$3,[1]DATA!$AW:$AW,0)),"")</f>
        <v>9.42</v>
      </c>
      <c r="AE34" s="19">
        <f>IFERROR(INDEX([1]DATA!$AH:$AH,MATCH('[1]BC_ ĐG LX'!$C34&amp;'[1]BC_ ĐG LX'!AE$3,[1]DATA!$AW:$AW,0)),"")</f>
        <v>9.82</v>
      </c>
      <c r="AF34" s="19" t="str">
        <f>IFERROR(INDEX([1]DATA!$AH:$AH,MATCH('[1]BC_ ĐG LX'!$C34&amp;'[1]BC_ ĐG LX'!AF$3,[1]DATA!$AW:$AW,0)),"")</f>
        <v/>
      </c>
      <c r="AG34" s="19" t="str">
        <f>IFERROR(INDEX([1]DATA!$AH:$AH,MATCH('[1]BC_ ĐG LX'!$C34&amp;'[1]BC_ ĐG LX'!AG$3,[1]DATA!$AW:$AW,0)),"")</f>
        <v/>
      </c>
      <c r="AH34" s="19" t="str">
        <f>IFERROR(INDEX([1]DATA!$AH:$AH,MATCH('[1]BC_ ĐG LX'!$C34&amp;'[1]BC_ ĐG LX'!AH$3,[1]DATA!$AW:$AW,0)),"")</f>
        <v/>
      </c>
      <c r="AI34" s="19" t="str">
        <f>IFERROR(INDEX([1]DATA!$AH:$AH,MATCH('[1]BC_ ĐG LX'!$C34&amp;'[1]BC_ ĐG LX'!AI$3,[1]DATA!$AW:$AW,0)),"")</f>
        <v/>
      </c>
      <c r="AJ34" s="19" t="str">
        <f>IFERROR(INDEX([1]DATA!$AH:$AH,MATCH('[1]BC_ ĐG LX'!$C34&amp;'[1]BC_ ĐG LX'!AJ$3,[1]DATA!$AW:$AW,0)),"")</f>
        <v/>
      </c>
      <c r="AK34" s="26">
        <f t="shared" si="2"/>
        <v>9.5</v>
      </c>
      <c r="AL34" s="21"/>
      <c r="AM34" s="22">
        <f t="shared" si="3"/>
        <v>25</v>
      </c>
      <c r="AN34" s="22" t="str">
        <f>_xlfn.XLOOKUP(B34,[1]DATA!AF:AF,[1]DATA!AX:AX)</f>
        <v>Lương</v>
      </c>
      <c r="AO34"/>
    </row>
    <row r="35" spans="1:41" s="22" customFormat="1" ht="14.25" customHeight="1">
      <c r="A35" s="16">
        <f>SUBTOTAL(3,$D$33:D35)</f>
        <v>3</v>
      </c>
      <c r="B35" s="16" t="str">
        <f>_xlfn.XLOOKUP(C35,[1]DATA!D:D,[1]DATA!AF:AF)</f>
        <v>XE00032</v>
      </c>
      <c r="C35" s="18" t="s">
        <v>54</v>
      </c>
      <c r="D35" s="16" t="s">
        <v>19</v>
      </c>
      <c r="E35" s="18" t="s">
        <v>17</v>
      </c>
      <c r="F35" s="18" t="s">
        <v>18</v>
      </c>
      <c r="G35" s="19">
        <f>IFERROR(INDEX([1]DATA!$AH:$AH,MATCH('[1]BC_ ĐG LX'!$C35&amp;'[1]BC_ ĐG LX'!G$3,[1]DATA!$AW:$AW,0)),"")</f>
        <v>9.42</v>
      </c>
      <c r="H35" s="19">
        <f>IFERROR(INDEX([1]DATA!$AH:$AH,MATCH('[1]BC_ ĐG LX'!$C35&amp;'[1]BC_ ĐG LX'!H$3,[1]DATA!$AW:$AW,0)),"")</f>
        <v>9.82</v>
      </c>
      <c r="I35" s="19">
        <f>IFERROR(INDEX([1]DATA!$AH:$AH,MATCH('[1]BC_ ĐG LX'!$C35&amp;'[1]BC_ ĐG LX'!I$3,[1]DATA!$AW:$AW,0)),"")</f>
        <v>8.84</v>
      </c>
      <c r="J35" s="19">
        <f>IFERROR(INDEX([1]DATA!$AH:$AH,MATCH('[1]BC_ ĐG LX'!$C35&amp;'[1]BC_ ĐG LX'!J$3,[1]DATA!$AW:$AW,0)),"")</f>
        <v>7.24</v>
      </c>
      <c r="K35" s="19">
        <f>IFERROR(INDEX([1]DATA!$AH:$AH,MATCH('[1]BC_ ĐG LX'!$C35&amp;'[1]BC_ ĐG LX'!K$3,[1]DATA!$AW:$AW,0)),"")</f>
        <v>9.42</v>
      </c>
      <c r="L35" s="19">
        <f>IFERROR(INDEX([1]DATA!$AH:$AH,MATCH('[1]BC_ ĐG LX'!$C35&amp;'[1]BC_ ĐG LX'!L$3,[1]DATA!$AW:$AW,0)),"")</f>
        <v>9.82</v>
      </c>
      <c r="M35" s="19">
        <f>IFERROR(INDEX([1]DATA!$AH:$AH,MATCH('[1]BC_ ĐG LX'!$C35&amp;'[1]BC_ ĐG LX'!M$3,[1]DATA!$AW:$AW,0)),"")</f>
        <v>9.82</v>
      </c>
      <c r="N35" s="19">
        <f>IFERROR(INDEX([1]DATA!$AH:$AH,MATCH('[1]BC_ ĐG LX'!$C35&amp;'[1]BC_ ĐG LX'!N$3,[1]DATA!$AW:$AW,0)),"")</f>
        <v>9.82</v>
      </c>
      <c r="O35" s="19">
        <f>IFERROR(INDEX([1]DATA!$AH:$AH,MATCH('[1]BC_ ĐG LX'!$C35&amp;'[1]BC_ ĐG LX'!O$3,[1]DATA!$AW:$AW,0)),"")</f>
        <v>8.84</v>
      </c>
      <c r="P35" s="19">
        <f>IFERROR(INDEX([1]DATA!$AH:$AH,MATCH('[1]BC_ ĐG LX'!$C35&amp;'[1]BC_ ĐG LX'!P$3,[1]DATA!$AW:$AW,0)),"")</f>
        <v>9.82</v>
      </c>
      <c r="Q35" s="19">
        <f>IFERROR(INDEX([1]DATA!$AH:$AH,MATCH('[1]BC_ ĐG LX'!$C35&amp;'[1]BC_ ĐG LX'!Q$3,[1]DATA!$AW:$AW,0)),"")</f>
        <v>8.84</v>
      </c>
      <c r="R35" s="19">
        <f>IFERROR(INDEX([1]DATA!$AH:$AH,MATCH('[1]BC_ ĐG LX'!$C35&amp;'[1]BC_ ĐG LX'!R$3,[1]DATA!$AW:$AW,0)),"")</f>
        <v>9.42</v>
      </c>
      <c r="S35" s="19">
        <f>IFERROR(INDEX([1]DATA!$AH:$AH,MATCH('[1]BC_ ĐG LX'!$C35&amp;'[1]BC_ ĐG LX'!S$3,[1]DATA!$AW:$AW,0)),"")</f>
        <v>9.82</v>
      </c>
      <c r="T35" s="19">
        <f>IFERROR(INDEX([1]DATA!$AH:$AH,MATCH('[1]BC_ ĐG LX'!$C35&amp;'[1]BC_ ĐG LX'!T$3,[1]DATA!$AW:$AW,0)),"")</f>
        <v>9.82</v>
      </c>
      <c r="U35" s="19">
        <f>IFERROR(INDEX([1]DATA!$AH:$AH,MATCH('[1]BC_ ĐG LX'!$C35&amp;'[1]BC_ ĐG LX'!U$3,[1]DATA!$AW:$AW,0)),"")</f>
        <v>9.42</v>
      </c>
      <c r="V35" s="19">
        <f>IFERROR(INDEX([1]DATA!$AH:$AH,MATCH('[1]BC_ ĐG LX'!$C35&amp;'[1]BC_ ĐG LX'!V$3,[1]DATA!$AW:$AW,0)),"")</f>
        <v>9.42</v>
      </c>
      <c r="W35" s="19">
        <f>IFERROR(INDEX([1]DATA!$AH:$AH,MATCH('[1]BC_ ĐG LX'!$C35&amp;'[1]BC_ ĐG LX'!W$3,[1]DATA!$AW:$AW,0)),"")</f>
        <v>9.42</v>
      </c>
      <c r="X35" s="19">
        <f>IFERROR(INDEX([1]DATA!$AH:$AH,MATCH('[1]BC_ ĐG LX'!$C35&amp;'[1]BC_ ĐG LX'!X$3,[1]DATA!$AW:$AW,0)),"")</f>
        <v>9.82</v>
      </c>
      <c r="Y35" s="19">
        <f>IFERROR(INDEX([1]DATA!$AH:$AH,MATCH('[1]BC_ ĐG LX'!$C35&amp;'[1]BC_ ĐG LX'!Y$3,[1]DATA!$AW:$AW,0)),"")</f>
        <v>9.42</v>
      </c>
      <c r="Z35" s="19">
        <f>IFERROR(INDEX([1]DATA!$AH:$AH,MATCH('[1]BC_ ĐG LX'!$C35&amp;'[1]BC_ ĐG LX'!Z$3,[1]DATA!$AW:$AW,0)),"")</f>
        <v>9.82</v>
      </c>
      <c r="AA35" s="19">
        <f>IFERROR(INDEX([1]DATA!$AH:$AH,MATCH('[1]BC_ ĐG LX'!$C35&amp;'[1]BC_ ĐG LX'!AA$3,[1]DATA!$AW:$AW,0)),"")</f>
        <v>9.82</v>
      </c>
      <c r="AB35" s="19">
        <f>IFERROR(INDEX([1]DATA!$AH:$AH,MATCH('[1]BC_ ĐG LX'!$C35&amp;'[1]BC_ ĐG LX'!AB$3,[1]DATA!$AW:$AW,0)),"")</f>
        <v>10</v>
      </c>
      <c r="AC35" s="19">
        <f>IFERROR(INDEX([1]DATA!$AH:$AH,MATCH('[1]BC_ ĐG LX'!$C35&amp;'[1]BC_ ĐG LX'!AC$3,[1]DATA!$AW:$AW,0)),"")</f>
        <v>10</v>
      </c>
      <c r="AD35" s="19">
        <f>IFERROR(INDEX([1]DATA!$AH:$AH,MATCH('[1]BC_ ĐG LX'!$C35&amp;'[1]BC_ ĐG LX'!AD$3,[1]DATA!$AW:$AW,0)),"")</f>
        <v>9.82</v>
      </c>
      <c r="AE35" s="19">
        <f>IFERROR(INDEX([1]DATA!$AH:$AH,MATCH('[1]BC_ ĐG LX'!$C35&amp;'[1]BC_ ĐG LX'!AE$3,[1]DATA!$AW:$AW,0)),"")</f>
        <v>9.42</v>
      </c>
      <c r="AF35" s="19" t="str">
        <f>IFERROR(INDEX([1]DATA!$AH:$AH,MATCH('[1]BC_ ĐG LX'!$C35&amp;'[1]BC_ ĐG LX'!AF$3,[1]DATA!$AW:$AW,0)),"")</f>
        <v/>
      </c>
      <c r="AG35" s="19" t="str">
        <f>IFERROR(INDEX([1]DATA!$AH:$AH,MATCH('[1]BC_ ĐG LX'!$C35&amp;'[1]BC_ ĐG LX'!AG$3,[1]DATA!$AW:$AW,0)),"")</f>
        <v/>
      </c>
      <c r="AH35" s="19" t="str">
        <f>IFERROR(INDEX([1]DATA!$AH:$AH,MATCH('[1]BC_ ĐG LX'!$C35&amp;'[1]BC_ ĐG LX'!AH$3,[1]DATA!$AW:$AW,0)),"")</f>
        <v/>
      </c>
      <c r="AI35" s="19" t="str">
        <f>IFERROR(INDEX([1]DATA!$AH:$AH,MATCH('[1]BC_ ĐG LX'!$C35&amp;'[1]BC_ ĐG LX'!AI$3,[1]DATA!$AW:$AW,0)),"")</f>
        <v/>
      </c>
      <c r="AJ35" s="19" t="str">
        <f>IFERROR(INDEX([1]DATA!$AH:$AH,MATCH('[1]BC_ ĐG LX'!$C35&amp;'[1]BC_ ĐG LX'!AJ$3,[1]DATA!$AW:$AW,0)),"")</f>
        <v/>
      </c>
      <c r="AK35" s="26">
        <f t="shared" si="2"/>
        <v>9.5</v>
      </c>
      <c r="AL35" s="21"/>
      <c r="AM35" s="22">
        <f t="shared" si="3"/>
        <v>25</v>
      </c>
      <c r="AN35" s="22" t="str">
        <f>_xlfn.XLOOKUP(B35,[1]DATA!AF:AF,[1]DATA!AX:AX)</f>
        <v>Linh</v>
      </c>
      <c r="AO35"/>
    </row>
    <row r="36" spans="1:41" s="22" customFormat="1" ht="14.25" customHeight="1">
      <c r="A36" s="16">
        <f>SUBTOTAL(3,$D$33:D36)</f>
        <v>4</v>
      </c>
      <c r="B36" s="16" t="str">
        <f>_xlfn.XLOOKUP(C36,[1]DATA!D:D,[1]DATA!AF:AF)</f>
        <v>XE00033</v>
      </c>
      <c r="C36" s="18" t="s">
        <v>55</v>
      </c>
      <c r="D36" s="16" t="s">
        <v>19</v>
      </c>
      <c r="E36" s="18" t="s">
        <v>17</v>
      </c>
      <c r="F36" s="18" t="s">
        <v>18</v>
      </c>
      <c r="G36" s="19">
        <f>IFERROR(INDEX([1]DATA!$AH:$AH,MATCH('[1]BC_ ĐG LX'!$C36&amp;'[1]BC_ ĐG LX'!G$3,[1]DATA!$AW:$AW,0)),"")</f>
        <v>9.82</v>
      </c>
      <c r="H36" s="19">
        <f>IFERROR(INDEX([1]DATA!$AH:$AH,MATCH('[1]BC_ ĐG LX'!$C36&amp;'[1]BC_ ĐG LX'!H$3,[1]DATA!$AW:$AW,0)),"")</f>
        <v>9.82</v>
      </c>
      <c r="I36" s="19">
        <f>IFERROR(INDEX([1]DATA!$AH:$AH,MATCH('[1]BC_ ĐG LX'!$C36&amp;'[1]BC_ ĐG LX'!I$3,[1]DATA!$AW:$AW,0)),"")</f>
        <v>9.42</v>
      </c>
      <c r="J36" s="19">
        <f>IFERROR(INDEX([1]DATA!$AH:$AH,MATCH('[1]BC_ ĐG LX'!$C36&amp;'[1]BC_ ĐG LX'!J$3,[1]DATA!$AW:$AW,0)),"")</f>
        <v>9.02</v>
      </c>
      <c r="K36" s="19">
        <f>IFERROR(INDEX([1]DATA!$AH:$AH,MATCH('[1]BC_ ĐG LX'!$C36&amp;'[1]BC_ ĐG LX'!K$3,[1]DATA!$AW:$AW,0)),"")</f>
        <v>9.82</v>
      </c>
      <c r="L36" s="19">
        <f>IFERROR(INDEX([1]DATA!$AH:$AH,MATCH('[1]BC_ ĐG LX'!$C36&amp;'[1]BC_ ĐG LX'!L$3,[1]DATA!$AW:$AW,0)),"")</f>
        <v>9.42</v>
      </c>
      <c r="M36" s="19">
        <f>IFERROR(INDEX([1]DATA!$AH:$AH,MATCH('[1]BC_ ĐG LX'!$C36&amp;'[1]BC_ ĐG LX'!M$3,[1]DATA!$AW:$AW,0)),"")</f>
        <v>9.82</v>
      </c>
      <c r="N36" s="19">
        <f>IFERROR(INDEX([1]DATA!$AH:$AH,MATCH('[1]BC_ ĐG LX'!$C36&amp;'[1]BC_ ĐG LX'!N$3,[1]DATA!$AW:$AW,0)),"")</f>
        <v>9.02</v>
      </c>
      <c r="O36" s="19">
        <f>IFERROR(INDEX([1]DATA!$AH:$AH,MATCH('[1]BC_ ĐG LX'!$C36&amp;'[1]BC_ ĐG LX'!O$3,[1]DATA!$AW:$AW,0)),"")</f>
        <v>9.42</v>
      </c>
      <c r="P36" s="19">
        <f>IFERROR(INDEX([1]DATA!$AH:$AH,MATCH('[1]BC_ ĐG LX'!$C36&amp;'[1]BC_ ĐG LX'!P$3,[1]DATA!$AW:$AW,0)),"")</f>
        <v>9.42</v>
      </c>
      <c r="Q36" s="19">
        <f>IFERROR(INDEX([1]DATA!$AH:$AH,MATCH('[1]BC_ ĐG LX'!$C36&amp;'[1]BC_ ĐG LX'!Q$3,[1]DATA!$AW:$AW,0)),"")</f>
        <v>9.82</v>
      </c>
      <c r="R36" s="19">
        <f>IFERROR(INDEX([1]DATA!$AH:$AH,MATCH('[1]BC_ ĐG LX'!$C36&amp;'[1]BC_ ĐG LX'!R$3,[1]DATA!$AW:$AW,0)),"")</f>
        <v>9.6199999999999992</v>
      </c>
      <c r="S36" s="19">
        <f>IFERROR(INDEX([1]DATA!$AH:$AH,MATCH('[1]BC_ ĐG LX'!$C36&amp;'[1]BC_ ĐG LX'!S$3,[1]DATA!$AW:$AW,0)),"")</f>
        <v>9.42</v>
      </c>
      <c r="T36" s="19">
        <f>IFERROR(INDEX([1]DATA!$AH:$AH,MATCH('[1]BC_ ĐG LX'!$C36&amp;'[1]BC_ ĐG LX'!T$3,[1]DATA!$AW:$AW,0)),"")</f>
        <v>7.6400000000000006</v>
      </c>
      <c r="U36" s="19">
        <f>IFERROR(INDEX([1]DATA!$AH:$AH,MATCH('[1]BC_ ĐG LX'!$C36&amp;'[1]BC_ ĐG LX'!U$3,[1]DATA!$AW:$AW,0)),"")</f>
        <v>9.82</v>
      </c>
      <c r="V36" s="19">
        <f>IFERROR(INDEX([1]DATA!$AH:$AH,MATCH('[1]BC_ ĐG LX'!$C36&amp;'[1]BC_ ĐG LX'!V$3,[1]DATA!$AW:$AW,0)),"")</f>
        <v>9.82</v>
      </c>
      <c r="W36" s="19">
        <f>IFERROR(INDEX([1]DATA!$AH:$AH,MATCH('[1]BC_ ĐG LX'!$C36&amp;'[1]BC_ ĐG LX'!W$3,[1]DATA!$AW:$AW,0)),"")</f>
        <v>9.42</v>
      </c>
      <c r="X36" s="19">
        <f>IFERROR(INDEX([1]DATA!$AH:$AH,MATCH('[1]BC_ ĐG LX'!$C36&amp;'[1]BC_ ĐG LX'!X$3,[1]DATA!$AW:$AW,0)),"")</f>
        <v>9.6199999999999992</v>
      </c>
      <c r="Y36" s="19">
        <f>IFERROR(INDEX([1]DATA!$AH:$AH,MATCH('[1]BC_ ĐG LX'!$C36&amp;'[1]BC_ ĐG LX'!Y$3,[1]DATA!$AW:$AW,0)),"")</f>
        <v>8.84</v>
      </c>
      <c r="Z36" s="19">
        <f>IFERROR(INDEX([1]DATA!$AH:$AH,MATCH('[1]BC_ ĐG LX'!$C36&amp;'[1]BC_ ĐG LX'!Z$3,[1]DATA!$AW:$AW,0)),"")</f>
        <v>7.24</v>
      </c>
      <c r="AA36" s="19">
        <f>IFERROR(INDEX([1]DATA!$AH:$AH,MATCH('[1]BC_ ĐG LX'!$C36&amp;'[1]BC_ ĐG LX'!AA$3,[1]DATA!$AW:$AW,0)),"")</f>
        <v>9.82</v>
      </c>
      <c r="AB36" s="19">
        <f>IFERROR(INDEX([1]DATA!$AH:$AH,MATCH('[1]BC_ ĐG LX'!$C36&amp;'[1]BC_ ĐG LX'!AB$3,[1]DATA!$AW:$AW,0)),"")</f>
        <v>9.6199999999999992</v>
      </c>
      <c r="AC36" s="19">
        <f>IFERROR(INDEX([1]DATA!$AH:$AH,MATCH('[1]BC_ ĐG LX'!$C36&amp;'[1]BC_ ĐG LX'!AC$3,[1]DATA!$AW:$AW,0)),"")</f>
        <v>9.6199999999999992</v>
      </c>
      <c r="AD36" s="19">
        <f>IFERROR(INDEX([1]DATA!$AH:$AH,MATCH('[1]BC_ ĐG LX'!$C36&amp;'[1]BC_ ĐG LX'!AD$3,[1]DATA!$AW:$AW,0)),"")</f>
        <v>8.84</v>
      </c>
      <c r="AE36" s="19">
        <f>IFERROR(INDEX([1]DATA!$AH:$AH,MATCH('[1]BC_ ĐG LX'!$C36&amp;'[1]BC_ ĐG LX'!AE$3,[1]DATA!$AW:$AW,0)),"")</f>
        <v>9.42</v>
      </c>
      <c r="AF36" s="19" t="str">
        <f>IFERROR(INDEX([1]DATA!$AH:$AH,MATCH('[1]BC_ ĐG LX'!$C36&amp;'[1]BC_ ĐG LX'!AF$3,[1]DATA!$AW:$AW,0)),"")</f>
        <v/>
      </c>
      <c r="AG36" s="19" t="str">
        <f>IFERROR(INDEX([1]DATA!$AH:$AH,MATCH('[1]BC_ ĐG LX'!$C36&amp;'[1]BC_ ĐG LX'!AG$3,[1]DATA!$AW:$AW,0)),"")</f>
        <v/>
      </c>
      <c r="AH36" s="19" t="str">
        <f>IFERROR(INDEX([1]DATA!$AH:$AH,MATCH('[1]BC_ ĐG LX'!$C36&amp;'[1]BC_ ĐG LX'!AH$3,[1]DATA!$AW:$AW,0)),"")</f>
        <v/>
      </c>
      <c r="AI36" s="19" t="str">
        <f>IFERROR(INDEX([1]DATA!$AH:$AH,MATCH('[1]BC_ ĐG LX'!$C36&amp;'[1]BC_ ĐG LX'!AI$3,[1]DATA!$AW:$AW,0)),"")</f>
        <v/>
      </c>
      <c r="AJ36" s="19" t="str">
        <f>IFERROR(INDEX([1]DATA!$AH:$AH,MATCH('[1]BC_ ĐG LX'!$C36&amp;'[1]BC_ ĐG LX'!AJ$3,[1]DATA!$AW:$AW,0)),"")</f>
        <v/>
      </c>
      <c r="AK36" s="26">
        <f t="shared" si="2"/>
        <v>9.4</v>
      </c>
      <c r="AL36" s="21"/>
      <c r="AM36" s="22">
        <f t="shared" si="3"/>
        <v>25</v>
      </c>
      <c r="AN36" s="22" t="str">
        <f>_xlfn.XLOOKUP(B36,[1]DATA!AF:AF,[1]DATA!AX:AX)</f>
        <v>Lương</v>
      </c>
      <c r="AO36"/>
    </row>
    <row r="37" spans="1:41" s="22" customFormat="1" ht="14.25" customHeight="1">
      <c r="A37" s="16">
        <f>SUBTOTAL(3,$D$33:D37)</f>
        <v>5</v>
      </c>
      <c r="B37" s="16" t="str">
        <f>_xlfn.XLOOKUP(C37,[1]DATA!D:D,[1]DATA!AF:AF)</f>
        <v>XE00041</v>
      </c>
      <c r="C37" s="18" t="s">
        <v>56</v>
      </c>
      <c r="D37" s="16" t="s">
        <v>19</v>
      </c>
      <c r="E37" s="18" t="s">
        <v>17</v>
      </c>
      <c r="F37" s="18" t="s">
        <v>18</v>
      </c>
      <c r="G37" s="19">
        <f>IFERROR(INDEX([1]DATA!$AH:$AH,MATCH('[1]BC_ ĐG LX'!$C37&amp;'[1]BC_ ĐG LX'!G$3,[1]DATA!$AW:$AW,0)),"")</f>
        <v>9.6199999999999992</v>
      </c>
      <c r="H37" s="19">
        <f>IFERROR(INDEX([1]DATA!$AH:$AH,MATCH('[1]BC_ ĐG LX'!$C37&amp;'[1]BC_ ĐG LX'!H$3,[1]DATA!$AW:$AW,0)),"")</f>
        <v>7.6400000000000006</v>
      </c>
      <c r="I37" s="19">
        <f>IFERROR(INDEX([1]DATA!$AH:$AH,MATCH('[1]BC_ ĐG LX'!$C37&amp;'[1]BC_ ĐG LX'!I$3,[1]DATA!$AW:$AW,0)),"")</f>
        <v>9.24</v>
      </c>
      <c r="J37" s="19">
        <f>IFERROR(INDEX([1]DATA!$AH:$AH,MATCH('[1]BC_ ĐG LX'!$C37&amp;'[1]BC_ ĐG LX'!J$3,[1]DATA!$AW:$AW,0)),"")</f>
        <v>9.6199999999999992</v>
      </c>
      <c r="K37" s="19">
        <f>IFERROR(INDEX([1]DATA!$AH:$AH,MATCH('[1]BC_ ĐG LX'!$C37&amp;'[1]BC_ ĐG LX'!K$3,[1]DATA!$AW:$AW,0)),"")</f>
        <v>9.42</v>
      </c>
      <c r="L37" s="19">
        <f>IFERROR(INDEX([1]DATA!$AH:$AH,MATCH('[1]BC_ ĐG LX'!$C37&amp;'[1]BC_ ĐG LX'!L$3,[1]DATA!$AW:$AW,0)),"")</f>
        <v>8.84</v>
      </c>
      <c r="M37" s="19">
        <f>IFERROR(INDEX([1]DATA!$AH:$AH,MATCH('[1]BC_ ĐG LX'!$C37&amp;'[1]BC_ ĐG LX'!M$3,[1]DATA!$AW:$AW,0)),"")</f>
        <v>9.82</v>
      </c>
      <c r="N37" s="19">
        <f>IFERROR(INDEX([1]DATA!$AH:$AH,MATCH('[1]BC_ ĐG LX'!$C37&amp;'[1]BC_ ĐG LX'!N$3,[1]DATA!$AW:$AW,0)),"")</f>
        <v>9.42</v>
      </c>
      <c r="O37" s="19">
        <f>IFERROR(INDEX([1]DATA!$AH:$AH,MATCH('[1]BC_ ĐG LX'!$C37&amp;'[1]BC_ ĐG LX'!O$3,[1]DATA!$AW:$AW,0)),"")</f>
        <v>9.82</v>
      </c>
      <c r="P37" s="19">
        <f>IFERROR(INDEX([1]DATA!$AH:$AH,MATCH('[1]BC_ ĐG LX'!$C37&amp;'[1]BC_ ĐG LX'!P$3,[1]DATA!$AW:$AW,0)),"")</f>
        <v>9.42</v>
      </c>
      <c r="Q37" s="19">
        <f>IFERROR(INDEX([1]DATA!$AH:$AH,MATCH('[1]BC_ ĐG LX'!$C37&amp;'[1]BC_ ĐG LX'!Q$3,[1]DATA!$AW:$AW,0)),"")</f>
        <v>9.42</v>
      </c>
      <c r="R37" s="19">
        <f>IFERROR(INDEX([1]DATA!$AH:$AH,MATCH('[1]BC_ ĐG LX'!$C37&amp;'[1]BC_ ĐG LX'!R$3,[1]DATA!$AW:$AW,0)),"")</f>
        <v>9.42</v>
      </c>
      <c r="S37" s="19">
        <f>IFERROR(INDEX([1]DATA!$AH:$AH,MATCH('[1]BC_ ĐG LX'!$C37&amp;'[1]BC_ ĐG LX'!S$3,[1]DATA!$AW:$AW,0)),"")</f>
        <v>9.42</v>
      </c>
      <c r="T37" s="19">
        <f>IFERROR(INDEX([1]DATA!$AH:$AH,MATCH('[1]BC_ ĐG LX'!$C37&amp;'[1]BC_ ĐG LX'!T$3,[1]DATA!$AW:$AW,0)),"")</f>
        <v>9.82</v>
      </c>
      <c r="U37" s="19">
        <f>IFERROR(INDEX([1]DATA!$AH:$AH,MATCH('[1]BC_ ĐG LX'!$C37&amp;'[1]BC_ ĐG LX'!U$3,[1]DATA!$AW:$AW,0)),"")</f>
        <v>9.82</v>
      </c>
      <c r="V37" s="19">
        <f>IFERROR(INDEX([1]DATA!$AH:$AH,MATCH('[1]BC_ ĐG LX'!$C37&amp;'[1]BC_ ĐG LX'!V$3,[1]DATA!$AW:$AW,0)),"")</f>
        <v>9.82</v>
      </c>
      <c r="W37" s="19">
        <f>IFERROR(INDEX([1]DATA!$AH:$AH,MATCH('[1]BC_ ĐG LX'!$C37&amp;'[1]BC_ ĐG LX'!W$3,[1]DATA!$AW:$AW,0)),"")</f>
        <v>9.42</v>
      </c>
      <c r="X37" s="19">
        <f>IFERROR(INDEX([1]DATA!$AH:$AH,MATCH('[1]BC_ ĐG LX'!$C37&amp;'[1]BC_ ĐG LX'!X$3,[1]DATA!$AW:$AW,0)),"")</f>
        <v>9.42</v>
      </c>
      <c r="Y37" s="19">
        <f>IFERROR(INDEX([1]DATA!$AH:$AH,MATCH('[1]BC_ ĐG LX'!$C37&amp;'[1]BC_ ĐG LX'!Y$3,[1]DATA!$AW:$AW,0)),"")</f>
        <v>9.82</v>
      </c>
      <c r="Z37" s="19">
        <f>IFERROR(INDEX([1]DATA!$AH:$AH,MATCH('[1]BC_ ĐG LX'!$C37&amp;'[1]BC_ ĐG LX'!Z$3,[1]DATA!$AW:$AW,0)),"")</f>
        <v>9.82</v>
      </c>
      <c r="AA37" s="19">
        <f>IFERROR(INDEX([1]DATA!$AH:$AH,MATCH('[1]BC_ ĐG LX'!$C37&amp;'[1]BC_ ĐG LX'!AA$3,[1]DATA!$AW:$AW,0)),"")</f>
        <v>8.84</v>
      </c>
      <c r="AB37" s="19">
        <f>IFERROR(INDEX([1]DATA!$AH:$AH,MATCH('[1]BC_ ĐG LX'!$C37&amp;'[1]BC_ ĐG LX'!AB$3,[1]DATA!$AW:$AW,0)),"")</f>
        <v>9.02</v>
      </c>
      <c r="AC37" s="19">
        <f>IFERROR(INDEX([1]DATA!$AH:$AH,MATCH('[1]BC_ ĐG LX'!$C37&amp;'[1]BC_ ĐG LX'!AC$3,[1]DATA!$AW:$AW,0)),"")</f>
        <v>9.24</v>
      </c>
      <c r="AD37" s="19">
        <f>IFERROR(INDEX([1]DATA!$AH:$AH,MATCH('[1]BC_ ĐG LX'!$C37&amp;'[1]BC_ ĐG LX'!AD$3,[1]DATA!$AW:$AW,0)),"")</f>
        <v>9.82</v>
      </c>
      <c r="AE37" s="19">
        <f>IFERROR(INDEX([1]DATA!$AH:$AH,MATCH('[1]BC_ ĐG LX'!$C37&amp;'[1]BC_ ĐG LX'!AE$3,[1]DATA!$AW:$AW,0)),"")</f>
        <v>9.82</v>
      </c>
      <c r="AF37" s="19" t="str">
        <f>IFERROR(INDEX([1]DATA!$AH:$AH,MATCH('[1]BC_ ĐG LX'!$C37&amp;'[1]BC_ ĐG LX'!AF$3,[1]DATA!$AW:$AW,0)),"")</f>
        <v/>
      </c>
      <c r="AG37" s="19" t="str">
        <f>IFERROR(INDEX([1]DATA!$AH:$AH,MATCH('[1]BC_ ĐG LX'!$C37&amp;'[1]BC_ ĐG LX'!AG$3,[1]DATA!$AW:$AW,0)),"")</f>
        <v/>
      </c>
      <c r="AH37" s="19" t="str">
        <f>IFERROR(INDEX([1]DATA!$AH:$AH,MATCH('[1]BC_ ĐG LX'!$C37&amp;'[1]BC_ ĐG LX'!AH$3,[1]DATA!$AW:$AW,0)),"")</f>
        <v/>
      </c>
      <c r="AI37" s="19" t="str">
        <f>IFERROR(INDEX([1]DATA!$AH:$AH,MATCH('[1]BC_ ĐG LX'!$C37&amp;'[1]BC_ ĐG LX'!AI$3,[1]DATA!$AW:$AW,0)),"")</f>
        <v/>
      </c>
      <c r="AJ37" s="19" t="str">
        <f>IFERROR(INDEX([1]DATA!$AH:$AH,MATCH('[1]BC_ ĐG LX'!$C37&amp;'[1]BC_ ĐG LX'!AJ$3,[1]DATA!$AW:$AW,0)),"")</f>
        <v/>
      </c>
      <c r="AK37" s="26">
        <f t="shared" si="2"/>
        <v>9.5</v>
      </c>
      <c r="AL37" s="21"/>
      <c r="AM37" s="22">
        <f t="shared" si="3"/>
        <v>25</v>
      </c>
      <c r="AN37" s="22" t="str">
        <f>_xlfn.XLOOKUP(B37,[1]DATA!AF:AF,[1]DATA!AX:AX)</f>
        <v>Linh</v>
      </c>
      <c r="AO37"/>
    </row>
    <row r="38" spans="1:41" s="22" customFormat="1" ht="14.25" customHeight="1">
      <c r="A38" s="16">
        <f>SUBTOTAL(3,$D$33:D38)</f>
        <v>6</v>
      </c>
      <c r="B38" s="16" t="str">
        <f>_xlfn.XLOOKUP(C38,[1]DATA!D:D,[1]DATA!AF:AF)</f>
        <v>XE00042</v>
      </c>
      <c r="C38" s="18" t="s">
        <v>57</v>
      </c>
      <c r="D38" s="16" t="s">
        <v>19</v>
      </c>
      <c r="E38" s="18" t="s">
        <v>17</v>
      </c>
      <c r="F38" s="18" t="s">
        <v>18</v>
      </c>
      <c r="G38" s="19">
        <f>IFERROR(INDEX([1]DATA!$AH:$AH,MATCH('[1]BC_ ĐG LX'!$C38&amp;'[1]BC_ ĐG LX'!G$3,[1]DATA!$AW:$AW,0)),"")</f>
        <v>9.42</v>
      </c>
      <c r="H38" s="19">
        <f>IFERROR(INDEX([1]DATA!$AH:$AH,MATCH('[1]BC_ ĐG LX'!$C38&amp;'[1]BC_ ĐG LX'!H$3,[1]DATA!$AW:$AW,0)),"")</f>
        <v>9.0399999999999991</v>
      </c>
      <c r="I38" s="19">
        <f>IFERROR(INDEX([1]DATA!$AH:$AH,MATCH('[1]BC_ ĐG LX'!$C38&amp;'[1]BC_ ĐG LX'!I$3,[1]DATA!$AW:$AW,0)),"")</f>
        <v>9.42</v>
      </c>
      <c r="J38" s="19">
        <f>IFERROR(INDEX([1]DATA!$AH:$AH,MATCH('[1]BC_ ĐG LX'!$C38&amp;'[1]BC_ ĐG LX'!J$3,[1]DATA!$AW:$AW,0)),"")</f>
        <v>9.42</v>
      </c>
      <c r="K38" s="19">
        <f>IFERROR(INDEX([1]DATA!$AH:$AH,MATCH('[1]BC_ ĐG LX'!$C38&amp;'[1]BC_ ĐG LX'!K$3,[1]DATA!$AW:$AW,0)),"")</f>
        <v>9.82</v>
      </c>
      <c r="L38" s="19">
        <f>IFERROR(INDEX([1]DATA!$AH:$AH,MATCH('[1]BC_ ĐG LX'!$C38&amp;'[1]BC_ ĐG LX'!L$3,[1]DATA!$AW:$AW,0)),"")</f>
        <v>9.82</v>
      </c>
      <c r="M38" s="19">
        <f>IFERROR(INDEX([1]DATA!$AH:$AH,MATCH('[1]BC_ ĐG LX'!$C38&amp;'[1]BC_ ĐG LX'!M$3,[1]DATA!$AW:$AW,0)),"")</f>
        <v>9.82</v>
      </c>
      <c r="N38" s="19">
        <f>IFERROR(INDEX([1]DATA!$AH:$AH,MATCH('[1]BC_ ĐG LX'!$C38&amp;'[1]BC_ ĐG LX'!N$3,[1]DATA!$AW:$AW,0)),"")</f>
        <v>6.8400000000000007</v>
      </c>
      <c r="O38" s="19">
        <f>IFERROR(INDEX([1]DATA!$AH:$AH,MATCH('[1]BC_ ĐG LX'!$C38&amp;'[1]BC_ ĐG LX'!O$3,[1]DATA!$AW:$AW,0)),"")</f>
        <v>9.82</v>
      </c>
      <c r="P38" s="19">
        <f>IFERROR(INDEX([1]DATA!$AH:$AH,MATCH('[1]BC_ ĐG LX'!$C38&amp;'[1]BC_ ĐG LX'!P$3,[1]DATA!$AW:$AW,0)),"")</f>
        <v>9.82</v>
      </c>
      <c r="Q38" s="19">
        <f>IFERROR(INDEX([1]DATA!$AH:$AH,MATCH('[1]BC_ ĐG LX'!$C38&amp;'[1]BC_ ĐG LX'!Q$3,[1]DATA!$AW:$AW,0)),"")</f>
        <v>9.6199999999999992</v>
      </c>
      <c r="R38" s="19">
        <f>IFERROR(INDEX([1]DATA!$AH:$AH,MATCH('[1]BC_ ĐG LX'!$C38&amp;'[1]BC_ ĐG LX'!R$3,[1]DATA!$AW:$AW,0)),"")</f>
        <v>9.82</v>
      </c>
      <c r="S38" s="19">
        <f>IFERROR(INDEX([1]DATA!$AH:$AH,MATCH('[1]BC_ ĐG LX'!$C38&amp;'[1]BC_ ĐG LX'!S$3,[1]DATA!$AW:$AW,0)),"")</f>
        <v>9.82</v>
      </c>
      <c r="T38" s="19">
        <f>IFERROR(INDEX([1]DATA!$AH:$AH,MATCH('[1]BC_ ĐG LX'!$C38&amp;'[1]BC_ ĐG LX'!T$3,[1]DATA!$AW:$AW,0)),"")</f>
        <v>9.6199999999999992</v>
      </c>
      <c r="U38" s="19">
        <f>IFERROR(INDEX([1]DATA!$AH:$AH,MATCH('[1]BC_ ĐG LX'!$C38&amp;'[1]BC_ ĐG LX'!U$3,[1]DATA!$AW:$AW,0)),"")</f>
        <v>9.82</v>
      </c>
      <c r="V38" s="19">
        <f>IFERROR(INDEX([1]DATA!$AH:$AH,MATCH('[1]BC_ ĐG LX'!$C38&amp;'[1]BC_ ĐG LX'!V$3,[1]DATA!$AW:$AW,0)),"")</f>
        <v>9.82</v>
      </c>
      <c r="W38" s="19">
        <f>IFERROR(INDEX([1]DATA!$AH:$AH,MATCH('[1]BC_ ĐG LX'!$C38&amp;'[1]BC_ ĐG LX'!W$3,[1]DATA!$AW:$AW,0)),"")</f>
        <v>9.82</v>
      </c>
      <c r="X38" s="19">
        <f>IFERROR(INDEX([1]DATA!$AH:$AH,MATCH('[1]BC_ ĐG LX'!$C38&amp;'[1]BC_ ĐG LX'!X$3,[1]DATA!$AW:$AW,0)),"")</f>
        <v>9.82</v>
      </c>
      <c r="Y38" s="19">
        <f>IFERROR(INDEX([1]DATA!$AH:$AH,MATCH('[1]BC_ ĐG LX'!$C38&amp;'[1]BC_ ĐG LX'!Y$3,[1]DATA!$AW:$AW,0)),"")</f>
        <v>9.82</v>
      </c>
      <c r="Z38" s="19">
        <f>IFERROR(INDEX([1]DATA!$AH:$AH,MATCH('[1]BC_ ĐG LX'!$C38&amp;'[1]BC_ ĐG LX'!Z$3,[1]DATA!$AW:$AW,0)),"")</f>
        <v>9.42</v>
      </c>
      <c r="AA38" s="19">
        <f>IFERROR(INDEX([1]DATA!$AH:$AH,MATCH('[1]BC_ ĐG LX'!$C38&amp;'[1]BC_ ĐG LX'!AA$3,[1]DATA!$AW:$AW,0)),"")</f>
        <v>9.82</v>
      </c>
      <c r="AB38" s="19">
        <f>IFERROR(INDEX([1]DATA!$AH:$AH,MATCH('[1]BC_ ĐG LX'!$C38&amp;'[1]BC_ ĐG LX'!AB$3,[1]DATA!$AW:$AW,0)),"")</f>
        <v>9.82</v>
      </c>
      <c r="AC38" s="19">
        <f>IFERROR(INDEX([1]DATA!$AH:$AH,MATCH('[1]BC_ ĐG LX'!$C38&amp;'[1]BC_ ĐG LX'!AC$3,[1]DATA!$AW:$AW,0)),"")</f>
        <v>9.82</v>
      </c>
      <c r="AD38" s="19">
        <f>IFERROR(INDEX([1]DATA!$AH:$AH,MATCH('[1]BC_ ĐG LX'!$C38&amp;'[1]BC_ ĐG LX'!AD$3,[1]DATA!$AW:$AW,0)),"")</f>
        <v>9.82</v>
      </c>
      <c r="AE38" s="19">
        <f>IFERROR(INDEX([1]DATA!$AH:$AH,MATCH('[1]BC_ ĐG LX'!$C38&amp;'[1]BC_ ĐG LX'!AE$3,[1]DATA!$AW:$AW,0)),"")</f>
        <v>9.42</v>
      </c>
      <c r="AF38" s="19" t="str">
        <f>IFERROR(INDEX([1]DATA!$AH:$AH,MATCH('[1]BC_ ĐG LX'!$C38&amp;'[1]BC_ ĐG LX'!AF$3,[1]DATA!$AW:$AW,0)),"")</f>
        <v/>
      </c>
      <c r="AG38" s="19" t="str">
        <f>IFERROR(INDEX([1]DATA!$AH:$AH,MATCH('[1]BC_ ĐG LX'!$C38&amp;'[1]BC_ ĐG LX'!AG$3,[1]DATA!$AW:$AW,0)),"")</f>
        <v/>
      </c>
      <c r="AH38" s="19" t="str">
        <f>IFERROR(INDEX([1]DATA!$AH:$AH,MATCH('[1]BC_ ĐG LX'!$C38&amp;'[1]BC_ ĐG LX'!AH$3,[1]DATA!$AW:$AW,0)),"")</f>
        <v/>
      </c>
      <c r="AI38" s="19" t="str">
        <f>IFERROR(INDEX([1]DATA!$AH:$AH,MATCH('[1]BC_ ĐG LX'!$C38&amp;'[1]BC_ ĐG LX'!AI$3,[1]DATA!$AW:$AW,0)),"")</f>
        <v/>
      </c>
      <c r="AJ38" s="19" t="str">
        <f>IFERROR(INDEX([1]DATA!$AH:$AH,MATCH('[1]BC_ ĐG LX'!$C38&amp;'[1]BC_ ĐG LX'!AJ$3,[1]DATA!$AW:$AW,0)),"")</f>
        <v/>
      </c>
      <c r="AK38" s="26">
        <f t="shared" si="2"/>
        <v>9.6</v>
      </c>
      <c r="AL38" s="21"/>
      <c r="AM38" s="22">
        <f t="shared" si="3"/>
        <v>25</v>
      </c>
      <c r="AN38" s="22" t="str">
        <f>_xlfn.XLOOKUP(B38,[1]DATA!AF:AF,[1]DATA!AX:AX)</f>
        <v>Linh</v>
      </c>
      <c r="AO38"/>
    </row>
    <row r="39" spans="1:41" s="22" customFormat="1" ht="14.25" customHeight="1">
      <c r="A39" s="16">
        <f>SUBTOTAL(3,$D$33:D39)</f>
        <v>7</v>
      </c>
      <c r="B39" s="16" t="str">
        <f>_xlfn.XLOOKUP(C39,[1]DATA!D:D,[1]DATA!AF:AF)</f>
        <v>XE00043</v>
      </c>
      <c r="C39" s="18" t="s">
        <v>58</v>
      </c>
      <c r="D39" s="16" t="s">
        <v>19</v>
      </c>
      <c r="E39" s="18" t="s">
        <v>17</v>
      </c>
      <c r="F39" s="18" t="s">
        <v>18</v>
      </c>
      <c r="G39" s="19">
        <f>IFERROR(INDEX([1]DATA!$AH:$AH,MATCH('[1]BC_ ĐG LX'!$C39&amp;'[1]BC_ ĐG LX'!G$3,[1]DATA!$AW:$AW,0)),"")</f>
        <v>9.82</v>
      </c>
      <c r="H39" s="19">
        <f>IFERROR(INDEX([1]DATA!$AH:$AH,MATCH('[1]BC_ ĐG LX'!$C39&amp;'[1]BC_ ĐG LX'!H$3,[1]DATA!$AW:$AW,0)),"")</f>
        <v>9.82</v>
      </c>
      <c r="I39" s="19">
        <f>IFERROR(INDEX([1]DATA!$AH:$AH,MATCH('[1]BC_ ĐG LX'!$C39&amp;'[1]BC_ ĐG LX'!I$3,[1]DATA!$AW:$AW,0)),"")</f>
        <v>9.42</v>
      </c>
      <c r="J39" s="19">
        <f>IFERROR(INDEX([1]DATA!$AH:$AH,MATCH('[1]BC_ ĐG LX'!$C39&amp;'[1]BC_ ĐG LX'!J$3,[1]DATA!$AW:$AW,0)),"")</f>
        <v>9.82</v>
      </c>
      <c r="K39" s="19">
        <f>IFERROR(INDEX([1]DATA!$AH:$AH,MATCH('[1]BC_ ĐG LX'!$C39&amp;'[1]BC_ ĐG LX'!K$3,[1]DATA!$AW:$AW,0)),"")</f>
        <v>9.82</v>
      </c>
      <c r="L39" s="19">
        <f>IFERROR(INDEX([1]DATA!$AH:$AH,MATCH('[1]BC_ ĐG LX'!$C39&amp;'[1]BC_ ĐG LX'!L$3,[1]DATA!$AW:$AW,0)),"")</f>
        <v>9.64</v>
      </c>
      <c r="M39" s="19">
        <f>IFERROR(INDEX([1]DATA!$AH:$AH,MATCH('[1]BC_ ĐG LX'!$C39&amp;'[1]BC_ ĐG LX'!M$3,[1]DATA!$AW:$AW,0)),"")</f>
        <v>9.82</v>
      </c>
      <c r="N39" s="19">
        <f>IFERROR(INDEX([1]DATA!$AH:$AH,MATCH('[1]BC_ ĐG LX'!$C39&amp;'[1]BC_ ĐG LX'!N$3,[1]DATA!$AW:$AW,0)),"")</f>
        <v>9.42</v>
      </c>
      <c r="O39" s="19">
        <f>IFERROR(INDEX([1]DATA!$AH:$AH,MATCH('[1]BC_ ĐG LX'!$C39&amp;'[1]BC_ ĐG LX'!O$3,[1]DATA!$AW:$AW,0)),"")</f>
        <v>9.82</v>
      </c>
      <c r="P39" s="19">
        <f>IFERROR(INDEX([1]DATA!$AH:$AH,MATCH('[1]BC_ ĐG LX'!$C39&amp;'[1]BC_ ĐG LX'!P$3,[1]DATA!$AW:$AW,0)),"")</f>
        <v>9.82</v>
      </c>
      <c r="Q39" s="19">
        <f>IFERROR(INDEX([1]DATA!$AH:$AH,MATCH('[1]BC_ ĐG LX'!$C39&amp;'[1]BC_ ĐG LX'!Q$3,[1]DATA!$AW:$AW,0)),"")</f>
        <v>9.82</v>
      </c>
      <c r="R39" s="19">
        <f>IFERROR(INDEX([1]DATA!$AH:$AH,MATCH('[1]BC_ ĐG LX'!$C39&amp;'[1]BC_ ĐG LX'!R$3,[1]DATA!$AW:$AW,0)),"")</f>
        <v>9.82</v>
      </c>
      <c r="S39" s="19">
        <f>IFERROR(INDEX([1]DATA!$AH:$AH,MATCH('[1]BC_ ĐG LX'!$C39&amp;'[1]BC_ ĐG LX'!S$3,[1]DATA!$AW:$AW,0)),"")</f>
        <v>9.0399999999999991</v>
      </c>
      <c r="T39" s="19">
        <f>IFERROR(INDEX([1]DATA!$AH:$AH,MATCH('[1]BC_ ĐG LX'!$C39&amp;'[1]BC_ ĐG LX'!T$3,[1]DATA!$AW:$AW,0)),"")</f>
        <v>9.42</v>
      </c>
      <c r="U39" s="19">
        <f>IFERROR(INDEX([1]DATA!$AH:$AH,MATCH('[1]BC_ ĐG LX'!$C39&amp;'[1]BC_ ĐG LX'!U$3,[1]DATA!$AW:$AW,0)),"")</f>
        <v>8.82</v>
      </c>
      <c r="V39" s="19">
        <f>IFERROR(INDEX([1]DATA!$AH:$AH,MATCH('[1]BC_ ĐG LX'!$C39&amp;'[1]BC_ ĐG LX'!V$3,[1]DATA!$AW:$AW,0)),"")</f>
        <v>8.44</v>
      </c>
      <c r="W39" s="19">
        <f>IFERROR(INDEX([1]DATA!$AH:$AH,MATCH('[1]BC_ ĐG LX'!$C39&amp;'[1]BC_ ĐG LX'!W$3,[1]DATA!$AW:$AW,0)),"")</f>
        <v>9.42</v>
      </c>
      <c r="X39" s="19">
        <f>IFERROR(INDEX([1]DATA!$AH:$AH,MATCH('[1]BC_ ĐG LX'!$C39&amp;'[1]BC_ ĐG LX'!X$3,[1]DATA!$AW:$AW,0)),"")</f>
        <v>9.24</v>
      </c>
      <c r="Y39" s="19">
        <f>IFERROR(INDEX([1]DATA!$AH:$AH,MATCH('[1]BC_ ĐG LX'!$C39&amp;'[1]BC_ ĐG LX'!Y$3,[1]DATA!$AW:$AW,0)),"")</f>
        <v>9.02</v>
      </c>
      <c r="Z39" s="19">
        <f>IFERROR(INDEX([1]DATA!$AH:$AH,MATCH('[1]BC_ ĐG LX'!$C39&amp;'[1]BC_ ĐG LX'!Z$3,[1]DATA!$AW:$AW,0)),"")</f>
        <v>9.42</v>
      </c>
      <c r="AA39" s="19">
        <f>IFERROR(INDEX([1]DATA!$AH:$AH,MATCH('[1]BC_ ĐG LX'!$C39&amp;'[1]BC_ ĐG LX'!AA$3,[1]DATA!$AW:$AW,0)),"")</f>
        <v>9.64</v>
      </c>
      <c r="AB39" s="19">
        <f>IFERROR(INDEX([1]DATA!$AH:$AH,MATCH('[1]BC_ ĐG LX'!$C39&amp;'[1]BC_ ĐG LX'!AB$3,[1]DATA!$AW:$AW,0)),"")</f>
        <v>9.42</v>
      </c>
      <c r="AC39" s="19">
        <f>IFERROR(INDEX([1]DATA!$AH:$AH,MATCH('[1]BC_ ĐG LX'!$C39&amp;'[1]BC_ ĐG LX'!AC$3,[1]DATA!$AW:$AW,0)),"")</f>
        <v>9.42</v>
      </c>
      <c r="AD39" s="19">
        <f>IFERROR(INDEX([1]DATA!$AH:$AH,MATCH('[1]BC_ ĐG LX'!$C39&amp;'[1]BC_ ĐG LX'!AD$3,[1]DATA!$AW:$AW,0)),"")</f>
        <v>9.42</v>
      </c>
      <c r="AE39" s="19">
        <f>IFERROR(INDEX([1]DATA!$AH:$AH,MATCH('[1]BC_ ĐG LX'!$C39&amp;'[1]BC_ ĐG LX'!AE$3,[1]DATA!$AW:$AW,0)),"")</f>
        <v>8.84</v>
      </c>
      <c r="AF39" s="19" t="str">
        <f>IFERROR(INDEX([1]DATA!$AH:$AH,MATCH('[1]BC_ ĐG LX'!$C39&amp;'[1]BC_ ĐG LX'!AF$3,[1]DATA!$AW:$AW,0)),"")</f>
        <v/>
      </c>
      <c r="AG39" s="19" t="str">
        <f>IFERROR(INDEX([1]DATA!$AH:$AH,MATCH('[1]BC_ ĐG LX'!$C39&amp;'[1]BC_ ĐG LX'!AG$3,[1]DATA!$AW:$AW,0)),"")</f>
        <v/>
      </c>
      <c r="AH39" s="19" t="str">
        <f>IFERROR(INDEX([1]DATA!$AH:$AH,MATCH('[1]BC_ ĐG LX'!$C39&amp;'[1]BC_ ĐG LX'!AH$3,[1]DATA!$AW:$AW,0)),"")</f>
        <v/>
      </c>
      <c r="AI39" s="19" t="str">
        <f>IFERROR(INDEX([1]DATA!$AH:$AH,MATCH('[1]BC_ ĐG LX'!$C39&amp;'[1]BC_ ĐG LX'!AI$3,[1]DATA!$AW:$AW,0)),"")</f>
        <v/>
      </c>
      <c r="AJ39" s="19" t="str">
        <f>IFERROR(INDEX([1]DATA!$AH:$AH,MATCH('[1]BC_ ĐG LX'!$C39&amp;'[1]BC_ ĐG LX'!AJ$3,[1]DATA!$AW:$AW,0)),"")</f>
        <v/>
      </c>
      <c r="AK39" s="26">
        <f t="shared" si="2"/>
        <v>9.5</v>
      </c>
      <c r="AL39" s="21"/>
      <c r="AM39" s="22">
        <f t="shared" si="3"/>
        <v>25</v>
      </c>
      <c r="AN39" s="22" t="str">
        <f>_xlfn.XLOOKUP(B39,[1]DATA!AF:AF,[1]DATA!AX:AX)</f>
        <v>Linh</v>
      </c>
      <c r="AO39"/>
    </row>
    <row r="40" spans="1:41" s="22" customFormat="1" ht="14.25" customHeight="1">
      <c r="A40" s="16">
        <f>SUBTOTAL(3,$D$33:D40)</f>
        <v>8</v>
      </c>
      <c r="B40" s="16" t="str">
        <f>_xlfn.XLOOKUP(C40,[1]DATA!D:D,[1]DATA!AF:AF)</f>
        <v>XE00070</v>
      </c>
      <c r="C40" s="18" t="s">
        <v>59</v>
      </c>
      <c r="D40" s="16" t="s">
        <v>19</v>
      </c>
      <c r="E40" s="18" t="s">
        <v>17</v>
      </c>
      <c r="F40" s="18" t="s">
        <v>18</v>
      </c>
      <c r="G40" s="19">
        <f>IFERROR(INDEX([1]DATA!$AH:$AH,MATCH('[1]BC_ ĐG LX'!$C40&amp;'[1]BC_ ĐG LX'!G$3,[1]DATA!$AW:$AW,0)),"")</f>
        <v>9.42</v>
      </c>
      <c r="H40" s="19">
        <f>IFERROR(INDEX([1]DATA!$AH:$AH,MATCH('[1]BC_ ĐG LX'!$C40&amp;'[1]BC_ ĐG LX'!H$3,[1]DATA!$AW:$AW,0)),"")</f>
        <v>9.42</v>
      </c>
      <c r="I40" s="19">
        <f>IFERROR(INDEX([1]DATA!$AH:$AH,MATCH('[1]BC_ ĐG LX'!$C40&amp;'[1]BC_ ĐG LX'!I$3,[1]DATA!$AW:$AW,0)),"")</f>
        <v>9.02</v>
      </c>
      <c r="J40" s="19">
        <f>IFERROR(INDEX([1]DATA!$AH:$AH,MATCH('[1]BC_ ĐG LX'!$C40&amp;'[1]BC_ ĐG LX'!J$3,[1]DATA!$AW:$AW,0)),"")</f>
        <v>9.82</v>
      </c>
      <c r="K40" s="19">
        <f>IFERROR(INDEX([1]DATA!$AH:$AH,MATCH('[1]BC_ ĐG LX'!$C40&amp;'[1]BC_ ĐG LX'!K$3,[1]DATA!$AW:$AW,0)),"")</f>
        <v>9.6199999999999992</v>
      </c>
      <c r="L40" s="19">
        <f>IFERROR(INDEX([1]DATA!$AH:$AH,MATCH('[1]BC_ ĐG LX'!$C40&amp;'[1]BC_ ĐG LX'!L$3,[1]DATA!$AW:$AW,0)),"")</f>
        <v>8.0400000000000009</v>
      </c>
      <c r="M40" s="19">
        <f>IFERROR(INDEX([1]DATA!$AH:$AH,MATCH('[1]BC_ ĐG LX'!$C40&amp;'[1]BC_ ĐG LX'!M$3,[1]DATA!$AW:$AW,0)),"")</f>
        <v>9.42</v>
      </c>
      <c r="N40" s="19">
        <f>IFERROR(INDEX([1]DATA!$AH:$AH,MATCH('[1]BC_ ĐG LX'!$C40&amp;'[1]BC_ ĐG LX'!N$3,[1]DATA!$AW:$AW,0)),"")</f>
        <v>8.84</v>
      </c>
      <c r="O40" s="19">
        <f>IFERROR(INDEX([1]DATA!$AH:$AH,MATCH('[1]BC_ ĐG LX'!$C40&amp;'[1]BC_ ĐG LX'!O$3,[1]DATA!$AW:$AW,0)),"")</f>
        <v>8.84</v>
      </c>
      <c r="P40" s="19">
        <f>IFERROR(INDEX([1]DATA!$AH:$AH,MATCH('[1]BC_ ĐG LX'!$C40&amp;'[1]BC_ ĐG LX'!P$3,[1]DATA!$AW:$AW,0)),"")</f>
        <v>9.82</v>
      </c>
      <c r="Q40" s="19">
        <f>IFERROR(INDEX([1]DATA!$AH:$AH,MATCH('[1]BC_ ĐG LX'!$C40&amp;'[1]BC_ ĐG LX'!Q$3,[1]DATA!$AW:$AW,0)),"")</f>
        <v>9.82</v>
      </c>
      <c r="R40" s="19">
        <f>IFERROR(INDEX([1]DATA!$AH:$AH,MATCH('[1]BC_ ĐG LX'!$C40&amp;'[1]BC_ ĐG LX'!R$3,[1]DATA!$AW:$AW,0)),"")</f>
        <v>9.82</v>
      </c>
      <c r="S40" s="19">
        <f>IFERROR(INDEX([1]DATA!$AH:$AH,MATCH('[1]BC_ ĐG LX'!$C40&amp;'[1]BC_ ĐG LX'!S$3,[1]DATA!$AW:$AW,0)),"")</f>
        <v>9.42</v>
      </c>
      <c r="T40" s="19">
        <f>IFERROR(INDEX([1]DATA!$AH:$AH,MATCH('[1]BC_ ĐG LX'!$C40&amp;'[1]BC_ ĐG LX'!T$3,[1]DATA!$AW:$AW,0)),"")</f>
        <v>9.42</v>
      </c>
      <c r="U40" s="19">
        <f>IFERROR(INDEX([1]DATA!$AH:$AH,MATCH('[1]BC_ ĐG LX'!$C40&amp;'[1]BC_ ĐG LX'!U$3,[1]DATA!$AW:$AW,0)),"")</f>
        <v>9.82</v>
      </c>
      <c r="V40" s="19">
        <f>IFERROR(INDEX([1]DATA!$AH:$AH,MATCH('[1]BC_ ĐG LX'!$C40&amp;'[1]BC_ ĐG LX'!V$3,[1]DATA!$AW:$AW,0)),"")</f>
        <v>9.02</v>
      </c>
      <c r="W40" s="19">
        <f>IFERROR(INDEX([1]DATA!$AH:$AH,MATCH('[1]BC_ ĐG LX'!$C40&amp;'[1]BC_ ĐG LX'!W$3,[1]DATA!$AW:$AW,0)),"")</f>
        <v>9.82</v>
      </c>
      <c r="X40" s="19">
        <f>IFERROR(INDEX([1]DATA!$AH:$AH,MATCH('[1]BC_ ĐG LX'!$C40&amp;'[1]BC_ ĐG LX'!X$3,[1]DATA!$AW:$AW,0)),"")</f>
        <v>8.2200000000000006</v>
      </c>
      <c r="Y40" s="19">
        <f>IFERROR(INDEX([1]DATA!$AH:$AH,MATCH('[1]BC_ ĐG LX'!$C40&amp;'[1]BC_ ĐG LX'!Y$3,[1]DATA!$AW:$AW,0)),"")</f>
        <v>9.2199999999999989</v>
      </c>
      <c r="Z40" s="19">
        <f>IFERROR(INDEX([1]DATA!$AH:$AH,MATCH('[1]BC_ ĐG LX'!$C40&amp;'[1]BC_ ĐG LX'!Z$3,[1]DATA!$AW:$AW,0)),"")</f>
        <v>9.82</v>
      </c>
      <c r="AA40" s="19">
        <f>IFERROR(INDEX([1]DATA!$AH:$AH,MATCH('[1]BC_ ĐG LX'!$C40&amp;'[1]BC_ ĐG LX'!AA$3,[1]DATA!$AW:$AW,0)),"")</f>
        <v>9.02</v>
      </c>
      <c r="AB40" s="19">
        <f>IFERROR(INDEX([1]DATA!$AH:$AH,MATCH('[1]BC_ ĐG LX'!$C40&amp;'[1]BC_ ĐG LX'!AB$3,[1]DATA!$AW:$AW,0)),"")</f>
        <v>8.84</v>
      </c>
      <c r="AC40" s="19">
        <f>IFERROR(INDEX([1]DATA!$AH:$AH,MATCH('[1]BC_ ĐG LX'!$C40&amp;'[1]BC_ ĐG LX'!AC$3,[1]DATA!$AW:$AW,0)),"")</f>
        <v>9.82</v>
      </c>
      <c r="AD40" s="19">
        <f>IFERROR(INDEX([1]DATA!$AH:$AH,MATCH('[1]BC_ ĐG LX'!$C40&amp;'[1]BC_ ĐG LX'!AD$3,[1]DATA!$AW:$AW,0)),"")</f>
        <v>9.82</v>
      </c>
      <c r="AE40" s="19">
        <f>IFERROR(INDEX([1]DATA!$AH:$AH,MATCH('[1]BC_ ĐG LX'!$C40&amp;'[1]BC_ ĐG LX'!AE$3,[1]DATA!$AW:$AW,0)),"")</f>
        <v>9.82</v>
      </c>
      <c r="AF40" s="19" t="str">
        <f>IFERROR(INDEX([1]DATA!$AH:$AH,MATCH('[1]BC_ ĐG LX'!$C40&amp;'[1]BC_ ĐG LX'!AF$3,[1]DATA!$AW:$AW,0)),"")</f>
        <v/>
      </c>
      <c r="AG40" s="19" t="str">
        <f>IFERROR(INDEX([1]DATA!$AH:$AH,MATCH('[1]BC_ ĐG LX'!$C40&amp;'[1]BC_ ĐG LX'!AG$3,[1]DATA!$AW:$AW,0)),"")</f>
        <v/>
      </c>
      <c r="AH40" s="19" t="str">
        <f>IFERROR(INDEX([1]DATA!$AH:$AH,MATCH('[1]BC_ ĐG LX'!$C40&amp;'[1]BC_ ĐG LX'!AH$3,[1]DATA!$AW:$AW,0)),"")</f>
        <v/>
      </c>
      <c r="AI40" s="19" t="str">
        <f>IFERROR(INDEX([1]DATA!$AH:$AH,MATCH('[1]BC_ ĐG LX'!$C40&amp;'[1]BC_ ĐG LX'!AI$3,[1]DATA!$AW:$AW,0)),"")</f>
        <v/>
      </c>
      <c r="AJ40" s="19" t="str">
        <f>IFERROR(INDEX([1]DATA!$AH:$AH,MATCH('[1]BC_ ĐG LX'!$C40&amp;'[1]BC_ ĐG LX'!AJ$3,[1]DATA!$AW:$AW,0)),"")</f>
        <v/>
      </c>
      <c r="AK40" s="26">
        <f t="shared" si="2"/>
        <v>9.4</v>
      </c>
      <c r="AL40" s="21"/>
      <c r="AM40" s="22">
        <f t="shared" si="3"/>
        <v>25</v>
      </c>
      <c r="AN40" s="22" t="str">
        <f>_xlfn.XLOOKUP(B40,[1]DATA!AF:AF,[1]DATA!AX:AX)</f>
        <v>Linh</v>
      </c>
      <c r="AO40"/>
    </row>
    <row r="41" spans="1:41" s="22" customFormat="1" ht="14.25" customHeight="1">
      <c r="A41" s="16">
        <f>SUBTOTAL(3,$D$33:D41)</f>
        <v>9</v>
      </c>
      <c r="B41" s="16" t="str">
        <f>_xlfn.XLOOKUP(C41,[1]DATA!D:D,[1]DATA!AF:AF)</f>
        <v>XE00077</v>
      </c>
      <c r="C41" s="18" t="s">
        <v>60</v>
      </c>
      <c r="D41" s="16" t="s">
        <v>19</v>
      </c>
      <c r="E41" s="18" t="s">
        <v>17</v>
      </c>
      <c r="F41" s="18" t="s">
        <v>18</v>
      </c>
      <c r="G41" s="19">
        <f>IFERROR(INDEX([1]DATA!$AH:$AH,MATCH('[1]BC_ ĐG LX'!$C41&amp;'[1]BC_ ĐG LX'!G$3,[1]DATA!$AW:$AW,0)),"")</f>
        <v>9.82</v>
      </c>
      <c r="H41" s="19">
        <f>IFERROR(INDEX([1]DATA!$AH:$AH,MATCH('[1]BC_ ĐG LX'!$C41&amp;'[1]BC_ ĐG LX'!H$3,[1]DATA!$AW:$AW,0)),"")</f>
        <v>9.42</v>
      </c>
      <c r="I41" s="19">
        <f>IFERROR(INDEX([1]DATA!$AH:$AH,MATCH('[1]BC_ ĐG LX'!$C41&amp;'[1]BC_ ĐG LX'!I$3,[1]DATA!$AW:$AW,0)),"")</f>
        <v>9.2199999999999989</v>
      </c>
      <c r="J41" s="19">
        <f>IFERROR(INDEX([1]DATA!$AH:$AH,MATCH('[1]BC_ ĐG LX'!$C41&amp;'[1]BC_ ĐG LX'!J$3,[1]DATA!$AW:$AW,0)),"")</f>
        <v>9.82</v>
      </c>
      <c r="K41" s="19">
        <f>IFERROR(INDEX([1]DATA!$AH:$AH,MATCH('[1]BC_ ĐG LX'!$C41&amp;'[1]BC_ ĐG LX'!K$3,[1]DATA!$AW:$AW,0)),"")</f>
        <v>9.42</v>
      </c>
      <c r="L41" s="19">
        <f>IFERROR(INDEX([1]DATA!$AH:$AH,MATCH('[1]BC_ ĐG LX'!$C41&amp;'[1]BC_ ĐG LX'!L$3,[1]DATA!$AW:$AW,0)),"")</f>
        <v>9.82</v>
      </c>
      <c r="M41" s="19">
        <f>IFERROR(INDEX([1]DATA!$AH:$AH,MATCH('[1]BC_ ĐG LX'!$C41&amp;'[1]BC_ ĐG LX'!M$3,[1]DATA!$AW:$AW,0)),"")</f>
        <v>9.6199999999999992</v>
      </c>
      <c r="N41" s="19">
        <f>IFERROR(INDEX([1]DATA!$AH:$AH,MATCH('[1]BC_ ĐG LX'!$C41&amp;'[1]BC_ ĐG LX'!N$3,[1]DATA!$AW:$AW,0)),"")</f>
        <v>9.82</v>
      </c>
      <c r="O41" s="19">
        <f>IFERROR(INDEX([1]DATA!$AH:$AH,MATCH('[1]BC_ ĐG LX'!$C41&amp;'[1]BC_ ĐG LX'!O$3,[1]DATA!$AW:$AW,0)),"")</f>
        <v>9.24</v>
      </c>
      <c r="P41" s="19">
        <f>IFERROR(INDEX([1]DATA!$AH:$AH,MATCH('[1]BC_ ĐG LX'!$C41&amp;'[1]BC_ ĐG LX'!P$3,[1]DATA!$AW:$AW,0)),"")</f>
        <v>9.82</v>
      </c>
      <c r="Q41" s="19">
        <f>IFERROR(INDEX([1]DATA!$AH:$AH,MATCH('[1]BC_ ĐG LX'!$C41&amp;'[1]BC_ ĐG LX'!Q$3,[1]DATA!$AW:$AW,0)),"")</f>
        <v>9.82</v>
      </c>
      <c r="R41" s="19">
        <f>IFERROR(INDEX([1]DATA!$AH:$AH,MATCH('[1]BC_ ĐG LX'!$C41&amp;'[1]BC_ ĐG LX'!R$3,[1]DATA!$AW:$AW,0)),"")</f>
        <v>9.42</v>
      </c>
      <c r="S41" s="19">
        <f>IFERROR(INDEX([1]DATA!$AH:$AH,MATCH('[1]BC_ ĐG LX'!$C41&amp;'[1]BC_ ĐG LX'!S$3,[1]DATA!$AW:$AW,0)),"")</f>
        <v>9.8000000000000007</v>
      </c>
      <c r="T41" s="19">
        <f>IFERROR(INDEX([1]DATA!$AH:$AH,MATCH('[1]BC_ ĐG LX'!$C41&amp;'[1]BC_ ĐG LX'!T$3,[1]DATA!$AW:$AW,0)),"")</f>
        <v>9.82</v>
      </c>
      <c r="U41" s="19">
        <f>IFERROR(INDEX([1]DATA!$AH:$AH,MATCH('[1]BC_ ĐG LX'!$C41&amp;'[1]BC_ ĐG LX'!U$3,[1]DATA!$AW:$AW,0)),"")</f>
        <v>9.82</v>
      </c>
      <c r="V41" s="19">
        <f>IFERROR(INDEX([1]DATA!$AH:$AH,MATCH('[1]BC_ ĐG LX'!$C41&amp;'[1]BC_ ĐG LX'!V$3,[1]DATA!$AW:$AW,0)),"")</f>
        <v>9.82</v>
      </c>
      <c r="W41" s="19">
        <f>IFERROR(INDEX([1]DATA!$AH:$AH,MATCH('[1]BC_ ĐG LX'!$C41&amp;'[1]BC_ ĐG LX'!W$3,[1]DATA!$AW:$AW,0)),"")</f>
        <v>9.02</v>
      </c>
      <c r="X41" s="19">
        <f>IFERROR(INDEX([1]DATA!$AH:$AH,MATCH('[1]BC_ ĐG LX'!$C41&amp;'[1]BC_ ĐG LX'!X$3,[1]DATA!$AW:$AW,0)),"")</f>
        <v>7.82</v>
      </c>
      <c r="Y41" s="19">
        <f>IFERROR(INDEX([1]DATA!$AH:$AH,MATCH('[1]BC_ ĐG LX'!$C41&amp;'[1]BC_ ĐG LX'!Y$3,[1]DATA!$AW:$AW,0)),"")</f>
        <v>9.42</v>
      </c>
      <c r="Z41" s="19">
        <f>IFERROR(INDEX([1]DATA!$AH:$AH,MATCH('[1]BC_ ĐG LX'!$C41&amp;'[1]BC_ ĐG LX'!Z$3,[1]DATA!$AW:$AW,0)),"")</f>
        <v>9.6199999999999992</v>
      </c>
      <c r="AA41" s="19">
        <f>IFERROR(INDEX([1]DATA!$AH:$AH,MATCH('[1]BC_ ĐG LX'!$C41&amp;'[1]BC_ ĐG LX'!AA$3,[1]DATA!$AW:$AW,0)),"")</f>
        <v>9.82</v>
      </c>
      <c r="AB41" s="19">
        <f>IFERROR(INDEX([1]DATA!$AH:$AH,MATCH('[1]BC_ ĐG LX'!$C41&amp;'[1]BC_ ĐG LX'!AB$3,[1]DATA!$AW:$AW,0)),"")</f>
        <v>9.42</v>
      </c>
      <c r="AC41" s="19">
        <f>IFERROR(INDEX([1]DATA!$AH:$AH,MATCH('[1]BC_ ĐG LX'!$C41&amp;'[1]BC_ ĐG LX'!AC$3,[1]DATA!$AW:$AW,0)),"")</f>
        <v>9.82</v>
      </c>
      <c r="AD41" s="19">
        <f>IFERROR(INDEX([1]DATA!$AH:$AH,MATCH('[1]BC_ ĐG LX'!$C41&amp;'[1]BC_ ĐG LX'!AD$3,[1]DATA!$AW:$AW,0)),"")</f>
        <v>9.82</v>
      </c>
      <c r="AE41" s="19">
        <f>IFERROR(INDEX([1]DATA!$AH:$AH,MATCH('[1]BC_ ĐG LX'!$C41&amp;'[1]BC_ ĐG LX'!AE$3,[1]DATA!$AW:$AW,0)),"")</f>
        <v>9.42</v>
      </c>
      <c r="AF41" s="19" t="str">
        <f>IFERROR(INDEX([1]DATA!$AH:$AH,MATCH('[1]BC_ ĐG LX'!$C41&amp;'[1]BC_ ĐG LX'!AF$3,[1]DATA!$AW:$AW,0)),"")</f>
        <v/>
      </c>
      <c r="AG41" s="19" t="str">
        <f>IFERROR(INDEX([1]DATA!$AH:$AH,MATCH('[1]BC_ ĐG LX'!$C41&amp;'[1]BC_ ĐG LX'!AG$3,[1]DATA!$AW:$AW,0)),"")</f>
        <v/>
      </c>
      <c r="AH41" s="19" t="str">
        <f>IFERROR(INDEX([1]DATA!$AH:$AH,MATCH('[1]BC_ ĐG LX'!$C41&amp;'[1]BC_ ĐG LX'!AH$3,[1]DATA!$AW:$AW,0)),"")</f>
        <v/>
      </c>
      <c r="AI41" s="19" t="str">
        <f>IFERROR(INDEX([1]DATA!$AH:$AH,MATCH('[1]BC_ ĐG LX'!$C41&amp;'[1]BC_ ĐG LX'!AI$3,[1]DATA!$AW:$AW,0)),"")</f>
        <v/>
      </c>
      <c r="AJ41" s="19" t="str">
        <f>IFERROR(INDEX([1]DATA!$AH:$AH,MATCH('[1]BC_ ĐG LX'!$C41&amp;'[1]BC_ ĐG LX'!AJ$3,[1]DATA!$AW:$AW,0)),"")</f>
        <v/>
      </c>
      <c r="AK41" s="26">
        <f t="shared" si="2"/>
        <v>9.6</v>
      </c>
      <c r="AL41" s="21"/>
      <c r="AM41" s="22">
        <f t="shared" si="3"/>
        <v>25</v>
      </c>
      <c r="AN41" s="22" t="str">
        <f>_xlfn.XLOOKUP(B41,[1]DATA!AF:AF,[1]DATA!AX:AX)</f>
        <v>Lương</v>
      </c>
      <c r="AO41"/>
    </row>
    <row r="42" spans="1:41" s="22" customFormat="1" ht="14.25" customHeight="1">
      <c r="A42" s="16">
        <f>SUBTOTAL(3,$D$33:D42)</f>
        <v>10</v>
      </c>
      <c r="B42" s="16" t="str">
        <f>_xlfn.XLOOKUP(C42,[1]DATA!D:D,[1]DATA!AF:AF)</f>
        <v>XE00080</v>
      </c>
      <c r="C42" s="18" t="s">
        <v>61</v>
      </c>
      <c r="D42" s="16" t="s">
        <v>19</v>
      </c>
      <c r="E42" s="18" t="s">
        <v>17</v>
      </c>
      <c r="F42" s="18" t="s">
        <v>18</v>
      </c>
      <c r="G42" s="19">
        <f>IFERROR(INDEX([1]DATA!$AH:$AH,MATCH('[1]BC_ ĐG LX'!$C42&amp;'[1]BC_ ĐG LX'!G$3,[1]DATA!$AW:$AW,0)),"")</f>
        <v>8.84</v>
      </c>
      <c r="H42" s="19">
        <f>IFERROR(INDEX([1]DATA!$AH:$AH,MATCH('[1]BC_ ĐG LX'!$C42&amp;'[1]BC_ ĐG LX'!H$3,[1]DATA!$AW:$AW,0)),"")</f>
        <v>9.42</v>
      </c>
      <c r="I42" s="19">
        <f>IFERROR(INDEX([1]DATA!$AH:$AH,MATCH('[1]BC_ ĐG LX'!$C42&amp;'[1]BC_ ĐG LX'!I$3,[1]DATA!$AW:$AW,0)),"")</f>
        <v>9.82</v>
      </c>
      <c r="J42" s="19">
        <f>IFERROR(INDEX([1]DATA!$AH:$AH,MATCH('[1]BC_ ĐG LX'!$C42&amp;'[1]BC_ ĐG LX'!J$3,[1]DATA!$AW:$AW,0)),"")</f>
        <v>9.82</v>
      </c>
      <c r="K42" s="19">
        <f>IFERROR(INDEX([1]DATA!$AH:$AH,MATCH('[1]BC_ ĐG LX'!$C42&amp;'[1]BC_ ĐG LX'!K$3,[1]DATA!$AW:$AW,0)),"")</f>
        <v>9.02</v>
      </c>
      <c r="L42" s="19">
        <f>IFERROR(INDEX([1]DATA!$AH:$AH,MATCH('[1]BC_ ĐG LX'!$C42&amp;'[1]BC_ ĐG LX'!L$3,[1]DATA!$AW:$AW,0)),"")</f>
        <v>9.82</v>
      </c>
      <c r="M42" s="19">
        <f>IFERROR(INDEX([1]DATA!$AH:$AH,MATCH('[1]BC_ ĐG LX'!$C42&amp;'[1]BC_ ĐG LX'!M$3,[1]DATA!$AW:$AW,0)),"")</f>
        <v>9.42</v>
      </c>
      <c r="N42" s="19">
        <f>IFERROR(INDEX([1]DATA!$AH:$AH,MATCH('[1]BC_ ĐG LX'!$C42&amp;'[1]BC_ ĐG LX'!N$3,[1]DATA!$AW:$AW,0)),"")</f>
        <v>9.82</v>
      </c>
      <c r="O42" s="19">
        <f>IFERROR(INDEX([1]DATA!$AH:$AH,MATCH('[1]BC_ ĐG LX'!$C42&amp;'[1]BC_ ĐG LX'!O$3,[1]DATA!$AW:$AW,0)),"")</f>
        <v>8.84</v>
      </c>
      <c r="P42" s="19">
        <f>IFERROR(INDEX([1]DATA!$AH:$AH,MATCH('[1]BC_ ĐG LX'!$C42&amp;'[1]BC_ ĐG LX'!P$3,[1]DATA!$AW:$AW,0)),"")</f>
        <v>9.82</v>
      </c>
      <c r="Q42" s="19">
        <f>IFERROR(INDEX([1]DATA!$AH:$AH,MATCH('[1]BC_ ĐG LX'!$C42&amp;'[1]BC_ ĐG LX'!Q$3,[1]DATA!$AW:$AW,0)),"")</f>
        <v>9.42</v>
      </c>
      <c r="R42" s="19">
        <f>IFERROR(INDEX([1]DATA!$AH:$AH,MATCH('[1]BC_ ĐG LX'!$C42&amp;'[1]BC_ ĐG LX'!R$3,[1]DATA!$AW:$AW,0)),"")</f>
        <v>9.02</v>
      </c>
      <c r="S42" s="19">
        <f>IFERROR(INDEX([1]DATA!$AH:$AH,MATCH('[1]BC_ ĐG LX'!$C42&amp;'[1]BC_ ĐG LX'!S$3,[1]DATA!$AW:$AW,0)),"")</f>
        <v>9.82</v>
      </c>
      <c r="T42" s="19">
        <f>IFERROR(INDEX([1]DATA!$AH:$AH,MATCH('[1]BC_ ĐG LX'!$C42&amp;'[1]BC_ ĐG LX'!T$3,[1]DATA!$AW:$AW,0)),"")</f>
        <v>9.82</v>
      </c>
      <c r="U42" s="19">
        <f>IFERROR(INDEX([1]DATA!$AH:$AH,MATCH('[1]BC_ ĐG LX'!$C42&amp;'[1]BC_ ĐG LX'!U$3,[1]DATA!$AW:$AW,0)),"")</f>
        <v>8.2200000000000006</v>
      </c>
      <c r="V42" s="19">
        <f>IFERROR(INDEX([1]DATA!$AH:$AH,MATCH('[1]BC_ ĐG LX'!$C42&amp;'[1]BC_ ĐG LX'!V$3,[1]DATA!$AW:$AW,0)),"")</f>
        <v>9.82</v>
      </c>
      <c r="W42" s="19">
        <f>IFERROR(INDEX([1]DATA!$AH:$AH,MATCH('[1]BC_ ĐG LX'!$C42&amp;'[1]BC_ ĐG LX'!W$3,[1]DATA!$AW:$AW,0)),"")</f>
        <v>9.82</v>
      </c>
      <c r="X42" s="19">
        <f>IFERROR(INDEX([1]DATA!$AH:$AH,MATCH('[1]BC_ ĐG LX'!$C42&amp;'[1]BC_ ĐG LX'!X$3,[1]DATA!$AW:$AW,0)),"")</f>
        <v>9.42</v>
      </c>
      <c r="Y42" s="19">
        <f>IFERROR(INDEX([1]DATA!$AH:$AH,MATCH('[1]BC_ ĐG LX'!$C42&amp;'[1]BC_ ĐG LX'!Y$3,[1]DATA!$AW:$AW,0)),"")</f>
        <v>9.42</v>
      </c>
      <c r="Z42" s="19">
        <f>IFERROR(INDEX([1]DATA!$AH:$AH,MATCH('[1]BC_ ĐG LX'!$C42&amp;'[1]BC_ ĐG LX'!Z$3,[1]DATA!$AW:$AW,0)),"")</f>
        <v>9.42</v>
      </c>
      <c r="AA42" s="19">
        <f>IFERROR(INDEX([1]DATA!$AH:$AH,MATCH('[1]BC_ ĐG LX'!$C42&amp;'[1]BC_ ĐG LX'!AA$3,[1]DATA!$AW:$AW,0)),"")</f>
        <v>9.82</v>
      </c>
      <c r="AB42" s="19">
        <f>IFERROR(INDEX([1]DATA!$AH:$AH,MATCH('[1]BC_ ĐG LX'!$C42&amp;'[1]BC_ ĐG LX'!AB$3,[1]DATA!$AW:$AW,0)),"")</f>
        <v>9.6199999999999992</v>
      </c>
      <c r="AC42" s="19">
        <f>IFERROR(INDEX([1]DATA!$AH:$AH,MATCH('[1]BC_ ĐG LX'!$C42&amp;'[1]BC_ ĐG LX'!AC$3,[1]DATA!$AW:$AW,0)),"")</f>
        <v>9.42</v>
      </c>
      <c r="AD42" s="19">
        <f>IFERROR(INDEX([1]DATA!$AH:$AH,MATCH('[1]BC_ ĐG LX'!$C42&amp;'[1]BC_ ĐG LX'!AD$3,[1]DATA!$AW:$AW,0)),"")</f>
        <v>9.82</v>
      </c>
      <c r="AE42" s="19">
        <f>IFERROR(INDEX([1]DATA!$AH:$AH,MATCH('[1]BC_ ĐG LX'!$C42&amp;'[1]BC_ ĐG LX'!AE$3,[1]DATA!$AW:$AW,0)),"")</f>
        <v>9.82</v>
      </c>
      <c r="AF42" s="19" t="str">
        <f>IFERROR(INDEX([1]DATA!$AH:$AH,MATCH('[1]BC_ ĐG LX'!$C42&amp;'[1]BC_ ĐG LX'!AF$3,[1]DATA!$AW:$AW,0)),"")</f>
        <v/>
      </c>
      <c r="AG42" s="19" t="str">
        <f>IFERROR(INDEX([1]DATA!$AH:$AH,MATCH('[1]BC_ ĐG LX'!$C42&amp;'[1]BC_ ĐG LX'!AG$3,[1]DATA!$AW:$AW,0)),"")</f>
        <v/>
      </c>
      <c r="AH42" s="19" t="str">
        <f>IFERROR(INDEX([1]DATA!$AH:$AH,MATCH('[1]BC_ ĐG LX'!$C42&amp;'[1]BC_ ĐG LX'!AH$3,[1]DATA!$AW:$AW,0)),"")</f>
        <v/>
      </c>
      <c r="AI42" s="19" t="str">
        <f>IFERROR(INDEX([1]DATA!$AH:$AH,MATCH('[1]BC_ ĐG LX'!$C42&amp;'[1]BC_ ĐG LX'!AI$3,[1]DATA!$AW:$AW,0)),"")</f>
        <v/>
      </c>
      <c r="AJ42" s="19" t="str">
        <f>IFERROR(INDEX([1]DATA!$AH:$AH,MATCH('[1]BC_ ĐG LX'!$C42&amp;'[1]BC_ ĐG LX'!AJ$3,[1]DATA!$AW:$AW,0)),"")</f>
        <v/>
      </c>
      <c r="AK42" s="26">
        <f t="shared" si="2"/>
        <v>9.5</v>
      </c>
      <c r="AL42" s="21"/>
      <c r="AM42" s="22">
        <f t="shared" si="3"/>
        <v>25</v>
      </c>
      <c r="AN42" s="22" t="str">
        <f>_xlfn.XLOOKUP(B42,[1]DATA!AF:AF,[1]DATA!AX:AX)</f>
        <v>Linh</v>
      </c>
      <c r="AO42"/>
    </row>
    <row r="43" spans="1:41" s="22" customFormat="1" ht="14.25" customHeight="1">
      <c r="A43" s="16">
        <f>SUBTOTAL(3,$D$33:D43)</f>
        <v>11</v>
      </c>
      <c r="B43" s="16" t="str">
        <f>_xlfn.XLOOKUP(C43,[1]DATA!D:D,[1]DATA!AF:AF)</f>
        <v>XE00083</v>
      </c>
      <c r="C43" s="18" t="s">
        <v>62</v>
      </c>
      <c r="D43" s="16" t="s">
        <v>19</v>
      </c>
      <c r="E43" s="18" t="s">
        <v>17</v>
      </c>
      <c r="F43" s="18" t="s">
        <v>18</v>
      </c>
      <c r="G43" s="19">
        <f>IFERROR(INDEX([1]DATA!$AH:$AH,MATCH('[1]BC_ ĐG LX'!$C43&amp;'[1]BC_ ĐG LX'!G$3,[1]DATA!$AW:$AW,0)),"")</f>
        <v>8.2200000000000006</v>
      </c>
      <c r="H43" s="19">
        <f>IFERROR(INDEX([1]DATA!$AH:$AH,MATCH('[1]BC_ ĐG LX'!$C43&amp;'[1]BC_ ĐG LX'!H$3,[1]DATA!$AW:$AW,0)),"")</f>
        <v>7.24</v>
      </c>
      <c r="I43" s="19">
        <f>IFERROR(INDEX([1]DATA!$AH:$AH,MATCH('[1]BC_ ĐG LX'!$C43&amp;'[1]BC_ ĐG LX'!I$3,[1]DATA!$AW:$AW,0)),"")</f>
        <v>9.82</v>
      </c>
      <c r="J43" s="19">
        <f>IFERROR(INDEX([1]DATA!$AH:$AH,MATCH('[1]BC_ ĐG LX'!$C43&amp;'[1]BC_ ĐG LX'!J$3,[1]DATA!$AW:$AW,0)),"")</f>
        <v>9.82</v>
      </c>
      <c r="K43" s="19">
        <f>IFERROR(INDEX([1]DATA!$AH:$AH,MATCH('[1]BC_ ĐG LX'!$C43&amp;'[1]BC_ ĐG LX'!K$3,[1]DATA!$AW:$AW,0)),"")</f>
        <v>9.82</v>
      </c>
      <c r="L43" s="19">
        <f>IFERROR(INDEX([1]DATA!$AH:$AH,MATCH('[1]BC_ ĐG LX'!$C43&amp;'[1]BC_ ĐG LX'!L$3,[1]DATA!$AW:$AW,0)),"")</f>
        <v>8.84</v>
      </c>
      <c r="M43" s="19">
        <f>IFERROR(INDEX([1]DATA!$AH:$AH,MATCH('[1]BC_ ĐG LX'!$C43&amp;'[1]BC_ ĐG LX'!M$3,[1]DATA!$AW:$AW,0)),"")</f>
        <v>9.42</v>
      </c>
      <c r="N43" s="19">
        <f>IFERROR(INDEX([1]DATA!$AH:$AH,MATCH('[1]BC_ ĐG LX'!$C43&amp;'[1]BC_ ĐG LX'!N$3,[1]DATA!$AW:$AW,0)),"")</f>
        <v>9.42</v>
      </c>
      <c r="O43" s="19">
        <f>IFERROR(INDEX([1]DATA!$AH:$AH,MATCH('[1]BC_ ĐG LX'!$C43&amp;'[1]BC_ ĐG LX'!O$3,[1]DATA!$AW:$AW,0)),"")</f>
        <v>9.82</v>
      </c>
      <c r="P43" s="19">
        <f>IFERROR(INDEX([1]DATA!$AH:$AH,MATCH('[1]BC_ ĐG LX'!$C43&amp;'[1]BC_ ĐG LX'!P$3,[1]DATA!$AW:$AW,0)),"")</f>
        <v>9.42</v>
      </c>
      <c r="Q43" s="19">
        <f>IFERROR(INDEX([1]DATA!$AH:$AH,MATCH('[1]BC_ ĐG LX'!$C43&amp;'[1]BC_ ĐG LX'!Q$3,[1]DATA!$AW:$AW,0)),"")</f>
        <v>9.82</v>
      </c>
      <c r="R43" s="19">
        <f>IFERROR(INDEX([1]DATA!$AH:$AH,MATCH('[1]BC_ ĐG LX'!$C43&amp;'[1]BC_ ĐG LX'!R$3,[1]DATA!$AW:$AW,0)),"")</f>
        <v>9.6199999999999992</v>
      </c>
      <c r="S43" s="19">
        <f>IFERROR(INDEX([1]DATA!$AH:$AH,MATCH('[1]BC_ ĐG LX'!$C43&amp;'[1]BC_ ĐG LX'!S$3,[1]DATA!$AW:$AW,0)),"")</f>
        <v>9.82</v>
      </c>
      <c r="T43" s="19">
        <f>IFERROR(INDEX([1]DATA!$AH:$AH,MATCH('[1]BC_ ĐG LX'!$C43&amp;'[1]BC_ ĐG LX'!T$3,[1]DATA!$AW:$AW,0)),"")</f>
        <v>9.82</v>
      </c>
      <c r="U43" s="19">
        <f>IFERROR(INDEX([1]DATA!$AH:$AH,MATCH('[1]BC_ ĐG LX'!$C43&amp;'[1]BC_ ĐG LX'!U$3,[1]DATA!$AW:$AW,0)),"")</f>
        <v>9.82</v>
      </c>
      <c r="V43" s="19">
        <f>IFERROR(INDEX([1]DATA!$AH:$AH,MATCH('[1]BC_ ĐG LX'!$C43&amp;'[1]BC_ ĐG LX'!V$3,[1]DATA!$AW:$AW,0)),"")</f>
        <v>9.42</v>
      </c>
      <c r="W43" s="19">
        <f>IFERROR(INDEX([1]DATA!$AH:$AH,MATCH('[1]BC_ ĐG LX'!$C43&amp;'[1]BC_ ĐG LX'!W$3,[1]DATA!$AW:$AW,0)),"")</f>
        <v>9.82</v>
      </c>
      <c r="X43" s="19">
        <f>IFERROR(INDEX([1]DATA!$AH:$AH,MATCH('[1]BC_ ĐG LX'!$C43&amp;'[1]BC_ ĐG LX'!X$3,[1]DATA!$AW:$AW,0)),"")</f>
        <v>9.42</v>
      </c>
      <c r="Y43" s="19">
        <f>IFERROR(INDEX([1]DATA!$AH:$AH,MATCH('[1]BC_ ĐG LX'!$C43&amp;'[1]BC_ ĐG LX'!Y$3,[1]DATA!$AW:$AW,0)),"")</f>
        <v>9.42</v>
      </c>
      <c r="Z43" s="19">
        <f>IFERROR(INDEX([1]DATA!$AH:$AH,MATCH('[1]BC_ ĐG LX'!$C43&amp;'[1]BC_ ĐG LX'!Z$3,[1]DATA!$AW:$AW,0)),"")</f>
        <v>7.24</v>
      </c>
      <c r="AA43" s="19">
        <f>IFERROR(INDEX([1]DATA!$AH:$AH,MATCH('[1]BC_ ĐG LX'!$C43&amp;'[1]BC_ ĐG LX'!AA$3,[1]DATA!$AW:$AW,0)),"")</f>
        <v>9.82</v>
      </c>
      <c r="AB43" s="19">
        <f>IFERROR(INDEX([1]DATA!$AH:$AH,MATCH('[1]BC_ ĐG LX'!$C43&amp;'[1]BC_ ĐG LX'!AB$3,[1]DATA!$AW:$AW,0)),"")</f>
        <v>9.82</v>
      </c>
      <c r="AC43" s="19">
        <f>IFERROR(INDEX([1]DATA!$AH:$AH,MATCH('[1]BC_ ĐG LX'!$C43&amp;'[1]BC_ ĐG LX'!AC$3,[1]DATA!$AW:$AW,0)),"")</f>
        <v>9.02</v>
      </c>
      <c r="AD43" s="19">
        <f>IFERROR(INDEX([1]DATA!$AH:$AH,MATCH('[1]BC_ ĐG LX'!$C43&amp;'[1]BC_ ĐG LX'!AD$3,[1]DATA!$AW:$AW,0)),"")</f>
        <v>9.42</v>
      </c>
      <c r="AE43" s="19">
        <f>IFERROR(INDEX([1]DATA!$AH:$AH,MATCH('[1]BC_ ĐG LX'!$C43&amp;'[1]BC_ ĐG LX'!AE$3,[1]DATA!$AW:$AW,0)),"")</f>
        <v>8.44</v>
      </c>
      <c r="AF43" s="19" t="str">
        <f>IFERROR(INDEX([1]DATA!$AH:$AH,MATCH('[1]BC_ ĐG LX'!$C43&amp;'[1]BC_ ĐG LX'!AF$3,[1]DATA!$AW:$AW,0)),"")</f>
        <v/>
      </c>
      <c r="AG43" s="19" t="str">
        <f>IFERROR(INDEX([1]DATA!$AH:$AH,MATCH('[1]BC_ ĐG LX'!$C43&amp;'[1]BC_ ĐG LX'!AG$3,[1]DATA!$AW:$AW,0)),"")</f>
        <v/>
      </c>
      <c r="AH43" s="19" t="str">
        <f>IFERROR(INDEX([1]DATA!$AH:$AH,MATCH('[1]BC_ ĐG LX'!$C43&amp;'[1]BC_ ĐG LX'!AH$3,[1]DATA!$AW:$AW,0)),"")</f>
        <v/>
      </c>
      <c r="AI43" s="19" t="str">
        <f>IFERROR(INDEX([1]DATA!$AH:$AH,MATCH('[1]BC_ ĐG LX'!$C43&amp;'[1]BC_ ĐG LX'!AI$3,[1]DATA!$AW:$AW,0)),"")</f>
        <v/>
      </c>
      <c r="AJ43" s="19" t="str">
        <f>IFERROR(INDEX([1]DATA!$AH:$AH,MATCH('[1]BC_ ĐG LX'!$C43&amp;'[1]BC_ ĐG LX'!AJ$3,[1]DATA!$AW:$AW,0)),"")</f>
        <v/>
      </c>
      <c r="AK43" s="26">
        <f t="shared" si="2"/>
        <v>9.4</v>
      </c>
      <c r="AL43" s="21"/>
      <c r="AM43" s="22">
        <f t="shared" si="3"/>
        <v>25</v>
      </c>
      <c r="AN43" s="22" t="str">
        <f>_xlfn.XLOOKUP(B43,[1]DATA!AF:AF,[1]DATA!AX:AX)</f>
        <v>Linh</v>
      </c>
      <c r="AO43"/>
    </row>
    <row r="44" spans="1:41" s="22" customFormat="1" ht="14.25" customHeight="1">
      <c r="A44" s="16">
        <f>SUBTOTAL(3,$D$33:D44)</f>
        <v>12</v>
      </c>
      <c r="B44" s="16" t="str">
        <f>_xlfn.XLOOKUP(C44,[1]DATA!D:D,[1]DATA!AF:AF)</f>
        <v>XE00095</v>
      </c>
      <c r="C44" s="18" t="s">
        <v>63</v>
      </c>
      <c r="D44" s="16" t="s">
        <v>19</v>
      </c>
      <c r="E44" s="18" t="s">
        <v>17</v>
      </c>
      <c r="F44" s="18" t="s">
        <v>18</v>
      </c>
      <c r="G44" s="19">
        <f>IFERROR(INDEX([1]DATA!$AH:$AH,MATCH('[1]BC_ ĐG LX'!$C44&amp;'[1]BC_ ĐG LX'!G$3,[1]DATA!$AW:$AW,0)),"")</f>
        <v>9.42</v>
      </c>
      <c r="H44" s="19">
        <f>IFERROR(INDEX([1]DATA!$AH:$AH,MATCH('[1]BC_ ĐG LX'!$C44&amp;'[1]BC_ ĐG LX'!H$3,[1]DATA!$AW:$AW,0)),"")</f>
        <v>8.84</v>
      </c>
      <c r="I44" s="19">
        <f>IFERROR(INDEX([1]DATA!$AH:$AH,MATCH('[1]BC_ ĐG LX'!$C44&amp;'[1]BC_ ĐG LX'!I$3,[1]DATA!$AW:$AW,0)),"")</f>
        <v>9.42</v>
      </c>
      <c r="J44" s="19">
        <f>IFERROR(INDEX([1]DATA!$AH:$AH,MATCH('[1]BC_ ĐG LX'!$C44&amp;'[1]BC_ ĐG LX'!J$3,[1]DATA!$AW:$AW,0)),"")</f>
        <v>9.82</v>
      </c>
      <c r="K44" s="19">
        <f>IFERROR(INDEX([1]DATA!$AH:$AH,MATCH('[1]BC_ ĐG LX'!$C44&amp;'[1]BC_ ĐG LX'!K$3,[1]DATA!$AW:$AW,0)),"")</f>
        <v>9.42</v>
      </c>
      <c r="L44" s="19">
        <f>IFERROR(INDEX([1]DATA!$AH:$AH,MATCH('[1]BC_ ĐG LX'!$C44&amp;'[1]BC_ ĐG LX'!L$3,[1]DATA!$AW:$AW,0)),"")</f>
        <v>9.82</v>
      </c>
      <c r="M44" s="19">
        <f>IFERROR(INDEX([1]DATA!$AH:$AH,MATCH('[1]BC_ ĐG LX'!$C44&amp;'[1]BC_ ĐG LX'!M$3,[1]DATA!$AW:$AW,0)),"")</f>
        <v>9.82</v>
      </c>
      <c r="N44" s="19">
        <f>IFERROR(INDEX([1]DATA!$AH:$AH,MATCH('[1]BC_ ĐG LX'!$C44&amp;'[1]BC_ ĐG LX'!N$3,[1]DATA!$AW:$AW,0)),"")</f>
        <v>8.2200000000000006</v>
      </c>
      <c r="O44" s="19">
        <f>IFERROR(INDEX([1]DATA!$AH:$AH,MATCH('[1]BC_ ĐG LX'!$C44&amp;'[1]BC_ ĐG LX'!O$3,[1]DATA!$AW:$AW,0)),"")</f>
        <v>9.82</v>
      </c>
      <c r="P44" s="19">
        <f>IFERROR(INDEX([1]DATA!$AH:$AH,MATCH('[1]BC_ ĐG LX'!$C44&amp;'[1]BC_ ĐG LX'!P$3,[1]DATA!$AW:$AW,0)),"")</f>
        <v>9.82</v>
      </c>
      <c r="Q44" s="19">
        <f>IFERROR(INDEX([1]DATA!$AH:$AH,MATCH('[1]BC_ ĐG LX'!$C44&amp;'[1]BC_ ĐG LX'!Q$3,[1]DATA!$AW:$AW,0)),"")</f>
        <v>8.44</v>
      </c>
      <c r="R44" s="19">
        <f>IFERROR(INDEX([1]DATA!$AH:$AH,MATCH('[1]BC_ ĐG LX'!$C44&amp;'[1]BC_ ĐG LX'!R$3,[1]DATA!$AW:$AW,0)),"")</f>
        <v>9.02</v>
      </c>
      <c r="S44" s="19">
        <f>IFERROR(INDEX([1]DATA!$AH:$AH,MATCH('[1]BC_ ĐG LX'!$C44&amp;'[1]BC_ ĐG LX'!S$3,[1]DATA!$AW:$AW,0)),"")</f>
        <v>10</v>
      </c>
      <c r="T44" s="19">
        <f>IFERROR(INDEX([1]DATA!$AH:$AH,MATCH('[1]BC_ ĐG LX'!$C44&amp;'[1]BC_ ĐG LX'!T$3,[1]DATA!$AW:$AW,0)),"")</f>
        <v>9.6199999999999992</v>
      </c>
      <c r="U44" s="19">
        <f>IFERROR(INDEX([1]DATA!$AH:$AH,MATCH('[1]BC_ ĐG LX'!$C44&amp;'[1]BC_ ĐG LX'!U$3,[1]DATA!$AW:$AW,0)),"")</f>
        <v>9.82</v>
      </c>
      <c r="V44" s="19">
        <f>IFERROR(INDEX([1]DATA!$AH:$AH,MATCH('[1]BC_ ĐG LX'!$C44&amp;'[1]BC_ ĐG LX'!V$3,[1]DATA!$AW:$AW,0)),"")</f>
        <v>9.6199999999999992</v>
      </c>
      <c r="W44" s="19">
        <f>IFERROR(INDEX([1]DATA!$AH:$AH,MATCH('[1]BC_ ĐG LX'!$C44&amp;'[1]BC_ ĐG LX'!W$3,[1]DATA!$AW:$AW,0)),"")</f>
        <v>9.82</v>
      </c>
      <c r="X44" s="19">
        <f>IFERROR(INDEX([1]DATA!$AH:$AH,MATCH('[1]BC_ ĐG LX'!$C44&amp;'[1]BC_ ĐG LX'!X$3,[1]DATA!$AW:$AW,0)),"")</f>
        <v>9.02</v>
      </c>
      <c r="Y44" s="19">
        <f>IFERROR(INDEX([1]DATA!$AH:$AH,MATCH('[1]BC_ ĐG LX'!$C44&amp;'[1]BC_ ĐG LX'!Y$3,[1]DATA!$AW:$AW,0)),"")</f>
        <v>9.82</v>
      </c>
      <c r="Z44" s="19">
        <f>IFERROR(INDEX([1]DATA!$AH:$AH,MATCH('[1]BC_ ĐG LX'!$C44&amp;'[1]BC_ ĐG LX'!Z$3,[1]DATA!$AW:$AW,0)),"")</f>
        <v>9.82</v>
      </c>
      <c r="AA44" s="19">
        <f>IFERROR(INDEX([1]DATA!$AH:$AH,MATCH('[1]BC_ ĐG LX'!$C44&amp;'[1]BC_ ĐG LX'!AA$3,[1]DATA!$AW:$AW,0)),"")</f>
        <v>8.02</v>
      </c>
      <c r="AB44" s="19">
        <f>IFERROR(INDEX([1]DATA!$AH:$AH,MATCH('[1]BC_ ĐG LX'!$C44&amp;'[1]BC_ ĐG LX'!AB$3,[1]DATA!$AW:$AW,0)),"")</f>
        <v>9.42</v>
      </c>
      <c r="AC44" s="19">
        <f>IFERROR(INDEX([1]DATA!$AH:$AH,MATCH('[1]BC_ ĐG LX'!$C44&amp;'[1]BC_ ĐG LX'!AC$3,[1]DATA!$AW:$AW,0)),"")</f>
        <v>9.82</v>
      </c>
      <c r="AD44" s="19">
        <f>IFERROR(INDEX([1]DATA!$AH:$AH,MATCH('[1]BC_ ĐG LX'!$C44&amp;'[1]BC_ ĐG LX'!AD$3,[1]DATA!$AW:$AW,0)),"")</f>
        <v>9.42</v>
      </c>
      <c r="AE44" s="19">
        <f>IFERROR(INDEX([1]DATA!$AH:$AH,MATCH('[1]BC_ ĐG LX'!$C44&amp;'[1]BC_ ĐG LX'!AE$3,[1]DATA!$AW:$AW,0)),"")</f>
        <v>8.84</v>
      </c>
      <c r="AF44" s="19" t="str">
        <f>IFERROR(INDEX([1]DATA!$AH:$AH,MATCH('[1]BC_ ĐG LX'!$C44&amp;'[1]BC_ ĐG LX'!AF$3,[1]DATA!$AW:$AW,0)),"")</f>
        <v/>
      </c>
      <c r="AG44" s="19" t="str">
        <f>IFERROR(INDEX([1]DATA!$AH:$AH,MATCH('[1]BC_ ĐG LX'!$C44&amp;'[1]BC_ ĐG LX'!AG$3,[1]DATA!$AW:$AW,0)),"")</f>
        <v/>
      </c>
      <c r="AH44" s="19" t="str">
        <f>IFERROR(INDEX([1]DATA!$AH:$AH,MATCH('[1]BC_ ĐG LX'!$C44&amp;'[1]BC_ ĐG LX'!AH$3,[1]DATA!$AW:$AW,0)),"")</f>
        <v/>
      </c>
      <c r="AI44" s="19" t="str">
        <f>IFERROR(INDEX([1]DATA!$AH:$AH,MATCH('[1]BC_ ĐG LX'!$C44&amp;'[1]BC_ ĐG LX'!AI$3,[1]DATA!$AW:$AW,0)),"")</f>
        <v/>
      </c>
      <c r="AJ44" s="19" t="str">
        <f>IFERROR(INDEX([1]DATA!$AH:$AH,MATCH('[1]BC_ ĐG LX'!$C44&amp;'[1]BC_ ĐG LX'!AJ$3,[1]DATA!$AW:$AW,0)),"")</f>
        <v/>
      </c>
      <c r="AK44" s="26">
        <f t="shared" si="2"/>
        <v>9.4</v>
      </c>
      <c r="AL44" s="21"/>
      <c r="AM44" s="22">
        <f t="shared" si="3"/>
        <v>25</v>
      </c>
      <c r="AN44" s="22" t="str">
        <f>_xlfn.XLOOKUP(B44,[1]DATA!AF:AF,[1]DATA!AX:AX)</f>
        <v>Linh</v>
      </c>
      <c r="AO44"/>
    </row>
    <row r="45" spans="1:41" s="22" customFormat="1" ht="14.25" customHeight="1">
      <c r="A45" s="16">
        <f>SUBTOTAL(3,$D$33:D45)</f>
        <v>13</v>
      </c>
      <c r="B45" s="16" t="str">
        <f>_xlfn.XLOOKUP(C45,[1]DATA!D:D,[1]DATA!AF:AF)</f>
        <v>XE00108</v>
      </c>
      <c r="C45" s="18" t="s">
        <v>64</v>
      </c>
      <c r="D45" s="16" t="s">
        <v>19</v>
      </c>
      <c r="E45" s="18" t="s">
        <v>17</v>
      </c>
      <c r="F45" s="18" t="s">
        <v>18</v>
      </c>
      <c r="G45" s="19">
        <f>IFERROR(INDEX([1]DATA!$AH:$AH,MATCH('[1]BC_ ĐG LX'!$C45&amp;'[1]BC_ ĐG LX'!G$3,[1]DATA!$AW:$AW,0)),"")</f>
        <v>9.82</v>
      </c>
      <c r="H45" s="19">
        <f>IFERROR(INDEX([1]DATA!$AH:$AH,MATCH('[1]BC_ ĐG LX'!$C45&amp;'[1]BC_ ĐG LX'!H$3,[1]DATA!$AW:$AW,0)),"")</f>
        <v>9.82</v>
      </c>
      <c r="I45" s="19">
        <f>IFERROR(INDEX([1]DATA!$AH:$AH,MATCH('[1]BC_ ĐG LX'!$C45&amp;'[1]BC_ ĐG LX'!I$3,[1]DATA!$AW:$AW,0)),"")</f>
        <v>9.42</v>
      </c>
      <c r="J45" s="19">
        <f>IFERROR(INDEX([1]DATA!$AH:$AH,MATCH('[1]BC_ ĐG LX'!$C45&amp;'[1]BC_ ĐG LX'!J$3,[1]DATA!$AW:$AW,0)),"")</f>
        <v>9.6199999999999992</v>
      </c>
      <c r="K45" s="19">
        <f>IFERROR(INDEX([1]DATA!$AH:$AH,MATCH('[1]BC_ ĐG LX'!$C45&amp;'[1]BC_ ĐG LX'!K$3,[1]DATA!$AW:$AW,0)),"")</f>
        <v>9.82</v>
      </c>
      <c r="L45" s="19">
        <f>IFERROR(INDEX([1]DATA!$AH:$AH,MATCH('[1]BC_ ĐG LX'!$C45&amp;'[1]BC_ ĐG LX'!L$3,[1]DATA!$AW:$AW,0)),"")</f>
        <v>9.02</v>
      </c>
      <c r="M45" s="19">
        <f>IFERROR(INDEX([1]DATA!$AH:$AH,MATCH('[1]BC_ ĐG LX'!$C45&amp;'[1]BC_ ĐG LX'!M$3,[1]DATA!$AW:$AW,0)),"")</f>
        <v>9.82</v>
      </c>
      <c r="N45" s="19">
        <f>IFERROR(INDEX([1]DATA!$AH:$AH,MATCH('[1]BC_ ĐG LX'!$C45&amp;'[1]BC_ ĐG LX'!N$3,[1]DATA!$AW:$AW,0)),"")</f>
        <v>9.82</v>
      </c>
      <c r="O45" s="19">
        <f>IFERROR(INDEX([1]DATA!$AH:$AH,MATCH('[1]BC_ ĐG LX'!$C45&amp;'[1]BC_ ĐG LX'!O$3,[1]DATA!$AW:$AW,0)),"")</f>
        <v>9.42</v>
      </c>
      <c r="P45" s="19">
        <f>IFERROR(INDEX([1]DATA!$AH:$AH,MATCH('[1]BC_ ĐG LX'!$C45&amp;'[1]BC_ ĐG LX'!P$3,[1]DATA!$AW:$AW,0)),"")</f>
        <v>9.82</v>
      </c>
      <c r="Q45" s="19">
        <f>IFERROR(INDEX([1]DATA!$AH:$AH,MATCH('[1]BC_ ĐG LX'!$C45&amp;'[1]BC_ ĐG LX'!Q$3,[1]DATA!$AW:$AW,0)),"")</f>
        <v>9.42</v>
      </c>
      <c r="R45" s="19">
        <f>IFERROR(INDEX([1]DATA!$AH:$AH,MATCH('[1]BC_ ĐG LX'!$C45&amp;'[1]BC_ ĐG LX'!R$3,[1]DATA!$AW:$AW,0)),"")</f>
        <v>9.82</v>
      </c>
      <c r="S45" s="19">
        <f>IFERROR(INDEX([1]DATA!$AH:$AH,MATCH('[1]BC_ ĐG LX'!$C45&amp;'[1]BC_ ĐG LX'!S$3,[1]DATA!$AW:$AW,0)),"")</f>
        <v>9.6199999999999992</v>
      </c>
      <c r="T45" s="19">
        <f>IFERROR(INDEX([1]DATA!$AH:$AH,MATCH('[1]BC_ ĐG LX'!$C45&amp;'[1]BC_ ĐG LX'!T$3,[1]DATA!$AW:$AW,0)),"")</f>
        <v>9.82</v>
      </c>
      <c r="U45" s="19">
        <f>IFERROR(INDEX([1]DATA!$AH:$AH,MATCH('[1]BC_ ĐG LX'!$C45&amp;'[1]BC_ ĐG LX'!U$3,[1]DATA!$AW:$AW,0)),"")</f>
        <v>8.64</v>
      </c>
      <c r="V45" s="19">
        <f>IFERROR(INDEX([1]DATA!$AH:$AH,MATCH('[1]BC_ ĐG LX'!$C45&amp;'[1]BC_ ĐG LX'!V$3,[1]DATA!$AW:$AW,0)),"")</f>
        <v>9.82</v>
      </c>
      <c r="W45" s="19">
        <f>IFERROR(INDEX([1]DATA!$AH:$AH,MATCH('[1]BC_ ĐG LX'!$C45&amp;'[1]BC_ ĐG LX'!W$3,[1]DATA!$AW:$AW,0)),"")</f>
        <v>9.82</v>
      </c>
      <c r="X45" s="19">
        <f>IFERROR(INDEX([1]DATA!$AH:$AH,MATCH('[1]BC_ ĐG LX'!$C45&amp;'[1]BC_ ĐG LX'!X$3,[1]DATA!$AW:$AW,0)),"")</f>
        <v>8.44</v>
      </c>
      <c r="Y45" s="19">
        <f>IFERROR(INDEX([1]DATA!$AH:$AH,MATCH('[1]BC_ ĐG LX'!$C45&amp;'[1]BC_ ĐG LX'!Y$3,[1]DATA!$AW:$AW,0)),"")</f>
        <v>9.42</v>
      </c>
      <c r="Z45" s="19">
        <f>IFERROR(INDEX([1]DATA!$AH:$AH,MATCH('[1]BC_ ĐG LX'!$C45&amp;'[1]BC_ ĐG LX'!Z$3,[1]DATA!$AW:$AW,0)),"")</f>
        <v>9.02</v>
      </c>
      <c r="AA45" s="19">
        <f>IFERROR(INDEX([1]DATA!$AH:$AH,MATCH('[1]BC_ ĐG LX'!$C45&amp;'[1]BC_ ĐG LX'!AA$3,[1]DATA!$AW:$AW,0)),"")</f>
        <v>9.02</v>
      </c>
      <c r="AB45" s="19">
        <f>IFERROR(INDEX([1]DATA!$AH:$AH,MATCH('[1]BC_ ĐG LX'!$C45&amp;'[1]BC_ ĐG LX'!AB$3,[1]DATA!$AW:$AW,0)),"")</f>
        <v>9.82</v>
      </c>
      <c r="AC45" s="19">
        <f>IFERROR(INDEX([1]DATA!$AH:$AH,MATCH('[1]BC_ ĐG LX'!$C45&amp;'[1]BC_ ĐG LX'!AC$3,[1]DATA!$AW:$AW,0)),"")</f>
        <v>9.42</v>
      </c>
      <c r="AD45" s="19">
        <f>IFERROR(INDEX([1]DATA!$AH:$AH,MATCH('[1]BC_ ĐG LX'!$C45&amp;'[1]BC_ ĐG LX'!AD$3,[1]DATA!$AW:$AW,0)),"")</f>
        <v>9.82</v>
      </c>
      <c r="AE45" s="19">
        <f>IFERROR(INDEX([1]DATA!$AH:$AH,MATCH('[1]BC_ ĐG LX'!$C45&amp;'[1]BC_ ĐG LX'!AE$3,[1]DATA!$AW:$AW,0)),"")</f>
        <v>8.84</v>
      </c>
      <c r="AF45" s="19" t="str">
        <f>IFERROR(INDEX([1]DATA!$AH:$AH,MATCH('[1]BC_ ĐG LX'!$C45&amp;'[1]BC_ ĐG LX'!AF$3,[1]DATA!$AW:$AW,0)),"")</f>
        <v/>
      </c>
      <c r="AG45" s="19" t="str">
        <f>IFERROR(INDEX([1]DATA!$AH:$AH,MATCH('[1]BC_ ĐG LX'!$C45&amp;'[1]BC_ ĐG LX'!AG$3,[1]DATA!$AW:$AW,0)),"")</f>
        <v/>
      </c>
      <c r="AH45" s="19" t="str">
        <f>IFERROR(INDEX([1]DATA!$AH:$AH,MATCH('[1]BC_ ĐG LX'!$C45&amp;'[1]BC_ ĐG LX'!AH$3,[1]DATA!$AW:$AW,0)),"")</f>
        <v/>
      </c>
      <c r="AI45" s="19" t="str">
        <f>IFERROR(INDEX([1]DATA!$AH:$AH,MATCH('[1]BC_ ĐG LX'!$C45&amp;'[1]BC_ ĐG LX'!AI$3,[1]DATA!$AW:$AW,0)),"")</f>
        <v/>
      </c>
      <c r="AJ45" s="19" t="str">
        <f>IFERROR(INDEX([1]DATA!$AH:$AH,MATCH('[1]BC_ ĐG LX'!$C45&amp;'[1]BC_ ĐG LX'!AJ$3,[1]DATA!$AW:$AW,0)),"")</f>
        <v/>
      </c>
      <c r="AK45" s="26">
        <f t="shared" si="2"/>
        <v>9.5</v>
      </c>
      <c r="AL45" s="21"/>
      <c r="AM45" s="22">
        <f t="shared" si="3"/>
        <v>25</v>
      </c>
      <c r="AN45" s="22" t="str">
        <f>_xlfn.XLOOKUP(B45,[1]DATA!AF:AF,[1]DATA!AX:AX)</f>
        <v>Linh</v>
      </c>
      <c r="AO45"/>
    </row>
    <row r="46" spans="1:41" s="22" customFormat="1" ht="14.25" customHeight="1">
      <c r="A46" s="16">
        <f>SUBTOTAL(3,$D$33:D46)</f>
        <v>14</v>
      </c>
      <c r="B46" s="16" t="str">
        <f>_xlfn.XLOOKUP(C46,[1]DATA!D:D,[1]DATA!AF:AF)</f>
        <v>XE00113</v>
      </c>
      <c r="C46" s="18" t="s">
        <v>65</v>
      </c>
      <c r="D46" s="16" t="s">
        <v>19</v>
      </c>
      <c r="E46" s="18" t="s">
        <v>17</v>
      </c>
      <c r="F46" s="18" t="s">
        <v>18</v>
      </c>
      <c r="G46" s="19">
        <f>IFERROR(INDEX([1]DATA!$AH:$AH,MATCH('[1]BC_ ĐG LX'!$C46&amp;'[1]BC_ ĐG LX'!G$3,[1]DATA!$AW:$AW,0)),"")</f>
        <v>9.42</v>
      </c>
      <c r="H46" s="19">
        <f>IFERROR(INDEX([1]DATA!$AH:$AH,MATCH('[1]BC_ ĐG LX'!$C46&amp;'[1]BC_ ĐG LX'!H$3,[1]DATA!$AW:$AW,0)),"")</f>
        <v>9.82</v>
      </c>
      <c r="I46" s="19">
        <f>IFERROR(INDEX([1]DATA!$AH:$AH,MATCH('[1]BC_ ĐG LX'!$C46&amp;'[1]BC_ ĐG LX'!I$3,[1]DATA!$AW:$AW,0)),"")</f>
        <v>9.42</v>
      </c>
      <c r="J46" s="19">
        <f>IFERROR(INDEX([1]DATA!$AH:$AH,MATCH('[1]BC_ ĐG LX'!$C46&amp;'[1]BC_ ĐG LX'!J$3,[1]DATA!$AW:$AW,0)),"")</f>
        <v>9.02</v>
      </c>
      <c r="K46" s="19">
        <f>IFERROR(INDEX([1]DATA!$AH:$AH,MATCH('[1]BC_ ĐG LX'!$C46&amp;'[1]BC_ ĐG LX'!K$3,[1]DATA!$AW:$AW,0)),"")</f>
        <v>9.82</v>
      </c>
      <c r="L46" s="19">
        <f>IFERROR(INDEX([1]DATA!$AH:$AH,MATCH('[1]BC_ ĐG LX'!$C46&amp;'[1]BC_ ĐG LX'!L$3,[1]DATA!$AW:$AW,0)),"")</f>
        <v>9.42</v>
      </c>
      <c r="M46" s="19">
        <f>IFERROR(INDEX([1]DATA!$AH:$AH,MATCH('[1]BC_ ĐG LX'!$C46&amp;'[1]BC_ ĐG LX'!M$3,[1]DATA!$AW:$AW,0)),"")</f>
        <v>9.82</v>
      </c>
      <c r="N46" s="19">
        <f>IFERROR(INDEX([1]DATA!$AH:$AH,MATCH('[1]BC_ ĐG LX'!$C46&amp;'[1]BC_ ĐG LX'!N$3,[1]DATA!$AW:$AW,0)),"")</f>
        <v>9.02</v>
      </c>
      <c r="O46" s="19">
        <f>IFERROR(INDEX([1]DATA!$AH:$AH,MATCH('[1]BC_ ĐG LX'!$C46&amp;'[1]BC_ ĐG LX'!O$3,[1]DATA!$AW:$AW,0)),"")</f>
        <v>9.42</v>
      </c>
      <c r="P46" s="19">
        <f>IFERROR(INDEX([1]DATA!$AH:$AH,MATCH('[1]BC_ ĐG LX'!$C46&amp;'[1]BC_ ĐG LX'!P$3,[1]DATA!$AW:$AW,0)),"")</f>
        <v>9.24</v>
      </c>
      <c r="Q46" s="19">
        <f>IFERROR(INDEX([1]DATA!$AH:$AH,MATCH('[1]BC_ ĐG LX'!$C46&amp;'[1]BC_ ĐG LX'!Q$3,[1]DATA!$AW:$AW,0)),"")</f>
        <v>9.82</v>
      </c>
      <c r="R46" s="19">
        <f>IFERROR(INDEX([1]DATA!$AH:$AH,MATCH('[1]BC_ ĐG LX'!$C46&amp;'[1]BC_ ĐG LX'!R$3,[1]DATA!$AW:$AW,0)),"")</f>
        <v>9.82</v>
      </c>
      <c r="S46" s="19">
        <f>IFERROR(INDEX([1]DATA!$AH:$AH,MATCH('[1]BC_ ĐG LX'!$C46&amp;'[1]BC_ ĐG LX'!S$3,[1]DATA!$AW:$AW,0)),"")</f>
        <v>8.84</v>
      </c>
      <c r="T46" s="19">
        <f>IFERROR(INDEX([1]DATA!$AH:$AH,MATCH('[1]BC_ ĐG LX'!$C46&amp;'[1]BC_ ĐG LX'!T$3,[1]DATA!$AW:$AW,0)),"")</f>
        <v>8.84</v>
      </c>
      <c r="U46" s="19">
        <f>IFERROR(INDEX([1]DATA!$AH:$AH,MATCH('[1]BC_ ĐG LX'!$C46&amp;'[1]BC_ ĐG LX'!U$3,[1]DATA!$AW:$AW,0)),"")</f>
        <v>9.82</v>
      </c>
      <c r="V46" s="19">
        <f>IFERROR(INDEX([1]DATA!$AH:$AH,MATCH('[1]BC_ ĐG LX'!$C46&amp;'[1]BC_ ĐG LX'!V$3,[1]DATA!$AW:$AW,0)),"")</f>
        <v>9.82</v>
      </c>
      <c r="W46" s="19">
        <f>IFERROR(INDEX([1]DATA!$AH:$AH,MATCH('[1]BC_ ĐG LX'!$C46&amp;'[1]BC_ ĐG LX'!W$3,[1]DATA!$AW:$AW,0)),"")</f>
        <v>9.42</v>
      </c>
      <c r="X46" s="19">
        <f>IFERROR(INDEX([1]DATA!$AH:$AH,MATCH('[1]BC_ ĐG LX'!$C46&amp;'[1]BC_ ĐG LX'!X$3,[1]DATA!$AW:$AW,0)),"")</f>
        <v>9.02</v>
      </c>
      <c r="Y46" s="19">
        <f>IFERROR(INDEX([1]DATA!$AH:$AH,MATCH('[1]BC_ ĐG LX'!$C46&amp;'[1]BC_ ĐG LX'!Y$3,[1]DATA!$AW:$AW,0)),"")</f>
        <v>9.82</v>
      </c>
      <c r="Z46" s="19">
        <f>IFERROR(INDEX([1]DATA!$AH:$AH,MATCH('[1]BC_ ĐG LX'!$C46&amp;'[1]BC_ ĐG LX'!Z$3,[1]DATA!$AW:$AW,0)),"")</f>
        <v>9.6199999999999992</v>
      </c>
      <c r="AA46" s="19">
        <f>IFERROR(INDEX([1]DATA!$AH:$AH,MATCH('[1]BC_ ĐG LX'!$C46&amp;'[1]BC_ ĐG LX'!AA$3,[1]DATA!$AW:$AW,0)),"")</f>
        <v>9.82</v>
      </c>
      <c r="AB46" s="19">
        <f>IFERROR(INDEX([1]DATA!$AH:$AH,MATCH('[1]BC_ ĐG LX'!$C46&amp;'[1]BC_ ĐG LX'!AB$3,[1]DATA!$AW:$AW,0)),"")</f>
        <v>9.82</v>
      </c>
      <c r="AC46" s="19">
        <f>IFERROR(INDEX([1]DATA!$AH:$AH,MATCH('[1]BC_ ĐG LX'!$C46&amp;'[1]BC_ ĐG LX'!AC$3,[1]DATA!$AW:$AW,0)),"")</f>
        <v>9.64</v>
      </c>
      <c r="AD46" s="19">
        <f>IFERROR(INDEX([1]DATA!$AH:$AH,MATCH('[1]BC_ ĐG LX'!$C46&amp;'[1]BC_ ĐG LX'!AD$3,[1]DATA!$AW:$AW,0)),"")</f>
        <v>9.42</v>
      </c>
      <c r="AE46" s="19">
        <f>IFERROR(INDEX([1]DATA!$AH:$AH,MATCH('[1]BC_ ĐG LX'!$C46&amp;'[1]BC_ ĐG LX'!AE$3,[1]DATA!$AW:$AW,0)),"")</f>
        <v>9.42</v>
      </c>
      <c r="AF46" s="19" t="str">
        <f>IFERROR(INDEX([1]DATA!$AH:$AH,MATCH('[1]BC_ ĐG LX'!$C46&amp;'[1]BC_ ĐG LX'!AF$3,[1]DATA!$AW:$AW,0)),"")</f>
        <v/>
      </c>
      <c r="AG46" s="19" t="str">
        <f>IFERROR(INDEX([1]DATA!$AH:$AH,MATCH('[1]BC_ ĐG LX'!$C46&amp;'[1]BC_ ĐG LX'!AG$3,[1]DATA!$AW:$AW,0)),"")</f>
        <v/>
      </c>
      <c r="AH46" s="19" t="str">
        <f>IFERROR(INDEX([1]DATA!$AH:$AH,MATCH('[1]BC_ ĐG LX'!$C46&amp;'[1]BC_ ĐG LX'!AH$3,[1]DATA!$AW:$AW,0)),"")</f>
        <v/>
      </c>
      <c r="AI46" s="19" t="str">
        <f>IFERROR(INDEX([1]DATA!$AH:$AH,MATCH('[1]BC_ ĐG LX'!$C46&amp;'[1]BC_ ĐG LX'!AI$3,[1]DATA!$AW:$AW,0)),"")</f>
        <v/>
      </c>
      <c r="AJ46" s="19" t="str">
        <f>IFERROR(INDEX([1]DATA!$AH:$AH,MATCH('[1]BC_ ĐG LX'!$C46&amp;'[1]BC_ ĐG LX'!AJ$3,[1]DATA!$AW:$AW,0)),"")</f>
        <v/>
      </c>
      <c r="AK46" s="26">
        <f t="shared" si="2"/>
        <v>9.5</v>
      </c>
      <c r="AL46" s="21"/>
      <c r="AM46" s="22">
        <f t="shared" si="3"/>
        <v>25</v>
      </c>
      <c r="AN46" s="22" t="str">
        <f>_xlfn.XLOOKUP(B46,[1]DATA!AF:AF,[1]DATA!AX:AX)</f>
        <v>Lương</v>
      </c>
      <c r="AO46"/>
    </row>
    <row r="47" spans="1:41" s="22" customFormat="1" ht="14.25" customHeight="1">
      <c r="A47" s="16">
        <f>SUBTOTAL(3,$D$33:D47)</f>
        <v>15</v>
      </c>
      <c r="B47" s="16" t="str">
        <f>_xlfn.XLOOKUP(C47,[1]DATA!D:D,[1]DATA!AF:AF)</f>
        <v>XE00130</v>
      </c>
      <c r="C47" s="18" t="s">
        <v>66</v>
      </c>
      <c r="D47" s="16" t="s">
        <v>21</v>
      </c>
      <c r="E47" s="18" t="s">
        <v>17</v>
      </c>
      <c r="F47" s="18" t="s">
        <v>18</v>
      </c>
      <c r="G47" s="19">
        <f>IFERROR(INDEX([1]DATA!$AH:$AH,MATCH('[1]BC_ ĐG LX'!$C47&amp;'[1]BC_ ĐG LX'!G$3,[1]DATA!$AW:$AW,0)),"")</f>
        <v>9.82</v>
      </c>
      <c r="H47" s="19">
        <f>IFERROR(INDEX([1]DATA!$AH:$AH,MATCH('[1]BC_ ĐG LX'!$C47&amp;'[1]BC_ ĐG LX'!H$3,[1]DATA!$AW:$AW,0)),"")</f>
        <v>9.42</v>
      </c>
      <c r="I47" s="19">
        <f>IFERROR(INDEX([1]DATA!$AH:$AH,MATCH('[1]BC_ ĐG LX'!$C47&amp;'[1]BC_ ĐG LX'!I$3,[1]DATA!$AW:$AW,0)),"")</f>
        <v>7.6400000000000006</v>
      </c>
      <c r="J47" s="19">
        <f>IFERROR(INDEX([1]DATA!$AH:$AH,MATCH('[1]BC_ ĐG LX'!$C47&amp;'[1]BC_ ĐG LX'!J$3,[1]DATA!$AW:$AW,0)),"")</f>
        <v>9.42</v>
      </c>
      <c r="K47" s="19">
        <f>IFERROR(INDEX([1]DATA!$AH:$AH,MATCH('[1]BC_ ĐG LX'!$C47&amp;'[1]BC_ ĐG LX'!K$3,[1]DATA!$AW:$AW,0)),"")</f>
        <v>9.42</v>
      </c>
      <c r="L47" s="19">
        <f>IFERROR(INDEX([1]DATA!$AH:$AH,MATCH('[1]BC_ ĐG LX'!$C47&amp;'[1]BC_ ĐG LX'!L$3,[1]DATA!$AW:$AW,0)),"")</f>
        <v>9.42</v>
      </c>
      <c r="M47" s="19">
        <f>IFERROR(INDEX([1]DATA!$AH:$AH,MATCH('[1]BC_ ĐG LX'!$C47&amp;'[1]BC_ ĐG LX'!M$3,[1]DATA!$AW:$AW,0)),"")</f>
        <v>9.82</v>
      </c>
      <c r="N47" s="19">
        <f>IFERROR(INDEX([1]DATA!$AH:$AH,MATCH('[1]BC_ ĐG LX'!$C47&amp;'[1]BC_ ĐG LX'!N$3,[1]DATA!$AW:$AW,0)),"")</f>
        <v>9.02</v>
      </c>
      <c r="O47" s="19">
        <f>IFERROR(INDEX([1]DATA!$AH:$AH,MATCH('[1]BC_ ĐG LX'!$C47&amp;'[1]BC_ ĐG LX'!O$3,[1]DATA!$AW:$AW,0)),"")</f>
        <v>9.42</v>
      </c>
      <c r="P47" s="19">
        <f>IFERROR(INDEX([1]DATA!$AH:$AH,MATCH('[1]BC_ ĐG LX'!$C47&amp;'[1]BC_ ĐG LX'!P$3,[1]DATA!$AW:$AW,0)),"")</f>
        <v>9.82</v>
      </c>
      <c r="Q47" s="19">
        <f>IFERROR(INDEX([1]DATA!$AH:$AH,MATCH('[1]BC_ ĐG LX'!$C47&amp;'[1]BC_ ĐG LX'!Q$3,[1]DATA!$AW:$AW,0)),"")</f>
        <v>9.82</v>
      </c>
      <c r="R47" s="19">
        <f>IFERROR(INDEX([1]DATA!$AH:$AH,MATCH('[1]BC_ ĐG LX'!$C47&amp;'[1]BC_ ĐG LX'!R$3,[1]DATA!$AW:$AW,0)),"")</f>
        <v>9.42</v>
      </c>
      <c r="S47" s="19">
        <f>IFERROR(INDEX([1]DATA!$AH:$AH,MATCH('[1]BC_ ĐG LX'!$C47&amp;'[1]BC_ ĐG LX'!S$3,[1]DATA!$AW:$AW,0)),"")</f>
        <v>9.82</v>
      </c>
      <c r="T47" s="19">
        <f>IFERROR(INDEX([1]DATA!$AH:$AH,MATCH('[1]BC_ ĐG LX'!$C47&amp;'[1]BC_ ĐG LX'!T$3,[1]DATA!$AW:$AW,0)),"")</f>
        <v>9.82</v>
      </c>
      <c r="U47" s="19">
        <f>IFERROR(INDEX([1]DATA!$AH:$AH,MATCH('[1]BC_ ĐG LX'!$C47&amp;'[1]BC_ ĐG LX'!U$3,[1]DATA!$AW:$AW,0)),"")</f>
        <v>9.02</v>
      </c>
      <c r="V47" s="19">
        <f>IFERROR(INDEX([1]DATA!$AH:$AH,MATCH('[1]BC_ ĐG LX'!$C47&amp;'[1]BC_ ĐG LX'!V$3,[1]DATA!$AW:$AW,0)),"")</f>
        <v>9.82</v>
      </c>
      <c r="W47" s="19">
        <f>IFERROR(INDEX([1]DATA!$AH:$AH,MATCH('[1]BC_ ĐG LX'!$C47&amp;'[1]BC_ ĐG LX'!W$3,[1]DATA!$AW:$AW,0)),"")</f>
        <v>9.42</v>
      </c>
      <c r="X47" s="19">
        <f>IFERROR(INDEX([1]DATA!$AH:$AH,MATCH('[1]BC_ ĐG LX'!$C47&amp;'[1]BC_ ĐG LX'!X$3,[1]DATA!$AW:$AW,0)),"")</f>
        <v>9.02</v>
      </c>
      <c r="Y47" s="19">
        <f>IFERROR(INDEX([1]DATA!$AH:$AH,MATCH('[1]BC_ ĐG LX'!$C47&amp;'[1]BC_ ĐG LX'!Y$3,[1]DATA!$AW:$AW,0)),"")</f>
        <v>9.02</v>
      </c>
      <c r="Z47" s="19">
        <f>IFERROR(INDEX([1]DATA!$AH:$AH,MATCH('[1]BC_ ĐG LX'!$C47&amp;'[1]BC_ ĐG LX'!Z$3,[1]DATA!$AW:$AW,0)),"")</f>
        <v>8.0400000000000009</v>
      </c>
      <c r="AA47" s="19">
        <f>IFERROR(INDEX([1]DATA!$AH:$AH,MATCH('[1]BC_ ĐG LX'!$C47&amp;'[1]BC_ ĐG LX'!AA$3,[1]DATA!$AW:$AW,0)),"")</f>
        <v>9.02</v>
      </c>
      <c r="AB47" s="19">
        <f>IFERROR(INDEX([1]DATA!$AH:$AH,MATCH('[1]BC_ ĐG LX'!$C47&amp;'[1]BC_ ĐG LX'!AB$3,[1]DATA!$AW:$AW,0)),"")</f>
        <v>7.24</v>
      </c>
      <c r="AC47" s="19">
        <f>IFERROR(INDEX([1]DATA!$AH:$AH,MATCH('[1]BC_ ĐG LX'!$C47&amp;'[1]BC_ ĐG LX'!AC$3,[1]DATA!$AW:$AW,0)),"")</f>
        <v>9.02</v>
      </c>
      <c r="AD47" s="19">
        <f>IFERROR(INDEX([1]DATA!$AH:$AH,MATCH('[1]BC_ ĐG LX'!$C47&amp;'[1]BC_ ĐG LX'!AD$3,[1]DATA!$AW:$AW,0)),"")</f>
        <v>9.42</v>
      </c>
      <c r="AE47" s="19">
        <f>IFERROR(INDEX([1]DATA!$AH:$AH,MATCH('[1]BC_ ĐG LX'!$C47&amp;'[1]BC_ ĐG LX'!AE$3,[1]DATA!$AW:$AW,0)),"")</f>
        <v>9.82</v>
      </c>
      <c r="AF47" s="19" t="str">
        <f>IFERROR(INDEX([1]DATA!$AH:$AH,MATCH('[1]BC_ ĐG LX'!$C47&amp;'[1]BC_ ĐG LX'!AF$3,[1]DATA!$AW:$AW,0)),"")</f>
        <v/>
      </c>
      <c r="AG47" s="19" t="str">
        <f>IFERROR(INDEX([1]DATA!$AH:$AH,MATCH('[1]BC_ ĐG LX'!$C47&amp;'[1]BC_ ĐG LX'!AG$3,[1]DATA!$AW:$AW,0)),"")</f>
        <v/>
      </c>
      <c r="AH47" s="19" t="str">
        <f>IFERROR(INDEX([1]DATA!$AH:$AH,MATCH('[1]BC_ ĐG LX'!$C47&amp;'[1]BC_ ĐG LX'!AH$3,[1]DATA!$AW:$AW,0)),"")</f>
        <v/>
      </c>
      <c r="AI47" s="19" t="str">
        <f>IFERROR(INDEX([1]DATA!$AH:$AH,MATCH('[1]BC_ ĐG LX'!$C47&amp;'[1]BC_ ĐG LX'!AI$3,[1]DATA!$AW:$AW,0)),"")</f>
        <v/>
      </c>
      <c r="AJ47" s="19" t="str">
        <f>IFERROR(INDEX([1]DATA!$AH:$AH,MATCH('[1]BC_ ĐG LX'!$C47&amp;'[1]BC_ ĐG LX'!AJ$3,[1]DATA!$AW:$AW,0)),"")</f>
        <v/>
      </c>
      <c r="AK47" s="26">
        <f t="shared" si="2"/>
        <v>9.2999999999999989</v>
      </c>
      <c r="AL47" s="21"/>
      <c r="AM47" s="22">
        <f t="shared" si="3"/>
        <v>25</v>
      </c>
      <c r="AN47" s="22" t="str">
        <f>_xlfn.XLOOKUP(B47,[1]DATA!AF:AF,[1]DATA!AX:AX)</f>
        <v>Lương</v>
      </c>
      <c r="AO47"/>
    </row>
    <row r="48" spans="1:41" s="22" customFormat="1" ht="14.25" customHeight="1">
      <c r="A48" s="16">
        <f>SUBTOTAL(3,$D$33:D48)</f>
        <v>16</v>
      </c>
      <c r="B48" s="16" t="str">
        <f>_xlfn.XLOOKUP(C48,[1]DATA!D:D,[1]DATA!AF:AF)</f>
        <v>XE00139</v>
      </c>
      <c r="C48" s="18" t="s">
        <v>67</v>
      </c>
      <c r="D48" s="16" t="s">
        <v>19</v>
      </c>
      <c r="E48" s="18" t="s">
        <v>17</v>
      </c>
      <c r="F48" s="18" t="s">
        <v>18</v>
      </c>
      <c r="G48" s="19">
        <f>IFERROR(INDEX([1]DATA!$AH:$AH,MATCH('[1]BC_ ĐG LX'!$C48&amp;'[1]BC_ ĐG LX'!G$3,[1]DATA!$AW:$AW,0)),"")</f>
        <v>9.82</v>
      </c>
      <c r="H48" s="19">
        <f>IFERROR(INDEX([1]DATA!$AH:$AH,MATCH('[1]BC_ ĐG LX'!$C48&amp;'[1]BC_ ĐG LX'!H$3,[1]DATA!$AW:$AW,0)),"")</f>
        <v>9.42</v>
      </c>
      <c r="I48" s="19">
        <f>IFERROR(INDEX([1]DATA!$AH:$AH,MATCH('[1]BC_ ĐG LX'!$C48&amp;'[1]BC_ ĐG LX'!I$3,[1]DATA!$AW:$AW,0)),"")</f>
        <v>9.82</v>
      </c>
      <c r="J48" s="19">
        <f>IFERROR(INDEX([1]DATA!$AH:$AH,MATCH('[1]BC_ ĐG LX'!$C48&amp;'[1]BC_ ĐG LX'!J$3,[1]DATA!$AW:$AW,0)),"")</f>
        <v>9.82</v>
      </c>
      <c r="K48" s="19">
        <f>IFERROR(INDEX([1]DATA!$AH:$AH,MATCH('[1]BC_ ĐG LX'!$C48&amp;'[1]BC_ ĐG LX'!K$3,[1]DATA!$AW:$AW,0)),"")</f>
        <v>9.42</v>
      </c>
      <c r="L48" s="19">
        <f>IFERROR(INDEX([1]DATA!$AH:$AH,MATCH('[1]BC_ ĐG LX'!$C48&amp;'[1]BC_ ĐG LX'!L$3,[1]DATA!$AW:$AW,0)),"")</f>
        <v>9.02</v>
      </c>
      <c r="M48" s="19">
        <f>IFERROR(INDEX([1]DATA!$AH:$AH,MATCH('[1]BC_ ĐG LX'!$C48&amp;'[1]BC_ ĐG LX'!M$3,[1]DATA!$AW:$AW,0)),"")</f>
        <v>9.42</v>
      </c>
      <c r="N48" s="19">
        <f>IFERROR(INDEX([1]DATA!$AH:$AH,MATCH('[1]BC_ ĐG LX'!$C48&amp;'[1]BC_ ĐG LX'!N$3,[1]DATA!$AW:$AW,0)),"")</f>
        <v>9.42</v>
      </c>
      <c r="O48" s="19">
        <f>IFERROR(INDEX([1]DATA!$AH:$AH,MATCH('[1]BC_ ĐG LX'!$C48&amp;'[1]BC_ ĐG LX'!O$3,[1]DATA!$AW:$AW,0)),"")</f>
        <v>9.02</v>
      </c>
      <c r="P48" s="19">
        <f>IFERROR(INDEX([1]DATA!$AH:$AH,MATCH('[1]BC_ ĐG LX'!$C48&amp;'[1]BC_ ĐG LX'!P$3,[1]DATA!$AW:$AW,0)),"")</f>
        <v>9.82</v>
      </c>
      <c r="Q48" s="19">
        <f>IFERROR(INDEX([1]DATA!$AH:$AH,MATCH('[1]BC_ ĐG LX'!$C48&amp;'[1]BC_ ĐG LX'!Q$3,[1]DATA!$AW:$AW,0)),"")</f>
        <v>9.42</v>
      </c>
      <c r="R48" s="19">
        <f>IFERROR(INDEX([1]DATA!$AH:$AH,MATCH('[1]BC_ ĐG LX'!$C48&amp;'[1]BC_ ĐG LX'!R$3,[1]DATA!$AW:$AW,0)),"")</f>
        <v>9.82</v>
      </c>
      <c r="S48" s="19">
        <f>IFERROR(INDEX([1]DATA!$AH:$AH,MATCH('[1]BC_ ĐG LX'!$C48&amp;'[1]BC_ ĐG LX'!S$3,[1]DATA!$AW:$AW,0)),"")</f>
        <v>8.84</v>
      </c>
      <c r="T48" s="19">
        <f>IFERROR(INDEX([1]DATA!$AH:$AH,MATCH('[1]BC_ ĐG LX'!$C48&amp;'[1]BC_ ĐG LX'!T$3,[1]DATA!$AW:$AW,0)),"")</f>
        <v>9.42</v>
      </c>
      <c r="U48" s="19">
        <f>IFERROR(INDEX([1]DATA!$AH:$AH,MATCH('[1]BC_ ĐG LX'!$C48&amp;'[1]BC_ ĐG LX'!U$3,[1]DATA!$AW:$AW,0)),"")</f>
        <v>9.82</v>
      </c>
      <c r="V48" s="19">
        <f>IFERROR(INDEX([1]DATA!$AH:$AH,MATCH('[1]BC_ ĐG LX'!$C48&amp;'[1]BC_ ĐG LX'!V$3,[1]DATA!$AW:$AW,0)),"")</f>
        <v>8.2200000000000006</v>
      </c>
      <c r="W48" s="19">
        <f>IFERROR(INDEX([1]DATA!$AH:$AH,MATCH('[1]BC_ ĐG LX'!$C48&amp;'[1]BC_ ĐG LX'!W$3,[1]DATA!$AW:$AW,0)),"")</f>
        <v>9.42</v>
      </c>
      <c r="X48" s="19">
        <f>IFERROR(INDEX([1]DATA!$AH:$AH,MATCH('[1]BC_ ĐG LX'!$C48&amp;'[1]BC_ ĐG LX'!X$3,[1]DATA!$AW:$AW,0)),"")</f>
        <v>7.82</v>
      </c>
      <c r="Y48" s="19">
        <f>IFERROR(INDEX([1]DATA!$AH:$AH,MATCH('[1]BC_ ĐG LX'!$C48&amp;'[1]BC_ ĐG LX'!Y$3,[1]DATA!$AW:$AW,0)),"")</f>
        <v>9.42</v>
      </c>
      <c r="Z48" s="19">
        <f>IFERROR(INDEX([1]DATA!$AH:$AH,MATCH('[1]BC_ ĐG LX'!$C48&amp;'[1]BC_ ĐG LX'!Z$3,[1]DATA!$AW:$AW,0)),"")</f>
        <v>9.42</v>
      </c>
      <c r="AA48" s="19">
        <f>IFERROR(INDEX([1]DATA!$AH:$AH,MATCH('[1]BC_ ĐG LX'!$C48&amp;'[1]BC_ ĐG LX'!AA$3,[1]DATA!$AW:$AW,0)),"")</f>
        <v>9.02</v>
      </c>
      <c r="AB48" s="19">
        <f>IFERROR(INDEX([1]DATA!$AH:$AH,MATCH('[1]BC_ ĐG LX'!$C48&amp;'[1]BC_ ĐG LX'!AB$3,[1]DATA!$AW:$AW,0)),"")</f>
        <v>9.42</v>
      </c>
      <c r="AC48" s="19">
        <f>IFERROR(INDEX([1]DATA!$AH:$AH,MATCH('[1]BC_ ĐG LX'!$C48&amp;'[1]BC_ ĐG LX'!AC$3,[1]DATA!$AW:$AW,0)),"")</f>
        <v>9.02</v>
      </c>
      <c r="AD48" s="19">
        <f>IFERROR(INDEX([1]DATA!$AH:$AH,MATCH('[1]BC_ ĐG LX'!$C48&amp;'[1]BC_ ĐG LX'!AD$3,[1]DATA!$AW:$AW,0)),"")</f>
        <v>9.82</v>
      </c>
      <c r="AE48" s="19">
        <f>IFERROR(INDEX([1]DATA!$AH:$AH,MATCH('[1]BC_ ĐG LX'!$C48&amp;'[1]BC_ ĐG LX'!AE$3,[1]DATA!$AW:$AW,0)),"")</f>
        <v>9.42</v>
      </c>
      <c r="AF48" s="19" t="str">
        <f>IFERROR(INDEX([1]DATA!$AH:$AH,MATCH('[1]BC_ ĐG LX'!$C48&amp;'[1]BC_ ĐG LX'!AF$3,[1]DATA!$AW:$AW,0)),"")</f>
        <v/>
      </c>
      <c r="AG48" s="19" t="str">
        <f>IFERROR(INDEX([1]DATA!$AH:$AH,MATCH('[1]BC_ ĐG LX'!$C48&amp;'[1]BC_ ĐG LX'!AG$3,[1]DATA!$AW:$AW,0)),"")</f>
        <v/>
      </c>
      <c r="AH48" s="19" t="str">
        <f>IFERROR(INDEX([1]DATA!$AH:$AH,MATCH('[1]BC_ ĐG LX'!$C48&amp;'[1]BC_ ĐG LX'!AH$3,[1]DATA!$AW:$AW,0)),"")</f>
        <v/>
      </c>
      <c r="AI48" s="19" t="str">
        <f>IFERROR(INDEX([1]DATA!$AH:$AH,MATCH('[1]BC_ ĐG LX'!$C48&amp;'[1]BC_ ĐG LX'!AI$3,[1]DATA!$AW:$AW,0)),"")</f>
        <v/>
      </c>
      <c r="AJ48" s="19" t="str">
        <f>IFERROR(INDEX([1]DATA!$AH:$AH,MATCH('[1]BC_ ĐG LX'!$C48&amp;'[1]BC_ ĐG LX'!AJ$3,[1]DATA!$AW:$AW,0)),"")</f>
        <v/>
      </c>
      <c r="AK48" s="26">
        <f t="shared" si="2"/>
        <v>9.4</v>
      </c>
      <c r="AL48" s="21"/>
      <c r="AM48" s="22">
        <f t="shared" si="3"/>
        <v>25</v>
      </c>
      <c r="AN48" s="22" t="str">
        <f>_xlfn.XLOOKUP(B48,[1]DATA!AF:AF,[1]DATA!AX:AX)</f>
        <v>Linh</v>
      </c>
      <c r="AO48"/>
    </row>
    <row r="49" spans="1:41" s="22" customFormat="1" ht="14.25" customHeight="1">
      <c r="A49" s="16">
        <f>SUBTOTAL(3,$D$33:D49)</f>
        <v>17</v>
      </c>
      <c r="B49" s="16" t="str">
        <f>_xlfn.XLOOKUP(C49,[1]DATA!D:D,[1]DATA!AF:AF)</f>
        <v>XE00152</v>
      </c>
      <c r="C49" s="18" t="s">
        <v>68</v>
      </c>
      <c r="D49" s="16" t="s">
        <v>19</v>
      </c>
      <c r="E49" s="18" t="s">
        <v>17</v>
      </c>
      <c r="F49" s="18" t="s">
        <v>18</v>
      </c>
      <c r="G49" s="19">
        <f>IFERROR(INDEX([1]DATA!$AH:$AH,MATCH('[1]BC_ ĐG LX'!$C49&amp;'[1]BC_ ĐG LX'!G$3,[1]DATA!$AW:$AW,0)),"")</f>
        <v>9.82</v>
      </c>
      <c r="H49" s="19">
        <f>IFERROR(INDEX([1]DATA!$AH:$AH,MATCH('[1]BC_ ĐG LX'!$C49&amp;'[1]BC_ ĐG LX'!H$3,[1]DATA!$AW:$AW,0)),"")</f>
        <v>9.42</v>
      </c>
      <c r="I49" s="19">
        <f>IFERROR(INDEX([1]DATA!$AH:$AH,MATCH('[1]BC_ ĐG LX'!$C49&amp;'[1]BC_ ĐG LX'!I$3,[1]DATA!$AW:$AW,0)),"")</f>
        <v>9.42</v>
      </c>
      <c r="J49" s="19">
        <f>IFERROR(INDEX([1]DATA!$AH:$AH,MATCH('[1]BC_ ĐG LX'!$C49&amp;'[1]BC_ ĐG LX'!J$3,[1]DATA!$AW:$AW,0)),"")</f>
        <v>9.82</v>
      </c>
      <c r="K49" s="19">
        <f>IFERROR(INDEX([1]DATA!$AH:$AH,MATCH('[1]BC_ ĐG LX'!$C49&amp;'[1]BC_ ĐG LX'!K$3,[1]DATA!$AW:$AW,0)),"")</f>
        <v>9.42</v>
      </c>
      <c r="L49" s="19">
        <f>IFERROR(INDEX([1]DATA!$AH:$AH,MATCH('[1]BC_ ĐG LX'!$C49&amp;'[1]BC_ ĐG LX'!L$3,[1]DATA!$AW:$AW,0)),"")</f>
        <v>9.42</v>
      </c>
      <c r="M49" s="19">
        <f>IFERROR(INDEX([1]DATA!$AH:$AH,MATCH('[1]BC_ ĐG LX'!$C49&amp;'[1]BC_ ĐG LX'!M$3,[1]DATA!$AW:$AW,0)),"")</f>
        <v>9.82</v>
      </c>
      <c r="N49" s="19">
        <f>IFERROR(INDEX([1]DATA!$AH:$AH,MATCH('[1]BC_ ĐG LX'!$C49&amp;'[1]BC_ ĐG LX'!N$3,[1]DATA!$AW:$AW,0)),"")</f>
        <v>8.84</v>
      </c>
      <c r="O49" s="19">
        <f>IFERROR(INDEX([1]DATA!$AH:$AH,MATCH('[1]BC_ ĐG LX'!$C49&amp;'[1]BC_ ĐG LX'!O$3,[1]DATA!$AW:$AW,0)),"")</f>
        <v>9.82</v>
      </c>
      <c r="P49" s="19">
        <f>IFERROR(INDEX([1]DATA!$AH:$AH,MATCH('[1]BC_ ĐG LX'!$C49&amp;'[1]BC_ ĐG LX'!P$3,[1]DATA!$AW:$AW,0)),"")</f>
        <v>9.82</v>
      </c>
      <c r="Q49" s="19">
        <f>IFERROR(INDEX([1]DATA!$AH:$AH,MATCH('[1]BC_ ĐG LX'!$C49&amp;'[1]BC_ ĐG LX'!Q$3,[1]DATA!$AW:$AW,0)),"")</f>
        <v>9.82</v>
      </c>
      <c r="R49" s="19">
        <f>IFERROR(INDEX([1]DATA!$AH:$AH,MATCH('[1]BC_ ĐG LX'!$C49&amp;'[1]BC_ ĐG LX'!R$3,[1]DATA!$AW:$AW,0)),"")</f>
        <v>9.82</v>
      </c>
      <c r="S49" s="19">
        <f>IFERROR(INDEX([1]DATA!$AH:$AH,MATCH('[1]BC_ ĐG LX'!$C49&amp;'[1]BC_ ĐG LX'!S$3,[1]DATA!$AW:$AW,0)),"")</f>
        <v>9.82</v>
      </c>
      <c r="T49" s="19">
        <f>IFERROR(INDEX([1]DATA!$AH:$AH,MATCH('[1]BC_ ĐG LX'!$C49&amp;'[1]BC_ ĐG LX'!T$3,[1]DATA!$AW:$AW,0)),"")</f>
        <v>9.82</v>
      </c>
      <c r="U49" s="19">
        <f>IFERROR(INDEX([1]DATA!$AH:$AH,MATCH('[1]BC_ ĐG LX'!$C49&amp;'[1]BC_ ĐG LX'!U$3,[1]DATA!$AW:$AW,0)),"")</f>
        <v>9.82</v>
      </c>
      <c r="V49" s="19">
        <f>IFERROR(INDEX([1]DATA!$AH:$AH,MATCH('[1]BC_ ĐG LX'!$C49&amp;'[1]BC_ ĐG LX'!V$3,[1]DATA!$AW:$AW,0)),"")</f>
        <v>9.02</v>
      </c>
      <c r="W49" s="19">
        <f>IFERROR(INDEX([1]DATA!$AH:$AH,MATCH('[1]BC_ ĐG LX'!$C49&amp;'[1]BC_ ĐG LX'!W$3,[1]DATA!$AW:$AW,0)),"")</f>
        <v>9.02</v>
      </c>
      <c r="X49" s="19">
        <f>IFERROR(INDEX([1]DATA!$AH:$AH,MATCH('[1]BC_ ĐG LX'!$C49&amp;'[1]BC_ ĐG LX'!X$3,[1]DATA!$AW:$AW,0)),"")</f>
        <v>9.82</v>
      </c>
      <c r="Y49" s="19">
        <f>IFERROR(INDEX([1]DATA!$AH:$AH,MATCH('[1]BC_ ĐG LX'!$C49&amp;'[1]BC_ ĐG LX'!Y$3,[1]DATA!$AW:$AW,0)),"")</f>
        <v>7.82</v>
      </c>
      <c r="Z49" s="19">
        <f>IFERROR(INDEX([1]DATA!$AH:$AH,MATCH('[1]BC_ ĐG LX'!$C49&amp;'[1]BC_ ĐG LX'!Z$3,[1]DATA!$AW:$AW,0)),"")</f>
        <v>9.82</v>
      </c>
      <c r="AA49" s="19">
        <f>IFERROR(INDEX([1]DATA!$AH:$AH,MATCH('[1]BC_ ĐG LX'!$C49&amp;'[1]BC_ ĐG LX'!AA$3,[1]DATA!$AW:$AW,0)),"")</f>
        <v>9.42</v>
      </c>
      <c r="AB49" s="19">
        <f>IFERROR(INDEX([1]DATA!$AH:$AH,MATCH('[1]BC_ ĐG LX'!$C49&amp;'[1]BC_ ĐG LX'!AB$3,[1]DATA!$AW:$AW,0)),"")</f>
        <v>9.82</v>
      </c>
      <c r="AC49" s="19">
        <f>IFERROR(INDEX([1]DATA!$AH:$AH,MATCH('[1]BC_ ĐG LX'!$C49&amp;'[1]BC_ ĐG LX'!AC$3,[1]DATA!$AW:$AW,0)),"")</f>
        <v>7.22</v>
      </c>
      <c r="AD49" s="19">
        <f>IFERROR(INDEX([1]DATA!$AH:$AH,MATCH('[1]BC_ ĐG LX'!$C49&amp;'[1]BC_ ĐG LX'!AD$3,[1]DATA!$AW:$AW,0)),"")</f>
        <v>9.42</v>
      </c>
      <c r="AE49" s="19">
        <f>IFERROR(INDEX([1]DATA!$AH:$AH,MATCH('[1]BC_ ĐG LX'!$C49&amp;'[1]BC_ ĐG LX'!AE$3,[1]DATA!$AW:$AW,0)),"")</f>
        <v>9.02</v>
      </c>
      <c r="AF49" s="19" t="str">
        <f>IFERROR(INDEX([1]DATA!$AH:$AH,MATCH('[1]BC_ ĐG LX'!$C49&amp;'[1]BC_ ĐG LX'!AF$3,[1]DATA!$AW:$AW,0)),"")</f>
        <v/>
      </c>
      <c r="AG49" s="19" t="str">
        <f>IFERROR(INDEX([1]DATA!$AH:$AH,MATCH('[1]BC_ ĐG LX'!$C49&amp;'[1]BC_ ĐG LX'!AG$3,[1]DATA!$AW:$AW,0)),"")</f>
        <v/>
      </c>
      <c r="AH49" s="19" t="str">
        <f>IFERROR(INDEX([1]DATA!$AH:$AH,MATCH('[1]BC_ ĐG LX'!$C49&amp;'[1]BC_ ĐG LX'!AH$3,[1]DATA!$AW:$AW,0)),"")</f>
        <v/>
      </c>
      <c r="AI49" s="19" t="str">
        <f>IFERROR(INDEX([1]DATA!$AH:$AH,MATCH('[1]BC_ ĐG LX'!$C49&amp;'[1]BC_ ĐG LX'!AI$3,[1]DATA!$AW:$AW,0)),"")</f>
        <v/>
      </c>
      <c r="AJ49" s="19" t="str">
        <f>IFERROR(INDEX([1]DATA!$AH:$AH,MATCH('[1]BC_ ĐG LX'!$C49&amp;'[1]BC_ ĐG LX'!AJ$3,[1]DATA!$AW:$AW,0)),"")</f>
        <v/>
      </c>
      <c r="AK49" s="26">
        <f t="shared" si="2"/>
        <v>9.5</v>
      </c>
      <c r="AL49" s="21"/>
      <c r="AM49" s="22">
        <f t="shared" si="3"/>
        <v>25</v>
      </c>
      <c r="AN49" s="22" t="str">
        <f>_xlfn.XLOOKUP(B49,[1]DATA!AF:AF,[1]DATA!AX:AX)</f>
        <v>Linh</v>
      </c>
      <c r="AO49"/>
    </row>
    <row r="50" spans="1:41" s="22" customFormat="1" ht="14.25" customHeight="1">
      <c r="A50" s="16">
        <f>SUBTOTAL(3,$D$33:D50)</f>
        <v>18</v>
      </c>
      <c r="B50" s="16" t="str">
        <f>_xlfn.XLOOKUP(C50,[1]DATA!D:D,[1]DATA!AF:AF)</f>
        <v>XE00194</v>
      </c>
      <c r="C50" s="18" t="s">
        <v>69</v>
      </c>
      <c r="D50" s="16" t="s">
        <v>19</v>
      </c>
      <c r="E50" s="18" t="s">
        <v>17</v>
      </c>
      <c r="F50" s="18" t="s">
        <v>18</v>
      </c>
      <c r="G50" s="19">
        <f>IFERROR(INDEX([1]DATA!$AH:$AH,MATCH('[1]BC_ ĐG LX'!$C50&amp;'[1]BC_ ĐG LX'!G$3,[1]DATA!$AW:$AW,0)),"")</f>
        <v>8.44</v>
      </c>
      <c r="H50" s="19">
        <f>IFERROR(INDEX([1]DATA!$AH:$AH,MATCH('[1]BC_ ĐG LX'!$C50&amp;'[1]BC_ ĐG LX'!H$3,[1]DATA!$AW:$AW,0)),"")</f>
        <v>9.82</v>
      </c>
      <c r="I50" s="19">
        <f>IFERROR(INDEX([1]DATA!$AH:$AH,MATCH('[1]BC_ ĐG LX'!$C50&amp;'[1]BC_ ĐG LX'!I$3,[1]DATA!$AW:$AW,0)),"")</f>
        <v>9.82</v>
      </c>
      <c r="J50" s="19">
        <f>IFERROR(INDEX([1]DATA!$AH:$AH,MATCH('[1]BC_ ĐG LX'!$C50&amp;'[1]BC_ ĐG LX'!J$3,[1]DATA!$AW:$AW,0)),"")</f>
        <v>9.82</v>
      </c>
      <c r="K50" s="19">
        <f>IFERROR(INDEX([1]DATA!$AH:$AH,MATCH('[1]BC_ ĐG LX'!$C50&amp;'[1]BC_ ĐG LX'!K$3,[1]DATA!$AW:$AW,0)),"")</f>
        <v>9.42</v>
      </c>
      <c r="L50" s="19">
        <f>IFERROR(INDEX([1]DATA!$AH:$AH,MATCH('[1]BC_ ĐG LX'!$C50&amp;'[1]BC_ ĐG LX'!L$3,[1]DATA!$AW:$AW,0)),"")</f>
        <v>9.42</v>
      </c>
      <c r="M50" s="19">
        <f>IFERROR(INDEX([1]DATA!$AH:$AH,MATCH('[1]BC_ ĐG LX'!$C50&amp;'[1]BC_ ĐG LX'!M$3,[1]DATA!$AW:$AW,0)),"")</f>
        <v>9.42</v>
      </c>
      <c r="N50" s="19">
        <f>IFERROR(INDEX([1]DATA!$AH:$AH,MATCH('[1]BC_ ĐG LX'!$C50&amp;'[1]BC_ ĐG LX'!N$3,[1]DATA!$AW:$AW,0)),"")</f>
        <v>9.2199999999999989</v>
      </c>
      <c r="O50" s="19">
        <f>IFERROR(INDEX([1]DATA!$AH:$AH,MATCH('[1]BC_ ĐG LX'!$C50&amp;'[1]BC_ ĐG LX'!O$3,[1]DATA!$AW:$AW,0)),"")</f>
        <v>9.02</v>
      </c>
      <c r="P50" s="19">
        <f>IFERROR(INDEX([1]DATA!$AH:$AH,MATCH('[1]BC_ ĐG LX'!$C50&amp;'[1]BC_ ĐG LX'!P$3,[1]DATA!$AW:$AW,0)),"")</f>
        <v>9.42</v>
      </c>
      <c r="Q50" s="19">
        <f>IFERROR(INDEX([1]DATA!$AH:$AH,MATCH('[1]BC_ ĐG LX'!$C50&amp;'[1]BC_ ĐG LX'!Q$3,[1]DATA!$AW:$AW,0)),"")</f>
        <v>9.42</v>
      </c>
      <c r="R50" s="19">
        <f>IFERROR(INDEX([1]DATA!$AH:$AH,MATCH('[1]BC_ ĐG LX'!$C50&amp;'[1]BC_ ĐG LX'!R$3,[1]DATA!$AW:$AW,0)),"")</f>
        <v>9.02</v>
      </c>
      <c r="S50" s="19">
        <f>IFERROR(INDEX([1]DATA!$AH:$AH,MATCH('[1]BC_ ĐG LX'!$C50&amp;'[1]BC_ ĐG LX'!S$3,[1]DATA!$AW:$AW,0)),"")</f>
        <v>8.84</v>
      </c>
      <c r="T50" s="19">
        <f>IFERROR(INDEX([1]DATA!$AH:$AH,MATCH('[1]BC_ ĐG LX'!$C50&amp;'[1]BC_ ĐG LX'!T$3,[1]DATA!$AW:$AW,0)),"")</f>
        <v>9.42</v>
      </c>
      <c r="U50" s="19">
        <f>IFERROR(INDEX([1]DATA!$AH:$AH,MATCH('[1]BC_ ĐG LX'!$C50&amp;'[1]BC_ ĐG LX'!U$3,[1]DATA!$AW:$AW,0)),"")</f>
        <v>9.82</v>
      </c>
      <c r="V50" s="19">
        <f>IFERROR(INDEX([1]DATA!$AH:$AH,MATCH('[1]BC_ ĐG LX'!$C50&amp;'[1]BC_ ĐG LX'!V$3,[1]DATA!$AW:$AW,0)),"")</f>
        <v>9.82</v>
      </c>
      <c r="W50" s="19">
        <f>IFERROR(INDEX([1]DATA!$AH:$AH,MATCH('[1]BC_ ĐG LX'!$C50&amp;'[1]BC_ ĐG LX'!W$3,[1]DATA!$AW:$AW,0)),"")</f>
        <v>9.82</v>
      </c>
      <c r="X50" s="19">
        <f>IFERROR(INDEX([1]DATA!$AH:$AH,MATCH('[1]BC_ ĐG LX'!$C50&amp;'[1]BC_ ĐG LX'!X$3,[1]DATA!$AW:$AW,0)),"")</f>
        <v>9.42</v>
      </c>
      <c r="Y50" s="19">
        <f>IFERROR(INDEX([1]DATA!$AH:$AH,MATCH('[1]BC_ ĐG LX'!$C50&amp;'[1]BC_ ĐG LX'!Y$3,[1]DATA!$AW:$AW,0)),"")</f>
        <v>8.84</v>
      </c>
      <c r="Z50" s="19">
        <f>IFERROR(INDEX([1]DATA!$AH:$AH,MATCH('[1]BC_ ĐG LX'!$C50&amp;'[1]BC_ ĐG LX'!Z$3,[1]DATA!$AW:$AW,0)),"")</f>
        <v>9.82</v>
      </c>
      <c r="AA50" s="19">
        <f>IFERROR(INDEX([1]DATA!$AH:$AH,MATCH('[1]BC_ ĐG LX'!$C50&amp;'[1]BC_ ĐG LX'!AA$3,[1]DATA!$AW:$AW,0)),"")</f>
        <v>9.02</v>
      </c>
      <c r="AB50" s="19">
        <f>IFERROR(INDEX([1]DATA!$AH:$AH,MATCH('[1]BC_ ĐG LX'!$C50&amp;'[1]BC_ ĐG LX'!AB$3,[1]DATA!$AW:$AW,0)),"")</f>
        <v>9.02</v>
      </c>
      <c r="AC50" s="19">
        <f>IFERROR(INDEX([1]DATA!$AH:$AH,MATCH('[1]BC_ ĐG LX'!$C50&amp;'[1]BC_ ĐG LX'!AC$3,[1]DATA!$AW:$AW,0)),"")</f>
        <v>9.42</v>
      </c>
      <c r="AD50" s="19">
        <f>IFERROR(INDEX([1]DATA!$AH:$AH,MATCH('[1]BC_ ĐG LX'!$C50&amp;'[1]BC_ ĐG LX'!AD$3,[1]DATA!$AW:$AW,0)),"")</f>
        <v>9.82</v>
      </c>
      <c r="AE50" s="19">
        <f>IFERROR(INDEX([1]DATA!$AH:$AH,MATCH('[1]BC_ ĐG LX'!$C50&amp;'[1]BC_ ĐG LX'!AE$3,[1]DATA!$AW:$AW,0)),"")</f>
        <v>9.82</v>
      </c>
      <c r="AF50" s="19" t="str">
        <f>IFERROR(INDEX([1]DATA!$AH:$AH,MATCH('[1]BC_ ĐG LX'!$C50&amp;'[1]BC_ ĐG LX'!AF$3,[1]DATA!$AW:$AW,0)),"")</f>
        <v/>
      </c>
      <c r="AG50" s="19" t="str">
        <f>IFERROR(INDEX([1]DATA!$AH:$AH,MATCH('[1]BC_ ĐG LX'!$C50&amp;'[1]BC_ ĐG LX'!AG$3,[1]DATA!$AW:$AW,0)),"")</f>
        <v/>
      </c>
      <c r="AH50" s="19" t="str">
        <f>IFERROR(INDEX([1]DATA!$AH:$AH,MATCH('[1]BC_ ĐG LX'!$C50&amp;'[1]BC_ ĐG LX'!AH$3,[1]DATA!$AW:$AW,0)),"")</f>
        <v/>
      </c>
      <c r="AI50" s="19" t="str">
        <f>IFERROR(INDEX([1]DATA!$AH:$AH,MATCH('[1]BC_ ĐG LX'!$C50&amp;'[1]BC_ ĐG LX'!AI$3,[1]DATA!$AW:$AW,0)),"")</f>
        <v/>
      </c>
      <c r="AJ50" s="19" t="str">
        <f>IFERROR(INDEX([1]DATA!$AH:$AH,MATCH('[1]BC_ ĐG LX'!$C50&amp;'[1]BC_ ĐG LX'!AJ$3,[1]DATA!$AW:$AW,0)),"")</f>
        <v/>
      </c>
      <c r="AK50" s="26">
        <f t="shared" si="2"/>
        <v>9.5</v>
      </c>
      <c r="AL50" s="21"/>
      <c r="AM50" s="22">
        <f t="shared" si="3"/>
        <v>25</v>
      </c>
      <c r="AN50" s="22" t="str">
        <f>_xlfn.XLOOKUP(B50,[1]DATA!AF:AF,[1]DATA!AX:AX)</f>
        <v>Linh</v>
      </c>
      <c r="AO50"/>
    </row>
    <row r="51" spans="1:41" s="22" customFormat="1" ht="14.25" customHeight="1">
      <c r="A51" s="16">
        <f>SUBTOTAL(3,$D$33:D51)</f>
        <v>19</v>
      </c>
      <c r="B51" s="16" t="str">
        <f>_xlfn.XLOOKUP(C51,[1]DATA!D:D,[1]DATA!AF:AF)</f>
        <v>XE00253</v>
      </c>
      <c r="C51" s="18" t="s">
        <v>70</v>
      </c>
      <c r="D51" s="16" t="s">
        <v>19</v>
      </c>
      <c r="E51" s="18" t="s">
        <v>17</v>
      </c>
      <c r="F51" s="18" t="s">
        <v>18</v>
      </c>
      <c r="G51" s="19">
        <f>IFERROR(INDEX([1]DATA!$AH:$AH,MATCH('[1]BC_ ĐG LX'!$C51&amp;'[1]BC_ ĐG LX'!G$3,[1]DATA!$AW:$AW,0)),"")</f>
        <v>9.42</v>
      </c>
      <c r="H51" s="19">
        <f>IFERROR(INDEX([1]DATA!$AH:$AH,MATCH('[1]BC_ ĐG LX'!$C51&amp;'[1]BC_ ĐG LX'!H$3,[1]DATA!$AW:$AW,0)),"")</f>
        <v>9.42</v>
      </c>
      <c r="I51" s="19">
        <f>IFERROR(INDEX([1]DATA!$AH:$AH,MATCH('[1]BC_ ĐG LX'!$C51&amp;'[1]BC_ ĐG LX'!I$3,[1]DATA!$AW:$AW,0)),"")</f>
        <v>9.42</v>
      </c>
      <c r="J51" s="19">
        <f>IFERROR(INDEX([1]DATA!$AH:$AH,MATCH('[1]BC_ ĐG LX'!$C51&amp;'[1]BC_ ĐG LX'!J$3,[1]DATA!$AW:$AW,0)),"")</f>
        <v>9.82</v>
      </c>
      <c r="K51" s="19">
        <f>IFERROR(INDEX([1]DATA!$AH:$AH,MATCH('[1]BC_ ĐG LX'!$C51&amp;'[1]BC_ ĐG LX'!K$3,[1]DATA!$AW:$AW,0)),"")</f>
        <v>8.44</v>
      </c>
      <c r="L51" s="19">
        <f>IFERROR(INDEX([1]DATA!$AH:$AH,MATCH('[1]BC_ ĐG LX'!$C51&amp;'[1]BC_ ĐG LX'!L$3,[1]DATA!$AW:$AW,0)),"")</f>
        <v>9.82</v>
      </c>
      <c r="M51" s="19">
        <f>IFERROR(INDEX([1]DATA!$AH:$AH,MATCH('[1]BC_ ĐG LX'!$C51&amp;'[1]BC_ ĐG LX'!M$3,[1]DATA!$AW:$AW,0)),"")</f>
        <v>8.84</v>
      </c>
      <c r="N51" s="19">
        <f>IFERROR(INDEX([1]DATA!$AH:$AH,MATCH('[1]BC_ ĐG LX'!$C51&amp;'[1]BC_ ĐG LX'!N$3,[1]DATA!$AW:$AW,0)),"")</f>
        <v>9.6199999999999992</v>
      </c>
      <c r="O51" s="19">
        <f>IFERROR(INDEX([1]DATA!$AH:$AH,MATCH('[1]BC_ ĐG LX'!$C51&amp;'[1]BC_ ĐG LX'!O$3,[1]DATA!$AW:$AW,0)),"")</f>
        <v>9.82</v>
      </c>
      <c r="P51" s="19">
        <f>IFERROR(INDEX([1]DATA!$AH:$AH,MATCH('[1]BC_ ĐG LX'!$C51&amp;'[1]BC_ ĐG LX'!P$3,[1]DATA!$AW:$AW,0)),"")</f>
        <v>7.24</v>
      </c>
      <c r="Q51" s="19">
        <f>IFERROR(INDEX([1]DATA!$AH:$AH,MATCH('[1]BC_ ĐG LX'!$C51&amp;'[1]BC_ ĐG LX'!Q$3,[1]DATA!$AW:$AW,0)),"")</f>
        <v>9.82</v>
      </c>
      <c r="R51" s="19">
        <f>IFERROR(INDEX([1]DATA!$AH:$AH,MATCH('[1]BC_ ĐG LX'!$C51&amp;'[1]BC_ ĐG LX'!R$3,[1]DATA!$AW:$AW,0)),"")</f>
        <v>9.42</v>
      </c>
      <c r="S51" s="19">
        <f>IFERROR(INDEX([1]DATA!$AH:$AH,MATCH('[1]BC_ ĐG LX'!$C51&amp;'[1]BC_ ĐG LX'!S$3,[1]DATA!$AW:$AW,0)),"")</f>
        <v>9.82</v>
      </c>
      <c r="T51" s="19">
        <f>IFERROR(INDEX([1]DATA!$AH:$AH,MATCH('[1]BC_ ĐG LX'!$C51&amp;'[1]BC_ ĐG LX'!T$3,[1]DATA!$AW:$AW,0)),"")</f>
        <v>9.02</v>
      </c>
      <c r="U51" s="19">
        <f>IFERROR(INDEX([1]DATA!$AH:$AH,MATCH('[1]BC_ ĐG LX'!$C51&amp;'[1]BC_ ĐG LX'!U$3,[1]DATA!$AW:$AW,0)),"")</f>
        <v>9.82</v>
      </c>
      <c r="V51" s="19">
        <f>IFERROR(INDEX([1]DATA!$AH:$AH,MATCH('[1]BC_ ĐG LX'!$C51&amp;'[1]BC_ ĐG LX'!V$3,[1]DATA!$AW:$AW,0)),"")</f>
        <v>9.42</v>
      </c>
      <c r="W51" s="19">
        <f>IFERROR(INDEX([1]DATA!$AH:$AH,MATCH('[1]BC_ ĐG LX'!$C51&amp;'[1]BC_ ĐG LX'!W$3,[1]DATA!$AW:$AW,0)),"")</f>
        <v>9.42</v>
      </c>
      <c r="X51" s="19">
        <f>IFERROR(INDEX([1]DATA!$AH:$AH,MATCH('[1]BC_ ĐG LX'!$C51&amp;'[1]BC_ ĐG LX'!X$3,[1]DATA!$AW:$AW,0)),"")</f>
        <v>9.82</v>
      </c>
      <c r="Y51" s="19">
        <f>IFERROR(INDEX([1]DATA!$AH:$AH,MATCH('[1]BC_ ĐG LX'!$C51&amp;'[1]BC_ ĐG LX'!Y$3,[1]DATA!$AW:$AW,0)),"")</f>
        <v>9.42</v>
      </c>
      <c r="Z51" s="19">
        <f>IFERROR(INDEX([1]DATA!$AH:$AH,MATCH('[1]BC_ ĐG LX'!$C51&amp;'[1]BC_ ĐG LX'!Z$3,[1]DATA!$AW:$AW,0)),"")</f>
        <v>9.42</v>
      </c>
      <c r="AA51" s="19" t="str">
        <f>IFERROR(INDEX([1]DATA!$AH:$AH,MATCH('[1]BC_ ĐG LX'!$C51&amp;'[1]BC_ ĐG LX'!AA$3,[1]DATA!$AW:$AW,0)),"")</f>
        <v/>
      </c>
      <c r="AB51" s="19" t="str">
        <f>IFERROR(INDEX([1]DATA!$AH:$AH,MATCH('[1]BC_ ĐG LX'!$C51&amp;'[1]BC_ ĐG LX'!AB$3,[1]DATA!$AW:$AW,0)),"")</f>
        <v/>
      </c>
      <c r="AC51" s="19" t="str">
        <f>IFERROR(INDEX([1]DATA!$AH:$AH,MATCH('[1]BC_ ĐG LX'!$C51&amp;'[1]BC_ ĐG LX'!AC$3,[1]DATA!$AW:$AW,0)),"")</f>
        <v/>
      </c>
      <c r="AD51" s="19" t="str">
        <f>IFERROR(INDEX([1]DATA!$AH:$AH,MATCH('[1]BC_ ĐG LX'!$C51&amp;'[1]BC_ ĐG LX'!AD$3,[1]DATA!$AW:$AW,0)),"")</f>
        <v/>
      </c>
      <c r="AE51" s="19" t="str">
        <f>IFERROR(INDEX([1]DATA!$AH:$AH,MATCH('[1]BC_ ĐG LX'!$C51&amp;'[1]BC_ ĐG LX'!AE$3,[1]DATA!$AW:$AW,0)),"")</f>
        <v/>
      </c>
      <c r="AF51" s="19" t="str">
        <f>IFERROR(INDEX([1]DATA!$AH:$AH,MATCH('[1]BC_ ĐG LX'!$C51&amp;'[1]BC_ ĐG LX'!AF$3,[1]DATA!$AW:$AW,0)),"")</f>
        <v/>
      </c>
      <c r="AG51" s="19" t="str">
        <f>IFERROR(INDEX([1]DATA!$AH:$AH,MATCH('[1]BC_ ĐG LX'!$C51&amp;'[1]BC_ ĐG LX'!AG$3,[1]DATA!$AW:$AW,0)),"")</f>
        <v/>
      </c>
      <c r="AH51" s="19" t="str">
        <f>IFERROR(INDEX([1]DATA!$AH:$AH,MATCH('[1]BC_ ĐG LX'!$C51&amp;'[1]BC_ ĐG LX'!AH$3,[1]DATA!$AW:$AW,0)),"")</f>
        <v/>
      </c>
      <c r="AI51" s="19" t="str">
        <f>IFERROR(INDEX([1]DATA!$AH:$AH,MATCH('[1]BC_ ĐG LX'!$C51&amp;'[1]BC_ ĐG LX'!AI$3,[1]DATA!$AW:$AW,0)),"")</f>
        <v/>
      </c>
      <c r="AJ51" s="19" t="str">
        <f>IFERROR(INDEX([1]DATA!$AH:$AH,MATCH('[1]BC_ ĐG LX'!$C51&amp;'[1]BC_ ĐG LX'!AJ$3,[1]DATA!$AW:$AW,0)),"")</f>
        <v/>
      </c>
      <c r="AK51" s="26">
        <f t="shared" si="2"/>
        <v>9.4</v>
      </c>
      <c r="AL51" s="21"/>
      <c r="AM51" s="22">
        <f t="shared" si="3"/>
        <v>20</v>
      </c>
      <c r="AN51" s="22" t="str">
        <f>_xlfn.XLOOKUP(B51,[1]DATA!AF:AF,[1]DATA!AX:AX)</f>
        <v>Linh</v>
      </c>
      <c r="AO51"/>
    </row>
    <row r="52" spans="1:41" s="22" customFormat="1" ht="14.25" customHeight="1">
      <c r="A52" s="16">
        <f>SUBTOTAL(3,$D$33:D52)</f>
        <v>20</v>
      </c>
      <c r="B52" s="16" t="str">
        <f>_xlfn.XLOOKUP(C52,[1]DATA!D:D,[1]DATA!AF:AF)</f>
        <v>XE00291</v>
      </c>
      <c r="C52" s="18" t="s">
        <v>71</v>
      </c>
      <c r="D52" s="16" t="s">
        <v>19</v>
      </c>
      <c r="E52" s="18" t="s">
        <v>17</v>
      </c>
      <c r="F52" s="18" t="s">
        <v>18</v>
      </c>
      <c r="G52" s="19">
        <f>IFERROR(INDEX([1]DATA!$AH:$AH,MATCH('[1]BC_ ĐG LX'!$C52&amp;'[1]BC_ ĐG LX'!G$3,[1]DATA!$AW:$AW,0)),"")</f>
        <v>9.42</v>
      </c>
      <c r="H52" s="19">
        <f>IFERROR(INDEX([1]DATA!$AH:$AH,MATCH('[1]BC_ ĐG LX'!$C52&amp;'[1]BC_ ĐG LX'!H$3,[1]DATA!$AW:$AW,0)),"")</f>
        <v>9.82</v>
      </c>
      <c r="I52" s="19">
        <f>IFERROR(INDEX([1]DATA!$AH:$AH,MATCH('[1]BC_ ĐG LX'!$C52&amp;'[1]BC_ ĐG LX'!I$3,[1]DATA!$AW:$AW,0)),"")</f>
        <v>9.82</v>
      </c>
      <c r="J52" s="19">
        <f>IFERROR(INDEX([1]DATA!$AH:$AH,MATCH('[1]BC_ ĐG LX'!$C52&amp;'[1]BC_ ĐG LX'!J$3,[1]DATA!$AW:$AW,0)),"")</f>
        <v>9.82</v>
      </c>
      <c r="K52" s="19">
        <f>IFERROR(INDEX([1]DATA!$AH:$AH,MATCH('[1]BC_ ĐG LX'!$C52&amp;'[1]BC_ ĐG LX'!K$3,[1]DATA!$AW:$AW,0)),"")</f>
        <v>9.42</v>
      </c>
      <c r="L52" s="19">
        <f>IFERROR(INDEX([1]DATA!$AH:$AH,MATCH('[1]BC_ ĐG LX'!$C52&amp;'[1]BC_ ĐG LX'!L$3,[1]DATA!$AW:$AW,0)),"")</f>
        <v>9.82</v>
      </c>
      <c r="M52" s="19">
        <f>IFERROR(INDEX([1]DATA!$AH:$AH,MATCH('[1]BC_ ĐG LX'!$C52&amp;'[1]BC_ ĐG LX'!M$3,[1]DATA!$AW:$AW,0)),"")</f>
        <v>9.42</v>
      </c>
      <c r="N52" s="19">
        <f>IFERROR(INDEX([1]DATA!$AH:$AH,MATCH('[1]BC_ ĐG LX'!$C52&amp;'[1]BC_ ĐG LX'!N$3,[1]DATA!$AW:$AW,0)),"")</f>
        <v>9.42</v>
      </c>
      <c r="O52" s="19">
        <f>IFERROR(INDEX([1]DATA!$AH:$AH,MATCH('[1]BC_ ĐG LX'!$C52&amp;'[1]BC_ ĐG LX'!O$3,[1]DATA!$AW:$AW,0)),"")</f>
        <v>9.42</v>
      </c>
      <c r="P52" s="19">
        <f>IFERROR(INDEX([1]DATA!$AH:$AH,MATCH('[1]BC_ ĐG LX'!$C52&amp;'[1]BC_ ĐG LX'!P$3,[1]DATA!$AW:$AW,0)),"")</f>
        <v>7.24</v>
      </c>
      <c r="Q52" s="19">
        <f>IFERROR(INDEX([1]DATA!$AH:$AH,MATCH('[1]BC_ ĐG LX'!$C52&amp;'[1]BC_ ĐG LX'!Q$3,[1]DATA!$AW:$AW,0)),"")</f>
        <v>9.42</v>
      </c>
      <c r="R52" s="19">
        <f>IFERROR(INDEX([1]DATA!$AH:$AH,MATCH('[1]BC_ ĐG LX'!$C52&amp;'[1]BC_ ĐG LX'!R$3,[1]DATA!$AW:$AW,0)),"")</f>
        <v>7.82</v>
      </c>
      <c r="S52" s="19">
        <f>IFERROR(INDEX([1]DATA!$AH:$AH,MATCH('[1]BC_ ĐG LX'!$C52&amp;'[1]BC_ ĐG LX'!S$3,[1]DATA!$AW:$AW,0)),"")</f>
        <v>8.84</v>
      </c>
      <c r="T52" s="19">
        <f>IFERROR(INDEX([1]DATA!$AH:$AH,MATCH('[1]BC_ ĐG LX'!$C52&amp;'[1]BC_ ĐG LX'!T$3,[1]DATA!$AW:$AW,0)),"")</f>
        <v>9.82</v>
      </c>
      <c r="U52" s="19">
        <f>IFERROR(INDEX([1]DATA!$AH:$AH,MATCH('[1]BC_ ĐG LX'!$C52&amp;'[1]BC_ ĐG LX'!U$3,[1]DATA!$AW:$AW,0)),"")</f>
        <v>9.82</v>
      </c>
      <c r="V52" s="19">
        <f>IFERROR(INDEX([1]DATA!$AH:$AH,MATCH('[1]BC_ ĐG LX'!$C52&amp;'[1]BC_ ĐG LX'!V$3,[1]DATA!$AW:$AW,0)),"")</f>
        <v>9.42</v>
      </c>
      <c r="W52" s="19">
        <f>IFERROR(INDEX([1]DATA!$AH:$AH,MATCH('[1]BC_ ĐG LX'!$C52&amp;'[1]BC_ ĐG LX'!W$3,[1]DATA!$AW:$AW,0)),"")</f>
        <v>10</v>
      </c>
      <c r="X52" s="19">
        <f>IFERROR(INDEX([1]DATA!$AH:$AH,MATCH('[1]BC_ ĐG LX'!$C52&amp;'[1]BC_ ĐG LX'!X$3,[1]DATA!$AW:$AW,0)),"")</f>
        <v>9.82</v>
      </c>
      <c r="Y52" s="19">
        <f>IFERROR(INDEX([1]DATA!$AH:$AH,MATCH('[1]BC_ ĐG LX'!$C52&amp;'[1]BC_ ĐG LX'!Y$3,[1]DATA!$AW:$AW,0)),"")</f>
        <v>8.44</v>
      </c>
      <c r="Z52" s="19">
        <f>IFERROR(INDEX([1]DATA!$AH:$AH,MATCH('[1]BC_ ĐG LX'!$C52&amp;'[1]BC_ ĐG LX'!Z$3,[1]DATA!$AW:$AW,0)),"")</f>
        <v>9.42</v>
      </c>
      <c r="AA52" s="19">
        <f>IFERROR(INDEX([1]DATA!$AH:$AH,MATCH('[1]BC_ ĐG LX'!$C52&amp;'[1]BC_ ĐG LX'!AA$3,[1]DATA!$AW:$AW,0)),"")</f>
        <v>9.42</v>
      </c>
      <c r="AB52" s="19">
        <f>IFERROR(INDEX([1]DATA!$AH:$AH,MATCH('[1]BC_ ĐG LX'!$C52&amp;'[1]BC_ ĐG LX'!AB$3,[1]DATA!$AW:$AW,0)),"")</f>
        <v>7.82</v>
      </c>
      <c r="AC52" s="19">
        <f>IFERROR(INDEX([1]DATA!$AH:$AH,MATCH('[1]BC_ ĐG LX'!$C52&amp;'[1]BC_ ĐG LX'!AC$3,[1]DATA!$AW:$AW,0)),"")</f>
        <v>9.42</v>
      </c>
      <c r="AD52" s="19">
        <f>IFERROR(INDEX([1]DATA!$AH:$AH,MATCH('[1]BC_ ĐG LX'!$C52&amp;'[1]BC_ ĐG LX'!AD$3,[1]DATA!$AW:$AW,0)),"")</f>
        <v>10</v>
      </c>
      <c r="AE52" s="19">
        <f>IFERROR(INDEX([1]DATA!$AH:$AH,MATCH('[1]BC_ ĐG LX'!$C52&amp;'[1]BC_ ĐG LX'!AE$3,[1]DATA!$AW:$AW,0)),"")</f>
        <v>8.84</v>
      </c>
      <c r="AF52" s="19" t="str">
        <f>IFERROR(INDEX([1]DATA!$AH:$AH,MATCH('[1]BC_ ĐG LX'!$C52&amp;'[1]BC_ ĐG LX'!AF$3,[1]DATA!$AW:$AW,0)),"")</f>
        <v/>
      </c>
      <c r="AG52" s="19" t="str">
        <f>IFERROR(INDEX([1]DATA!$AH:$AH,MATCH('[1]BC_ ĐG LX'!$C52&amp;'[1]BC_ ĐG LX'!AG$3,[1]DATA!$AW:$AW,0)),"")</f>
        <v/>
      </c>
      <c r="AH52" s="19" t="str">
        <f>IFERROR(INDEX([1]DATA!$AH:$AH,MATCH('[1]BC_ ĐG LX'!$C52&amp;'[1]BC_ ĐG LX'!AH$3,[1]DATA!$AW:$AW,0)),"")</f>
        <v/>
      </c>
      <c r="AI52" s="19" t="str">
        <f>IFERROR(INDEX([1]DATA!$AH:$AH,MATCH('[1]BC_ ĐG LX'!$C52&amp;'[1]BC_ ĐG LX'!AI$3,[1]DATA!$AW:$AW,0)),"")</f>
        <v/>
      </c>
      <c r="AJ52" s="19" t="str">
        <f>IFERROR(INDEX([1]DATA!$AH:$AH,MATCH('[1]BC_ ĐG LX'!$C52&amp;'[1]BC_ ĐG LX'!AJ$3,[1]DATA!$AW:$AW,0)),"")</f>
        <v/>
      </c>
      <c r="AK52" s="26">
        <f t="shared" si="2"/>
        <v>9.2999999999999989</v>
      </c>
      <c r="AL52" s="21"/>
      <c r="AM52" s="22">
        <f t="shared" si="3"/>
        <v>25</v>
      </c>
      <c r="AN52" s="22" t="str">
        <f>_xlfn.XLOOKUP(B52,[1]DATA!AF:AF,[1]DATA!AX:AX)</f>
        <v>Linh</v>
      </c>
      <c r="AO52"/>
    </row>
    <row r="53" spans="1:41" s="22" customFormat="1" ht="14.25" customHeight="1">
      <c r="A53" s="16">
        <f>SUBTOTAL(3,$D$33:D53)</f>
        <v>21</v>
      </c>
      <c r="B53" s="16" t="str">
        <f>_xlfn.XLOOKUP(C53,[1]DATA!D:D,[1]DATA!AF:AF)</f>
        <v>XE00298</v>
      </c>
      <c r="C53" s="18" t="s">
        <v>72</v>
      </c>
      <c r="D53" s="16" t="s">
        <v>19</v>
      </c>
      <c r="E53" s="18" t="s">
        <v>17</v>
      </c>
      <c r="F53" s="18" t="s">
        <v>18</v>
      </c>
      <c r="G53" s="19">
        <f>IFERROR(INDEX([1]DATA!$AH:$AH,MATCH('[1]BC_ ĐG LX'!$C53&amp;'[1]BC_ ĐG LX'!G$3,[1]DATA!$AW:$AW,0)),"")</f>
        <v>8.44</v>
      </c>
      <c r="H53" s="19">
        <f>IFERROR(INDEX([1]DATA!$AH:$AH,MATCH('[1]BC_ ĐG LX'!$C53&amp;'[1]BC_ ĐG LX'!H$3,[1]DATA!$AW:$AW,0)),"")</f>
        <v>9.82</v>
      </c>
      <c r="I53" s="19">
        <f>IFERROR(INDEX([1]DATA!$AH:$AH,MATCH('[1]BC_ ĐG LX'!$C53&amp;'[1]BC_ ĐG LX'!I$3,[1]DATA!$AW:$AW,0)),"")</f>
        <v>9.64</v>
      </c>
      <c r="J53" s="19">
        <f>IFERROR(INDEX([1]DATA!$AH:$AH,MATCH('[1]BC_ ĐG LX'!$C53&amp;'[1]BC_ ĐG LX'!J$3,[1]DATA!$AW:$AW,0)),"")</f>
        <v>9.82</v>
      </c>
      <c r="K53" s="19">
        <f>IFERROR(INDEX([1]DATA!$AH:$AH,MATCH('[1]BC_ ĐG LX'!$C53&amp;'[1]BC_ ĐG LX'!K$3,[1]DATA!$AW:$AW,0)),"")</f>
        <v>8.44</v>
      </c>
      <c r="L53" s="19">
        <f>IFERROR(INDEX([1]DATA!$AH:$AH,MATCH('[1]BC_ ĐG LX'!$C53&amp;'[1]BC_ ĐG LX'!L$3,[1]DATA!$AW:$AW,0)),"")</f>
        <v>9.42</v>
      </c>
      <c r="M53" s="19">
        <f>IFERROR(INDEX([1]DATA!$AH:$AH,MATCH('[1]BC_ ĐG LX'!$C53&amp;'[1]BC_ ĐG LX'!M$3,[1]DATA!$AW:$AW,0)),"")</f>
        <v>9.82</v>
      </c>
      <c r="N53" s="19">
        <f>IFERROR(INDEX([1]DATA!$AH:$AH,MATCH('[1]BC_ ĐG LX'!$C53&amp;'[1]BC_ ĐG LX'!N$3,[1]DATA!$AW:$AW,0)),"")</f>
        <v>8.84</v>
      </c>
      <c r="O53" s="19">
        <f>IFERROR(INDEX([1]DATA!$AH:$AH,MATCH('[1]BC_ ĐG LX'!$C53&amp;'[1]BC_ ĐG LX'!O$3,[1]DATA!$AW:$AW,0)),"")</f>
        <v>9.82</v>
      </c>
      <c r="P53" s="19">
        <f>IFERROR(INDEX([1]DATA!$AH:$AH,MATCH('[1]BC_ ĐG LX'!$C53&amp;'[1]BC_ ĐG LX'!P$3,[1]DATA!$AW:$AW,0)),"")</f>
        <v>8.84</v>
      </c>
      <c r="Q53" s="19">
        <f>IFERROR(INDEX([1]DATA!$AH:$AH,MATCH('[1]BC_ ĐG LX'!$C53&amp;'[1]BC_ ĐG LX'!Q$3,[1]DATA!$AW:$AW,0)),"")</f>
        <v>9.42</v>
      </c>
      <c r="R53" s="19">
        <f>IFERROR(INDEX([1]DATA!$AH:$AH,MATCH('[1]BC_ ĐG LX'!$C53&amp;'[1]BC_ ĐG LX'!R$3,[1]DATA!$AW:$AW,0)),"")</f>
        <v>9.44</v>
      </c>
      <c r="S53" s="19">
        <f>IFERROR(INDEX([1]DATA!$AH:$AH,MATCH('[1]BC_ ĐG LX'!$C53&amp;'[1]BC_ ĐG LX'!S$3,[1]DATA!$AW:$AW,0)),"")</f>
        <v>9.82</v>
      </c>
      <c r="T53" s="19">
        <f>IFERROR(INDEX([1]DATA!$AH:$AH,MATCH('[1]BC_ ĐG LX'!$C53&amp;'[1]BC_ ĐG LX'!T$3,[1]DATA!$AW:$AW,0)),"")</f>
        <v>9.42</v>
      </c>
      <c r="U53" s="19">
        <f>IFERROR(INDEX([1]DATA!$AH:$AH,MATCH('[1]BC_ ĐG LX'!$C53&amp;'[1]BC_ ĐG LX'!U$3,[1]DATA!$AW:$AW,0)),"")</f>
        <v>8.44</v>
      </c>
      <c r="V53" s="19">
        <f>IFERROR(INDEX([1]DATA!$AH:$AH,MATCH('[1]BC_ ĐG LX'!$C53&amp;'[1]BC_ ĐG LX'!V$3,[1]DATA!$AW:$AW,0)),"")</f>
        <v>9.42</v>
      </c>
      <c r="W53" s="19">
        <f>IFERROR(INDEX([1]DATA!$AH:$AH,MATCH('[1]BC_ ĐG LX'!$C53&amp;'[1]BC_ ĐG LX'!W$3,[1]DATA!$AW:$AW,0)),"")</f>
        <v>9.02</v>
      </c>
      <c r="X53" s="19">
        <f>IFERROR(INDEX([1]DATA!$AH:$AH,MATCH('[1]BC_ ĐG LX'!$C53&amp;'[1]BC_ ĐG LX'!X$3,[1]DATA!$AW:$AW,0)),"")</f>
        <v>9.82</v>
      </c>
      <c r="Y53" s="19">
        <f>IFERROR(INDEX([1]DATA!$AH:$AH,MATCH('[1]BC_ ĐG LX'!$C53&amp;'[1]BC_ ĐG LX'!Y$3,[1]DATA!$AW:$AW,0)),"")</f>
        <v>9.82</v>
      </c>
      <c r="Z53" s="19">
        <f>IFERROR(INDEX([1]DATA!$AH:$AH,MATCH('[1]BC_ ĐG LX'!$C53&amp;'[1]BC_ ĐG LX'!Z$3,[1]DATA!$AW:$AW,0)),"")</f>
        <v>9.42</v>
      </c>
      <c r="AA53" s="19">
        <f>IFERROR(INDEX([1]DATA!$AH:$AH,MATCH('[1]BC_ ĐG LX'!$C53&amp;'[1]BC_ ĐG LX'!AA$3,[1]DATA!$AW:$AW,0)),"")</f>
        <v>9.82</v>
      </c>
      <c r="AB53" s="19">
        <f>IFERROR(INDEX([1]DATA!$AH:$AH,MATCH('[1]BC_ ĐG LX'!$C53&amp;'[1]BC_ ĐG LX'!AB$3,[1]DATA!$AW:$AW,0)),"")</f>
        <v>9.82</v>
      </c>
      <c r="AC53" s="19">
        <f>IFERROR(INDEX([1]DATA!$AH:$AH,MATCH('[1]BC_ ĐG LX'!$C53&amp;'[1]BC_ ĐG LX'!AC$3,[1]DATA!$AW:$AW,0)),"")</f>
        <v>9.82</v>
      </c>
      <c r="AD53" s="19">
        <f>IFERROR(INDEX([1]DATA!$AH:$AH,MATCH('[1]BC_ ĐG LX'!$C53&amp;'[1]BC_ ĐG LX'!AD$3,[1]DATA!$AW:$AW,0)),"")</f>
        <v>9.6199999999999992</v>
      </c>
      <c r="AE53" s="19">
        <f>IFERROR(INDEX([1]DATA!$AH:$AH,MATCH('[1]BC_ ĐG LX'!$C53&amp;'[1]BC_ ĐG LX'!AE$3,[1]DATA!$AW:$AW,0)),"")</f>
        <v>9.82</v>
      </c>
      <c r="AF53" s="19" t="str">
        <f>IFERROR(INDEX([1]DATA!$AH:$AH,MATCH('[1]BC_ ĐG LX'!$C53&amp;'[1]BC_ ĐG LX'!AF$3,[1]DATA!$AW:$AW,0)),"")</f>
        <v/>
      </c>
      <c r="AG53" s="19" t="str">
        <f>IFERROR(INDEX([1]DATA!$AH:$AH,MATCH('[1]BC_ ĐG LX'!$C53&amp;'[1]BC_ ĐG LX'!AG$3,[1]DATA!$AW:$AW,0)),"")</f>
        <v/>
      </c>
      <c r="AH53" s="19" t="str">
        <f>IFERROR(INDEX([1]DATA!$AH:$AH,MATCH('[1]BC_ ĐG LX'!$C53&amp;'[1]BC_ ĐG LX'!AH$3,[1]DATA!$AW:$AW,0)),"")</f>
        <v/>
      </c>
      <c r="AI53" s="19" t="str">
        <f>IFERROR(INDEX([1]DATA!$AH:$AH,MATCH('[1]BC_ ĐG LX'!$C53&amp;'[1]BC_ ĐG LX'!AI$3,[1]DATA!$AW:$AW,0)),"")</f>
        <v/>
      </c>
      <c r="AJ53" s="19" t="str">
        <f>IFERROR(INDEX([1]DATA!$AH:$AH,MATCH('[1]BC_ ĐG LX'!$C53&amp;'[1]BC_ ĐG LX'!AJ$3,[1]DATA!$AW:$AW,0)),"")</f>
        <v/>
      </c>
      <c r="AK53" s="26">
        <f t="shared" si="2"/>
        <v>9.5</v>
      </c>
      <c r="AL53" s="21"/>
      <c r="AM53" s="22">
        <f t="shared" si="3"/>
        <v>25</v>
      </c>
      <c r="AN53" s="22" t="str">
        <f>_xlfn.XLOOKUP(B53,[1]DATA!AF:AF,[1]DATA!AX:AX)</f>
        <v>Lương</v>
      </c>
      <c r="AO53"/>
    </row>
    <row r="54" spans="1:41" s="22" customFormat="1" ht="14.25" customHeight="1">
      <c r="A54" s="16">
        <f>SUBTOTAL(3,$D$33:D54)</f>
        <v>22</v>
      </c>
      <c r="B54" s="16" t="str">
        <f>_xlfn.XLOOKUP(C54,[1]DATA!D:D,[1]DATA!AF:AF)</f>
        <v>XE00301</v>
      </c>
      <c r="C54" s="18" t="s">
        <v>73</v>
      </c>
      <c r="D54" s="16" t="s">
        <v>19</v>
      </c>
      <c r="E54" s="18" t="s">
        <v>17</v>
      </c>
      <c r="F54" s="18" t="s">
        <v>18</v>
      </c>
      <c r="G54" s="19">
        <f>IFERROR(INDEX([1]DATA!$AH:$AH,MATCH('[1]BC_ ĐG LX'!$C54&amp;'[1]BC_ ĐG LX'!G$3,[1]DATA!$AW:$AW,0)),"")</f>
        <v>9.82</v>
      </c>
      <c r="H54" s="19">
        <f>IFERROR(INDEX([1]DATA!$AH:$AH,MATCH('[1]BC_ ĐG LX'!$C54&amp;'[1]BC_ ĐG LX'!H$3,[1]DATA!$AW:$AW,0)),"")</f>
        <v>9.82</v>
      </c>
      <c r="I54" s="19">
        <f>IFERROR(INDEX([1]DATA!$AH:$AH,MATCH('[1]BC_ ĐG LX'!$C54&amp;'[1]BC_ ĐG LX'!I$3,[1]DATA!$AW:$AW,0)),"")</f>
        <v>9.82</v>
      </c>
      <c r="J54" s="19">
        <f>IFERROR(INDEX([1]DATA!$AH:$AH,MATCH('[1]BC_ ĐG LX'!$C54&amp;'[1]BC_ ĐG LX'!J$3,[1]DATA!$AW:$AW,0)),"")</f>
        <v>9.42</v>
      </c>
      <c r="K54" s="19">
        <f>IFERROR(INDEX([1]DATA!$AH:$AH,MATCH('[1]BC_ ĐG LX'!$C54&amp;'[1]BC_ ĐG LX'!K$3,[1]DATA!$AW:$AW,0)),"")</f>
        <v>9.42</v>
      </c>
      <c r="L54" s="19">
        <f>IFERROR(INDEX([1]DATA!$AH:$AH,MATCH('[1]BC_ ĐG LX'!$C54&amp;'[1]BC_ ĐG LX'!L$3,[1]DATA!$AW:$AW,0)),"")</f>
        <v>9.42</v>
      </c>
      <c r="M54" s="19">
        <f>IFERROR(INDEX([1]DATA!$AH:$AH,MATCH('[1]BC_ ĐG LX'!$C54&amp;'[1]BC_ ĐG LX'!M$3,[1]DATA!$AW:$AW,0)),"")</f>
        <v>9.82</v>
      </c>
      <c r="N54" s="19">
        <f>IFERROR(INDEX([1]DATA!$AH:$AH,MATCH('[1]BC_ ĐG LX'!$C54&amp;'[1]BC_ ĐG LX'!N$3,[1]DATA!$AW:$AW,0)),"")</f>
        <v>9.82</v>
      </c>
      <c r="O54" s="19">
        <f>IFERROR(INDEX([1]DATA!$AH:$AH,MATCH('[1]BC_ ĐG LX'!$C54&amp;'[1]BC_ ĐG LX'!O$3,[1]DATA!$AW:$AW,0)),"")</f>
        <v>9.24</v>
      </c>
      <c r="P54" s="19">
        <f>IFERROR(INDEX([1]DATA!$AH:$AH,MATCH('[1]BC_ ĐG LX'!$C54&amp;'[1]BC_ ĐG LX'!P$3,[1]DATA!$AW:$AW,0)),"")</f>
        <v>9.82</v>
      </c>
      <c r="Q54" s="19">
        <f>IFERROR(INDEX([1]DATA!$AH:$AH,MATCH('[1]BC_ ĐG LX'!$C54&amp;'[1]BC_ ĐG LX'!Q$3,[1]DATA!$AW:$AW,0)),"")</f>
        <v>9.82</v>
      </c>
      <c r="R54" s="19">
        <f>IFERROR(INDEX([1]DATA!$AH:$AH,MATCH('[1]BC_ ĐG LX'!$C54&amp;'[1]BC_ ĐG LX'!R$3,[1]DATA!$AW:$AW,0)),"")</f>
        <v>9.42</v>
      </c>
      <c r="S54" s="19">
        <f>IFERROR(INDEX([1]DATA!$AH:$AH,MATCH('[1]BC_ ĐG LX'!$C54&amp;'[1]BC_ ĐG LX'!S$3,[1]DATA!$AW:$AW,0)),"")</f>
        <v>9.82</v>
      </c>
      <c r="T54" s="19">
        <f>IFERROR(INDEX([1]DATA!$AH:$AH,MATCH('[1]BC_ ĐG LX'!$C54&amp;'[1]BC_ ĐG LX'!T$3,[1]DATA!$AW:$AW,0)),"")</f>
        <v>9.82</v>
      </c>
      <c r="U54" s="19">
        <f>IFERROR(INDEX([1]DATA!$AH:$AH,MATCH('[1]BC_ ĐG LX'!$C54&amp;'[1]BC_ ĐG LX'!U$3,[1]DATA!$AW:$AW,0)),"")</f>
        <v>9.82</v>
      </c>
      <c r="V54" s="19">
        <f>IFERROR(INDEX([1]DATA!$AH:$AH,MATCH('[1]BC_ ĐG LX'!$C54&amp;'[1]BC_ ĐG LX'!V$3,[1]DATA!$AW:$AW,0)),"")</f>
        <v>9.82</v>
      </c>
      <c r="W54" s="19">
        <f>IFERROR(INDEX([1]DATA!$AH:$AH,MATCH('[1]BC_ ĐG LX'!$C54&amp;'[1]BC_ ĐG LX'!W$3,[1]DATA!$AW:$AW,0)),"")</f>
        <v>9.42</v>
      </c>
      <c r="X54" s="19">
        <f>IFERROR(INDEX([1]DATA!$AH:$AH,MATCH('[1]BC_ ĐG LX'!$C54&amp;'[1]BC_ ĐG LX'!X$3,[1]DATA!$AW:$AW,0)),"")</f>
        <v>9.02</v>
      </c>
      <c r="Y54" s="19">
        <f>IFERROR(INDEX([1]DATA!$AH:$AH,MATCH('[1]BC_ ĐG LX'!$C54&amp;'[1]BC_ ĐG LX'!Y$3,[1]DATA!$AW:$AW,0)),"")</f>
        <v>9.82</v>
      </c>
      <c r="Z54" s="19">
        <f>IFERROR(INDEX([1]DATA!$AH:$AH,MATCH('[1]BC_ ĐG LX'!$C54&amp;'[1]BC_ ĐG LX'!Z$3,[1]DATA!$AW:$AW,0)),"")</f>
        <v>9.82</v>
      </c>
      <c r="AA54" s="19">
        <f>IFERROR(INDEX([1]DATA!$AH:$AH,MATCH('[1]BC_ ĐG LX'!$C54&amp;'[1]BC_ ĐG LX'!AA$3,[1]DATA!$AW:$AW,0)),"")</f>
        <v>9.42</v>
      </c>
      <c r="AB54" s="19">
        <f>IFERROR(INDEX([1]DATA!$AH:$AH,MATCH('[1]BC_ ĐG LX'!$C54&amp;'[1]BC_ ĐG LX'!AB$3,[1]DATA!$AW:$AW,0)),"")</f>
        <v>9.42</v>
      </c>
      <c r="AC54" s="19">
        <f>IFERROR(INDEX([1]DATA!$AH:$AH,MATCH('[1]BC_ ĐG LX'!$C54&amp;'[1]BC_ ĐG LX'!AC$3,[1]DATA!$AW:$AW,0)),"")</f>
        <v>9.02</v>
      </c>
      <c r="AD54" s="19">
        <f>IFERROR(INDEX([1]DATA!$AH:$AH,MATCH('[1]BC_ ĐG LX'!$C54&amp;'[1]BC_ ĐG LX'!AD$3,[1]DATA!$AW:$AW,0)),"")</f>
        <v>9.42</v>
      </c>
      <c r="AE54" s="19">
        <f>IFERROR(INDEX([1]DATA!$AH:$AH,MATCH('[1]BC_ ĐG LX'!$C54&amp;'[1]BC_ ĐG LX'!AE$3,[1]DATA!$AW:$AW,0)),"")</f>
        <v>9.42</v>
      </c>
      <c r="AF54" s="19" t="str">
        <f>IFERROR(INDEX([1]DATA!$AH:$AH,MATCH('[1]BC_ ĐG LX'!$C54&amp;'[1]BC_ ĐG LX'!AF$3,[1]DATA!$AW:$AW,0)),"")</f>
        <v/>
      </c>
      <c r="AG54" s="19" t="str">
        <f>IFERROR(INDEX([1]DATA!$AH:$AH,MATCH('[1]BC_ ĐG LX'!$C54&amp;'[1]BC_ ĐG LX'!AG$3,[1]DATA!$AW:$AW,0)),"")</f>
        <v/>
      </c>
      <c r="AH54" s="19" t="str">
        <f>IFERROR(INDEX([1]DATA!$AH:$AH,MATCH('[1]BC_ ĐG LX'!$C54&amp;'[1]BC_ ĐG LX'!AH$3,[1]DATA!$AW:$AW,0)),"")</f>
        <v/>
      </c>
      <c r="AI54" s="19" t="str">
        <f>IFERROR(INDEX([1]DATA!$AH:$AH,MATCH('[1]BC_ ĐG LX'!$C54&amp;'[1]BC_ ĐG LX'!AI$3,[1]DATA!$AW:$AW,0)),"")</f>
        <v/>
      </c>
      <c r="AJ54" s="19" t="str">
        <f>IFERROR(INDEX([1]DATA!$AH:$AH,MATCH('[1]BC_ ĐG LX'!$C54&amp;'[1]BC_ ĐG LX'!AJ$3,[1]DATA!$AW:$AW,0)),"")</f>
        <v/>
      </c>
      <c r="AK54" s="26">
        <f t="shared" si="2"/>
        <v>9.6</v>
      </c>
      <c r="AL54" s="21"/>
      <c r="AM54" s="22">
        <f t="shared" si="3"/>
        <v>25</v>
      </c>
      <c r="AN54" s="22" t="str">
        <f>_xlfn.XLOOKUP(B54,[1]DATA!AF:AF,[1]DATA!AX:AX)</f>
        <v>Linh</v>
      </c>
      <c r="AO54"/>
    </row>
    <row r="55" spans="1:41" s="22" customFormat="1" ht="14.25" customHeight="1">
      <c r="A55" s="16">
        <f>SUBTOTAL(3,$D$33:D55)</f>
        <v>23</v>
      </c>
      <c r="B55" s="16" t="str">
        <f>_xlfn.XLOOKUP(C55,[1]DATA!D:D,[1]DATA!AF:AF)</f>
        <v>XE00304</v>
      </c>
      <c r="C55" s="18" t="s">
        <v>74</v>
      </c>
      <c r="D55" s="16" t="s">
        <v>19</v>
      </c>
      <c r="E55" s="18" t="s">
        <v>17</v>
      </c>
      <c r="F55" s="18" t="s">
        <v>18</v>
      </c>
      <c r="G55" s="19">
        <f>IFERROR(INDEX([1]DATA!$AH:$AH,MATCH('[1]BC_ ĐG LX'!$C55&amp;'[1]BC_ ĐG LX'!G$3,[1]DATA!$AW:$AW,0)),"")</f>
        <v>9.82</v>
      </c>
      <c r="H55" s="19">
        <f>IFERROR(INDEX([1]DATA!$AH:$AH,MATCH('[1]BC_ ĐG LX'!$C55&amp;'[1]BC_ ĐG LX'!H$3,[1]DATA!$AW:$AW,0)),"")</f>
        <v>9.82</v>
      </c>
      <c r="I55" s="19">
        <f>IFERROR(INDEX([1]DATA!$AH:$AH,MATCH('[1]BC_ ĐG LX'!$C55&amp;'[1]BC_ ĐG LX'!I$3,[1]DATA!$AW:$AW,0)),"")</f>
        <v>9.02</v>
      </c>
      <c r="J55" s="19">
        <f>IFERROR(INDEX([1]DATA!$AH:$AH,MATCH('[1]BC_ ĐG LX'!$C55&amp;'[1]BC_ ĐG LX'!J$3,[1]DATA!$AW:$AW,0)),"")</f>
        <v>10</v>
      </c>
      <c r="K55" s="19">
        <f>IFERROR(INDEX([1]DATA!$AH:$AH,MATCH('[1]BC_ ĐG LX'!$C55&amp;'[1]BC_ ĐG LX'!K$3,[1]DATA!$AW:$AW,0)),"")</f>
        <v>9.82</v>
      </c>
      <c r="L55" s="19">
        <f>IFERROR(INDEX([1]DATA!$AH:$AH,MATCH('[1]BC_ ĐG LX'!$C55&amp;'[1]BC_ ĐG LX'!L$3,[1]DATA!$AW:$AW,0)),"")</f>
        <v>7.6400000000000006</v>
      </c>
      <c r="M55" s="19">
        <f>IFERROR(INDEX([1]DATA!$AH:$AH,MATCH('[1]BC_ ĐG LX'!$C55&amp;'[1]BC_ ĐG LX'!M$3,[1]DATA!$AW:$AW,0)),"")</f>
        <v>9.82</v>
      </c>
      <c r="N55" s="19">
        <f>IFERROR(INDEX([1]DATA!$AH:$AH,MATCH('[1]BC_ ĐG LX'!$C55&amp;'[1]BC_ ĐG LX'!N$3,[1]DATA!$AW:$AW,0)),"")</f>
        <v>9.02</v>
      </c>
      <c r="O55" s="19">
        <f>IFERROR(INDEX([1]DATA!$AH:$AH,MATCH('[1]BC_ ĐG LX'!$C55&amp;'[1]BC_ ĐG LX'!O$3,[1]DATA!$AW:$AW,0)),"")</f>
        <v>9.82</v>
      </c>
      <c r="P55" s="19">
        <f>IFERROR(INDEX([1]DATA!$AH:$AH,MATCH('[1]BC_ ĐG LX'!$C55&amp;'[1]BC_ ĐG LX'!P$3,[1]DATA!$AW:$AW,0)),"")</f>
        <v>9.82</v>
      </c>
      <c r="Q55" s="19">
        <f>IFERROR(INDEX([1]DATA!$AH:$AH,MATCH('[1]BC_ ĐG LX'!$C55&amp;'[1]BC_ ĐG LX'!Q$3,[1]DATA!$AW:$AW,0)),"")</f>
        <v>9.42</v>
      </c>
      <c r="R55" s="19">
        <f>IFERROR(INDEX([1]DATA!$AH:$AH,MATCH('[1]BC_ ĐG LX'!$C55&amp;'[1]BC_ ĐG LX'!R$3,[1]DATA!$AW:$AW,0)),"")</f>
        <v>9.82</v>
      </c>
      <c r="S55" s="19">
        <f>IFERROR(INDEX([1]DATA!$AH:$AH,MATCH('[1]BC_ ĐG LX'!$C55&amp;'[1]BC_ ĐG LX'!S$3,[1]DATA!$AW:$AW,0)),"")</f>
        <v>9.02</v>
      </c>
      <c r="T55" s="19">
        <f>IFERROR(INDEX([1]DATA!$AH:$AH,MATCH('[1]BC_ ĐG LX'!$C55&amp;'[1]BC_ ĐG LX'!T$3,[1]DATA!$AW:$AW,0)),"")</f>
        <v>9.82</v>
      </c>
      <c r="U55" s="19">
        <f>IFERROR(INDEX([1]DATA!$AH:$AH,MATCH('[1]BC_ ĐG LX'!$C55&amp;'[1]BC_ ĐG LX'!U$3,[1]DATA!$AW:$AW,0)),"")</f>
        <v>9.82</v>
      </c>
      <c r="V55" s="19">
        <f>IFERROR(INDEX([1]DATA!$AH:$AH,MATCH('[1]BC_ ĐG LX'!$C55&amp;'[1]BC_ ĐG LX'!V$3,[1]DATA!$AW:$AW,0)),"")</f>
        <v>9.82</v>
      </c>
      <c r="W55" s="19">
        <f>IFERROR(INDEX([1]DATA!$AH:$AH,MATCH('[1]BC_ ĐG LX'!$C55&amp;'[1]BC_ ĐG LX'!W$3,[1]DATA!$AW:$AW,0)),"")</f>
        <v>9.42</v>
      </c>
      <c r="X55" s="19">
        <f>IFERROR(INDEX([1]DATA!$AH:$AH,MATCH('[1]BC_ ĐG LX'!$C55&amp;'[1]BC_ ĐG LX'!X$3,[1]DATA!$AW:$AW,0)),"")</f>
        <v>9.42</v>
      </c>
      <c r="Y55" s="19">
        <f>IFERROR(INDEX([1]DATA!$AH:$AH,MATCH('[1]BC_ ĐG LX'!$C55&amp;'[1]BC_ ĐG LX'!Y$3,[1]DATA!$AW:$AW,0)),"")</f>
        <v>9.82</v>
      </c>
      <c r="Z55" s="19">
        <f>IFERROR(INDEX([1]DATA!$AH:$AH,MATCH('[1]BC_ ĐG LX'!$C55&amp;'[1]BC_ ĐG LX'!Z$3,[1]DATA!$AW:$AW,0)),"")</f>
        <v>8.84</v>
      </c>
      <c r="AA55" s="19">
        <f>IFERROR(INDEX([1]DATA!$AH:$AH,MATCH('[1]BC_ ĐG LX'!$C55&amp;'[1]BC_ ĐG LX'!AA$3,[1]DATA!$AW:$AW,0)),"")</f>
        <v>9.82</v>
      </c>
      <c r="AB55" s="19">
        <f>IFERROR(INDEX([1]DATA!$AH:$AH,MATCH('[1]BC_ ĐG LX'!$C55&amp;'[1]BC_ ĐG LX'!AB$3,[1]DATA!$AW:$AW,0)),"")</f>
        <v>10</v>
      </c>
      <c r="AC55" s="19">
        <f>IFERROR(INDEX([1]DATA!$AH:$AH,MATCH('[1]BC_ ĐG LX'!$C55&amp;'[1]BC_ ĐG LX'!AC$3,[1]DATA!$AW:$AW,0)),"")</f>
        <v>10</v>
      </c>
      <c r="AD55" s="19">
        <f>IFERROR(INDEX([1]DATA!$AH:$AH,MATCH('[1]BC_ ĐG LX'!$C55&amp;'[1]BC_ ĐG LX'!AD$3,[1]DATA!$AW:$AW,0)),"")</f>
        <v>9.82</v>
      </c>
      <c r="AE55" s="19">
        <f>IFERROR(INDEX([1]DATA!$AH:$AH,MATCH('[1]BC_ ĐG LX'!$C55&amp;'[1]BC_ ĐG LX'!AE$3,[1]DATA!$AW:$AW,0)),"")</f>
        <v>9.42</v>
      </c>
      <c r="AF55" s="19" t="str">
        <f>IFERROR(INDEX([1]DATA!$AH:$AH,MATCH('[1]BC_ ĐG LX'!$C55&amp;'[1]BC_ ĐG LX'!AF$3,[1]DATA!$AW:$AW,0)),"")</f>
        <v/>
      </c>
      <c r="AG55" s="19" t="str">
        <f>IFERROR(INDEX([1]DATA!$AH:$AH,MATCH('[1]BC_ ĐG LX'!$C55&amp;'[1]BC_ ĐG LX'!AG$3,[1]DATA!$AW:$AW,0)),"")</f>
        <v/>
      </c>
      <c r="AH55" s="19" t="str">
        <f>IFERROR(INDEX([1]DATA!$AH:$AH,MATCH('[1]BC_ ĐG LX'!$C55&amp;'[1]BC_ ĐG LX'!AH$3,[1]DATA!$AW:$AW,0)),"")</f>
        <v/>
      </c>
      <c r="AI55" s="19" t="str">
        <f>IFERROR(INDEX([1]DATA!$AH:$AH,MATCH('[1]BC_ ĐG LX'!$C55&amp;'[1]BC_ ĐG LX'!AI$3,[1]DATA!$AW:$AW,0)),"")</f>
        <v/>
      </c>
      <c r="AJ55" s="19" t="str">
        <f>IFERROR(INDEX([1]DATA!$AH:$AH,MATCH('[1]BC_ ĐG LX'!$C55&amp;'[1]BC_ ĐG LX'!AJ$3,[1]DATA!$AW:$AW,0)),"")</f>
        <v/>
      </c>
      <c r="AK55" s="26">
        <f t="shared" si="2"/>
        <v>9.6</v>
      </c>
      <c r="AL55" s="21"/>
      <c r="AM55" s="22">
        <f t="shared" si="3"/>
        <v>25</v>
      </c>
      <c r="AN55" s="22" t="str">
        <f>_xlfn.XLOOKUP(B55,[1]DATA!AF:AF,[1]DATA!AX:AX)</f>
        <v>Linh</v>
      </c>
      <c r="AO55"/>
    </row>
    <row r="56" spans="1:41" s="22" customFormat="1" ht="14.25" customHeight="1">
      <c r="A56" s="16">
        <f>SUBTOTAL(3,$D$33:D56)</f>
        <v>24</v>
      </c>
      <c r="B56" s="16" t="str">
        <f>_xlfn.XLOOKUP(C56,[1]DATA!D:D,[1]DATA!AF:AF)</f>
        <v>XE00334</v>
      </c>
      <c r="C56" s="18" t="s">
        <v>75</v>
      </c>
      <c r="D56" s="16" t="s">
        <v>19</v>
      </c>
      <c r="E56" s="18" t="s">
        <v>17</v>
      </c>
      <c r="F56" s="18" t="s">
        <v>18</v>
      </c>
      <c r="G56" s="19">
        <f>IFERROR(INDEX([1]DATA!$AH:$AH,MATCH('[1]BC_ ĐG LX'!$C56&amp;'[1]BC_ ĐG LX'!G$3,[1]DATA!$AW:$AW,0)),"")</f>
        <v>9.24</v>
      </c>
      <c r="H56" s="19">
        <f>IFERROR(INDEX([1]DATA!$AH:$AH,MATCH('[1]BC_ ĐG LX'!$C56&amp;'[1]BC_ ĐG LX'!H$3,[1]DATA!$AW:$AW,0)),"")</f>
        <v>9.42</v>
      </c>
      <c r="I56" s="19">
        <f>IFERROR(INDEX([1]DATA!$AH:$AH,MATCH('[1]BC_ ĐG LX'!$C56&amp;'[1]BC_ ĐG LX'!I$3,[1]DATA!$AW:$AW,0)),"")</f>
        <v>9.82</v>
      </c>
      <c r="J56" s="19">
        <f>IFERROR(INDEX([1]DATA!$AH:$AH,MATCH('[1]BC_ ĐG LX'!$C56&amp;'[1]BC_ ĐG LX'!J$3,[1]DATA!$AW:$AW,0)),"")</f>
        <v>9.42</v>
      </c>
      <c r="K56" s="19">
        <f>IFERROR(INDEX([1]DATA!$AH:$AH,MATCH('[1]BC_ ĐG LX'!$C56&amp;'[1]BC_ ĐG LX'!K$3,[1]DATA!$AW:$AW,0)),"")</f>
        <v>9.82</v>
      </c>
      <c r="L56" s="19">
        <f>IFERROR(INDEX([1]DATA!$AH:$AH,MATCH('[1]BC_ ĐG LX'!$C56&amp;'[1]BC_ ĐG LX'!L$3,[1]DATA!$AW:$AW,0)),"")</f>
        <v>8.84</v>
      </c>
      <c r="M56" s="19">
        <f>IFERROR(INDEX([1]DATA!$AH:$AH,MATCH('[1]BC_ ĐG LX'!$C56&amp;'[1]BC_ ĐG LX'!M$3,[1]DATA!$AW:$AW,0)),"")</f>
        <v>9.02</v>
      </c>
      <c r="N56" s="19">
        <f>IFERROR(INDEX([1]DATA!$AH:$AH,MATCH('[1]BC_ ĐG LX'!$C56&amp;'[1]BC_ ĐG LX'!N$3,[1]DATA!$AW:$AW,0)),"")</f>
        <v>9.82</v>
      </c>
      <c r="O56" s="19">
        <f>IFERROR(INDEX([1]DATA!$AH:$AH,MATCH('[1]BC_ ĐG LX'!$C56&amp;'[1]BC_ ĐG LX'!O$3,[1]DATA!$AW:$AW,0)),"")</f>
        <v>9.82</v>
      </c>
      <c r="P56" s="19">
        <f>IFERROR(INDEX([1]DATA!$AH:$AH,MATCH('[1]BC_ ĐG LX'!$C56&amp;'[1]BC_ ĐG LX'!P$3,[1]DATA!$AW:$AW,0)),"")</f>
        <v>9.82</v>
      </c>
      <c r="Q56" s="19">
        <f>IFERROR(INDEX([1]DATA!$AH:$AH,MATCH('[1]BC_ ĐG LX'!$C56&amp;'[1]BC_ ĐG LX'!Q$3,[1]DATA!$AW:$AW,0)),"")</f>
        <v>9.82</v>
      </c>
      <c r="R56" s="19">
        <f>IFERROR(INDEX([1]DATA!$AH:$AH,MATCH('[1]BC_ ĐG LX'!$C56&amp;'[1]BC_ ĐG LX'!R$3,[1]DATA!$AW:$AW,0)),"")</f>
        <v>9.02</v>
      </c>
      <c r="S56" s="19">
        <f>IFERROR(INDEX([1]DATA!$AH:$AH,MATCH('[1]BC_ ĐG LX'!$C56&amp;'[1]BC_ ĐG LX'!S$3,[1]DATA!$AW:$AW,0)),"")</f>
        <v>8.84</v>
      </c>
      <c r="T56" s="19">
        <f>IFERROR(INDEX([1]DATA!$AH:$AH,MATCH('[1]BC_ ĐG LX'!$C56&amp;'[1]BC_ ĐG LX'!T$3,[1]DATA!$AW:$AW,0)),"")</f>
        <v>9.2199999999999989</v>
      </c>
      <c r="U56" s="19">
        <f>IFERROR(INDEX([1]DATA!$AH:$AH,MATCH('[1]BC_ ĐG LX'!$C56&amp;'[1]BC_ ĐG LX'!U$3,[1]DATA!$AW:$AW,0)),"")</f>
        <v>9.6199999999999992</v>
      </c>
      <c r="V56" s="19">
        <f>IFERROR(INDEX([1]DATA!$AH:$AH,MATCH('[1]BC_ ĐG LX'!$C56&amp;'[1]BC_ ĐG LX'!V$3,[1]DATA!$AW:$AW,0)),"")</f>
        <v>9.42</v>
      </c>
      <c r="W56" s="19">
        <f>IFERROR(INDEX([1]DATA!$AH:$AH,MATCH('[1]BC_ ĐG LX'!$C56&amp;'[1]BC_ ĐG LX'!W$3,[1]DATA!$AW:$AW,0)),"")</f>
        <v>9.82</v>
      </c>
      <c r="X56" s="19">
        <f>IFERROR(INDEX([1]DATA!$AH:$AH,MATCH('[1]BC_ ĐG LX'!$C56&amp;'[1]BC_ ĐG LX'!X$3,[1]DATA!$AW:$AW,0)),"")</f>
        <v>9.82</v>
      </c>
      <c r="Y56" s="19">
        <f>IFERROR(INDEX([1]DATA!$AH:$AH,MATCH('[1]BC_ ĐG LX'!$C56&amp;'[1]BC_ ĐG LX'!Y$3,[1]DATA!$AW:$AW,0)),"")</f>
        <v>9.82</v>
      </c>
      <c r="Z56" s="19">
        <f>IFERROR(INDEX([1]DATA!$AH:$AH,MATCH('[1]BC_ ĐG LX'!$C56&amp;'[1]BC_ ĐG LX'!Z$3,[1]DATA!$AW:$AW,0)),"")</f>
        <v>9.82</v>
      </c>
      <c r="AA56" s="19">
        <f>IFERROR(INDEX([1]DATA!$AH:$AH,MATCH('[1]BC_ ĐG LX'!$C56&amp;'[1]BC_ ĐG LX'!AA$3,[1]DATA!$AW:$AW,0)),"")</f>
        <v>9.82</v>
      </c>
      <c r="AB56" s="19">
        <f>IFERROR(INDEX([1]DATA!$AH:$AH,MATCH('[1]BC_ ĐG LX'!$C56&amp;'[1]BC_ ĐG LX'!AB$3,[1]DATA!$AW:$AW,0)),"")</f>
        <v>9.82</v>
      </c>
      <c r="AC56" s="19">
        <f>IFERROR(INDEX([1]DATA!$AH:$AH,MATCH('[1]BC_ ĐG LX'!$C56&amp;'[1]BC_ ĐG LX'!AC$3,[1]DATA!$AW:$AW,0)),"")</f>
        <v>9.82</v>
      </c>
      <c r="AD56" s="19">
        <f>IFERROR(INDEX([1]DATA!$AH:$AH,MATCH('[1]BC_ ĐG LX'!$C56&amp;'[1]BC_ ĐG LX'!AD$3,[1]DATA!$AW:$AW,0)),"")</f>
        <v>9.82</v>
      </c>
      <c r="AE56" s="19">
        <f>IFERROR(INDEX([1]DATA!$AH:$AH,MATCH('[1]BC_ ĐG LX'!$C56&amp;'[1]BC_ ĐG LX'!AE$3,[1]DATA!$AW:$AW,0)),"")</f>
        <v>9.82</v>
      </c>
      <c r="AF56" s="19" t="str">
        <f>IFERROR(INDEX([1]DATA!$AH:$AH,MATCH('[1]BC_ ĐG LX'!$C56&amp;'[1]BC_ ĐG LX'!AF$3,[1]DATA!$AW:$AW,0)),"")</f>
        <v/>
      </c>
      <c r="AG56" s="19" t="str">
        <f>IFERROR(INDEX([1]DATA!$AH:$AH,MATCH('[1]BC_ ĐG LX'!$C56&amp;'[1]BC_ ĐG LX'!AG$3,[1]DATA!$AW:$AW,0)),"")</f>
        <v/>
      </c>
      <c r="AH56" s="19" t="str">
        <f>IFERROR(INDEX([1]DATA!$AH:$AH,MATCH('[1]BC_ ĐG LX'!$C56&amp;'[1]BC_ ĐG LX'!AH$3,[1]DATA!$AW:$AW,0)),"")</f>
        <v/>
      </c>
      <c r="AI56" s="19" t="str">
        <f>IFERROR(INDEX([1]DATA!$AH:$AH,MATCH('[1]BC_ ĐG LX'!$C56&amp;'[1]BC_ ĐG LX'!AI$3,[1]DATA!$AW:$AW,0)),"")</f>
        <v/>
      </c>
      <c r="AJ56" s="19" t="str">
        <f>IFERROR(INDEX([1]DATA!$AH:$AH,MATCH('[1]BC_ ĐG LX'!$C56&amp;'[1]BC_ ĐG LX'!AJ$3,[1]DATA!$AW:$AW,0)),"")</f>
        <v/>
      </c>
      <c r="AK56" s="26">
        <f t="shared" si="2"/>
        <v>9.6</v>
      </c>
      <c r="AL56" s="21"/>
      <c r="AM56" s="22">
        <f t="shared" si="3"/>
        <v>25</v>
      </c>
      <c r="AN56" s="22" t="str">
        <f>_xlfn.XLOOKUP(B56,[1]DATA!AF:AF,[1]DATA!AX:AX)</f>
        <v>Linh</v>
      </c>
      <c r="AO56"/>
    </row>
    <row r="57" spans="1:41" s="22" customFormat="1" ht="14.25" customHeight="1">
      <c r="A57" s="16">
        <f>SUBTOTAL(3,$D$33:D57)</f>
        <v>25</v>
      </c>
      <c r="B57" s="16" t="str">
        <f>_xlfn.XLOOKUP(C57,[1]DATA!D:D,[1]DATA!AF:AF)</f>
        <v>XE00373</v>
      </c>
      <c r="C57" s="18" t="s">
        <v>76</v>
      </c>
      <c r="D57" s="16" t="s">
        <v>19</v>
      </c>
      <c r="E57" s="18" t="s">
        <v>17</v>
      </c>
      <c r="F57" s="18" t="s">
        <v>18</v>
      </c>
      <c r="G57" s="19">
        <f>IFERROR(INDEX([1]DATA!$AH:$AH,MATCH('[1]BC_ ĐG LX'!$C57&amp;'[1]BC_ ĐG LX'!G$3,[1]DATA!$AW:$AW,0)),"")</f>
        <v>9.42</v>
      </c>
      <c r="H57" s="19">
        <f>IFERROR(INDEX([1]DATA!$AH:$AH,MATCH('[1]BC_ ĐG LX'!$C57&amp;'[1]BC_ ĐG LX'!H$3,[1]DATA!$AW:$AW,0)),"")</f>
        <v>9.02</v>
      </c>
      <c r="I57" s="19">
        <f>IFERROR(INDEX([1]DATA!$AH:$AH,MATCH('[1]BC_ ĐG LX'!$C57&amp;'[1]BC_ ĐG LX'!I$3,[1]DATA!$AW:$AW,0)),"")</f>
        <v>10</v>
      </c>
      <c r="J57" s="19">
        <f>IFERROR(INDEX([1]DATA!$AH:$AH,MATCH('[1]BC_ ĐG LX'!$C57&amp;'[1]BC_ ĐG LX'!J$3,[1]DATA!$AW:$AW,0)),"")</f>
        <v>9.82</v>
      </c>
      <c r="K57" s="19">
        <f>IFERROR(INDEX([1]DATA!$AH:$AH,MATCH('[1]BC_ ĐG LX'!$C57&amp;'[1]BC_ ĐG LX'!K$3,[1]DATA!$AW:$AW,0)),"")</f>
        <v>9.82</v>
      </c>
      <c r="L57" s="19">
        <f>IFERROR(INDEX([1]DATA!$AH:$AH,MATCH('[1]BC_ ĐG LX'!$C57&amp;'[1]BC_ ĐG LX'!L$3,[1]DATA!$AW:$AW,0)),"")</f>
        <v>9.02</v>
      </c>
      <c r="M57" s="19">
        <f>IFERROR(INDEX([1]DATA!$AH:$AH,MATCH('[1]BC_ ĐG LX'!$C57&amp;'[1]BC_ ĐG LX'!M$3,[1]DATA!$AW:$AW,0)),"")</f>
        <v>9.02</v>
      </c>
      <c r="N57" s="19">
        <f>IFERROR(INDEX([1]DATA!$AH:$AH,MATCH('[1]BC_ ĐG LX'!$C57&amp;'[1]BC_ ĐG LX'!N$3,[1]DATA!$AW:$AW,0)),"")</f>
        <v>9.82</v>
      </c>
      <c r="O57" s="19">
        <f>IFERROR(INDEX([1]DATA!$AH:$AH,MATCH('[1]BC_ ĐG LX'!$C57&amp;'[1]BC_ ĐG LX'!O$3,[1]DATA!$AW:$AW,0)),"")</f>
        <v>9.82</v>
      </c>
      <c r="P57" s="19">
        <f>IFERROR(INDEX([1]DATA!$AH:$AH,MATCH('[1]BC_ ĐG LX'!$C57&amp;'[1]BC_ ĐG LX'!P$3,[1]DATA!$AW:$AW,0)),"")</f>
        <v>9.82</v>
      </c>
      <c r="Q57" s="19">
        <f>IFERROR(INDEX([1]DATA!$AH:$AH,MATCH('[1]BC_ ĐG LX'!$C57&amp;'[1]BC_ ĐG LX'!Q$3,[1]DATA!$AW:$AW,0)),"")</f>
        <v>9.42</v>
      </c>
      <c r="R57" s="19">
        <f>IFERROR(INDEX([1]DATA!$AH:$AH,MATCH('[1]BC_ ĐG LX'!$C57&amp;'[1]BC_ ĐG LX'!R$3,[1]DATA!$AW:$AW,0)),"")</f>
        <v>9.42</v>
      </c>
      <c r="S57" s="19">
        <f>IFERROR(INDEX([1]DATA!$AH:$AH,MATCH('[1]BC_ ĐG LX'!$C57&amp;'[1]BC_ ĐG LX'!S$3,[1]DATA!$AW:$AW,0)),"")</f>
        <v>9.42</v>
      </c>
      <c r="T57" s="19">
        <f>IFERROR(INDEX([1]DATA!$AH:$AH,MATCH('[1]BC_ ĐG LX'!$C57&amp;'[1]BC_ ĐG LX'!T$3,[1]DATA!$AW:$AW,0)),"")</f>
        <v>9.82</v>
      </c>
      <c r="U57" s="19">
        <f>IFERROR(INDEX([1]DATA!$AH:$AH,MATCH('[1]BC_ ĐG LX'!$C57&amp;'[1]BC_ ĐG LX'!U$3,[1]DATA!$AW:$AW,0)),"")</f>
        <v>9.82</v>
      </c>
      <c r="V57" s="19">
        <f>IFERROR(INDEX([1]DATA!$AH:$AH,MATCH('[1]BC_ ĐG LX'!$C57&amp;'[1]BC_ ĐG LX'!V$3,[1]DATA!$AW:$AW,0)),"")</f>
        <v>9.82</v>
      </c>
      <c r="W57" s="19">
        <f>IFERROR(INDEX([1]DATA!$AH:$AH,MATCH('[1]BC_ ĐG LX'!$C57&amp;'[1]BC_ ĐG LX'!W$3,[1]DATA!$AW:$AW,0)),"")</f>
        <v>10</v>
      </c>
      <c r="X57" s="19">
        <f>IFERROR(INDEX([1]DATA!$AH:$AH,MATCH('[1]BC_ ĐG LX'!$C57&amp;'[1]BC_ ĐG LX'!X$3,[1]DATA!$AW:$AW,0)),"")</f>
        <v>9.42</v>
      </c>
      <c r="Y57" s="19">
        <f>IFERROR(INDEX([1]DATA!$AH:$AH,MATCH('[1]BC_ ĐG LX'!$C57&amp;'[1]BC_ ĐG LX'!Y$3,[1]DATA!$AW:$AW,0)),"")</f>
        <v>9.82</v>
      </c>
      <c r="Z57" s="19">
        <f>IFERROR(INDEX([1]DATA!$AH:$AH,MATCH('[1]BC_ ĐG LX'!$C57&amp;'[1]BC_ ĐG LX'!Z$3,[1]DATA!$AW:$AW,0)),"")</f>
        <v>9.82</v>
      </c>
      <c r="AA57" s="19">
        <f>IFERROR(INDEX([1]DATA!$AH:$AH,MATCH('[1]BC_ ĐG LX'!$C57&amp;'[1]BC_ ĐG LX'!AA$3,[1]DATA!$AW:$AW,0)),"")</f>
        <v>9.42</v>
      </c>
      <c r="AB57" s="19">
        <f>IFERROR(INDEX([1]DATA!$AH:$AH,MATCH('[1]BC_ ĐG LX'!$C57&amp;'[1]BC_ ĐG LX'!AB$3,[1]DATA!$AW:$AW,0)),"")</f>
        <v>9.6199999999999992</v>
      </c>
      <c r="AC57" s="19">
        <f>IFERROR(INDEX([1]DATA!$AH:$AH,MATCH('[1]BC_ ĐG LX'!$C57&amp;'[1]BC_ ĐG LX'!AC$3,[1]DATA!$AW:$AW,0)),"")</f>
        <v>9.82</v>
      </c>
      <c r="AD57" s="19">
        <f>IFERROR(INDEX([1]DATA!$AH:$AH,MATCH('[1]BC_ ĐG LX'!$C57&amp;'[1]BC_ ĐG LX'!AD$3,[1]DATA!$AW:$AW,0)),"")</f>
        <v>9.82</v>
      </c>
      <c r="AE57" s="19">
        <f>IFERROR(INDEX([1]DATA!$AH:$AH,MATCH('[1]BC_ ĐG LX'!$C57&amp;'[1]BC_ ĐG LX'!AE$3,[1]DATA!$AW:$AW,0)),"")</f>
        <v>9.42</v>
      </c>
      <c r="AF57" s="19" t="str">
        <f>IFERROR(INDEX([1]DATA!$AH:$AH,MATCH('[1]BC_ ĐG LX'!$C57&amp;'[1]BC_ ĐG LX'!AF$3,[1]DATA!$AW:$AW,0)),"")</f>
        <v/>
      </c>
      <c r="AG57" s="19" t="str">
        <f>IFERROR(INDEX([1]DATA!$AH:$AH,MATCH('[1]BC_ ĐG LX'!$C57&amp;'[1]BC_ ĐG LX'!AG$3,[1]DATA!$AW:$AW,0)),"")</f>
        <v/>
      </c>
      <c r="AH57" s="19" t="str">
        <f>IFERROR(INDEX([1]DATA!$AH:$AH,MATCH('[1]BC_ ĐG LX'!$C57&amp;'[1]BC_ ĐG LX'!AH$3,[1]DATA!$AW:$AW,0)),"")</f>
        <v/>
      </c>
      <c r="AI57" s="19" t="str">
        <f>IFERROR(INDEX([1]DATA!$AH:$AH,MATCH('[1]BC_ ĐG LX'!$C57&amp;'[1]BC_ ĐG LX'!AI$3,[1]DATA!$AW:$AW,0)),"")</f>
        <v/>
      </c>
      <c r="AJ57" s="19" t="str">
        <f>IFERROR(INDEX([1]DATA!$AH:$AH,MATCH('[1]BC_ ĐG LX'!$C57&amp;'[1]BC_ ĐG LX'!AJ$3,[1]DATA!$AW:$AW,0)),"")</f>
        <v/>
      </c>
      <c r="AK57" s="26">
        <f t="shared" si="2"/>
        <v>9.6999999999999993</v>
      </c>
      <c r="AL57" s="21"/>
      <c r="AM57" s="22">
        <f t="shared" si="3"/>
        <v>25</v>
      </c>
      <c r="AN57" s="22" t="str">
        <f>_xlfn.XLOOKUP(B57,[1]DATA!AF:AF,[1]DATA!AX:AX)</f>
        <v>Linh</v>
      </c>
      <c r="AO57"/>
    </row>
    <row r="58" spans="1:41" s="22" customFormat="1" ht="13.5" customHeight="1">
      <c r="A58" s="16">
        <f>SUBTOTAL(3,$D$33:D58)</f>
        <v>26</v>
      </c>
      <c r="B58" s="16" t="str">
        <f>_xlfn.XLOOKUP(C58,[1]DATA!D:D,[1]DATA!AF:AF)</f>
        <v>XE00376</v>
      </c>
      <c r="C58" s="18" t="s">
        <v>77</v>
      </c>
      <c r="D58" s="16" t="s">
        <v>19</v>
      </c>
      <c r="E58" s="18" t="s">
        <v>17</v>
      </c>
      <c r="F58" s="18" t="s">
        <v>18</v>
      </c>
      <c r="G58" s="19">
        <f>IFERROR(INDEX([1]DATA!$AH:$AH,MATCH('[1]BC_ ĐG LX'!$C58&amp;'[1]BC_ ĐG LX'!G$3,[1]DATA!$AW:$AW,0)),"")</f>
        <v>9.82</v>
      </c>
      <c r="H58" s="19">
        <f>IFERROR(INDEX([1]DATA!$AH:$AH,MATCH('[1]BC_ ĐG LX'!$C58&amp;'[1]BC_ ĐG LX'!H$3,[1]DATA!$AW:$AW,0)),"")</f>
        <v>9.82</v>
      </c>
      <c r="I58" s="19">
        <f>IFERROR(INDEX([1]DATA!$AH:$AH,MATCH('[1]BC_ ĐG LX'!$C58&amp;'[1]BC_ ĐG LX'!I$3,[1]DATA!$AW:$AW,0)),"")</f>
        <v>9.6199999999999992</v>
      </c>
      <c r="J58" s="19">
        <f>IFERROR(INDEX([1]DATA!$AH:$AH,MATCH('[1]BC_ ĐG LX'!$C58&amp;'[1]BC_ ĐG LX'!J$3,[1]DATA!$AW:$AW,0)),"")</f>
        <v>9.82</v>
      </c>
      <c r="K58" s="19">
        <f>IFERROR(INDEX([1]DATA!$AH:$AH,MATCH('[1]BC_ ĐG LX'!$C58&amp;'[1]BC_ ĐG LX'!K$3,[1]DATA!$AW:$AW,0)),"")</f>
        <v>9.42</v>
      </c>
      <c r="L58" s="19">
        <f>IFERROR(INDEX([1]DATA!$AH:$AH,MATCH('[1]BC_ ĐG LX'!$C58&amp;'[1]BC_ ĐG LX'!L$3,[1]DATA!$AW:$AW,0)),"")</f>
        <v>9.42</v>
      </c>
      <c r="M58" s="19">
        <f>IFERROR(INDEX([1]DATA!$AH:$AH,MATCH('[1]BC_ ĐG LX'!$C58&amp;'[1]BC_ ĐG LX'!M$3,[1]DATA!$AW:$AW,0)),"")</f>
        <v>9.82</v>
      </c>
      <c r="N58" s="19">
        <f>IFERROR(INDEX([1]DATA!$AH:$AH,MATCH('[1]BC_ ĐG LX'!$C58&amp;'[1]BC_ ĐG LX'!N$3,[1]DATA!$AW:$AW,0)),"")</f>
        <v>9.82</v>
      </c>
      <c r="O58" s="19">
        <f>IFERROR(INDEX([1]DATA!$AH:$AH,MATCH('[1]BC_ ĐG LX'!$C58&amp;'[1]BC_ ĐG LX'!O$3,[1]DATA!$AW:$AW,0)),"")</f>
        <v>9.82</v>
      </c>
      <c r="P58" s="19">
        <f>IFERROR(INDEX([1]DATA!$AH:$AH,MATCH('[1]BC_ ĐG LX'!$C58&amp;'[1]BC_ ĐG LX'!P$3,[1]DATA!$AW:$AW,0)),"")</f>
        <v>9.82</v>
      </c>
      <c r="Q58" s="19">
        <f>IFERROR(INDEX([1]DATA!$AH:$AH,MATCH('[1]BC_ ĐG LX'!$C58&amp;'[1]BC_ ĐG LX'!Q$3,[1]DATA!$AW:$AW,0)),"")</f>
        <v>9.02</v>
      </c>
      <c r="R58" s="19">
        <f>IFERROR(INDEX([1]DATA!$AH:$AH,MATCH('[1]BC_ ĐG LX'!$C58&amp;'[1]BC_ ĐG LX'!R$3,[1]DATA!$AW:$AW,0)),"")</f>
        <v>9.42</v>
      </c>
      <c r="S58" s="19">
        <f>IFERROR(INDEX([1]DATA!$AH:$AH,MATCH('[1]BC_ ĐG LX'!$C58&amp;'[1]BC_ ĐG LX'!S$3,[1]DATA!$AW:$AW,0)),"")</f>
        <v>9.02</v>
      </c>
      <c r="T58" s="19">
        <f>IFERROR(INDEX([1]DATA!$AH:$AH,MATCH('[1]BC_ ĐG LX'!$C58&amp;'[1]BC_ ĐG LX'!T$3,[1]DATA!$AW:$AW,0)),"")</f>
        <v>9.82</v>
      </c>
      <c r="U58" s="19">
        <f>IFERROR(INDEX([1]DATA!$AH:$AH,MATCH('[1]BC_ ĐG LX'!$C58&amp;'[1]BC_ ĐG LX'!U$3,[1]DATA!$AW:$AW,0)),"")</f>
        <v>9.42</v>
      </c>
      <c r="V58" s="19">
        <f>IFERROR(INDEX([1]DATA!$AH:$AH,MATCH('[1]BC_ ĐG LX'!$C58&amp;'[1]BC_ ĐG LX'!V$3,[1]DATA!$AW:$AW,0)),"")</f>
        <v>9.82</v>
      </c>
      <c r="W58" s="19">
        <f>IFERROR(INDEX([1]DATA!$AH:$AH,MATCH('[1]BC_ ĐG LX'!$C58&amp;'[1]BC_ ĐG LX'!W$3,[1]DATA!$AW:$AW,0)),"")</f>
        <v>9.82</v>
      </c>
      <c r="X58" s="19">
        <f>IFERROR(INDEX([1]DATA!$AH:$AH,MATCH('[1]BC_ ĐG LX'!$C58&amp;'[1]BC_ ĐG LX'!X$3,[1]DATA!$AW:$AW,0)),"")</f>
        <v>9.42</v>
      </c>
      <c r="Y58" s="19">
        <f>IFERROR(INDEX([1]DATA!$AH:$AH,MATCH('[1]BC_ ĐG LX'!$C58&amp;'[1]BC_ ĐG LX'!Y$3,[1]DATA!$AW:$AW,0)),"")</f>
        <v>9.42</v>
      </c>
      <c r="Z58" s="19">
        <f>IFERROR(INDEX([1]DATA!$AH:$AH,MATCH('[1]BC_ ĐG LX'!$C58&amp;'[1]BC_ ĐG LX'!Z$3,[1]DATA!$AW:$AW,0)),"")</f>
        <v>9.82</v>
      </c>
      <c r="AA58" s="19">
        <f>IFERROR(INDEX([1]DATA!$AH:$AH,MATCH('[1]BC_ ĐG LX'!$C58&amp;'[1]BC_ ĐG LX'!AA$3,[1]DATA!$AW:$AW,0)),"")</f>
        <v>9.82</v>
      </c>
      <c r="AB58" s="19">
        <f>IFERROR(INDEX([1]DATA!$AH:$AH,MATCH('[1]BC_ ĐG LX'!$C58&amp;'[1]BC_ ĐG LX'!AB$3,[1]DATA!$AW:$AW,0)),"")</f>
        <v>9.6199999999999992</v>
      </c>
      <c r="AC58" s="19">
        <f>IFERROR(INDEX([1]DATA!$AH:$AH,MATCH('[1]BC_ ĐG LX'!$C58&amp;'[1]BC_ ĐG LX'!AC$3,[1]DATA!$AW:$AW,0)),"")</f>
        <v>9.6199999999999992</v>
      </c>
      <c r="AD58" s="19">
        <f>IFERROR(INDEX([1]DATA!$AH:$AH,MATCH('[1]BC_ ĐG LX'!$C58&amp;'[1]BC_ ĐG LX'!AD$3,[1]DATA!$AW:$AW,0)),"")</f>
        <v>9.82</v>
      </c>
      <c r="AE58" s="19">
        <f>IFERROR(INDEX([1]DATA!$AH:$AH,MATCH('[1]BC_ ĐG LX'!$C58&amp;'[1]BC_ ĐG LX'!AE$3,[1]DATA!$AW:$AW,0)),"")</f>
        <v>9.42</v>
      </c>
      <c r="AF58" s="19" t="str">
        <f>IFERROR(INDEX([1]DATA!$AH:$AH,MATCH('[1]BC_ ĐG LX'!$C58&amp;'[1]BC_ ĐG LX'!AF$3,[1]DATA!$AW:$AW,0)),"")</f>
        <v/>
      </c>
      <c r="AG58" s="19" t="str">
        <f>IFERROR(INDEX([1]DATA!$AH:$AH,MATCH('[1]BC_ ĐG LX'!$C58&amp;'[1]BC_ ĐG LX'!AG$3,[1]DATA!$AW:$AW,0)),"")</f>
        <v/>
      </c>
      <c r="AH58" s="19" t="str">
        <f>IFERROR(INDEX([1]DATA!$AH:$AH,MATCH('[1]BC_ ĐG LX'!$C58&amp;'[1]BC_ ĐG LX'!AH$3,[1]DATA!$AW:$AW,0)),"")</f>
        <v/>
      </c>
      <c r="AI58" s="19" t="str">
        <f>IFERROR(INDEX([1]DATA!$AH:$AH,MATCH('[1]BC_ ĐG LX'!$C58&amp;'[1]BC_ ĐG LX'!AI$3,[1]DATA!$AW:$AW,0)),"")</f>
        <v/>
      </c>
      <c r="AJ58" s="19" t="str">
        <f>IFERROR(INDEX([1]DATA!$AH:$AH,MATCH('[1]BC_ ĐG LX'!$C58&amp;'[1]BC_ ĐG LX'!AJ$3,[1]DATA!$AW:$AW,0)),"")</f>
        <v/>
      </c>
      <c r="AK58" s="26">
        <f t="shared" si="2"/>
        <v>9.6999999999999993</v>
      </c>
      <c r="AL58" s="21"/>
      <c r="AM58" s="22">
        <f t="shared" si="3"/>
        <v>25</v>
      </c>
      <c r="AN58" s="22" t="str">
        <f>_xlfn.XLOOKUP(B58,[1]DATA!AF:AF,[1]DATA!AX:AX)</f>
        <v>Linh</v>
      </c>
      <c r="AO58"/>
    </row>
    <row r="59" spans="1:41" s="22" customFormat="1" ht="14.25" customHeight="1">
      <c r="A59" s="16">
        <f>SUBTOTAL(3,$D$33:D59)</f>
        <v>27</v>
      </c>
      <c r="B59" s="16" t="str">
        <f>_xlfn.XLOOKUP(C59,[1]DATA!D:D,[1]DATA!AF:AF)</f>
        <v>XE00384</v>
      </c>
      <c r="C59" s="18" t="s">
        <v>78</v>
      </c>
      <c r="D59" s="16" t="s">
        <v>19</v>
      </c>
      <c r="E59" s="18" t="s">
        <v>17</v>
      </c>
      <c r="F59" s="18" t="s">
        <v>18</v>
      </c>
      <c r="G59" s="19">
        <f>IFERROR(INDEX([1]DATA!$AH:$AH,MATCH('[1]BC_ ĐG LX'!$C59&amp;'[1]BC_ ĐG LX'!G$3,[1]DATA!$AW:$AW,0)),"")</f>
        <v>9.02</v>
      </c>
      <c r="H59" s="19">
        <f>IFERROR(INDEX([1]DATA!$AH:$AH,MATCH('[1]BC_ ĐG LX'!$C59&amp;'[1]BC_ ĐG LX'!H$3,[1]DATA!$AW:$AW,0)),"")</f>
        <v>8.84</v>
      </c>
      <c r="I59" s="19">
        <f>IFERROR(INDEX([1]DATA!$AH:$AH,MATCH('[1]BC_ ĐG LX'!$C59&amp;'[1]BC_ ĐG LX'!I$3,[1]DATA!$AW:$AW,0)),"")</f>
        <v>8.84</v>
      </c>
      <c r="J59" s="19">
        <f>IFERROR(INDEX([1]DATA!$AH:$AH,MATCH('[1]BC_ ĐG LX'!$C59&amp;'[1]BC_ ĐG LX'!J$3,[1]DATA!$AW:$AW,0)),"")</f>
        <v>9.82</v>
      </c>
      <c r="K59" s="19">
        <f>IFERROR(INDEX([1]DATA!$AH:$AH,MATCH('[1]BC_ ĐG LX'!$C59&amp;'[1]BC_ ĐG LX'!K$3,[1]DATA!$AW:$AW,0)),"")</f>
        <v>9.42</v>
      </c>
      <c r="L59" s="19">
        <f>IFERROR(INDEX([1]DATA!$AH:$AH,MATCH('[1]BC_ ĐG LX'!$C59&amp;'[1]BC_ ĐG LX'!L$3,[1]DATA!$AW:$AW,0)),"")</f>
        <v>9.82</v>
      </c>
      <c r="M59" s="19">
        <f>IFERROR(INDEX([1]DATA!$AH:$AH,MATCH('[1]BC_ ĐG LX'!$C59&amp;'[1]BC_ ĐG LX'!M$3,[1]DATA!$AW:$AW,0)),"")</f>
        <v>9.42</v>
      </c>
      <c r="N59" s="19">
        <f>IFERROR(INDEX([1]DATA!$AH:$AH,MATCH('[1]BC_ ĐG LX'!$C59&amp;'[1]BC_ ĐG LX'!N$3,[1]DATA!$AW:$AW,0)),"")</f>
        <v>9.42</v>
      </c>
      <c r="O59" s="19">
        <f>IFERROR(INDEX([1]DATA!$AH:$AH,MATCH('[1]BC_ ĐG LX'!$C59&amp;'[1]BC_ ĐG LX'!O$3,[1]DATA!$AW:$AW,0)),"")</f>
        <v>9.82</v>
      </c>
      <c r="P59" s="19">
        <f>IFERROR(INDEX([1]DATA!$AH:$AH,MATCH('[1]BC_ ĐG LX'!$C59&amp;'[1]BC_ ĐG LX'!P$3,[1]DATA!$AW:$AW,0)),"")</f>
        <v>9.82</v>
      </c>
      <c r="Q59" s="19">
        <f>IFERROR(INDEX([1]DATA!$AH:$AH,MATCH('[1]BC_ ĐG LX'!$C59&amp;'[1]BC_ ĐG LX'!Q$3,[1]DATA!$AW:$AW,0)),"")</f>
        <v>9.02</v>
      </c>
      <c r="R59" s="19">
        <f>IFERROR(INDEX([1]DATA!$AH:$AH,MATCH('[1]BC_ ĐG LX'!$C59&amp;'[1]BC_ ĐG LX'!R$3,[1]DATA!$AW:$AW,0)),"")</f>
        <v>9.02</v>
      </c>
      <c r="S59" s="19">
        <f>IFERROR(INDEX([1]DATA!$AH:$AH,MATCH('[1]BC_ ĐG LX'!$C59&amp;'[1]BC_ ĐG LX'!S$3,[1]DATA!$AW:$AW,0)),"")</f>
        <v>9.42</v>
      </c>
      <c r="T59" s="19">
        <f>IFERROR(INDEX([1]DATA!$AH:$AH,MATCH('[1]BC_ ĐG LX'!$C59&amp;'[1]BC_ ĐG LX'!T$3,[1]DATA!$AW:$AW,0)),"")</f>
        <v>8.84</v>
      </c>
      <c r="U59" s="19">
        <f>IFERROR(INDEX([1]DATA!$AH:$AH,MATCH('[1]BC_ ĐG LX'!$C59&amp;'[1]BC_ ĐG LX'!U$3,[1]DATA!$AW:$AW,0)),"")</f>
        <v>9.82</v>
      </c>
      <c r="V59" s="19">
        <f>IFERROR(INDEX([1]DATA!$AH:$AH,MATCH('[1]BC_ ĐG LX'!$C59&amp;'[1]BC_ ĐG LX'!V$3,[1]DATA!$AW:$AW,0)),"")</f>
        <v>8.44</v>
      </c>
      <c r="W59" s="19">
        <f>IFERROR(INDEX([1]DATA!$AH:$AH,MATCH('[1]BC_ ĐG LX'!$C59&amp;'[1]BC_ ĐG LX'!W$3,[1]DATA!$AW:$AW,0)),"")</f>
        <v>9.82</v>
      </c>
      <c r="X59" s="19">
        <f>IFERROR(INDEX([1]DATA!$AH:$AH,MATCH('[1]BC_ ĐG LX'!$C59&amp;'[1]BC_ ĐG LX'!X$3,[1]DATA!$AW:$AW,0)),"")</f>
        <v>9.24</v>
      </c>
      <c r="Y59" s="19">
        <f>IFERROR(INDEX([1]DATA!$AH:$AH,MATCH('[1]BC_ ĐG LX'!$C59&amp;'[1]BC_ ĐG LX'!Y$3,[1]DATA!$AW:$AW,0)),"")</f>
        <v>9.82</v>
      </c>
      <c r="Z59" s="19">
        <f>IFERROR(INDEX([1]DATA!$AH:$AH,MATCH('[1]BC_ ĐG LX'!$C59&amp;'[1]BC_ ĐG LX'!Z$3,[1]DATA!$AW:$AW,0)),"")</f>
        <v>9.82</v>
      </c>
      <c r="AA59" s="19">
        <f>IFERROR(INDEX([1]DATA!$AH:$AH,MATCH('[1]BC_ ĐG LX'!$C59&amp;'[1]BC_ ĐG LX'!AA$3,[1]DATA!$AW:$AW,0)),"")</f>
        <v>9.42</v>
      </c>
      <c r="AB59" s="19">
        <f>IFERROR(INDEX([1]DATA!$AH:$AH,MATCH('[1]BC_ ĐG LX'!$C59&amp;'[1]BC_ ĐG LX'!AB$3,[1]DATA!$AW:$AW,0)),"")</f>
        <v>9.42</v>
      </c>
      <c r="AC59" s="19">
        <f>IFERROR(INDEX([1]DATA!$AH:$AH,MATCH('[1]BC_ ĐG LX'!$C59&amp;'[1]BC_ ĐG LX'!AC$3,[1]DATA!$AW:$AW,0)),"")</f>
        <v>9.02</v>
      </c>
      <c r="AD59" s="19">
        <f>IFERROR(INDEX([1]DATA!$AH:$AH,MATCH('[1]BC_ ĐG LX'!$C59&amp;'[1]BC_ ĐG LX'!AD$3,[1]DATA!$AW:$AW,0)),"")</f>
        <v>9.82</v>
      </c>
      <c r="AE59" s="19">
        <f>IFERROR(INDEX([1]DATA!$AH:$AH,MATCH('[1]BC_ ĐG LX'!$C59&amp;'[1]BC_ ĐG LX'!AE$3,[1]DATA!$AW:$AW,0)),"")</f>
        <v>9.42</v>
      </c>
      <c r="AF59" s="19" t="str">
        <f>IFERROR(INDEX([1]DATA!$AH:$AH,MATCH('[1]BC_ ĐG LX'!$C59&amp;'[1]BC_ ĐG LX'!AF$3,[1]DATA!$AW:$AW,0)),"")</f>
        <v/>
      </c>
      <c r="AG59" s="19" t="str">
        <f>IFERROR(INDEX([1]DATA!$AH:$AH,MATCH('[1]BC_ ĐG LX'!$C59&amp;'[1]BC_ ĐG LX'!AG$3,[1]DATA!$AW:$AW,0)),"")</f>
        <v/>
      </c>
      <c r="AH59" s="19" t="str">
        <f>IFERROR(INDEX([1]DATA!$AH:$AH,MATCH('[1]BC_ ĐG LX'!$C59&amp;'[1]BC_ ĐG LX'!AH$3,[1]DATA!$AW:$AW,0)),"")</f>
        <v/>
      </c>
      <c r="AI59" s="19" t="str">
        <f>IFERROR(INDEX([1]DATA!$AH:$AH,MATCH('[1]BC_ ĐG LX'!$C59&amp;'[1]BC_ ĐG LX'!AI$3,[1]DATA!$AW:$AW,0)),"")</f>
        <v/>
      </c>
      <c r="AJ59" s="19" t="str">
        <f>IFERROR(INDEX([1]DATA!$AH:$AH,MATCH('[1]BC_ ĐG LX'!$C59&amp;'[1]BC_ ĐG LX'!AJ$3,[1]DATA!$AW:$AW,0)),"")</f>
        <v/>
      </c>
      <c r="AK59" s="26">
        <f t="shared" si="2"/>
        <v>9.4</v>
      </c>
      <c r="AL59" s="21"/>
      <c r="AM59" s="22">
        <f t="shared" si="3"/>
        <v>25</v>
      </c>
      <c r="AN59" s="22" t="str">
        <f>_xlfn.XLOOKUP(B59,[1]DATA!AF:AF,[1]DATA!AX:AX)</f>
        <v>Linh</v>
      </c>
      <c r="AO59"/>
    </row>
    <row r="60" spans="1:41" s="22" customFormat="1" ht="14.25" customHeight="1">
      <c r="A60" s="16">
        <f>SUBTOTAL(3,$D$33:D60)</f>
        <v>28</v>
      </c>
      <c r="B60" s="16" t="str">
        <f>_xlfn.XLOOKUP(C60,[1]DATA!D:D,[1]DATA!AF:AF)</f>
        <v>XE00405</v>
      </c>
      <c r="C60" s="18" t="s">
        <v>79</v>
      </c>
      <c r="D60" s="16" t="s">
        <v>19</v>
      </c>
      <c r="E60" s="18" t="s">
        <v>17</v>
      </c>
      <c r="F60" s="18" t="s">
        <v>18</v>
      </c>
      <c r="G60" s="19">
        <f>IFERROR(INDEX([1]DATA!$AH:$AH,MATCH('[1]BC_ ĐG LX'!$C60&amp;'[1]BC_ ĐG LX'!G$3,[1]DATA!$AW:$AW,0)),"")</f>
        <v>9.02</v>
      </c>
      <c r="H60" s="19">
        <f>IFERROR(INDEX([1]DATA!$AH:$AH,MATCH('[1]BC_ ĐG LX'!$C60&amp;'[1]BC_ ĐG LX'!H$3,[1]DATA!$AW:$AW,0)),"")</f>
        <v>9.82</v>
      </c>
      <c r="I60" s="19">
        <f>IFERROR(INDEX([1]DATA!$AH:$AH,MATCH('[1]BC_ ĐG LX'!$C60&amp;'[1]BC_ ĐG LX'!I$3,[1]DATA!$AW:$AW,0)),"")</f>
        <v>9.82</v>
      </c>
      <c r="J60" s="19">
        <f>IFERROR(INDEX([1]DATA!$AH:$AH,MATCH('[1]BC_ ĐG LX'!$C60&amp;'[1]BC_ ĐG LX'!J$3,[1]DATA!$AW:$AW,0)),"")</f>
        <v>9.42</v>
      </c>
      <c r="K60" s="19">
        <f>IFERROR(INDEX([1]DATA!$AH:$AH,MATCH('[1]BC_ ĐG LX'!$C60&amp;'[1]BC_ ĐG LX'!K$3,[1]DATA!$AW:$AW,0)),"")</f>
        <v>9.82</v>
      </c>
      <c r="L60" s="19">
        <f>IFERROR(INDEX([1]DATA!$AH:$AH,MATCH('[1]BC_ ĐG LX'!$C60&amp;'[1]BC_ ĐG LX'!L$3,[1]DATA!$AW:$AW,0)),"")</f>
        <v>9.42</v>
      </c>
      <c r="M60" s="19">
        <f>IFERROR(INDEX([1]DATA!$AH:$AH,MATCH('[1]BC_ ĐG LX'!$C60&amp;'[1]BC_ ĐG LX'!M$3,[1]DATA!$AW:$AW,0)),"")</f>
        <v>9.42</v>
      </c>
      <c r="N60" s="19">
        <f>IFERROR(INDEX([1]DATA!$AH:$AH,MATCH('[1]BC_ ĐG LX'!$C60&amp;'[1]BC_ ĐG LX'!N$3,[1]DATA!$AW:$AW,0)),"")</f>
        <v>9.82</v>
      </c>
      <c r="O60" s="19">
        <f>IFERROR(INDEX([1]DATA!$AH:$AH,MATCH('[1]BC_ ĐG LX'!$C60&amp;'[1]BC_ ĐG LX'!O$3,[1]DATA!$AW:$AW,0)),"")</f>
        <v>8.44</v>
      </c>
      <c r="P60" s="19">
        <f>IFERROR(INDEX([1]DATA!$AH:$AH,MATCH('[1]BC_ ĐG LX'!$C60&amp;'[1]BC_ ĐG LX'!P$3,[1]DATA!$AW:$AW,0)),"")</f>
        <v>9.42</v>
      </c>
      <c r="Q60" s="19">
        <f>IFERROR(INDEX([1]DATA!$AH:$AH,MATCH('[1]BC_ ĐG LX'!$C60&amp;'[1]BC_ ĐG LX'!Q$3,[1]DATA!$AW:$AW,0)),"")</f>
        <v>9.42</v>
      </c>
      <c r="R60" s="19">
        <f>IFERROR(INDEX([1]DATA!$AH:$AH,MATCH('[1]BC_ ĐG LX'!$C60&amp;'[1]BC_ ĐG LX'!R$3,[1]DATA!$AW:$AW,0)),"")</f>
        <v>9.02</v>
      </c>
      <c r="S60" s="19">
        <f>IFERROR(INDEX([1]DATA!$AH:$AH,MATCH('[1]BC_ ĐG LX'!$C60&amp;'[1]BC_ ĐG LX'!S$3,[1]DATA!$AW:$AW,0)),"")</f>
        <v>9.82</v>
      </c>
      <c r="T60" s="19">
        <f>IFERROR(INDEX([1]DATA!$AH:$AH,MATCH('[1]BC_ ĐG LX'!$C60&amp;'[1]BC_ ĐG LX'!T$3,[1]DATA!$AW:$AW,0)),"")</f>
        <v>9.82</v>
      </c>
      <c r="U60" s="19">
        <f>IFERROR(INDEX([1]DATA!$AH:$AH,MATCH('[1]BC_ ĐG LX'!$C60&amp;'[1]BC_ ĐG LX'!U$3,[1]DATA!$AW:$AW,0)),"")</f>
        <v>9.82</v>
      </c>
      <c r="V60" s="19">
        <f>IFERROR(INDEX([1]DATA!$AH:$AH,MATCH('[1]BC_ ĐG LX'!$C60&amp;'[1]BC_ ĐG LX'!V$3,[1]DATA!$AW:$AW,0)),"")</f>
        <v>9.64</v>
      </c>
      <c r="W60" s="19">
        <f>IFERROR(INDEX([1]DATA!$AH:$AH,MATCH('[1]BC_ ĐG LX'!$C60&amp;'[1]BC_ ĐG LX'!W$3,[1]DATA!$AW:$AW,0)),"")</f>
        <v>9.82</v>
      </c>
      <c r="X60" s="19">
        <f>IFERROR(INDEX([1]DATA!$AH:$AH,MATCH('[1]BC_ ĐG LX'!$C60&amp;'[1]BC_ ĐG LX'!X$3,[1]DATA!$AW:$AW,0)),"")</f>
        <v>9.82</v>
      </c>
      <c r="Y60" s="19">
        <f>IFERROR(INDEX([1]DATA!$AH:$AH,MATCH('[1]BC_ ĐG LX'!$C60&amp;'[1]BC_ ĐG LX'!Y$3,[1]DATA!$AW:$AW,0)),"")</f>
        <v>9.42</v>
      </c>
      <c r="Z60" s="19">
        <f>IFERROR(INDEX([1]DATA!$AH:$AH,MATCH('[1]BC_ ĐG LX'!$C60&amp;'[1]BC_ ĐG LX'!Z$3,[1]DATA!$AW:$AW,0)),"")</f>
        <v>9.02</v>
      </c>
      <c r="AA60" s="19">
        <f>IFERROR(INDEX([1]DATA!$AH:$AH,MATCH('[1]BC_ ĐG LX'!$C60&amp;'[1]BC_ ĐG LX'!AA$3,[1]DATA!$AW:$AW,0)),"")</f>
        <v>9.42</v>
      </c>
      <c r="AB60" s="19">
        <f>IFERROR(INDEX([1]DATA!$AH:$AH,MATCH('[1]BC_ ĐG LX'!$C60&amp;'[1]BC_ ĐG LX'!AB$3,[1]DATA!$AW:$AW,0)),"")</f>
        <v>9.42</v>
      </c>
      <c r="AC60" s="19">
        <f>IFERROR(INDEX([1]DATA!$AH:$AH,MATCH('[1]BC_ ĐG LX'!$C60&amp;'[1]BC_ ĐG LX'!AC$3,[1]DATA!$AW:$AW,0)),"")</f>
        <v>9.42</v>
      </c>
      <c r="AD60" s="19">
        <f>IFERROR(INDEX([1]DATA!$AH:$AH,MATCH('[1]BC_ ĐG LX'!$C60&amp;'[1]BC_ ĐG LX'!AD$3,[1]DATA!$AW:$AW,0)),"")</f>
        <v>8.84</v>
      </c>
      <c r="AE60" s="19">
        <f>IFERROR(INDEX([1]DATA!$AH:$AH,MATCH('[1]BC_ ĐG LX'!$C60&amp;'[1]BC_ ĐG LX'!AE$3,[1]DATA!$AW:$AW,0)),"")</f>
        <v>9.82</v>
      </c>
      <c r="AF60" s="19" t="str">
        <f>IFERROR(INDEX([1]DATA!$AH:$AH,MATCH('[1]BC_ ĐG LX'!$C60&amp;'[1]BC_ ĐG LX'!AF$3,[1]DATA!$AW:$AW,0)),"")</f>
        <v/>
      </c>
      <c r="AG60" s="19" t="str">
        <f>IFERROR(INDEX([1]DATA!$AH:$AH,MATCH('[1]BC_ ĐG LX'!$C60&amp;'[1]BC_ ĐG LX'!AG$3,[1]DATA!$AW:$AW,0)),"")</f>
        <v/>
      </c>
      <c r="AH60" s="19" t="str">
        <f>IFERROR(INDEX([1]DATA!$AH:$AH,MATCH('[1]BC_ ĐG LX'!$C60&amp;'[1]BC_ ĐG LX'!AH$3,[1]DATA!$AW:$AW,0)),"")</f>
        <v/>
      </c>
      <c r="AI60" s="19" t="str">
        <f>IFERROR(INDEX([1]DATA!$AH:$AH,MATCH('[1]BC_ ĐG LX'!$C60&amp;'[1]BC_ ĐG LX'!AI$3,[1]DATA!$AW:$AW,0)),"")</f>
        <v/>
      </c>
      <c r="AJ60" s="19" t="str">
        <f>IFERROR(INDEX([1]DATA!$AH:$AH,MATCH('[1]BC_ ĐG LX'!$C60&amp;'[1]BC_ ĐG LX'!AJ$3,[1]DATA!$AW:$AW,0)),"")</f>
        <v/>
      </c>
      <c r="AK60" s="26">
        <f t="shared" si="2"/>
        <v>9.5</v>
      </c>
      <c r="AL60" s="21"/>
      <c r="AM60" s="22">
        <f t="shared" si="3"/>
        <v>25</v>
      </c>
      <c r="AN60" s="22" t="str">
        <f>_xlfn.XLOOKUP(B60,[1]DATA!AF:AF,[1]DATA!AX:AX)</f>
        <v>Linh</v>
      </c>
      <c r="AO60"/>
    </row>
    <row r="61" spans="1:41" s="22" customFormat="1" ht="14.25" customHeight="1">
      <c r="A61" s="16">
        <f>SUBTOTAL(3,$D$33:D61)</f>
        <v>29</v>
      </c>
      <c r="B61" s="16" t="str">
        <f>_xlfn.XLOOKUP(C61,[1]DATA!D:D,[1]DATA!AF:AF)</f>
        <v>XE00511</v>
      </c>
      <c r="C61" s="18" t="s">
        <v>80</v>
      </c>
      <c r="D61" s="16" t="s">
        <v>19</v>
      </c>
      <c r="E61" s="18" t="s">
        <v>17</v>
      </c>
      <c r="F61" s="18" t="s">
        <v>18</v>
      </c>
      <c r="G61" s="19">
        <f>IFERROR(INDEX([1]DATA!$AH:$AH,MATCH('[1]BC_ ĐG LX'!$C61&amp;'[1]BC_ ĐG LX'!G$3,[1]DATA!$AW:$AW,0)),"")</f>
        <v>9.42</v>
      </c>
      <c r="H61" s="19">
        <f>IFERROR(INDEX([1]DATA!$AH:$AH,MATCH('[1]BC_ ĐG LX'!$C61&amp;'[1]BC_ ĐG LX'!H$3,[1]DATA!$AW:$AW,0)),"")</f>
        <v>9.82</v>
      </c>
      <c r="I61" s="19">
        <f>IFERROR(INDEX([1]DATA!$AH:$AH,MATCH('[1]BC_ ĐG LX'!$C61&amp;'[1]BC_ ĐG LX'!I$3,[1]DATA!$AW:$AW,0)),"")</f>
        <v>9.82</v>
      </c>
      <c r="J61" s="19">
        <f>IFERROR(INDEX([1]DATA!$AH:$AH,MATCH('[1]BC_ ĐG LX'!$C61&amp;'[1]BC_ ĐG LX'!J$3,[1]DATA!$AW:$AW,0)),"")</f>
        <v>8.2200000000000006</v>
      </c>
      <c r="K61" s="19">
        <f>IFERROR(INDEX([1]DATA!$AH:$AH,MATCH('[1]BC_ ĐG LX'!$C61&amp;'[1]BC_ ĐG LX'!K$3,[1]DATA!$AW:$AW,0)),"")</f>
        <v>9.7199999999999989</v>
      </c>
      <c r="L61" s="19">
        <f>IFERROR(INDEX([1]DATA!$AH:$AH,MATCH('[1]BC_ ĐG LX'!$C61&amp;'[1]BC_ ĐG LX'!L$3,[1]DATA!$AW:$AW,0)),"")</f>
        <v>9.42</v>
      </c>
      <c r="M61" s="19">
        <f>IFERROR(INDEX([1]DATA!$AH:$AH,MATCH('[1]BC_ ĐG LX'!$C61&amp;'[1]BC_ ĐG LX'!M$3,[1]DATA!$AW:$AW,0)),"")</f>
        <v>9.02</v>
      </c>
      <c r="N61" s="19">
        <f>IFERROR(INDEX([1]DATA!$AH:$AH,MATCH('[1]BC_ ĐG LX'!$C61&amp;'[1]BC_ ĐG LX'!N$3,[1]DATA!$AW:$AW,0)),"")</f>
        <v>9.02</v>
      </c>
      <c r="O61" s="19">
        <f>IFERROR(INDEX([1]DATA!$AH:$AH,MATCH('[1]BC_ ĐG LX'!$C61&amp;'[1]BC_ ĐG LX'!O$3,[1]DATA!$AW:$AW,0)),"")</f>
        <v>9.42</v>
      </c>
      <c r="P61" s="19">
        <f>IFERROR(INDEX([1]DATA!$AH:$AH,MATCH('[1]BC_ ĐG LX'!$C61&amp;'[1]BC_ ĐG LX'!P$3,[1]DATA!$AW:$AW,0)),"")</f>
        <v>9.6199999999999992</v>
      </c>
      <c r="Q61" s="19">
        <f>IFERROR(INDEX([1]DATA!$AH:$AH,MATCH('[1]BC_ ĐG LX'!$C61&amp;'[1]BC_ ĐG LX'!Q$3,[1]DATA!$AW:$AW,0)),"")</f>
        <v>9.42</v>
      </c>
      <c r="R61" s="19">
        <f>IFERROR(INDEX([1]DATA!$AH:$AH,MATCH('[1]BC_ ĐG LX'!$C61&amp;'[1]BC_ ĐG LX'!R$3,[1]DATA!$AW:$AW,0)),"")</f>
        <v>9.82</v>
      </c>
      <c r="S61" s="19">
        <f>IFERROR(INDEX([1]DATA!$AH:$AH,MATCH('[1]BC_ ĐG LX'!$C61&amp;'[1]BC_ ĐG LX'!S$3,[1]DATA!$AW:$AW,0)),"")</f>
        <v>9.02</v>
      </c>
      <c r="T61" s="19">
        <f>IFERROR(INDEX([1]DATA!$AH:$AH,MATCH('[1]BC_ ĐG LX'!$C61&amp;'[1]BC_ ĐG LX'!T$3,[1]DATA!$AW:$AW,0)),"")</f>
        <v>9.82</v>
      </c>
      <c r="U61" s="19">
        <f>IFERROR(INDEX([1]DATA!$AH:$AH,MATCH('[1]BC_ ĐG LX'!$C61&amp;'[1]BC_ ĐG LX'!U$3,[1]DATA!$AW:$AW,0)),"")</f>
        <v>9.82</v>
      </c>
      <c r="V61" s="19">
        <f>IFERROR(INDEX([1]DATA!$AH:$AH,MATCH('[1]BC_ ĐG LX'!$C61&amp;'[1]BC_ ĐG LX'!V$3,[1]DATA!$AW:$AW,0)),"")</f>
        <v>9.42</v>
      </c>
      <c r="W61" s="19">
        <f>IFERROR(INDEX([1]DATA!$AH:$AH,MATCH('[1]BC_ ĐG LX'!$C61&amp;'[1]BC_ ĐG LX'!W$3,[1]DATA!$AW:$AW,0)),"")</f>
        <v>9.42</v>
      </c>
      <c r="X61" s="19">
        <f>IFERROR(INDEX([1]DATA!$AH:$AH,MATCH('[1]BC_ ĐG LX'!$C61&amp;'[1]BC_ ĐG LX'!X$3,[1]DATA!$AW:$AW,0)),"")</f>
        <v>9.82</v>
      </c>
      <c r="Y61" s="19">
        <f>IFERROR(INDEX([1]DATA!$AH:$AH,MATCH('[1]BC_ ĐG LX'!$C61&amp;'[1]BC_ ĐG LX'!Y$3,[1]DATA!$AW:$AW,0)),"")</f>
        <v>9.02</v>
      </c>
      <c r="Z61" s="19">
        <f>IFERROR(INDEX([1]DATA!$AH:$AH,MATCH('[1]BC_ ĐG LX'!$C61&amp;'[1]BC_ ĐG LX'!Z$3,[1]DATA!$AW:$AW,0)),"")</f>
        <v>9.82</v>
      </c>
      <c r="AA61" s="19">
        <f>IFERROR(INDEX([1]DATA!$AH:$AH,MATCH('[1]BC_ ĐG LX'!$C61&amp;'[1]BC_ ĐG LX'!AA$3,[1]DATA!$AW:$AW,0)),"")</f>
        <v>9.02</v>
      </c>
      <c r="AB61" s="19">
        <f>IFERROR(INDEX([1]DATA!$AH:$AH,MATCH('[1]BC_ ĐG LX'!$C61&amp;'[1]BC_ ĐG LX'!AB$3,[1]DATA!$AW:$AW,0)),"")</f>
        <v>9.82</v>
      </c>
      <c r="AC61" s="19">
        <f>IFERROR(INDEX([1]DATA!$AH:$AH,MATCH('[1]BC_ ĐG LX'!$C61&amp;'[1]BC_ ĐG LX'!AC$3,[1]DATA!$AW:$AW,0)),"")</f>
        <v>7.82</v>
      </c>
      <c r="AD61" s="19">
        <f>IFERROR(INDEX([1]DATA!$AH:$AH,MATCH('[1]BC_ ĐG LX'!$C61&amp;'[1]BC_ ĐG LX'!AD$3,[1]DATA!$AW:$AW,0)),"")</f>
        <v>9.02</v>
      </c>
      <c r="AE61" s="19">
        <f>IFERROR(INDEX([1]DATA!$AH:$AH,MATCH('[1]BC_ ĐG LX'!$C61&amp;'[1]BC_ ĐG LX'!AE$3,[1]DATA!$AW:$AW,0)),"")</f>
        <v>9.82</v>
      </c>
      <c r="AF61" s="19" t="str">
        <f>IFERROR(INDEX([1]DATA!$AH:$AH,MATCH('[1]BC_ ĐG LX'!$C61&amp;'[1]BC_ ĐG LX'!AF$3,[1]DATA!$AW:$AW,0)),"")</f>
        <v/>
      </c>
      <c r="AG61" s="19" t="str">
        <f>IFERROR(INDEX([1]DATA!$AH:$AH,MATCH('[1]BC_ ĐG LX'!$C61&amp;'[1]BC_ ĐG LX'!AG$3,[1]DATA!$AW:$AW,0)),"")</f>
        <v/>
      </c>
      <c r="AH61" s="19" t="str">
        <f>IFERROR(INDEX([1]DATA!$AH:$AH,MATCH('[1]BC_ ĐG LX'!$C61&amp;'[1]BC_ ĐG LX'!AH$3,[1]DATA!$AW:$AW,0)),"")</f>
        <v/>
      </c>
      <c r="AI61" s="19" t="str">
        <f>IFERROR(INDEX([1]DATA!$AH:$AH,MATCH('[1]BC_ ĐG LX'!$C61&amp;'[1]BC_ ĐG LX'!AI$3,[1]DATA!$AW:$AW,0)),"")</f>
        <v/>
      </c>
      <c r="AJ61" s="19" t="str">
        <f>IFERROR(INDEX([1]DATA!$AH:$AH,MATCH('[1]BC_ ĐG LX'!$C61&amp;'[1]BC_ ĐG LX'!AJ$3,[1]DATA!$AW:$AW,0)),"")</f>
        <v/>
      </c>
      <c r="AK61" s="26">
        <f t="shared" si="2"/>
        <v>9.4</v>
      </c>
      <c r="AL61" s="21"/>
      <c r="AM61" s="22">
        <f t="shared" si="3"/>
        <v>25</v>
      </c>
      <c r="AN61" s="22" t="str">
        <f>_xlfn.XLOOKUP(B61,[1]DATA!AF:AF,[1]DATA!AX:AX)</f>
        <v>Linh</v>
      </c>
      <c r="AO61"/>
    </row>
    <row r="62" spans="1:41" s="22" customFormat="1" ht="14.25" customHeight="1">
      <c r="A62" s="16">
        <f>SUBTOTAL(3,$D$33:D62)</f>
        <v>30</v>
      </c>
      <c r="B62" s="16" t="str">
        <f>_xlfn.XLOOKUP(C62,[1]DATA!D:D,[1]DATA!AF:AF)</f>
        <v>XE00513</v>
      </c>
      <c r="C62" s="18" t="s">
        <v>81</v>
      </c>
      <c r="D62" s="16" t="s">
        <v>19</v>
      </c>
      <c r="E62" s="18" t="s">
        <v>17</v>
      </c>
      <c r="F62" s="18" t="s">
        <v>18</v>
      </c>
      <c r="G62" s="19">
        <f>IFERROR(INDEX([1]DATA!$AH:$AH,MATCH('[1]BC_ ĐG LX'!$C62&amp;'[1]BC_ ĐG LX'!G$3,[1]DATA!$AW:$AW,0)),"")</f>
        <v>9.02</v>
      </c>
      <c r="H62" s="19">
        <f>IFERROR(INDEX([1]DATA!$AH:$AH,MATCH('[1]BC_ ĐG LX'!$C62&amp;'[1]BC_ ĐG LX'!H$3,[1]DATA!$AW:$AW,0)),"")</f>
        <v>9.82</v>
      </c>
      <c r="I62" s="19">
        <f>IFERROR(INDEX([1]DATA!$AH:$AH,MATCH('[1]BC_ ĐG LX'!$C62&amp;'[1]BC_ ĐG LX'!I$3,[1]DATA!$AW:$AW,0)),"")</f>
        <v>9.82</v>
      </c>
      <c r="J62" s="19">
        <f>IFERROR(INDEX([1]DATA!$AH:$AH,MATCH('[1]BC_ ĐG LX'!$C62&amp;'[1]BC_ ĐG LX'!J$3,[1]DATA!$AW:$AW,0)),"")</f>
        <v>9.6199999999999992</v>
      </c>
      <c r="K62" s="19">
        <f>IFERROR(INDEX([1]DATA!$AH:$AH,MATCH('[1]BC_ ĐG LX'!$C62&amp;'[1]BC_ ĐG LX'!K$3,[1]DATA!$AW:$AW,0)),"")</f>
        <v>9.02</v>
      </c>
      <c r="L62" s="19">
        <f>IFERROR(INDEX([1]DATA!$AH:$AH,MATCH('[1]BC_ ĐG LX'!$C62&amp;'[1]BC_ ĐG LX'!L$3,[1]DATA!$AW:$AW,0)),"")</f>
        <v>9.82</v>
      </c>
      <c r="M62" s="19">
        <f>IFERROR(INDEX([1]DATA!$AH:$AH,MATCH('[1]BC_ ĐG LX'!$C62&amp;'[1]BC_ ĐG LX'!M$3,[1]DATA!$AW:$AW,0)),"")</f>
        <v>9.2199999999999989</v>
      </c>
      <c r="N62" s="19">
        <f>IFERROR(INDEX([1]DATA!$AH:$AH,MATCH('[1]BC_ ĐG LX'!$C62&amp;'[1]BC_ ĐG LX'!N$3,[1]DATA!$AW:$AW,0)),"")</f>
        <v>8.2200000000000006</v>
      </c>
      <c r="O62" s="19">
        <f>IFERROR(INDEX([1]DATA!$AH:$AH,MATCH('[1]BC_ ĐG LX'!$C62&amp;'[1]BC_ ĐG LX'!O$3,[1]DATA!$AW:$AW,0)),"")</f>
        <v>9.6199999999999992</v>
      </c>
      <c r="P62" s="19">
        <f>IFERROR(INDEX([1]DATA!$AH:$AH,MATCH('[1]BC_ ĐG LX'!$C62&amp;'[1]BC_ ĐG LX'!P$3,[1]DATA!$AW:$AW,0)),"")</f>
        <v>9.02</v>
      </c>
      <c r="Q62" s="19">
        <f>IFERROR(INDEX([1]DATA!$AH:$AH,MATCH('[1]BC_ ĐG LX'!$C62&amp;'[1]BC_ ĐG LX'!Q$3,[1]DATA!$AW:$AW,0)),"")</f>
        <v>9.42</v>
      </c>
      <c r="R62" s="19">
        <f>IFERROR(INDEX([1]DATA!$AH:$AH,MATCH('[1]BC_ ĐG LX'!$C62&amp;'[1]BC_ ĐG LX'!R$3,[1]DATA!$AW:$AW,0)),"")</f>
        <v>9.42</v>
      </c>
      <c r="S62" s="19">
        <f>IFERROR(INDEX([1]DATA!$AH:$AH,MATCH('[1]BC_ ĐG LX'!$C62&amp;'[1]BC_ ĐG LX'!S$3,[1]DATA!$AW:$AW,0)),"")</f>
        <v>9.42</v>
      </c>
      <c r="T62" s="19">
        <f>IFERROR(INDEX([1]DATA!$AH:$AH,MATCH('[1]BC_ ĐG LX'!$C62&amp;'[1]BC_ ĐG LX'!T$3,[1]DATA!$AW:$AW,0)),"")</f>
        <v>8.84</v>
      </c>
      <c r="U62" s="19">
        <f>IFERROR(INDEX([1]DATA!$AH:$AH,MATCH('[1]BC_ ĐG LX'!$C62&amp;'[1]BC_ ĐG LX'!U$3,[1]DATA!$AW:$AW,0)),"")</f>
        <v>10</v>
      </c>
      <c r="V62" s="19">
        <f>IFERROR(INDEX([1]DATA!$AH:$AH,MATCH('[1]BC_ ĐG LX'!$C62&amp;'[1]BC_ ĐG LX'!V$3,[1]DATA!$AW:$AW,0)),"")</f>
        <v>7.82</v>
      </c>
      <c r="W62" s="19">
        <f>IFERROR(INDEX([1]DATA!$AH:$AH,MATCH('[1]BC_ ĐG LX'!$C62&amp;'[1]BC_ ĐG LX'!W$3,[1]DATA!$AW:$AW,0)),"")</f>
        <v>9.42</v>
      </c>
      <c r="X62" s="19">
        <f>IFERROR(INDEX([1]DATA!$AH:$AH,MATCH('[1]BC_ ĐG LX'!$C62&amp;'[1]BC_ ĐG LX'!X$3,[1]DATA!$AW:$AW,0)),"")</f>
        <v>9.82</v>
      </c>
      <c r="Y62" s="19">
        <f>IFERROR(INDEX([1]DATA!$AH:$AH,MATCH('[1]BC_ ĐG LX'!$C62&amp;'[1]BC_ ĐG LX'!Y$3,[1]DATA!$AW:$AW,0)),"")</f>
        <v>9.82</v>
      </c>
      <c r="Z62" s="19">
        <f>IFERROR(INDEX([1]DATA!$AH:$AH,MATCH('[1]BC_ ĐG LX'!$C62&amp;'[1]BC_ ĐG LX'!Z$3,[1]DATA!$AW:$AW,0)),"")</f>
        <v>7.82</v>
      </c>
      <c r="AA62" s="19">
        <f>IFERROR(INDEX([1]DATA!$AH:$AH,MATCH('[1]BC_ ĐG LX'!$C62&amp;'[1]BC_ ĐG LX'!AA$3,[1]DATA!$AW:$AW,0)),"")</f>
        <v>9.82</v>
      </c>
      <c r="AB62" s="19">
        <f>IFERROR(INDEX([1]DATA!$AH:$AH,MATCH('[1]BC_ ĐG LX'!$C62&amp;'[1]BC_ ĐG LX'!AB$3,[1]DATA!$AW:$AW,0)),"")</f>
        <v>9.42</v>
      </c>
      <c r="AC62" s="19">
        <f>IFERROR(INDEX([1]DATA!$AH:$AH,MATCH('[1]BC_ ĐG LX'!$C62&amp;'[1]BC_ ĐG LX'!AC$3,[1]DATA!$AW:$AW,0)),"")</f>
        <v>7.6400000000000006</v>
      </c>
      <c r="AD62" s="19">
        <f>IFERROR(INDEX([1]DATA!$AH:$AH,MATCH('[1]BC_ ĐG LX'!$C62&amp;'[1]BC_ ĐG LX'!AD$3,[1]DATA!$AW:$AW,0)),"")</f>
        <v>9.42</v>
      </c>
      <c r="AE62" s="19">
        <f>IFERROR(INDEX([1]DATA!$AH:$AH,MATCH('[1]BC_ ĐG LX'!$C62&amp;'[1]BC_ ĐG LX'!AE$3,[1]DATA!$AW:$AW,0)),"")</f>
        <v>9.42</v>
      </c>
      <c r="AF62" s="19" t="str">
        <f>IFERROR(INDEX([1]DATA!$AH:$AH,MATCH('[1]BC_ ĐG LX'!$C62&amp;'[1]BC_ ĐG LX'!AF$3,[1]DATA!$AW:$AW,0)),"")</f>
        <v/>
      </c>
      <c r="AG62" s="19" t="str">
        <f>IFERROR(INDEX([1]DATA!$AH:$AH,MATCH('[1]BC_ ĐG LX'!$C62&amp;'[1]BC_ ĐG LX'!AG$3,[1]DATA!$AW:$AW,0)),"")</f>
        <v/>
      </c>
      <c r="AH62" s="19" t="str">
        <f>IFERROR(INDEX([1]DATA!$AH:$AH,MATCH('[1]BC_ ĐG LX'!$C62&amp;'[1]BC_ ĐG LX'!AH$3,[1]DATA!$AW:$AW,0)),"")</f>
        <v/>
      </c>
      <c r="AI62" s="19" t="str">
        <f>IFERROR(INDEX([1]DATA!$AH:$AH,MATCH('[1]BC_ ĐG LX'!$C62&amp;'[1]BC_ ĐG LX'!AI$3,[1]DATA!$AW:$AW,0)),"")</f>
        <v/>
      </c>
      <c r="AJ62" s="19" t="str">
        <f>IFERROR(INDEX([1]DATA!$AH:$AH,MATCH('[1]BC_ ĐG LX'!$C62&amp;'[1]BC_ ĐG LX'!AJ$3,[1]DATA!$AW:$AW,0)),"")</f>
        <v/>
      </c>
      <c r="AK62" s="26">
        <f t="shared" si="2"/>
        <v>9.2999999999999989</v>
      </c>
      <c r="AL62" s="21"/>
      <c r="AM62" s="22">
        <f t="shared" si="3"/>
        <v>25</v>
      </c>
      <c r="AN62" s="22" t="str">
        <f>_xlfn.XLOOKUP(B62,[1]DATA!AF:AF,[1]DATA!AX:AX)</f>
        <v>Linh</v>
      </c>
      <c r="AO62"/>
    </row>
    <row r="63" spans="1:41" s="22" customFormat="1" ht="14.25" customHeight="1">
      <c r="A63" s="16">
        <f>SUBTOTAL(3,$D$33:D63)</f>
        <v>31</v>
      </c>
      <c r="B63" s="16" t="str">
        <f>_xlfn.XLOOKUP(C63,[1]DATA!D:D,[1]DATA!AF:AF)</f>
        <v>XE00588</v>
      </c>
      <c r="C63" s="18" t="s">
        <v>82</v>
      </c>
      <c r="D63" s="16" t="s">
        <v>19</v>
      </c>
      <c r="E63" s="18" t="s">
        <v>17</v>
      </c>
      <c r="F63" s="18" t="s">
        <v>18</v>
      </c>
      <c r="G63" s="19">
        <f>IFERROR(INDEX([1]DATA!$AH:$AH,MATCH('[1]BC_ ĐG LX'!$C63&amp;'[1]BC_ ĐG LX'!G$3,[1]DATA!$AW:$AW,0)),"")</f>
        <v>9.42</v>
      </c>
      <c r="H63" s="19">
        <f>IFERROR(INDEX([1]DATA!$AH:$AH,MATCH('[1]BC_ ĐG LX'!$C63&amp;'[1]BC_ ĐG LX'!H$3,[1]DATA!$AW:$AW,0)),"")</f>
        <v>9.42</v>
      </c>
      <c r="I63" s="19">
        <f>IFERROR(INDEX([1]DATA!$AH:$AH,MATCH('[1]BC_ ĐG LX'!$C63&amp;'[1]BC_ ĐG LX'!I$3,[1]DATA!$AW:$AW,0)),"")</f>
        <v>9.42</v>
      </c>
      <c r="J63" s="19">
        <f>IFERROR(INDEX([1]DATA!$AH:$AH,MATCH('[1]BC_ ĐG LX'!$C63&amp;'[1]BC_ ĐG LX'!J$3,[1]DATA!$AW:$AW,0)),"")</f>
        <v>9.42</v>
      </c>
      <c r="K63" s="19">
        <f>IFERROR(INDEX([1]DATA!$AH:$AH,MATCH('[1]BC_ ĐG LX'!$C63&amp;'[1]BC_ ĐG LX'!K$3,[1]DATA!$AW:$AW,0)),"")</f>
        <v>8.84</v>
      </c>
      <c r="L63" s="19">
        <f>IFERROR(INDEX([1]DATA!$AH:$AH,MATCH('[1]BC_ ĐG LX'!$C63&amp;'[1]BC_ ĐG LX'!L$3,[1]DATA!$AW:$AW,0)),"")</f>
        <v>9.82</v>
      </c>
      <c r="M63" s="19">
        <f>IFERROR(INDEX([1]DATA!$AH:$AH,MATCH('[1]BC_ ĐG LX'!$C63&amp;'[1]BC_ ĐG LX'!M$3,[1]DATA!$AW:$AW,0)),"")</f>
        <v>9.82</v>
      </c>
      <c r="N63" s="19">
        <f>IFERROR(INDEX([1]DATA!$AH:$AH,MATCH('[1]BC_ ĐG LX'!$C63&amp;'[1]BC_ ĐG LX'!N$3,[1]DATA!$AW:$AW,0)),"")</f>
        <v>9.42</v>
      </c>
      <c r="O63" s="19">
        <f>IFERROR(INDEX([1]DATA!$AH:$AH,MATCH('[1]BC_ ĐG LX'!$C63&amp;'[1]BC_ ĐG LX'!O$3,[1]DATA!$AW:$AW,0)),"")</f>
        <v>8.42</v>
      </c>
      <c r="P63" s="19">
        <f>IFERROR(INDEX([1]DATA!$AH:$AH,MATCH('[1]BC_ ĐG LX'!$C63&amp;'[1]BC_ ĐG LX'!P$3,[1]DATA!$AW:$AW,0)),"")</f>
        <v>9.82</v>
      </c>
      <c r="Q63" s="19">
        <f>IFERROR(INDEX([1]DATA!$AH:$AH,MATCH('[1]BC_ ĐG LX'!$C63&amp;'[1]BC_ ĐG LX'!Q$3,[1]DATA!$AW:$AW,0)),"")</f>
        <v>9.42</v>
      </c>
      <c r="R63" s="19">
        <f>IFERROR(INDEX([1]DATA!$AH:$AH,MATCH('[1]BC_ ĐG LX'!$C63&amp;'[1]BC_ ĐG LX'!R$3,[1]DATA!$AW:$AW,0)),"")</f>
        <v>9.82</v>
      </c>
      <c r="S63" s="19">
        <f>IFERROR(INDEX([1]DATA!$AH:$AH,MATCH('[1]BC_ ĐG LX'!$C63&amp;'[1]BC_ ĐG LX'!S$3,[1]DATA!$AW:$AW,0)),"")</f>
        <v>9.82</v>
      </c>
      <c r="T63" s="19">
        <f>IFERROR(INDEX([1]DATA!$AH:$AH,MATCH('[1]BC_ ĐG LX'!$C63&amp;'[1]BC_ ĐG LX'!T$3,[1]DATA!$AW:$AW,0)),"")</f>
        <v>9.42</v>
      </c>
      <c r="U63" s="19">
        <f>IFERROR(INDEX([1]DATA!$AH:$AH,MATCH('[1]BC_ ĐG LX'!$C63&amp;'[1]BC_ ĐG LX'!U$3,[1]DATA!$AW:$AW,0)),"")</f>
        <v>9.42</v>
      </c>
      <c r="V63" s="19">
        <f>IFERROR(INDEX([1]DATA!$AH:$AH,MATCH('[1]BC_ ĐG LX'!$C63&amp;'[1]BC_ ĐG LX'!V$3,[1]DATA!$AW:$AW,0)),"")</f>
        <v>9.82</v>
      </c>
      <c r="W63" s="19">
        <f>IFERROR(INDEX([1]DATA!$AH:$AH,MATCH('[1]BC_ ĐG LX'!$C63&amp;'[1]BC_ ĐG LX'!W$3,[1]DATA!$AW:$AW,0)),"")</f>
        <v>7.82</v>
      </c>
      <c r="X63" s="19">
        <f>IFERROR(INDEX([1]DATA!$AH:$AH,MATCH('[1]BC_ ĐG LX'!$C63&amp;'[1]BC_ ĐG LX'!X$3,[1]DATA!$AW:$AW,0)),"")</f>
        <v>9.42</v>
      </c>
      <c r="Y63" s="19">
        <f>IFERROR(INDEX([1]DATA!$AH:$AH,MATCH('[1]BC_ ĐG LX'!$C63&amp;'[1]BC_ ĐG LX'!Y$3,[1]DATA!$AW:$AW,0)),"")</f>
        <v>9.42</v>
      </c>
      <c r="Z63" s="19">
        <f>IFERROR(INDEX([1]DATA!$AH:$AH,MATCH('[1]BC_ ĐG LX'!$C63&amp;'[1]BC_ ĐG LX'!Z$3,[1]DATA!$AW:$AW,0)),"")</f>
        <v>9.82</v>
      </c>
      <c r="AA63" s="19">
        <f>IFERROR(INDEX([1]DATA!$AH:$AH,MATCH('[1]BC_ ĐG LX'!$C63&amp;'[1]BC_ ĐG LX'!AA$3,[1]DATA!$AW:$AW,0)),"")</f>
        <v>8.6199999999999992</v>
      </c>
      <c r="AB63" s="19">
        <f>IFERROR(INDEX([1]DATA!$AH:$AH,MATCH('[1]BC_ ĐG LX'!$C63&amp;'[1]BC_ ĐG LX'!AB$3,[1]DATA!$AW:$AW,0)),"")</f>
        <v>9.82</v>
      </c>
      <c r="AC63" s="19">
        <f>IFERROR(INDEX([1]DATA!$AH:$AH,MATCH('[1]BC_ ĐG LX'!$C63&amp;'[1]BC_ ĐG LX'!AC$3,[1]DATA!$AW:$AW,0)),"")</f>
        <v>8.84</v>
      </c>
      <c r="AD63" s="19">
        <f>IFERROR(INDEX([1]DATA!$AH:$AH,MATCH('[1]BC_ ĐG LX'!$C63&amp;'[1]BC_ ĐG LX'!AD$3,[1]DATA!$AW:$AW,0)),"")</f>
        <v>9.82</v>
      </c>
      <c r="AE63" s="19">
        <f>IFERROR(INDEX([1]DATA!$AH:$AH,MATCH('[1]BC_ ĐG LX'!$C63&amp;'[1]BC_ ĐG LX'!AE$3,[1]DATA!$AW:$AW,0)),"")</f>
        <v>9.42</v>
      </c>
      <c r="AF63" s="19" t="str">
        <f>IFERROR(INDEX([1]DATA!$AH:$AH,MATCH('[1]BC_ ĐG LX'!$C63&amp;'[1]BC_ ĐG LX'!AF$3,[1]DATA!$AW:$AW,0)),"")</f>
        <v/>
      </c>
      <c r="AG63" s="19" t="str">
        <f>IFERROR(INDEX([1]DATA!$AH:$AH,MATCH('[1]BC_ ĐG LX'!$C63&amp;'[1]BC_ ĐG LX'!AG$3,[1]DATA!$AW:$AW,0)),"")</f>
        <v/>
      </c>
      <c r="AH63" s="19" t="str">
        <f>IFERROR(INDEX([1]DATA!$AH:$AH,MATCH('[1]BC_ ĐG LX'!$C63&amp;'[1]BC_ ĐG LX'!AH$3,[1]DATA!$AW:$AW,0)),"")</f>
        <v/>
      </c>
      <c r="AI63" s="19" t="str">
        <f>IFERROR(INDEX([1]DATA!$AH:$AH,MATCH('[1]BC_ ĐG LX'!$C63&amp;'[1]BC_ ĐG LX'!AI$3,[1]DATA!$AW:$AW,0)),"")</f>
        <v/>
      </c>
      <c r="AJ63" s="19" t="str">
        <f>IFERROR(INDEX([1]DATA!$AH:$AH,MATCH('[1]BC_ ĐG LX'!$C63&amp;'[1]BC_ ĐG LX'!AJ$3,[1]DATA!$AW:$AW,0)),"")</f>
        <v/>
      </c>
      <c r="AK63" s="26">
        <f t="shared" si="2"/>
        <v>9.4</v>
      </c>
      <c r="AL63" s="21"/>
      <c r="AM63" s="22">
        <f t="shared" si="3"/>
        <v>25</v>
      </c>
      <c r="AN63" s="22" t="str">
        <f>_xlfn.XLOOKUP(B63,[1]DATA!AF:AF,[1]DATA!AX:AX)</f>
        <v>Linh</v>
      </c>
      <c r="AO63"/>
    </row>
    <row r="64" spans="1:41" s="22" customFormat="1" ht="14.25" customHeight="1">
      <c r="A64" s="16">
        <f>SUBTOTAL(3,$D$33:D64)</f>
        <v>32</v>
      </c>
      <c r="B64" s="16" t="str">
        <f>_xlfn.XLOOKUP(C64,[1]DATA!D:D,[1]DATA!AF:AF)</f>
        <v>XE00634</v>
      </c>
      <c r="C64" s="18" t="s">
        <v>83</v>
      </c>
      <c r="D64" s="16" t="s">
        <v>19</v>
      </c>
      <c r="E64" s="18" t="s">
        <v>17</v>
      </c>
      <c r="F64" s="18" t="s">
        <v>18</v>
      </c>
      <c r="G64" s="19">
        <f>IFERROR(INDEX([1]DATA!$AH:$AH,MATCH('[1]BC_ ĐG LX'!$C64&amp;'[1]BC_ ĐG LX'!G$3,[1]DATA!$AW:$AW,0)),"")</f>
        <v>9.02</v>
      </c>
      <c r="H64" s="19">
        <f>IFERROR(INDEX([1]DATA!$AH:$AH,MATCH('[1]BC_ ĐG LX'!$C64&amp;'[1]BC_ ĐG LX'!H$3,[1]DATA!$AW:$AW,0)),"")</f>
        <v>10</v>
      </c>
      <c r="I64" s="19">
        <f>IFERROR(INDEX([1]DATA!$AH:$AH,MATCH('[1]BC_ ĐG LX'!$C64&amp;'[1]BC_ ĐG LX'!I$3,[1]DATA!$AW:$AW,0)),"")</f>
        <v>9.42</v>
      </c>
      <c r="J64" s="19">
        <f>IFERROR(INDEX([1]DATA!$AH:$AH,MATCH('[1]BC_ ĐG LX'!$C64&amp;'[1]BC_ ĐG LX'!J$3,[1]DATA!$AW:$AW,0)),"")</f>
        <v>9.82</v>
      </c>
      <c r="K64" s="19">
        <f>IFERROR(INDEX([1]DATA!$AH:$AH,MATCH('[1]BC_ ĐG LX'!$C64&amp;'[1]BC_ ĐG LX'!K$3,[1]DATA!$AW:$AW,0)),"")</f>
        <v>9.82</v>
      </c>
      <c r="L64" s="19">
        <f>IFERROR(INDEX([1]DATA!$AH:$AH,MATCH('[1]BC_ ĐG LX'!$C64&amp;'[1]BC_ ĐG LX'!L$3,[1]DATA!$AW:$AW,0)),"")</f>
        <v>9.42</v>
      </c>
      <c r="M64" s="19">
        <f>IFERROR(INDEX([1]DATA!$AH:$AH,MATCH('[1]BC_ ĐG LX'!$C64&amp;'[1]BC_ ĐG LX'!M$3,[1]DATA!$AW:$AW,0)),"")</f>
        <v>9.82</v>
      </c>
      <c r="N64" s="19">
        <f>IFERROR(INDEX([1]DATA!$AH:$AH,MATCH('[1]BC_ ĐG LX'!$C64&amp;'[1]BC_ ĐG LX'!N$3,[1]DATA!$AW:$AW,0)),"")</f>
        <v>9.82</v>
      </c>
      <c r="O64" s="19">
        <f>IFERROR(INDEX([1]DATA!$AH:$AH,MATCH('[1]BC_ ĐG LX'!$C64&amp;'[1]BC_ ĐG LX'!O$3,[1]DATA!$AW:$AW,0)),"")</f>
        <v>9.82</v>
      </c>
      <c r="P64" s="19">
        <f>IFERROR(INDEX([1]DATA!$AH:$AH,MATCH('[1]BC_ ĐG LX'!$C64&amp;'[1]BC_ ĐG LX'!P$3,[1]DATA!$AW:$AW,0)),"")</f>
        <v>9.82</v>
      </c>
      <c r="Q64" s="19">
        <f>IFERROR(INDEX([1]DATA!$AH:$AH,MATCH('[1]BC_ ĐG LX'!$C64&amp;'[1]BC_ ĐG LX'!Q$3,[1]DATA!$AW:$AW,0)),"")</f>
        <v>7.82</v>
      </c>
      <c r="R64" s="19" t="str">
        <f>IFERROR(INDEX([1]DATA!$AH:$AH,MATCH('[1]BC_ ĐG LX'!$C64&amp;'[1]BC_ ĐG LX'!R$3,[1]DATA!$AW:$AW,0)),"")</f>
        <v/>
      </c>
      <c r="S64" s="19" t="str">
        <f>IFERROR(INDEX([1]DATA!$AH:$AH,MATCH('[1]BC_ ĐG LX'!$C64&amp;'[1]BC_ ĐG LX'!S$3,[1]DATA!$AW:$AW,0)),"")</f>
        <v/>
      </c>
      <c r="T64" s="19" t="str">
        <f>IFERROR(INDEX([1]DATA!$AH:$AH,MATCH('[1]BC_ ĐG LX'!$C64&amp;'[1]BC_ ĐG LX'!T$3,[1]DATA!$AW:$AW,0)),"")</f>
        <v/>
      </c>
      <c r="U64" s="19" t="str">
        <f>IFERROR(INDEX([1]DATA!$AH:$AH,MATCH('[1]BC_ ĐG LX'!$C64&amp;'[1]BC_ ĐG LX'!U$3,[1]DATA!$AW:$AW,0)),"")</f>
        <v/>
      </c>
      <c r="V64" s="19" t="str">
        <f>IFERROR(INDEX([1]DATA!$AH:$AH,MATCH('[1]BC_ ĐG LX'!$C64&amp;'[1]BC_ ĐG LX'!V$3,[1]DATA!$AW:$AW,0)),"")</f>
        <v/>
      </c>
      <c r="W64" s="19" t="str">
        <f>IFERROR(INDEX([1]DATA!$AH:$AH,MATCH('[1]BC_ ĐG LX'!$C64&amp;'[1]BC_ ĐG LX'!W$3,[1]DATA!$AW:$AW,0)),"")</f>
        <v/>
      </c>
      <c r="X64" s="19" t="str">
        <f>IFERROR(INDEX([1]DATA!$AH:$AH,MATCH('[1]BC_ ĐG LX'!$C64&amp;'[1]BC_ ĐG LX'!X$3,[1]DATA!$AW:$AW,0)),"")</f>
        <v/>
      </c>
      <c r="Y64" s="19" t="str">
        <f>IFERROR(INDEX([1]DATA!$AH:$AH,MATCH('[1]BC_ ĐG LX'!$C64&amp;'[1]BC_ ĐG LX'!Y$3,[1]DATA!$AW:$AW,0)),"")</f>
        <v/>
      </c>
      <c r="Z64" s="19" t="str">
        <f>IFERROR(INDEX([1]DATA!$AH:$AH,MATCH('[1]BC_ ĐG LX'!$C64&amp;'[1]BC_ ĐG LX'!Z$3,[1]DATA!$AW:$AW,0)),"")</f>
        <v/>
      </c>
      <c r="AA64" s="19" t="str">
        <f>IFERROR(INDEX([1]DATA!$AH:$AH,MATCH('[1]BC_ ĐG LX'!$C64&amp;'[1]BC_ ĐG LX'!AA$3,[1]DATA!$AW:$AW,0)),"")</f>
        <v/>
      </c>
      <c r="AB64" s="19" t="str">
        <f>IFERROR(INDEX([1]DATA!$AH:$AH,MATCH('[1]BC_ ĐG LX'!$C64&amp;'[1]BC_ ĐG LX'!AB$3,[1]DATA!$AW:$AW,0)),"")</f>
        <v/>
      </c>
      <c r="AC64" s="19" t="str">
        <f>IFERROR(INDEX([1]DATA!$AH:$AH,MATCH('[1]BC_ ĐG LX'!$C64&amp;'[1]BC_ ĐG LX'!AC$3,[1]DATA!$AW:$AW,0)),"")</f>
        <v/>
      </c>
      <c r="AD64" s="19" t="str">
        <f>IFERROR(INDEX([1]DATA!$AH:$AH,MATCH('[1]BC_ ĐG LX'!$C64&amp;'[1]BC_ ĐG LX'!AD$3,[1]DATA!$AW:$AW,0)),"")</f>
        <v/>
      </c>
      <c r="AE64" s="19" t="str">
        <f>IFERROR(INDEX([1]DATA!$AH:$AH,MATCH('[1]BC_ ĐG LX'!$C64&amp;'[1]BC_ ĐG LX'!AE$3,[1]DATA!$AW:$AW,0)),"")</f>
        <v/>
      </c>
      <c r="AF64" s="19" t="str">
        <f>IFERROR(INDEX([1]DATA!$AH:$AH,MATCH('[1]BC_ ĐG LX'!$C64&amp;'[1]BC_ ĐG LX'!AF$3,[1]DATA!$AW:$AW,0)),"")</f>
        <v/>
      </c>
      <c r="AG64" s="19" t="str">
        <f>IFERROR(INDEX([1]DATA!$AH:$AH,MATCH('[1]BC_ ĐG LX'!$C64&amp;'[1]BC_ ĐG LX'!AG$3,[1]DATA!$AW:$AW,0)),"")</f>
        <v/>
      </c>
      <c r="AH64" s="19" t="str">
        <f>IFERROR(INDEX([1]DATA!$AH:$AH,MATCH('[1]BC_ ĐG LX'!$C64&amp;'[1]BC_ ĐG LX'!AH$3,[1]DATA!$AW:$AW,0)),"")</f>
        <v/>
      </c>
      <c r="AI64" s="19" t="str">
        <f>IFERROR(INDEX([1]DATA!$AH:$AH,MATCH('[1]BC_ ĐG LX'!$C64&amp;'[1]BC_ ĐG LX'!AI$3,[1]DATA!$AW:$AW,0)),"")</f>
        <v/>
      </c>
      <c r="AJ64" s="19" t="str">
        <f>IFERROR(INDEX([1]DATA!$AH:$AH,MATCH('[1]BC_ ĐG LX'!$C64&amp;'[1]BC_ ĐG LX'!AJ$3,[1]DATA!$AW:$AW,0)),"")</f>
        <v/>
      </c>
      <c r="AK64" s="26">
        <f t="shared" si="2"/>
        <v>9.6</v>
      </c>
      <c r="AL64" s="21"/>
      <c r="AM64" s="22">
        <f t="shared" si="3"/>
        <v>11</v>
      </c>
      <c r="AN64" s="22" t="str">
        <f>_xlfn.XLOOKUP(B64,[1]DATA!AF:AF,[1]DATA!AX:AX)</f>
        <v>Linh</v>
      </c>
      <c r="AO64"/>
    </row>
    <row r="65" spans="1:41" s="22" customFormat="1" ht="14.25" customHeight="1">
      <c r="A65" s="16">
        <f>SUBTOTAL(3,$D$33:D65)</f>
        <v>33</v>
      </c>
      <c r="B65" s="16" t="str">
        <f>_xlfn.XLOOKUP(C65,[1]DATA!D:D,[1]DATA!AF:AF)</f>
        <v>XE00658</v>
      </c>
      <c r="C65" s="18" t="s">
        <v>84</v>
      </c>
      <c r="D65" s="16" t="s">
        <v>19</v>
      </c>
      <c r="E65" s="18" t="s">
        <v>17</v>
      </c>
      <c r="F65" s="18" t="s">
        <v>18</v>
      </c>
      <c r="G65" s="19">
        <f>IFERROR(INDEX([1]DATA!$AH:$AH,MATCH('[1]BC_ ĐG LX'!$C65&amp;'[1]BC_ ĐG LX'!G$3,[1]DATA!$AW:$AW,0)),"")</f>
        <v>9.82</v>
      </c>
      <c r="H65" s="19">
        <f>IFERROR(INDEX([1]DATA!$AH:$AH,MATCH('[1]BC_ ĐG LX'!$C65&amp;'[1]BC_ ĐG LX'!H$3,[1]DATA!$AW:$AW,0)),"")</f>
        <v>9.82</v>
      </c>
      <c r="I65" s="19">
        <f>IFERROR(INDEX([1]DATA!$AH:$AH,MATCH('[1]BC_ ĐG LX'!$C65&amp;'[1]BC_ ĐG LX'!I$3,[1]DATA!$AW:$AW,0)),"")</f>
        <v>9.42</v>
      </c>
      <c r="J65" s="19">
        <f>IFERROR(INDEX([1]DATA!$AH:$AH,MATCH('[1]BC_ ĐG LX'!$C65&amp;'[1]BC_ ĐG LX'!J$3,[1]DATA!$AW:$AW,0)),"")</f>
        <v>9.82</v>
      </c>
      <c r="K65" s="19">
        <f>IFERROR(INDEX([1]DATA!$AH:$AH,MATCH('[1]BC_ ĐG LX'!$C65&amp;'[1]BC_ ĐG LX'!K$3,[1]DATA!$AW:$AW,0)),"")</f>
        <v>9.42</v>
      </c>
      <c r="L65" s="19">
        <f>IFERROR(INDEX([1]DATA!$AH:$AH,MATCH('[1]BC_ ĐG LX'!$C65&amp;'[1]BC_ ĐG LX'!L$3,[1]DATA!$AW:$AW,0)),"")</f>
        <v>9.82</v>
      </c>
      <c r="M65" s="19">
        <f>IFERROR(INDEX([1]DATA!$AH:$AH,MATCH('[1]BC_ ĐG LX'!$C65&amp;'[1]BC_ ĐG LX'!M$3,[1]DATA!$AW:$AW,0)),"")</f>
        <v>8.84</v>
      </c>
      <c r="N65" s="19">
        <f>IFERROR(INDEX([1]DATA!$AH:$AH,MATCH('[1]BC_ ĐG LX'!$C65&amp;'[1]BC_ ĐG LX'!N$3,[1]DATA!$AW:$AW,0)),"")</f>
        <v>9.42</v>
      </c>
      <c r="O65" s="19">
        <f>IFERROR(INDEX([1]DATA!$AH:$AH,MATCH('[1]BC_ ĐG LX'!$C65&amp;'[1]BC_ ĐG LX'!O$3,[1]DATA!$AW:$AW,0)),"")</f>
        <v>9.42</v>
      </c>
      <c r="P65" s="19">
        <f>IFERROR(INDEX([1]DATA!$AH:$AH,MATCH('[1]BC_ ĐG LX'!$C65&amp;'[1]BC_ ĐG LX'!P$3,[1]DATA!$AW:$AW,0)),"")</f>
        <v>9.82</v>
      </c>
      <c r="Q65" s="19">
        <f>IFERROR(INDEX([1]DATA!$AH:$AH,MATCH('[1]BC_ ĐG LX'!$C65&amp;'[1]BC_ ĐG LX'!Q$3,[1]DATA!$AW:$AW,0)),"")</f>
        <v>9.64</v>
      </c>
      <c r="R65" s="19">
        <f>IFERROR(INDEX([1]DATA!$AH:$AH,MATCH('[1]BC_ ĐG LX'!$C65&amp;'[1]BC_ ĐG LX'!R$3,[1]DATA!$AW:$AW,0)),"")</f>
        <v>9.42</v>
      </c>
      <c r="S65" s="19">
        <f>IFERROR(INDEX([1]DATA!$AH:$AH,MATCH('[1]BC_ ĐG LX'!$C65&amp;'[1]BC_ ĐG LX'!S$3,[1]DATA!$AW:$AW,0)),"")</f>
        <v>8.6199999999999992</v>
      </c>
      <c r="T65" s="19">
        <f>IFERROR(INDEX([1]DATA!$AH:$AH,MATCH('[1]BC_ ĐG LX'!$C65&amp;'[1]BC_ ĐG LX'!T$3,[1]DATA!$AW:$AW,0)),"")</f>
        <v>9.42</v>
      </c>
      <c r="U65" s="19">
        <f>IFERROR(INDEX([1]DATA!$AH:$AH,MATCH('[1]BC_ ĐG LX'!$C65&amp;'[1]BC_ ĐG LX'!U$3,[1]DATA!$AW:$AW,0)),"")</f>
        <v>8.44</v>
      </c>
      <c r="V65" s="19">
        <f>IFERROR(INDEX([1]DATA!$AH:$AH,MATCH('[1]BC_ ĐG LX'!$C65&amp;'[1]BC_ ĐG LX'!V$3,[1]DATA!$AW:$AW,0)),"")</f>
        <v>9.42</v>
      </c>
      <c r="W65" s="19">
        <f>IFERROR(INDEX([1]DATA!$AH:$AH,MATCH('[1]BC_ ĐG LX'!$C65&amp;'[1]BC_ ĐG LX'!W$3,[1]DATA!$AW:$AW,0)),"")</f>
        <v>9.42</v>
      </c>
      <c r="X65" s="19">
        <f>IFERROR(INDEX([1]DATA!$AH:$AH,MATCH('[1]BC_ ĐG LX'!$C65&amp;'[1]BC_ ĐG LX'!X$3,[1]DATA!$AW:$AW,0)),"")</f>
        <v>9.64</v>
      </c>
      <c r="Y65" s="19">
        <f>IFERROR(INDEX([1]DATA!$AH:$AH,MATCH('[1]BC_ ĐG LX'!$C65&amp;'[1]BC_ ĐG LX'!Y$3,[1]DATA!$AW:$AW,0)),"")</f>
        <v>9.42</v>
      </c>
      <c r="Z65" s="19">
        <f>IFERROR(INDEX([1]DATA!$AH:$AH,MATCH('[1]BC_ ĐG LX'!$C65&amp;'[1]BC_ ĐG LX'!Z$3,[1]DATA!$AW:$AW,0)),"")</f>
        <v>9.24</v>
      </c>
      <c r="AA65" s="19">
        <f>IFERROR(INDEX([1]DATA!$AH:$AH,MATCH('[1]BC_ ĐG LX'!$C65&amp;'[1]BC_ ĐG LX'!AA$3,[1]DATA!$AW:$AW,0)),"")</f>
        <v>9.82</v>
      </c>
      <c r="AB65" s="19">
        <f>IFERROR(INDEX([1]DATA!$AH:$AH,MATCH('[1]BC_ ĐG LX'!$C65&amp;'[1]BC_ ĐG LX'!AB$3,[1]DATA!$AW:$AW,0)),"")</f>
        <v>9.42</v>
      </c>
      <c r="AC65" s="19">
        <f>IFERROR(INDEX([1]DATA!$AH:$AH,MATCH('[1]BC_ ĐG LX'!$C65&amp;'[1]BC_ ĐG LX'!AC$3,[1]DATA!$AW:$AW,0)),"")</f>
        <v>8.84</v>
      </c>
      <c r="AD65" s="19">
        <f>IFERROR(INDEX([1]DATA!$AH:$AH,MATCH('[1]BC_ ĐG LX'!$C65&amp;'[1]BC_ ĐG LX'!AD$3,[1]DATA!$AW:$AW,0)),"")</f>
        <v>9.82</v>
      </c>
      <c r="AE65" s="19">
        <f>IFERROR(INDEX([1]DATA!$AH:$AH,MATCH('[1]BC_ ĐG LX'!$C65&amp;'[1]BC_ ĐG LX'!AE$3,[1]DATA!$AW:$AW,0)),"")</f>
        <v>9.42</v>
      </c>
      <c r="AF65" s="19" t="str">
        <f>IFERROR(INDEX([1]DATA!$AH:$AH,MATCH('[1]BC_ ĐG LX'!$C65&amp;'[1]BC_ ĐG LX'!AF$3,[1]DATA!$AW:$AW,0)),"")</f>
        <v/>
      </c>
      <c r="AG65" s="19" t="str">
        <f>IFERROR(INDEX([1]DATA!$AH:$AH,MATCH('[1]BC_ ĐG LX'!$C65&amp;'[1]BC_ ĐG LX'!AG$3,[1]DATA!$AW:$AW,0)),"")</f>
        <v/>
      </c>
      <c r="AH65" s="19" t="str">
        <f>IFERROR(INDEX([1]DATA!$AH:$AH,MATCH('[1]BC_ ĐG LX'!$C65&amp;'[1]BC_ ĐG LX'!AH$3,[1]DATA!$AW:$AW,0)),"")</f>
        <v/>
      </c>
      <c r="AI65" s="19" t="str">
        <f>IFERROR(INDEX([1]DATA!$AH:$AH,MATCH('[1]BC_ ĐG LX'!$C65&amp;'[1]BC_ ĐG LX'!AI$3,[1]DATA!$AW:$AW,0)),"")</f>
        <v/>
      </c>
      <c r="AJ65" s="19" t="str">
        <f>IFERROR(INDEX([1]DATA!$AH:$AH,MATCH('[1]BC_ ĐG LX'!$C65&amp;'[1]BC_ ĐG LX'!AJ$3,[1]DATA!$AW:$AW,0)),"")</f>
        <v/>
      </c>
      <c r="AK65" s="26">
        <f t="shared" si="2"/>
        <v>9.5</v>
      </c>
      <c r="AL65" s="21"/>
      <c r="AM65" s="22">
        <f t="shared" si="3"/>
        <v>25</v>
      </c>
      <c r="AN65" s="22" t="str">
        <f>_xlfn.XLOOKUP(B65,[1]DATA!AF:AF,[1]DATA!AX:AX)</f>
        <v>Nga</v>
      </c>
      <c r="AO65"/>
    </row>
    <row r="66" spans="1:41" s="22" customFormat="1" ht="14.25" customHeight="1">
      <c r="A66" s="16">
        <f>SUBTOTAL(3,$D$33:D66)</f>
        <v>34</v>
      </c>
      <c r="B66" s="16" t="str">
        <f>_xlfn.XLOOKUP(C66,[1]DATA!D:D,[1]DATA!AF:AF)</f>
        <v>XE00690</v>
      </c>
      <c r="C66" s="18" t="s">
        <v>85</v>
      </c>
      <c r="D66" s="16" t="s">
        <v>19</v>
      </c>
      <c r="E66" s="18" t="s">
        <v>17</v>
      </c>
      <c r="F66" s="18" t="s">
        <v>18</v>
      </c>
      <c r="G66" s="19">
        <f>IFERROR(INDEX([1]DATA!$AH:$AH,MATCH('[1]BC_ ĐG LX'!$C66&amp;'[1]BC_ ĐG LX'!G$3,[1]DATA!$AW:$AW,0)),"")</f>
        <v>9.82</v>
      </c>
      <c r="H66" s="19">
        <f>IFERROR(INDEX([1]DATA!$AH:$AH,MATCH('[1]BC_ ĐG LX'!$C66&amp;'[1]BC_ ĐG LX'!H$3,[1]DATA!$AW:$AW,0)),"")</f>
        <v>9.82</v>
      </c>
      <c r="I66" s="19">
        <f>IFERROR(INDEX([1]DATA!$AH:$AH,MATCH('[1]BC_ ĐG LX'!$C66&amp;'[1]BC_ ĐG LX'!I$3,[1]DATA!$AW:$AW,0)),"")</f>
        <v>7.82</v>
      </c>
      <c r="J66" s="19">
        <f>IFERROR(INDEX([1]DATA!$AH:$AH,MATCH('[1]BC_ ĐG LX'!$C66&amp;'[1]BC_ ĐG LX'!J$3,[1]DATA!$AW:$AW,0)),"")</f>
        <v>9.82</v>
      </c>
      <c r="K66" s="19">
        <f>IFERROR(INDEX([1]DATA!$AH:$AH,MATCH('[1]BC_ ĐG LX'!$C66&amp;'[1]BC_ ĐG LX'!K$3,[1]DATA!$AW:$AW,0)),"")</f>
        <v>9.02</v>
      </c>
      <c r="L66" s="19">
        <f>IFERROR(INDEX([1]DATA!$AH:$AH,MATCH('[1]BC_ ĐG LX'!$C66&amp;'[1]BC_ ĐG LX'!L$3,[1]DATA!$AW:$AW,0)),"")</f>
        <v>9.02</v>
      </c>
      <c r="M66" s="19">
        <f>IFERROR(INDEX([1]DATA!$AH:$AH,MATCH('[1]BC_ ĐG LX'!$C66&amp;'[1]BC_ ĐG LX'!M$3,[1]DATA!$AW:$AW,0)),"")</f>
        <v>9.42</v>
      </c>
      <c r="N66" s="19">
        <f>IFERROR(INDEX([1]DATA!$AH:$AH,MATCH('[1]BC_ ĐG LX'!$C66&amp;'[1]BC_ ĐG LX'!N$3,[1]DATA!$AW:$AW,0)),"")</f>
        <v>7.22</v>
      </c>
      <c r="O66" s="19">
        <f>IFERROR(INDEX([1]DATA!$AH:$AH,MATCH('[1]BC_ ĐG LX'!$C66&amp;'[1]BC_ ĐG LX'!O$3,[1]DATA!$AW:$AW,0)),"")</f>
        <v>9.02</v>
      </c>
      <c r="P66" s="19">
        <f>IFERROR(INDEX([1]DATA!$AH:$AH,MATCH('[1]BC_ ĐG LX'!$C66&amp;'[1]BC_ ĐG LX'!P$3,[1]DATA!$AW:$AW,0)),"")</f>
        <v>9.82</v>
      </c>
      <c r="Q66" s="19">
        <f>IFERROR(INDEX([1]DATA!$AH:$AH,MATCH('[1]BC_ ĐG LX'!$C66&amp;'[1]BC_ ĐG LX'!Q$3,[1]DATA!$AW:$AW,0)),"")</f>
        <v>9.82</v>
      </c>
      <c r="R66" s="19">
        <f>IFERROR(INDEX([1]DATA!$AH:$AH,MATCH('[1]BC_ ĐG LX'!$C66&amp;'[1]BC_ ĐG LX'!R$3,[1]DATA!$AW:$AW,0)),"")</f>
        <v>8.2200000000000006</v>
      </c>
      <c r="S66" s="19">
        <f>IFERROR(INDEX([1]DATA!$AH:$AH,MATCH('[1]BC_ ĐG LX'!$C66&amp;'[1]BC_ ĐG LX'!S$3,[1]DATA!$AW:$AW,0)),"")</f>
        <v>9.42</v>
      </c>
      <c r="T66" s="19">
        <f>IFERROR(INDEX([1]DATA!$AH:$AH,MATCH('[1]BC_ ĐG LX'!$C66&amp;'[1]BC_ ĐG LX'!T$3,[1]DATA!$AW:$AW,0)),"")</f>
        <v>9.42</v>
      </c>
      <c r="U66" s="19">
        <f>IFERROR(INDEX([1]DATA!$AH:$AH,MATCH('[1]BC_ ĐG LX'!$C66&amp;'[1]BC_ ĐG LX'!U$3,[1]DATA!$AW:$AW,0)),"")</f>
        <v>9.42</v>
      </c>
      <c r="V66" s="19">
        <f>IFERROR(INDEX([1]DATA!$AH:$AH,MATCH('[1]BC_ ĐG LX'!$C66&amp;'[1]BC_ ĐG LX'!V$3,[1]DATA!$AW:$AW,0)),"")</f>
        <v>9.82</v>
      </c>
      <c r="W66" s="19">
        <f>IFERROR(INDEX([1]DATA!$AH:$AH,MATCH('[1]BC_ ĐG LX'!$C66&amp;'[1]BC_ ĐG LX'!W$3,[1]DATA!$AW:$AW,0)),"")</f>
        <v>9.82</v>
      </c>
      <c r="X66" s="19">
        <f>IFERROR(INDEX([1]DATA!$AH:$AH,MATCH('[1]BC_ ĐG LX'!$C66&amp;'[1]BC_ ĐG LX'!X$3,[1]DATA!$AW:$AW,0)),"")</f>
        <v>9.42</v>
      </c>
      <c r="Y66" s="19">
        <f>IFERROR(INDEX([1]DATA!$AH:$AH,MATCH('[1]BC_ ĐG LX'!$C66&amp;'[1]BC_ ĐG LX'!Y$3,[1]DATA!$AW:$AW,0)),"")</f>
        <v>9.82</v>
      </c>
      <c r="Z66" s="19">
        <f>IFERROR(INDEX([1]DATA!$AH:$AH,MATCH('[1]BC_ ĐG LX'!$C66&amp;'[1]BC_ ĐG LX'!Z$3,[1]DATA!$AW:$AW,0)),"")</f>
        <v>9.82</v>
      </c>
      <c r="AA66" s="19">
        <f>IFERROR(INDEX([1]DATA!$AH:$AH,MATCH('[1]BC_ ĐG LX'!$C66&amp;'[1]BC_ ĐG LX'!AA$3,[1]DATA!$AW:$AW,0)),"")</f>
        <v>9.42</v>
      </c>
      <c r="AB66" s="19">
        <f>IFERROR(INDEX([1]DATA!$AH:$AH,MATCH('[1]BC_ ĐG LX'!$C66&amp;'[1]BC_ ĐG LX'!AB$3,[1]DATA!$AW:$AW,0)),"")</f>
        <v>8.84</v>
      </c>
      <c r="AC66" s="19">
        <f>IFERROR(INDEX([1]DATA!$AH:$AH,MATCH('[1]BC_ ĐG LX'!$C66&amp;'[1]BC_ ĐG LX'!AC$3,[1]DATA!$AW:$AW,0)),"")</f>
        <v>9.42</v>
      </c>
      <c r="AD66" s="19">
        <f>IFERROR(INDEX([1]DATA!$AH:$AH,MATCH('[1]BC_ ĐG LX'!$C66&amp;'[1]BC_ ĐG LX'!AD$3,[1]DATA!$AW:$AW,0)),"")</f>
        <v>9.42</v>
      </c>
      <c r="AE66" s="19">
        <f>IFERROR(INDEX([1]DATA!$AH:$AH,MATCH('[1]BC_ ĐG LX'!$C66&amp;'[1]BC_ ĐG LX'!AE$3,[1]DATA!$AW:$AW,0)),"")</f>
        <v>9.82</v>
      </c>
      <c r="AF66" s="19" t="str">
        <f>IFERROR(INDEX([1]DATA!$AH:$AH,MATCH('[1]BC_ ĐG LX'!$C66&amp;'[1]BC_ ĐG LX'!AF$3,[1]DATA!$AW:$AW,0)),"")</f>
        <v/>
      </c>
      <c r="AG66" s="19" t="str">
        <f>IFERROR(INDEX([1]DATA!$AH:$AH,MATCH('[1]BC_ ĐG LX'!$C66&amp;'[1]BC_ ĐG LX'!AG$3,[1]DATA!$AW:$AW,0)),"")</f>
        <v/>
      </c>
      <c r="AH66" s="19" t="str">
        <f>IFERROR(INDEX([1]DATA!$AH:$AH,MATCH('[1]BC_ ĐG LX'!$C66&amp;'[1]BC_ ĐG LX'!AH$3,[1]DATA!$AW:$AW,0)),"")</f>
        <v/>
      </c>
      <c r="AI66" s="19" t="str">
        <f>IFERROR(INDEX([1]DATA!$AH:$AH,MATCH('[1]BC_ ĐG LX'!$C66&amp;'[1]BC_ ĐG LX'!AI$3,[1]DATA!$AW:$AW,0)),"")</f>
        <v/>
      </c>
      <c r="AJ66" s="19" t="str">
        <f>IFERROR(INDEX([1]DATA!$AH:$AH,MATCH('[1]BC_ ĐG LX'!$C66&amp;'[1]BC_ ĐG LX'!AJ$3,[1]DATA!$AW:$AW,0)),"")</f>
        <v/>
      </c>
      <c r="AK66" s="26">
        <f t="shared" si="2"/>
        <v>9.4</v>
      </c>
      <c r="AL66" s="21"/>
      <c r="AM66" s="22">
        <f t="shared" si="3"/>
        <v>25</v>
      </c>
      <c r="AN66" s="22" t="str">
        <f>_xlfn.XLOOKUP(B66,[1]DATA!AF:AF,[1]DATA!AX:AX)</f>
        <v>Linh</v>
      </c>
      <c r="AO66"/>
    </row>
    <row r="67" spans="1:41" s="22" customFormat="1" ht="14.25" customHeight="1">
      <c r="A67" s="16">
        <f>SUBTOTAL(3,$D$33:D67)</f>
        <v>35</v>
      </c>
      <c r="B67" s="16" t="str">
        <f>_xlfn.XLOOKUP(C67,[1]DATA!D:D,[1]DATA!AF:AF)</f>
        <v>XE00703</v>
      </c>
      <c r="C67" s="18" t="s">
        <v>86</v>
      </c>
      <c r="D67" s="16" t="s">
        <v>19</v>
      </c>
      <c r="E67" s="18" t="s">
        <v>17</v>
      </c>
      <c r="F67" s="18" t="s">
        <v>18</v>
      </c>
      <c r="G67" s="19">
        <f>IFERROR(INDEX([1]DATA!$AH:$AH,MATCH('[1]BC_ ĐG LX'!$C67&amp;'[1]BC_ ĐG LX'!G$3,[1]DATA!$AW:$AW,0)),"")</f>
        <v>8.84</v>
      </c>
      <c r="H67" s="19">
        <f>IFERROR(INDEX([1]DATA!$AH:$AH,MATCH('[1]BC_ ĐG LX'!$C67&amp;'[1]BC_ ĐG LX'!H$3,[1]DATA!$AW:$AW,0)),"")</f>
        <v>9.82</v>
      </c>
      <c r="I67" s="19">
        <f>IFERROR(INDEX([1]DATA!$AH:$AH,MATCH('[1]BC_ ĐG LX'!$C67&amp;'[1]BC_ ĐG LX'!I$3,[1]DATA!$AW:$AW,0)),"")</f>
        <v>9.42</v>
      </c>
      <c r="J67" s="19">
        <f>IFERROR(INDEX([1]DATA!$AH:$AH,MATCH('[1]BC_ ĐG LX'!$C67&amp;'[1]BC_ ĐG LX'!J$3,[1]DATA!$AW:$AW,0)),"")</f>
        <v>9.42</v>
      </c>
      <c r="K67" s="19">
        <f>IFERROR(INDEX([1]DATA!$AH:$AH,MATCH('[1]BC_ ĐG LX'!$C67&amp;'[1]BC_ ĐG LX'!K$3,[1]DATA!$AW:$AW,0)),"")</f>
        <v>9.42</v>
      </c>
      <c r="L67" s="19">
        <f>IFERROR(INDEX([1]DATA!$AH:$AH,MATCH('[1]BC_ ĐG LX'!$C67&amp;'[1]BC_ ĐG LX'!L$3,[1]DATA!$AW:$AW,0)),"")</f>
        <v>9.42</v>
      </c>
      <c r="M67" s="19">
        <f>IFERROR(INDEX([1]DATA!$AH:$AH,MATCH('[1]BC_ ĐG LX'!$C67&amp;'[1]BC_ ĐG LX'!M$3,[1]DATA!$AW:$AW,0)),"")</f>
        <v>9.82</v>
      </c>
      <c r="N67" s="19">
        <f>IFERROR(INDEX([1]DATA!$AH:$AH,MATCH('[1]BC_ ĐG LX'!$C67&amp;'[1]BC_ ĐG LX'!N$3,[1]DATA!$AW:$AW,0)),"")</f>
        <v>9.82</v>
      </c>
      <c r="O67" s="19">
        <f>IFERROR(INDEX([1]DATA!$AH:$AH,MATCH('[1]BC_ ĐG LX'!$C67&amp;'[1]BC_ ĐG LX'!O$3,[1]DATA!$AW:$AW,0)),"")</f>
        <v>9.82</v>
      </c>
      <c r="P67" s="19">
        <f>IFERROR(INDEX([1]DATA!$AH:$AH,MATCH('[1]BC_ ĐG LX'!$C67&amp;'[1]BC_ ĐG LX'!P$3,[1]DATA!$AW:$AW,0)),"")</f>
        <v>9.42</v>
      </c>
      <c r="Q67" s="19">
        <f>IFERROR(INDEX([1]DATA!$AH:$AH,MATCH('[1]BC_ ĐG LX'!$C67&amp;'[1]BC_ ĐG LX'!Q$3,[1]DATA!$AW:$AW,0)),"")</f>
        <v>9.42</v>
      </c>
      <c r="R67" s="19">
        <f>IFERROR(INDEX([1]DATA!$AH:$AH,MATCH('[1]BC_ ĐG LX'!$C67&amp;'[1]BC_ ĐG LX'!R$3,[1]DATA!$AW:$AW,0)),"")</f>
        <v>8.84</v>
      </c>
      <c r="S67" s="19">
        <f>IFERROR(INDEX([1]DATA!$AH:$AH,MATCH('[1]BC_ ĐG LX'!$C67&amp;'[1]BC_ ĐG LX'!S$3,[1]DATA!$AW:$AW,0)),"")</f>
        <v>9.02</v>
      </c>
      <c r="T67" s="19">
        <f>IFERROR(INDEX([1]DATA!$AH:$AH,MATCH('[1]BC_ ĐG LX'!$C67&amp;'[1]BC_ ĐG LX'!T$3,[1]DATA!$AW:$AW,0)),"")</f>
        <v>9.82</v>
      </c>
      <c r="U67" s="19">
        <f>IFERROR(INDEX([1]DATA!$AH:$AH,MATCH('[1]BC_ ĐG LX'!$C67&amp;'[1]BC_ ĐG LX'!U$3,[1]DATA!$AW:$AW,0)),"")</f>
        <v>9.82</v>
      </c>
      <c r="V67" s="19">
        <f>IFERROR(INDEX([1]DATA!$AH:$AH,MATCH('[1]BC_ ĐG LX'!$C67&amp;'[1]BC_ ĐG LX'!V$3,[1]DATA!$AW:$AW,0)),"")</f>
        <v>9.42</v>
      </c>
      <c r="W67" s="19">
        <f>IFERROR(INDEX([1]DATA!$AH:$AH,MATCH('[1]BC_ ĐG LX'!$C67&amp;'[1]BC_ ĐG LX'!W$3,[1]DATA!$AW:$AW,0)),"")</f>
        <v>9.42</v>
      </c>
      <c r="X67" s="19">
        <f>IFERROR(INDEX([1]DATA!$AH:$AH,MATCH('[1]BC_ ĐG LX'!$C67&amp;'[1]BC_ ĐG LX'!X$3,[1]DATA!$AW:$AW,0)),"")</f>
        <v>8.44</v>
      </c>
      <c r="Y67" s="19">
        <f>IFERROR(INDEX([1]DATA!$AH:$AH,MATCH('[1]BC_ ĐG LX'!$C67&amp;'[1]BC_ ĐG LX'!Y$3,[1]DATA!$AW:$AW,0)),"")</f>
        <v>9.82</v>
      </c>
      <c r="Z67" s="19">
        <f>IFERROR(INDEX([1]DATA!$AH:$AH,MATCH('[1]BC_ ĐG LX'!$C67&amp;'[1]BC_ ĐG LX'!Z$3,[1]DATA!$AW:$AW,0)),"")</f>
        <v>9.02</v>
      </c>
      <c r="AA67" s="19" t="str">
        <f>IFERROR(INDEX([1]DATA!$AH:$AH,MATCH('[1]BC_ ĐG LX'!$C67&amp;'[1]BC_ ĐG LX'!AA$3,[1]DATA!$AW:$AW,0)),"")</f>
        <v/>
      </c>
      <c r="AB67" s="19" t="str">
        <f>IFERROR(INDEX([1]DATA!$AH:$AH,MATCH('[1]BC_ ĐG LX'!$C67&amp;'[1]BC_ ĐG LX'!AB$3,[1]DATA!$AW:$AW,0)),"")</f>
        <v/>
      </c>
      <c r="AC67" s="19" t="str">
        <f>IFERROR(INDEX([1]DATA!$AH:$AH,MATCH('[1]BC_ ĐG LX'!$C67&amp;'[1]BC_ ĐG LX'!AC$3,[1]DATA!$AW:$AW,0)),"")</f>
        <v/>
      </c>
      <c r="AD67" s="19" t="str">
        <f>IFERROR(INDEX([1]DATA!$AH:$AH,MATCH('[1]BC_ ĐG LX'!$C67&amp;'[1]BC_ ĐG LX'!AD$3,[1]DATA!$AW:$AW,0)),"")</f>
        <v/>
      </c>
      <c r="AE67" s="19" t="str">
        <f>IFERROR(INDEX([1]DATA!$AH:$AH,MATCH('[1]BC_ ĐG LX'!$C67&amp;'[1]BC_ ĐG LX'!AE$3,[1]DATA!$AW:$AW,0)),"")</f>
        <v/>
      </c>
      <c r="AF67" s="19" t="str">
        <f>IFERROR(INDEX([1]DATA!$AH:$AH,MATCH('[1]BC_ ĐG LX'!$C67&amp;'[1]BC_ ĐG LX'!AF$3,[1]DATA!$AW:$AW,0)),"")</f>
        <v/>
      </c>
      <c r="AG67" s="19" t="str">
        <f>IFERROR(INDEX([1]DATA!$AH:$AH,MATCH('[1]BC_ ĐG LX'!$C67&amp;'[1]BC_ ĐG LX'!AG$3,[1]DATA!$AW:$AW,0)),"")</f>
        <v/>
      </c>
      <c r="AH67" s="19" t="str">
        <f>IFERROR(INDEX([1]DATA!$AH:$AH,MATCH('[1]BC_ ĐG LX'!$C67&amp;'[1]BC_ ĐG LX'!AH$3,[1]DATA!$AW:$AW,0)),"")</f>
        <v/>
      </c>
      <c r="AI67" s="19" t="str">
        <f>IFERROR(INDEX([1]DATA!$AH:$AH,MATCH('[1]BC_ ĐG LX'!$C67&amp;'[1]BC_ ĐG LX'!AI$3,[1]DATA!$AW:$AW,0)),"")</f>
        <v/>
      </c>
      <c r="AJ67" s="19" t="str">
        <f>IFERROR(INDEX([1]DATA!$AH:$AH,MATCH('[1]BC_ ĐG LX'!$C67&amp;'[1]BC_ ĐG LX'!AJ$3,[1]DATA!$AW:$AW,0)),"")</f>
        <v/>
      </c>
      <c r="AK67" s="26">
        <f t="shared" si="2"/>
        <v>9.5</v>
      </c>
      <c r="AL67" s="21"/>
      <c r="AM67" s="22">
        <f t="shared" si="3"/>
        <v>20</v>
      </c>
      <c r="AN67" s="22" t="str">
        <f>_xlfn.XLOOKUP(B67,[1]DATA!AF:AF,[1]DATA!AX:AX)</f>
        <v>Lương</v>
      </c>
      <c r="AO67"/>
    </row>
    <row r="68" spans="1:41" s="22" customFormat="1" ht="14.25" customHeight="1">
      <c r="A68" s="16">
        <f>SUBTOTAL(3,$D$33:D68)</f>
        <v>36</v>
      </c>
      <c r="B68" s="16" t="str">
        <f>_xlfn.XLOOKUP(C68,[1]DATA!D:D,[1]DATA!AF:AF)</f>
        <v>XE00776</v>
      </c>
      <c r="C68" s="18" t="s">
        <v>87</v>
      </c>
      <c r="D68" s="16" t="s">
        <v>19</v>
      </c>
      <c r="E68" s="18" t="s">
        <v>17</v>
      </c>
      <c r="F68" s="18" t="s">
        <v>18</v>
      </c>
      <c r="G68" s="19">
        <f>IFERROR(INDEX([1]DATA!$AH:$AH,MATCH('[1]BC_ ĐG LX'!$C68&amp;'[1]BC_ ĐG LX'!G$3,[1]DATA!$AW:$AW,0)),"")</f>
        <v>8.84</v>
      </c>
      <c r="H68" s="19">
        <f>IFERROR(INDEX([1]DATA!$AH:$AH,MATCH('[1]BC_ ĐG LX'!$C68&amp;'[1]BC_ ĐG LX'!H$3,[1]DATA!$AW:$AW,0)),"")</f>
        <v>9.82</v>
      </c>
      <c r="I68" s="19">
        <f>IFERROR(INDEX([1]DATA!$AH:$AH,MATCH('[1]BC_ ĐG LX'!$C68&amp;'[1]BC_ ĐG LX'!I$3,[1]DATA!$AW:$AW,0)),"")</f>
        <v>9.82</v>
      </c>
      <c r="J68" s="19">
        <f>IFERROR(INDEX([1]DATA!$AH:$AH,MATCH('[1]BC_ ĐG LX'!$C68&amp;'[1]BC_ ĐG LX'!J$3,[1]DATA!$AW:$AW,0)),"")</f>
        <v>9.02</v>
      </c>
      <c r="K68" s="19">
        <f>IFERROR(INDEX([1]DATA!$AH:$AH,MATCH('[1]BC_ ĐG LX'!$C68&amp;'[1]BC_ ĐG LX'!K$3,[1]DATA!$AW:$AW,0)),"")</f>
        <v>9.02</v>
      </c>
      <c r="L68" s="19">
        <f>IFERROR(INDEX([1]DATA!$AH:$AH,MATCH('[1]BC_ ĐG LX'!$C68&amp;'[1]BC_ ĐG LX'!L$3,[1]DATA!$AW:$AW,0)),"")</f>
        <v>8.2200000000000006</v>
      </c>
      <c r="M68" s="19">
        <f>IFERROR(INDEX([1]DATA!$AH:$AH,MATCH('[1]BC_ ĐG LX'!$C68&amp;'[1]BC_ ĐG LX'!M$3,[1]DATA!$AW:$AW,0)),"")</f>
        <v>8.84</v>
      </c>
      <c r="N68" s="19">
        <f>IFERROR(INDEX([1]DATA!$AH:$AH,MATCH('[1]BC_ ĐG LX'!$C68&amp;'[1]BC_ ĐG LX'!N$3,[1]DATA!$AW:$AW,0)),"")</f>
        <v>9.42</v>
      </c>
      <c r="O68" s="19">
        <f>IFERROR(INDEX([1]DATA!$AH:$AH,MATCH('[1]BC_ ĐG LX'!$C68&amp;'[1]BC_ ĐG LX'!O$3,[1]DATA!$AW:$AW,0)),"")</f>
        <v>9.82</v>
      </c>
      <c r="P68" s="19">
        <f>IFERROR(INDEX([1]DATA!$AH:$AH,MATCH('[1]BC_ ĐG LX'!$C68&amp;'[1]BC_ ĐG LX'!P$3,[1]DATA!$AW:$AW,0)),"")</f>
        <v>9.02</v>
      </c>
      <c r="Q68" s="19">
        <f>IFERROR(INDEX([1]DATA!$AH:$AH,MATCH('[1]BC_ ĐG LX'!$C68&amp;'[1]BC_ ĐG LX'!Q$3,[1]DATA!$AW:$AW,0)),"")</f>
        <v>8.84</v>
      </c>
      <c r="R68" s="19">
        <f>IFERROR(INDEX([1]DATA!$AH:$AH,MATCH('[1]BC_ ĐG LX'!$C68&amp;'[1]BC_ ĐG LX'!R$3,[1]DATA!$AW:$AW,0)),"")</f>
        <v>9.82</v>
      </c>
      <c r="S68" s="19">
        <f>IFERROR(INDEX([1]DATA!$AH:$AH,MATCH('[1]BC_ ĐG LX'!$C68&amp;'[1]BC_ ĐG LX'!S$3,[1]DATA!$AW:$AW,0)),"")</f>
        <v>9.82</v>
      </c>
      <c r="T68" s="19">
        <f>IFERROR(INDEX([1]DATA!$AH:$AH,MATCH('[1]BC_ ĐG LX'!$C68&amp;'[1]BC_ ĐG LX'!T$3,[1]DATA!$AW:$AW,0)),"")</f>
        <v>9.42</v>
      </c>
      <c r="U68" s="19">
        <f>IFERROR(INDEX([1]DATA!$AH:$AH,MATCH('[1]BC_ ĐG LX'!$C68&amp;'[1]BC_ ĐG LX'!U$3,[1]DATA!$AW:$AW,0)),"")</f>
        <v>10</v>
      </c>
      <c r="V68" s="19">
        <f>IFERROR(INDEX([1]DATA!$AH:$AH,MATCH('[1]BC_ ĐG LX'!$C68&amp;'[1]BC_ ĐG LX'!V$3,[1]DATA!$AW:$AW,0)),"")</f>
        <v>9.42</v>
      </c>
      <c r="W68" s="19">
        <f>IFERROR(INDEX([1]DATA!$AH:$AH,MATCH('[1]BC_ ĐG LX'!$C68&amp;'[1]BC_ ĐG LX'!W$3,[1]DATA!$AW:$AW,0)),"")</f>
        <v>8.44</v>
      </c>
      <c r="X68" s="19">
        <f>IFERROR(INDEX([1]DATA!$AH:$AH,MATCH('[1]BC_ ĐG LX'!$C68&amp;'[1]BC_ ĐG LX'!X$3,[1]DATA!$AW:$AW,0)),"")</f>
        <v>8.620000000000001</v>
      </c>
      <c r="Y68" s="19">
        <f>IFERROR(INDEX([1]DATA!$AH:$AH,MATCH('[1]BC_ ĐG LX'!$C68&amp;'[1]BC_ ĐG LX'!Y$3,[1]DATA!$AW:$AW,0)),"")</f>
        <v>9.82</v>
      </c>
      <c r="Z68" s="19">
        <f>IFERROR(INDEX([1]DATA!$AH:$AH,MATCH('[1]BC_ ĐG LX'!$C68&amp;'[1]BC_ ĐG LX'!Z$3,[1]DATA!$AW:$AW,0)),"")</f>
        <v>10</v>
      </c>
      <c r="AA68" s="19" t="str">
        <f>IFERROR(INDEX([1]DATA!$AH:$AH,MATCH('[1]BC_ ĐG LX'!$C68&amp;'[1]BC_ ĐG LX'!AA$3,[1]DATA!$AW:$AW,0)),"")</f>
        <v/>
      </c>
      <c r="AB68" s="19" t="str">
        <f>IFERROR(INDEX([1]DATA!$AH:$AH,MATCH('[1]BC_ ĐG LX'!$C68&amp;'[1]BC_ ĐG LX'!AB$3,[1]DATA!$AW:$AW,0)),"")</f>
        <v/>
      </c>
      <c r="AC68" s="19" t="str">
        <f>IFERROR(INDEX([1]DATA!$AH:$AH,MATCH('[1]BC_ ĐG LX'!$C68&amp;'[1]BC_ ĐG LX'!AC$3,[1]DATA!$AW:$AW,0)),"")</f>
        <v/>
      </c>
      <c r="AD68" s="19" t="str">
        <f>IFERROR(INDEX([1]DATA!$AH:$AH,MATCH('[1]BC_ ĐG LX'!$C68&amp;'[1]BC_ ĐG LX'!AD$3,[1]DATA!$AW:$AW,0)),"")</f>
        <v/>
      </c>
      <c r="AE68" s="19" t="str">
        <f>IFERROR(INDEX([1]DATA!$AH:$AH,MATCH('[1]BC_ ĐG LX'!$C68&amp;'[1]BC_ ĐG LX'!AE$3,[1]DATA!$AW:$AW,0)),"")</f>
        <v/>
      </c>
      <c r="AF68" s="19" t="str">
        <f>IFERROR(INDEX([1]DATA!$AH:$AH,MATCH('[1]BC_ ĐG LX'!$C68&amp;'[1]BC_ ĐG LX'!AF$3,[1]DATA!$AW:$AW,0)),"")</f>
        <v/>
      </c>
      <c r="AG68" s="19" t="str">
        <f>IFERROR(INDEX([1]DATA!$AH:$AH,MATCH('[1]BC_ ĐG LX'!$C68&amp;'[1]BC_ ĐG LX'!AG$3,[1]DATA!$AW:$AW,0)),"")</f>
        <v/>
      </c>
      <c r="AH68" s="19" t="str">
        <f>IFERROR(INDEX([1]DATA!$AH:$AH,MATCH('[1]BC_ ĐG LX'!$C68&amp;'[1]BC_ ĐG LX'!AH$3,[1]DATA!$AW:$AW,0)),"")</f>
        <v/>
      </c>
      <c r="AI68" s="19" t="str">
        <f>IFERROR(INDEX([1]DATA!$AH:$AH,MATCH('[1]BC_ ĐG LX'!$C68&amp;'[1]BC_ ĐG LX'!AI$3,[1]DATA!$AW:$AW,0)),"")</f>
        <v/>
      </c>
      <c r="AJ68" s="19" t="str">
        <f>IFERROR(INDEX([1]DATA!$AH:$AH,MATCH('[1]BC_ ĐG LX'!$C68&amp;'[1]BC_ ĐG LX'!AJ$3,[1]DATA!$AW:$AW,0)),"")</f>
        <v/>
      </c>
      <c r="AK68" s="26">
        <f t="shared" si="2"/>
        <v>9.4</v>
      </c>
      <c r="AL68" s="21"/>
      <c r="AM68" s="22">
        <f t="shared" si="3"/>
        <v>20</v>
      </c>
      <c r="AN68" s="22" t="str">
        <f>_xlfn.XLOOKUP(B68,[1]DATA!AF:AF,[1]DATA!AX:AX)</f>
        <v>Linh</v>
      </c>
      <c r="AO68"/>
    </row>
    <row r="69" spans="1:41" s="22" customFormat="1" ht="14.25" customHeight="1">
      <c r="A69" s="16">
        <f>SUBTOTAL(3,$D$33:D69)</f>
        <v>37</v>
      </c>
      <c r="B69" s="16" t="str">
        <f>_xlfn.XLOOKUP(C69,[1]DATA!D:D,[1]DATA!AF:AF)</f>
        <v>XE00870</v>
      </c>
      <c r="C69" s="18" t="s">
        <v>88</v>
      </c>
      <c r="D69" s="16" t="s">
        <v>19</v>
      </c>
      <c r="E69" s="18" t="s">
        <v>17</v>
      </c>
      <c r="F69" s="18" t="s">
        <v>18</v>
      </c>
      <c r="G69" s="19">
        <f>IFERROR(INDEX([1]DATA!$AH:$AH,MATCH('[1]BC_ ĐG LX'!$C69&amp;'[1]BC_ ĐG LX'!G$3,[1]DATA!$AW:$AW,0)),"")</f>
        <v>9.42</v>
      </c>
      <c r="H69" s="19">
        <f>IFERROR(INDEX([1]DATA!$AH:$AH,MATCH('[1]BC_ ĐG LX'!$C69&amp;'[1]BC_ ĐG LX'!H$3,[1]DATA!$AW:$AW,0)),"")</f>
        <v>9.82</v>
      </c>
      <c r="I69" s="19">
        <f>IFERROR(INDEX([1]DATA!$AH:$AH,MATCH('[1]BC_ ĐG LX'!$C69&amp;'[1]BC_ ĐG LX'!I$3,[1]DATA!$AW:$AW,0)),"")</f>
        <v>9.42</v>
      </c>
      <c r="J69" s="19">
        <f>IFERROR(INDEX([1]DATA!$AH:$AH,MATCH('[1]BC_ ĐG LX'!$C69&amp;'[1]BC_ ĐG LX'!J$3,[1]DATA!$AW:$AW,0)),"")</f>
        <v>9.82</v>
      </c>
      <c r="K69" s="19">
        <f>IFERROR(INDEX([1]DATA!$AH:$AH,MATCH('[1]BC_ ĐG LX'!$C69&amp;'[1]BC_ ĐG LX'!K$3,[1]DATA!$AW:$AW,0)),"")</f>
        <v>9.82</v>
      </c>
      <c r="L69" s="19">
        <f>IFERROR(INDEX([1]DATA!$AH:$AH,MATCH('[1]BC_ ĐG LX'!$C69&amp;'[1]BC_ ĐG LX'!L$3,[1]DATA!$AW:$AW,0)),"")</f>
        <v>9.42</v>
      </c>
      <c r="M69" s="19">
        <f>IFERROR(INDEX([1]DATA!$AH:$AH,MATCH('[1]BC_ ĐG LX'!$C69&amp;'[1]BC_ ĐG LX'!M$3,[1]DATA!$AW:$AW,0)),"")</f>
        <v>9.82</v>
      </c>
      <c r="N69" s="19">
        <f>IFERROR(INDEX([1]DATA!$AH:$AH,MATCH('[1]BC_ ĐG LX'!$C69&amp;'[1]BC_ ĐG LX'!N$3,[1]DATA!$AW:$AW,0)),"")</f>
        <v>9.64</v>
      </c>
      <c r="O69" s="19">
        <f>IFERROR(INDEX([1]DATA!$AH:$AH,MATCH('[1]BC_ ĐG LX'!$C69&amp;'[1]BC_ ĐG LX'!O$3,[1]DATA!$AW:$AW,0)),"")</f>
        <v>9.82</v>
      </c>
      <c r="P69" s="19">
        <f>IFERROR(INDEX([1]DATA!$AH:$AH,MATCH('[1]BC_ ĐG LX'!$C69&amp;'[1]BC_ ĐG LX'!P$3,[1]DATA!$AW:$AW,0)),"")</f>
        <v>9.6199999999999992</v>
      </c>
      <c r="Q69" s="19">
        <f>IFERROR(INDEX([1]DATA!$AH:$AH,MATCH('[1]BC_ ĐG LX'!$C69&amp;'[1]BC_ ĐG LX'!Q$3,[1]DATA!$AW:$AW,0)),"")</f>
        <v>9.42</v>
      </c>
      <c r="R69" s="19">
        <f>IFERROR(INDEX([1]DATA!$AH:$AH,MATCH('[1]BC_ ĐG LX'!$C69&amp;'[1]BC_ ĐG LX'!R$3,[1]DATA!$AW:$AW,0)),"")</f>
        <v>9.82</v>
      </c>
      <c r="S69" s="19">
        <f>IFERROR(INDEX([1]DATA!$AH:$AH,MATCH('[1]BC_ ĐG LX'!$C69&amp;'[1]BC_ ĐG LX'!S$3,[1]DATA!$AW:$AW,0)),"")</f>
        <v>9.82</v>
      </c>
      <c r="T69" s="19">
        <f>IFERROR(INDEX([1]DATA!$AH:$AH,MATCH('[1]BC_ ĐG LX'!$C69&amp;'[1]BC_ ĐG LX'!T$3,[1]DATA!$AW:$AW,0)),"")</f>
        <v>9.6199999999999992</v>
      </c>
      <c r="U69" s="19">
        <f>IFERROR(INDEX([1]DATA!$AH:$AH,MATCH('[1]BC_ ĐG LX'!$C69&amp;'[1]BC_ ĐG LX'!U$3,[1]DATA!$AW:$AW,0)),"")</f>
        <v>10</v>
      </c>
      <c r="V69" s="19">
        <f>IFERROR(INDEX([1]DATA!$AH:$AH,MATCH('[1]BC_ ĐG LX'!$C69&amp;'[1]BC_ ĐG LX'!V$3,[1]DATA!$AW:$AW,0)),"")</f>
        <v>7.6199999999999992</v>
      </c>
      <c r="W69" s="19">
        <f>IFERROR(INDEX([1]DATA!$AH:$AH,MATCH('[1]BC_ ĐG LX'!$C69&amp;'[1]BC_ ĐG LX'!W$3,[1]DATA!$AW:$AW,0)),"")</f>
        <v>9.82</v>
      </c>
      <c r="X69" s="19">
        <f>IFERROR(INDEX([1]DATA!$AH:$AH,MATCH('[1]BC_ ĐG LX'!$C69&amp;'[1]BC_ ĐG LX'!X$3,[1]DATA!$AW:$AW,0)),"")</f>
        <v>9.6199999999999992</v>
      </c>
      <c r="Y69" s="19">
        <f>IFERROR(INDEX([1]DATA!$AH:$AH,MATCH('[1]BC_ ĐG LX'!$C69&amp;'[1]BC_ ĐG LX'!Y$3,[1]DATA!$AW:$AW,0)),"")</f>
        <v>9.02</v>
      </c>
      <c r="Z69" s="19">
        <f>IFERROR(INDEX([1]DATA!$AH:$AH,MATCH('[1]BC_ ĐG LX'!$C69&amp;'[1]BC_ ĐG LX'!Z$3,[1]DATA!$AW:$AW,0)),"")</f>
        <v>9.82</v>
      </c>
      <c r="AA69" s="33">
        <f>IFERROR(INDEX([1]DATA!$AH:$AH,MATCH('[1]BC_ ĐG LX'!$C69&amp;'[1]BC_ ĐG LX'!AA$3,[1]DATA!$AW:$AW,0)),"")</f>
        <v>9.82</v>
      </c>
      <c r="AB69" s="33">
        <f>IFERROR(INDEX([1]DATA!$AH:$AH,MATCH('[1]BC_ ĐG LX'!$C69&amp;'[1]BC_ ĐG LX'!AB$3,[1]DATA!$AW:$AW,0)),"")</f>
        <v>9.82</v>
      </c>
      <c r="AC69" s="33">
        <f>IFERROR(INDEX([1]DATA!$AH:$AH,MATCH('[1]BC_ ĐG LX'!$C69&amp;'[1]BC_ ĐG LX'!AC$3,[1]DATA!$AW:$AW,0)),"")</f>
        <v>8.620000000000001</v>
      </c>
      <c r="AD69" s="19">
        <f>IFERROR(INDEX([1]DATA!$AH:$AH,MATCH('[1]BC_ ĐG LX'!$C69&amp;'[1]BC_ ĐG LX'!AD$3,[1]DATA!$AW:$AW,0)),"")</f>
        <v>8.44</v>
      </c>
      <c r="AE69" s="19">
        <f>IFERROR(INDEX([1]DATA!$AH:$AH,MATCH('[1]BC_ ĐG LX'!$C69&amp;'[1]BC_ ĐG LX'!AE$3,[1]DATA!$AW:$AW,0)),"")</f>
        <v>9.6199999999999992</v>
      </c>
      <c r="AF69" s="19" t="str">
        <f>IFERROR(INDEX([1]DATA!$AH:$AH,MATCH('[1]BC_ ĐG LX'!$C69&amp;'[1]BC_ ĐG LX'!AF$3,[1]DATA!$AW:$AW,0)),"")</f>
        <v/>
      </c>
      <c r="AG69" s="19" t="str">
        <f>IFERROR(INDEX([1]DATA!$AH:$AH,MATCH('[1]BC_ ĐG LX'!$C69&amp;'[1]BC_ ĐG LX'!AG$3,[1]DATA!$AW:$AW,0)),"")</f>
        <v/>
      </c>
      <c r="AH69" s="19" t="str">
        <f>IFERROR(INDEX([1]DATA!$AH:$AH,MATCH('[1]BC_ ĐG LX'!$C69&amp;'[1]BC_ ĐG LX'!AH$3,[1]DATA!$AW:$AW,0)),"")</f>
        <v/>
      </c>
      <c r="AI69" s="19" t="str">
        <f>IFERROR(INDEX([1]DATA!$AH:$AH,MATCH('[1]BC_ ĐG LX'!$C69&amp;'[1]BC_ ĐG LX'!AI$3,[1]DATA!$AW:$AW,0)),"")</f>
        <v/>
      </c>
      <c r="AJ69" s="19" t="str">
        <f>IFERROR(INDEX([1]DATA!$AH:$AH,MATCH('[1]BC_ ĐG LX'!$C69&amp;'[1]BC_ ĐG LX'!AJ$3,[1]DATA!$AW:$AW,0)),"")</f>
        <v/>
      </c>
      <c r="AK69" s="26">
        <f t="shared" si="2"/>
        <v>9.6</v>
      </c>
      <c r="AL69" s="21" t="s">
        <v>89</v>
      </c>
      <c r="AM69" s="22">
        <f t="shared" si="3"/>
        <v>25</v>
      </c>
      <c r="AN69" s="22" t="str">
        <f>_xlfn.XLOOKUP(B69,[1]DATA!AF:AF,[1]DATA!AX:AX)</f>
        <v>Linh</v>
      </c>
      <c r="AO69"/>
    </row>
    <row r="70" spans="1:41" s="22" customFormat="1" ht="14.25" customHeight="1">
      <c r="A70" s="16">
        <f>SUBTOTAL(3,$D$33:D70)</f>
        <v>38</v>
      </c>
      <c r="B70" s="16" t="str">
        <f>_xlfn.XLOOKUP(C70,[1]DATA!D:D,[1]DATA!AF:AF)</f>
        <v>XE00937</v>
      </c>
      <c r="C70" s="18" t="s">
        <v>90</v>
      </c>
      <c r="D70" s="16" t="s">
        <v>19</v>
      </c>
      <c r="E70" s="18" t="s">
        <v>17</v>
      </c>
      <c r="F70" s="18" t="s">
        <v>18</v>
      </c>
      <c r="G70" s="19">
        <f>IFERROR(INDEX([1]DATA!$AH:$AH,MATCH('[1]BC_ ĐG LX'!$C70&amp;'[1]BC_ ĐG LX'!G$3,[1]DATA!$AW:$AW,0)),"")</f>
        <v>9.6199999999999992</v>
      </c>
      <c r="H70" s="19">
        <f>IFERROR(INDEX([1]DATA!$AH:$AH,MATCH('[1]BC_ ĐG LX'!$C70&amp;'[1]BC_ ĐG LX'!H$3,[1]DATA!$AW:$AW,0)),"")</f>
        <v>9.82</v>
      </c>
      <c r="I70" s="19">
        <f>IFERROR(INDEX([1]DATA!$AH:$AH,MATCH('[1]BC_ ĐG LX'!$C70&amp;'[1]BC_ ĐG LX'!I$3,[1]DATA!$AW:$AW,0)),"")</f>
        <v>9.82</v>
      </c>
      <c r="J70" s="19">
        <f>IFERROR(INDEX([1]DATA!$AH:$AH,MATCH('[1]BC_ ĐG LX'!$C70&amp;'[1]BC_ ĐG LX'!J$3,[1]DATA!$AW:$AW,0)),"")</f>
        <v>9.82</v>
      </c>
      <c r="K70" s="19">
        <f>IFERROR(INDEX([1]DATA!$AH:$AH,MATCH('[1]BC_ ĐG LX'!$C70&amp;'[1]BC_ ĐG LX'!K$3,[1]DATA!$AW:$AW,0)),"")</f>
        <v>9.82</v>
      </c>
      <c r="L70" s="19">
        <f>IFERROR(INDEX([1]DATA!$AH:$AH,MATCH('[1]BC_ ĐG LX'!$C70&amp;'[1]BC_ ĐG LX'!L$3,[1]DATA!$AW:$AW,0)),"")</f>
        <v>9.82</v>
      </c>
      <c r="M70" s="19">
        <f>IFERROR(INDEX([1]DATA!$AH:$AH,MATCH('[1]BC_ ĐG LX'!$C70&amp;'[1]BC_ ĐG LX'!M$3,[1]DATA!$AW:$AW,0)),"")</f>
        <v>9.42</v>
      </c>
      <c r="N70" s="19">
        <f>IFERROR(INDEX([1]DATA!$AH:$AH,MATCH('[1]BC_ ĐG LX'!$C70&amp;'[1]BC_ ĐG LX'!N$3,[1]DATA!$AW:$AW,0)),"")</f>
        <v>9.82</v>
      </c>
      <c r="O70" s="19">
        <f>IFERROR(INDEX([1]DATA!$AH:$AH,MATCH('[1]BC_ ĐG LX'!$C70&amp;'[1]BC_ ĐG LX'!O$3,[1]DATA!$AW:$AW,0)),"")</f>
        <v>9.42</v>
      </c>
      <c r="P70" s="19">
        <f>IFERROR(INDEX([1]DATA!$AH:$AH,MATCH('[1]BC_ ĐG LX'!$C70&amp;'[1]BC_ ĐG LX'!P$3,[1]DATA!$AW:$AW,0)),"")</f>
        <v>9.42</v>
      </c>
      <c r="Q70" s="19">
        <f>IFERROR(INDEX([1]DATA!$AH:$AH,MATCH('[1]BC_ ĐG LX'!$C70&amp;'[1]BC_ ĐG LX'!Q$3,[1]DATA!$AW:$AW,0)),"")</f>
        <v>8.2200000000000006</v>
      </c>
      <c r="R70" s="19">
        <f>IFERROR(INDEX([1]DATA!$AH:$AH,MATCH('[1]BC_ ĐG LX'!$C70&amp;'[1]BC_ ĐG LX'!R$3,[1]DATA!$AW:$AW,0)),"")</f>
        <v>9.42</v>
      </c>
      <c r="S70" s="19">
        <f>IFERROR(INDEX([1]DATA!$AH:$AH,MATCH('[1]BC_ ĐG LX'!$C70&amp;'[1]BC_ ĐG LX'!S$3,[1]DATA!$AW:$AW,0)),"")</f>
        <v>8.44</v>
      </c>
      <c r="T70" s="19">
        <f>IFERROR(INDEX([1]DATA!$AH:$AH,MATCH('[1]BC_ ĐG LX'!$C70&amp;'[1]BC_ ĐG LX'!T$3,[1]DATA!$AW:$AW,0)),"")</f>
        <v>9.42</v>
      </c>
      <c r="U70" s="19">
        <f>IFERROR(INDEX([1]DATA!$AH:$AH,MATCH('[1]BC_ ĐG LX'!$C70&amp;'[1]BC_ ĐG LX'!U$3,[1]DATA!$AW:$AW,0)),"")</f>
        <v>8.84</v>
      </c>
      <c r="V70" s="19">
        <f>IFERROR(INDEX([1]DATA!$AH:$AH,MATCH('[1]BC_ ĐG LX'!$C70&amp;'[1]BC_ ĐG LX'!V$3,[1]DATA!$AW:$AW,0)),"")</f>
        <v>9.42</v>
      </c>
      <c r="W70" s="19">
        <f>IFERROR(INDEX([1]DATA!$AH:$AH,MATCH('[1]BC_ ĐG LX'!$C70&amp;'[1]BC_ ĐG LX'!W$3,[1]DATA!$AW:$AW,0)),"")</f>
        <v>9.82</v>
      </c>
      <c r="X70" s="19">
        <f>IFERROR(INDEX([1]DATA!$AH:$AH,MATCH('[1]BC_ ĐG LX'!$C70&amp;'[1]BC_ ĐG LX'!X$3,[1]DATA!$AW:$AW,0)),"")</f>
        <v>9.02</v>
      </c>
      <c r="Y70" s="19">
        <f>IFERROR(INDEX([1]DATA!$AH:$AH,MATCH('[1]BC_ ĐG LX'!$C70&amp;'[1]BC_ ĐG LX'!Y$3,[1]DATA!$AW:$AW,0)),"")</f>
        <v>9.82</v>
      </c>
      <c r="Z70" s="19">
        <f>IFERROR(INDEX([1]DATA!$AH:$AH,MATCH('[1]BC_ ĐG LX'!$C70&amp;'[1]BC_ ĐG LX'!Z$3,[1]DATA!$AW:$AW,0)),"")</f>
        <v>9.82</v>
      </c>
      <c r="AA70" s="19">
        <f>IFERROR(INDEX([1]DATA!$AH:$AH,MATCH('[1]BC_ ĐG LX'!$C70&amp;'[1]BC_ ĐG LX'!AA$3,[1]DATA!$AW:$AW,0)),"")</f>
        <v>9.42</v>
      </c>
      <c r="AB70" s="19">
        <f>IFERROR(INDEX([1]DATA!$AH:$AH,MATCH('[1]BC_ ĐG LX'!$C70&amp;'[1]BC_ ĐG LX'!AB$3,[1]DATA!$AW:$AW,0)),"")</f>
        <v>9.42</v>
      </c>
      <c r="AC70" s="19">
        <f>IFERROR(INDEX([1]DATA!$AH:$AH,MATCH('[1]BC_ ĐG LX'!$C70&amp;'[1]BC_ ĐG LX'!AC$3,[1]DATA!$AW:$AW,0)),"")</f>
        <v>9.42</v>
      </c>
      <c r="AD70" s="19">
        <f>IFERROR(INDEX([1]DATA!$AH:$AH,MATCH('[1]BC_ ĐG LX'!$C70&amp;'[1]BC_ ĐG LX'!AD$3,[1]DATA!$AW:$AW,0)),"")</f>
        <v>9.6199999999999992</v>
      </c>
      <c r="AE70" s="19">
        <f>IFERROR(INDEX([1]DATA!$AH:$AH,MATCH('[1]BC_ ĐG LX'!$C70&amp;'[1]BC_ ĐG LX'!AE$3,[1]DATA!$AW:$AW,0)),"")</f>
        <v>7.24</v>
      </c>
      <c r="AF70" s="19" t="str">
        <f>IFERROR(INDEX([1]DATA!$AH:$AH,MATCH('[1]BC_ ĐG LX'!$C70&amp;'[1]BC_ ĐG LX'!AF$3,[1]DATA!$AW:$AW,0)),"")</f>
        <v/>
      </c>
      <c r="AG70" s="19" t="str">
        <f>IFERROR(INDEX([1]DATA!$AH:$AH,MATCH('[1]BC_ ĐG LX'!$C70&amp;'[1]BC_ ĐG LX'!AG$3,[1]DATA!$AW:$AW,0)),"")</f>
        <v/>
      </c>
      <c r="AH70" s="19" t="str">
        <f>IFERROR(INDEX([1]DATA!$AH:$AH,MATCH('[1]BC_ ĐG LX'!$C70&amp;'[1]BC_ ĐG LX'!AH$3,[1]DATA!$AW:$AW,0)),"")</f>
        <v/>
      </c>
      <c r="AI70" s="19" t="str">
        <f>IFERROR(INDEX([1]DATA!$AH:$AH,MATCH('[1]BC_ ĐG LX'!$C70&amp;'[1]BC_ ĐG LX'!AI$3,[1]DATA!$AW:$AW,0)),"")</f>
        <v/>
      </c>
      <c r="AJ70" s="19" t="str">
        <f>IFERROR(INDEX([1]DATA!$AH:$AH,MATCH('[1]BC_ ĐG LX'!$C70&amp;'[1]BC_ ĐG LX'!AJ$3,[1]DATA!$AW:$AW,0)),"")</f>
        <v/>
      </c>
      <c r="AK70" s="26">
        <f t="shared" ref="AK70:AK117" si="4">IFERROR(ROUNDUP(+SUM(G70:AJ70)/COUNTIF(G70:AJ70,"&gt;"&amp;0),1),"")</f>
        <v>9.4</v>
      </c>
      <c r="AL70" s="21"/>
      <c r="AM70" s="22">
        <f t="shared" si="3"/>
        <v>25</v>
      </c>
      <c r="AN70" s="22" t="str">
        <f>_xlfn.XLOOKUP(B70,[1]DATA!AF:AF,[1]DATA!AX:AX)</f>
        <v>Linh</v>
      </c>
      <c r="AO70"/>
    </row>
    <row r="71" spans="1:41" s="22" customFormat="1" ht="14.25" customHeight="1">
      <c r="A71" s="16">
        <f>SUBTOTAL(3,$D$33:D71)</f>
        <v>39</v>
      </c>
      <c r="B71" s="16" t="str">
        <f>_xlfn.XLOOKUP(C71,[1]DATA!D:D,[1]DATA!AF:AF)</f>
        <v>XE00949</v>
      </c>
      <c r="C71" s="18" t="s">
        <v>91</v>
      </c>
      <c r="D71" s="16" t="s">
        <v>19</v>
      </c>
      <c r="E71" s="18" t="s">
        <v>17</v>
      </c>
      <c r="F71" s="18" t="s">
        <v>18</v>
      </c>
      <c r="G71" s="19">
        <f>IFERROR(INDEX([1]DATA!$AH:$AH,MATCH('[1]BC_ ĐG LX'!$C71&amp;'[1]BC_ ĐG LX'!G$3,[1]DATA!$AW:$AW,0)),"")</f>
        <v>9.42</v>
      </c>
      <c r="H71" s="19">
        <f>IFERROR(INDEX([1]DATA!$AH:$AH,MATCH('[1]BC_ ĐG LX'!$C71&amp;'[1]BC_ ĐG LX'!H$3,[1]DATA!$AW:$AW,0)),"")</f>
        <v>8.84</v>
      </c>
      <c r="I71" s="19">
        <f>IFERROR(INDEX([1]DATA!$AH:$AH,MATCH('[1]BC_ ĐG LX'!$C71&amp;'[1]BC_ ĐG LX'!I$3,[1]DATA!$AW:$AW,0)),"")</f>
        <v>9.42</v>
      </c>
      <c r="J71" s="19">
        <f>IFERROR(INDEX([1]DATA!$AH:$AH,MATCH('[1]BC_ ĐG LX'!$C71&amp;'[1]BC_ ĐG LX'!J$3,[1]DATA!$AW:$AW,0)),"")</f>
        <v>8.84</v>
      </c>
      <c r="K71" s="19">
        <f>IFERROR(INDEX([1]DATA!$AH:$AH,MATCH('[1]BC_ ĐG LX'!$C71&amp;'[1]BC_ ĐG LX'!K$3,[1]DATA!$AW:$AW,0)),"")</f>
        <v>9.82</v>
      </c>
      <c r="L71" s="19">
        <f>IFERROR(INDEX([1]DATA!$AH:$AH,MATCH('[1]BC_ ĐG LX'!$C71&amp;'[1]BC_ ĐG LX'!L$3,[1]DATA!$AW:$AW,0)),"")</f>
        <v>9.82</v>
      </c>
      <c r="M71" s="19">
        <f>IFERROR(INDEX([1]DATA!$AH:$AH,MATCH('[1]BC_ ĐG LX'!$C71&amp;'[1]BC_ ĐG LX'!M$3,[1]DATA!$AW:$AW,0)),"")</f>
        <v>9.42</v>
      </c>
      <c r="N71" s="19">
        <f>IFERROR(INDEX([1]DATA!$AH:$AH,MATCH('[1]BC_ ĐG LX'!$C71&amp;'[1]BC_ ĐG LX'!N$3,[1]DATA!$AW:$AW,0)),"")</f>
        <v>7.42</v>
      </c>
      <c r="O71" s="19">
        <f>IFERROR(INDEX([1]DATA!$AH:$AH,MATCH('[1]BC_ ĐG LX'!$C71&amp;'[1]BC_ ĐG LX'!O$3,[1]DATA!$AW:$AW,0)),"")</f>
        <v>9.42</v>
      </c>
      <c r="P71" s="19">
        <f>IFERROR(INDEX([1]DATA!$AH:$AH,MATCH('[1]BC_ ĐG LX'!$C71&amp;'[1]BC_ ĐG LX'!P$3,[1]DATA!$AW:$AW,0)),"")</f>
        <v>9.6199999999999992</v>
      </c>
      <c r="Q71" s="19">
        <f>IFERROR(INDEX([1]DATA!$AH:$AH,MATCH('[1]BC_ ĐG LX'!$C71&amp;'[1]BC_ ĐG LX'!Q$3,[1]DATA!$AW:$AW,0)),"")</f>
        <v>9.82</v>
      </c>
      <c r="R71" s="19">
        <f>IFERROR(INDEX([1]DATA!$AH:$AH,MATCH('[1]BC_ ĐG LX'!$C71&amp;'[1]BC_ ĐG LX'!R$3,[1]DATA!$AW:$AW,0)),"")</f>
        <v>9.82</v>
      </c>
      <c r="S71" s="19">
        <f>IFERROR(INDEX([1]DATA!$AH:$AH,MATCH('[1]BC_ ĐG LX'!$C71&amp;'[1]BC_ ĐG LX'!S$3,[1]DATA!$AW:$AW,0)),"")</f>
        <v>9.02</v>
      </c>
      <c r="T71" s="19">
        <f>IFERROR(INDEX([1]DATA!$AH:$AH,MATCH('[1]BC_ ĐG LX'!$C71&amp;'[1]BC_ ĐG LX'!T$3,[1]DATA!$AW:$AW,0)),"")</f>
        <v>9.82</v>
      </c>
      <c r="U71" s="19">
        <f>IFERROR(INDEX([1]DATA!$AH:$AH,MATCH('[1]BC_ ĐG LX'!$C71&amp;'[1]BC_ ĐG LX'!U$3,[1]DATA!$AW:$AW,0)),"")</f>
        <v>9.42</v>
      </c>
      <c r="V71" s="19">
        <f>IFERROR(INDEX([1]DATA!$AH:$AH,MATCH('[1]BC_ ĐG LX'!$C71&amp;'[1]BC_ ĐG LX'!V$3,[1]DATA!$AW:$AW,0)),"")</f>
        <v>9.7799999999999994</v>
      </c>
      <c r="W71" s="19">
        <f>IFERROR(INDEX([1]DATA!$AH:$AH,MATCH('[1]BC_ ĐG LX'!$C71&amp;'[1]BC_ ĐG LX'!W$3,[1]DATA!$AW:$AW,0)),"")</f>
        <v>9.82</v>
      </c>
      <c r="X71" s="19">
        <f>IFERROR(INDEX([1]DATA!$AH:$AH,MATCH('[1]BC_ ĐG LX'!$C71&amp;'[1]BC_ ĐG LX'!X$3,[1]DATA!$AW:$AW,0)),"")</f>
        <v>9.02</v>
      </c>
      <c r="Y71" s="19">
        <f>IFERROR(INDEX([1]DATA!$AH:$AH,MATCH('[1]BC_ ĐG LX'!$C71&amp;'[1]BC_ ĐG LX'!Y$3,[1]DATA!$AW:$AW,0)),"")</f>
        <v>9.82</v>
      </c>
      <c r="Z71" s="19">
        <f>IFERROR(INDEX([1]DATA!$AH:$AH,MATCH('[1]BC_ ĐG LX'!$C71&amp;'[1]BC_ ĐG LX'!Z$3,[1]DATA!$AW:$AW,0)),"")</f>
        <v>9.82</v>
      </c>
      <c r="AA71" s="19">
        <f>IFERROR(INDEX([1]DATA!$AH:$AH,MATCH('[1]BC_ ĐG LX'!$C71&amp;'[1]BC_ ĐG LX'!AA$3,[1]DATA!$AW:$AW,0)),"")</f>
        <v>9.42</v>
      </c>
      <c r="AB71" s="19">
        <f>IFERROR(INDEX([1]DATA!$AH:$AH,MATCH('[1]BC_ ĐG LX'!$C71&amp;'[1]BC_ ĐG LX'!AB$3,[1]DATA!$AW:$AW,0)),"")</f>
        <v>9.82</v>
      </c>
      <c r="AC71" s="19">
        <f>IFERROR(INDEX([1]DATA!$AH:$AH,MATCH('[1]BC_ ĐG LX'!$C71&amp;'[1]BC_ ĐG LX'!AC$3,[1]DATA!$AW:$AW,0)),"")</f>
        <v>9.82</v>
      </c>
      <c r="AD71" s="19">
        <f>IFERROR(INDEX([1]DATA!$AH:$AH,MATCH('[1]BC_ ĐG LX'!$C71&amp;'[1]BC_ ĐG LX'!AD$3,[1]DATA!$AW:$AW,0)),"")</f>
        <v>9.82</v>
      </c>
      <c r="AE71" s="19">
        <f>IFERROR(INDEX([1]DATA!$AH:$AH,MATCH('[1]BC_ ĐG LX'!$C71&amp;'[1]BC_ ĐG LX'!AE$3,[1]DATA!$AW:$AW,0)),"")</f>
        <v>9.82</v>
      </c>
      <c r="AF71" s="19" t="str">
        <f>IFERROR(INDEX([1]DATA!$AH:$AH,MATCH('[1]BC_ ĐG LX'!$C71&amp;'[1]BC_ ĐG LX'!AF$3,[1]DATA!$AW:$AW,0)),"")</f>
        <v/>
      </c>
      <c r="AG71" s="19" t="str">
        <f>IFERROR(INDEX([1]DATA!$AH:$AH,MATCH('[1]BC_ ĐG LX'!$C71&amp;'[1]BC_ ĐG LX'!AG$3,[1]DATA!$AW:$AW,0)),"")</f>
        <v/>
      </c>
      <c r="AH71" s="19" t="str">
        <f>IFERROR(INDEX([1]DATA!$AH:$AH,MATCH('[1]BC_ ĐG LX'!$C71&amp;'[1]BC_ ĐG LX'!AH$3,[1]DATA!$AW:$AW,0)),"")</f>
        <v/>
      </c>
      <c r="AI71" s="19" t="str">
        <f>IFERROR(INDEX([1]DATA!$AH:$AH,MATCH('[1]BC_ ĐG LX'!$C71&amp;'[1]BC_ ĐG LX'!AI$3,[1]DATA!$AW:$AW,0)),"")</f>
        <v/>
      </c>
      <c r="AJ71" s="19" t="str">
        <f>IFERROR(INDEX([1]DATA!$AH:$AH,MATCH('[1]BC_ ĐG LX'!$C71&amp;'[1]BC_ ĐG LX'!AJ$3,[1]DATA!$AW:$AW,0)),"")</f>
        <v/>
      </c>
      <c r="AK71" s="26">
        <f t="shared" si="4"/>
        <v>9.5</v>
      </c>
      <c r="AL71" s="21"/>
      <c r="AM71" s="22">
        <f t="shared" si="3"/>
        <v>25</v>
      </c>
      <c r="AN71" s="22" t="str">
        <f>_xlfn.XLOOKUP(B71,[1]DATA!AF:AF,[1]DATA!AX:AX)</f>
        <v>Linh</v>
      </c>
      <c r="AO71"/>
    </row>
    <row r="72" spans="1:41" s="22" customFormat="1" ht="14.25" customHeight="1">
      <c r="A72" s="16">
        <f>SUBTOTAL(3,$D$33:D72)</f>
        <v>40</v>
      </c>
      <c r="B72" s="16" t="str">
        <f>_xlfn.XLOOKUP(C72,[1]DATA!D:D,[1]DATA!AF:AF)</f>
        <v>XE00962</v>
      </c>
      <c r="C72" s="18" t="s">
        <v>92</v>
      </c>
      <c r="D72" s="16" t="s">
        <v>19</v>
      </c>
      <c r="E72" s="18" t="s">
        <v>17</v>
      </c>
      <c r="F72" s="18" t="s">
        <v>18</v>
      </c>
      <c r="G72" s="19">
        <f>IFERROR(INDEX([1]DATA!$AH:$AH,MATCH('[1]BC_ ĐG LX'!$C72&amp;'[1]BC_ ĐG LX'!G$3,[1]DATA!$AW:$AW,0)),"")</f>
        <v>9.82</v>
      </c>
      <c r="H72" s="19">
        <f>IFERROR(INDEX([1]DATA!$AH:$AH,MATCH('[1]BC_ ĐG LX'!$C72&amp;'[1]BC_ ĐG LX'!H$3,[1]DATA!$AW:$AW,0)),"")</f>
        <v>9.82</v>
      </c>
      <c r="I72" s="19">
        <f>IFERROR(INDEX([1]DATA!$AH:$AH,MATCH('[1]BC_ ĐG LX'!$C72&amp;'[1]BC_ ĐG LX'!I$3,[1]DATA!$AW:$AW,0)),"")</f>
        <v>9.42</v>
      </c>
      <c r="J72" s="19">
        <f>IFERROR(INDEX([1]DATA!$AH:$AH,MATCH('[1]BC_ ĐG LX'!$C72&amp;'[1]BC_ ĐG LX'!J$3,[1]DATA!$AW:$AW,0)),"")</f>
        <v>9.42</v>
      </c>
      <c r="K72" s="19">
        <f>IFERROR(INDEX([1]DATA!$AH:$AH,MATCH('[1]BC_ ĐG LX'!$C72&amp;'[1]BC_ ĐG LX'!K$3,[1]DATA!$AW:$AW,0)),"")</f>
        <v>9.82</v>
      </c>
      <c r="L72" s="19">
        <f>IFERROR(INDEX([1]DATA!$AH:$AH,MATCH('[1]BC_ ĐG LX'!$C72&amp;'[1]BC_ ĐG LX'!L$3,[1]DATA!$AW:$AW,0)),"")</f>
        <v>9.42</v>
      </c>
      <c r="M72" s="19">
        <f>IFERROR(INDEX([1]DATA!$AH:$AH,MATCH('[1]BC_ ĐG LX'!$C72&amp;'[1]BC_ ĐG LX'!M$3,[1]DATA!$AW:$AW,0)),"")</f>
        <v>9.42</v>
      </c>
      <c r="N72" s="19">
        <f>IFERROR(INDEX([1]DATA!$AH:$AH,MATCH('[1]BC_ ĐG LX'!$C72&amp;'[1]BC_ ĐG LX'!N$3,[1]DATA!$AW:$AW,0)),"")</f>
        <v>9.42</v>
      </c>
      <c r="O72" s="19">
        <f>IFERROR(INDEX([1]DATA!$AH:$AH,MATCH('[1]BC_ ĐG LX'!$C72&amp;'[1]BC_ ĐG LX'!O$3,[1]DATA!$AW:$AW,0)),"")</f>
        <v>9.24</v>
      </c>
      <c r="P72" s="19">
        <f>IFERROR(INDEX([1]DATA!$AH:$AH,MATCH('[1]BC_ ĐG LX'!$C72&amp;'[1]BC_ ĐG LX'!P$3,[1]DATA!$AW:$AW,0)),"")</f>
        <v>8.6199999999999992</v>
      </c>
      <c r="Q72" s="19" t="str">
        <f>IFERROR(INDEX([1]DATA!$AH:$AH,MATCH('[1]BC_ ĐG LX'!$C72&amp;'[1]BC_ ĐG LX'!Q$3,[1]DATA!$AW:$AW,0)),"")</f>
        <v/>
      </c>
      <c r="R72" s="19" t="str">
        <f>IFERROR(INDEX([1]DATA!$AH:$AH,MATCH('[1]BC_ ĐG LX'!$C72&amp;'[1]BC_ ĐG LX'!R$3,[1]DATA!$AW:$AW,0)),"")</f>
        <v/>
      </c>
      <c r="S72" s="19" t="str">
        <f>IFERROR(INDEX([1]DATA!$AH:$AH,MATCH('[1]BC_ ĐG LX'!$C72&amp;'[1]BC_ ĐG LX'!S$3,[1]DATA!$AW:$AW,0)),"")</f>
        <v/>
      </c>
      <c r="T72" s="19" t="str">
        <f>IFERROR(INDEX([1]DATA!$AH:$AH,MATCH('[1]BC_ ĐG LX'!$C72&amp;'[1]BC_ ĐG LX'!T$3,[1]DATA!$AW:$AW,0)),"")</f>
        <v/>
      </c>
      <c r="U72" s="19" t="str">
        <f>IFERROR(INDEX([1]DATA!$AH:$AH,MATCH('[1]BC_ ĐG LX'!$C72&amp;'[1]BC_ ĐG LX'!U$3,[1]DATA!$AW:$AW,0)),"")</f>
        <v/>
      </c>
      <c r="V72" s="19" t="str">
        <f>IFERROR(INDEX([1]DATA!$AH:$AH,MATCH('[1]BC_ ĐG LX'!$C72&amp;'[1]BC_ ĐG LX'!V$3,[1]DATA!$AW:$AW,0)),"")</f>
        <v/>
      </c>
      <c r="W72" s="19" t="str">
        <f>IFERROR(INDEX([1]DATA!$AH:$AH,MATCH('[1]BC_ ĐG LX'!$C72&amp;'[1]BC_ ĐG LX'!W$3,[1]DATA!$AW:$AW,0)),"")</f>
        <v/>
      </c>
      <c r="X72" s="19" t="str">
        <f>IFERROR(INDEX([1]DATA!$AH:$AH,MATCH('[1]BC_ ĐG LX'!$C72&amp;'[1]BC_ ĐG LX'!X$3,[1]DATA!$AW:$AW,0)),"")</f>
        <v/>
      </c>
      <c r="Y72" s="19" t="str">
        <f>IFERROR(INDEX([1]DATA!$AH:$AH,MATCH('[1]BC_ ĐG LX'!$C72&amp;'[1]BC_ ĐG LX'!Y$3,[1]DATA!$AW:$AW,0)),"")</f>
        <v/>
      </c>
      <c r="Z72" s="19" t="str">
        <f>IFERROR(INDEX([1]DATA!$AH:$AH,MATCH('[1]BC_ ĐG LX'!$C72&amp;'[1]BC_ ĐG LX'!Z$3,[1]DATA!$AW:$AW,0)),"")</f>
        <v/>
      </c>
      <c r="AA72" s="19" t="str">
        <f>IFERROR(INDEX([1]DATA!$AH:$AH,MATCH('[1]BC_ ĐG LX'!$C72&amp;'[1]BC_ ĐG LX'!AA$3,[1]DATA!$AW:$AW,0)),"")</f>
        <v/>
      </c>
      <c r="AB72" s="19" t="str">
        <f>IFERROR(INDEX([1]DATA!$AH:$AH,MATCH('[1]BC_ ĐG LX'!$C72&amp;'[1]BC_ ĐG LX'!AB$3,[1]DATA!$AW:$AW,0)),"")</f>
        <v/>
      </c>
      <c r="AC72" s="19" t="str">
        <f>IFERROR(INDEX([1]DATA!$AH:$AH,MATCH('[1]BC_ ĐG LX'!$C72&amp;'[1]BC_ ĐG LX'!AC$3,[1]DATA!$AW:$AW,0)),"")</f>
        <v/>
      </c>
      <c r="AD72" s="19" t="str">
        <f>IFERROR(INDEX([1]DATA!$AH:$AH,MATCH('[1]BC_ ĐG LX'!$C72&amp;'[1]BC_ ĐG LX'!AD$3,[1]DATA!$AW:$AW,0)),"")</f>
        <v/>
      </c>
      <c r="AE72" s="19" t="str">
        <f>IFERROR(INDEX([1]DATA!$AH:$AH,MATCH('[1]BC_ ĐG LX'!$C72&amp;'[1]BC_ ĐG LX'!AE$3,[1]DATA!$AW:$AW,0)),"")</f>
        <v/>
      </c>
      <c r="AF72" s="19" t="str">
        <f>IFERROR(INDEX([1]DATA!$AH:$AH,MATCH('[1]BC_ ĐG LX'!$C72&amp;'[1]BC_ ĐG LX'!AF$3,[1]DATA!$AW:$AW,0)),"")</f>
        <v/>
      </c>
      <c r="AG72" s="19" t="str">
        <f>IFERROR(INDEX([1]DATA!$AH:$AH,MATCH('[1]BC_ ĐG LX'!$C72&amp;'[1]BC_ ĐG LX'!AG$3,[1]DATA!$AW:$AW,0)),"")</f>
        <v/>
      </c>
      <c r="AH72" s="19" t="str">
        <f>IFERROR(INDEX([1]DATA!$AH:$AH,MATCH('[1]BC_ ĐG LX'!$C72&amp;'[1]BC_ ĐG LX'!AH$3,[1]DATA!$AW:$AW,0)),"")</f>
        <v/>
      </c>
      <c r="AI72" s="19" t="str">
        <f>IFERROR(INDEX([1]DATA!$AH:$AH,MATCH('[1]BC_ ĐG LX'!$C72&amp;'[1]BC_ ĐG LX'!AI$3,[1]DATA!$AW:$AW,0)),"")</f>
        <v/>
      </c>
      <c r="AJ72" s="19" t="str">
        <f>IFERROR(INDEX([1]DATA!$AH:$AH,MATCH('[1]BC_ ĐG LX'!$C72&amp;'[1]BC_ ĐG LX'!AJ$3,[1]DATA!$AW:$AW,0)),"")</f>
        <v/>
      </c>
      <c r="AK72" s="26">
        <f t="shared" si="4"/>
        <v>9.5</v>
      </c>
      <c r="AL72" s="21"/>
      <c r="AM72" s="22">
        <f t="shared" si="3"/>
        <v>10</v>
      </c>
      <c r="AN72" s="22" t="str">
        <f>_xlfn.XLOOKUP(B72,[1]DATA!AF:AF,[1]DATA!AX:AX)</f>
        <v>Linh</v>
      </c>
      <c r="AO72"/>
    </row>
    <row r="73" spans="1:41" s="22" customFormat="1" ht="14.25" customHeight="1">
      <c r="A73" s="16">
        <f>SUBTOTAL(3,$D$33:D73)</f>
        <v>41</v>
      </c>
      <c r="B73" s="16" t="str">
        <f>_xlfn.XLOOKUP(C73,[1]DATA!D:D,[1]DATA!AF:AF)</f>
        <v>XE01009</v>
      </c>
      <c r="C73" s="18" t="s">
        <v>93</v>
      </c>
      <c r="D73" s="16" t="s">
        <v>19</v>
      </c>
      <c r="E73" s="18" t="s">
        <v>17</v>
      </c>
      <c r="F73" s="18" t="s">
        <v>18</v>
      </c>
      <c r="G73" s="19">
        <f>IFERROR(INDEX([1]DATA!$AH:$AH,MATCH('[1]BC_ ĐG LX'!$C73&amp;'[1]BC_ ĐG LX'!G$3,[1]DATA!$AW:$AW,0)),"")</f>
        <v>8.2200000000000006</v>
      </c>
      <c r="H73" s="19">
        <f>IFERROR(INDEX([1]DATA!$AH:$AH,MATCH('[1]BC_ ĐG LX'!$C73&amp;'[1]BC_ ĐG LX'!H$3,[1]DATA!$AW:$AW,0)),"")</f>
        <v>7.22</v>
      </c>
      <c r="I73" s="19">
        <f>IFERROR(INDEX([1]DATA!$AH:$AH,MATCH('[1]BC_ ĐG LX'!$C73&amp;'[1]BC_ ĐG LX'!I$3,[1]DATA!$AW:$AW,0)),"")</f>
        <v>9.82</v>
      </c>
      <c r="J73" s="19">
        <f>IFERROR(INDEX([1]DATA!$AH:$AH,MATCH('[1]BC_ ĐG LX'!$C73&amp;'[1]BC_ ĐG LX'!J$3,[1]DATA!$AW:$AW,0)),"")</f>
        <v>7.6400000000000006</v>
      </c>
      <c r="K73" s="19">
        <f>IFERROR(INDEX([1]DATA!$AH:$AH,MATCH('[1]BC_ ĐG LX'!$C73&amp;'[1]BC_ ĐG LX'!K$3,[1]DATA!$AW:$AW,0)),"")</f>
        <v>10</v>
      </c>
      <c r="L73" s="19">
        <f>IFERROR(INDEX([1]DATA!$AH:$AH,MATCH('[1]BC_ ĐG LX'!$C73&amp;'[1]BC_ ĐG LX'!L$3,[1]DATA!$AW:$AW,0)),"")</f>
        <v>9.82</v>
      </c>
      <c r="M73" s="19">
        <f>IFERROR(INDEX([1]DATA!$AH:$AH,MATCH('[1]BC_ ĐG LX'!$C73&amp;'[1]BC_ ĐG LX'!M$3,[1]DATA!$AW:$AW,0)),"")</f>
        <v>9.82</v>
      </c>
      <c r="N73" s="19">
        <f>IFERROR(INDEX([1]DATA!$AH:$AH,MATCH('[1]BC_ ĐG LX'!$C73&amp;'[1]BC_ ĐG LX'!N$3,[1]DATA!$AW:$AW,0)),"")</f>
        <v>9.82</v>
      </c>
      <c r="O73" s="19">
        <f>IFERROR(INDEX([1]DATA!$AH:$AH,MATCH('[1]BC_ ĐG LX'!$C73&amp;'[1]BC_ ĐG LX'!O$3,[1]DATA!$AW:$AW,0)),"")</f>
        <v>9.82</v>
      </c>
      <c r="P73" s="19">
        <f>IFERROR(INDEX([1]DATA!$AH:$AH,MATCH('[1]BC_ ĐG LX'!$C73&amp;'[1]BC_ ĐG LX'!P$3,[1]DATA!$AW:$AW,0)),"")</f>
        <v>9.82</v>
      </c>
      <c r="Q73" s="19">
        <f>IFERROR(INDEX([1]DATA!$AH:$AH,MATCH('[1]BC_ ĐG LX'!$C73&amp;'[1]BC_ ĐG LX'!Q$3,[1]DATA!$AW:$AW,0)),"")</f>
        <v>9.42</v>
      </c>
      <c r="R73" s="19">
        <f>IFERROR(INDEX([1]DATA!$AH:$AH,MATCH('[1]BC_ ĐG LX'!$C73&amp;'[1]BC_ ĐG LX'!R$3,[1]DATA!$AW:$AW,0)),"")</f>
        <v>9.42</v>
      </c>
      <c r="S73" s="19">
        <f>IFERROR(INDEX([1]DATA!$AH:$AH,MATCH('[1]BC_ ĐG LX'!$C73&amp;'[1]BC_ ĐG LX'!S$3,[1]DATA!$AW:$AW,0)),"")</f>
        <v>9.82</v>
      </c>
      <c r="T73" s="19">
        <f>IFERROR(INDEX([1]DATA!$AH:$AH,MATCH('[1]BC_ ĐG LX'!$C73&amp;'[1]BC_ ĐG LX'!T$3,[1]DATA!$AW:$AW,0)),"")</f>
        <v>8.620000000000001</v>
      </c>
      <c r="U73" s="19">
        <f>IFERROR(INDEX([1]DATA!$AH:$AH,MATCH('[1]BC_ ĐG LX'!$C73&amp;'[1]BC_ ĐG LX'!U$3,[1]DATA!$AW:$AW,0)),"")</f>
        <v>9.42</v>
      </c>
      <c r="V73" s="19">
        <f>IFERROR(INDEX([1]DATA!$AH:$AH,MATCH('[1]BC_ ĐG LX'!$C73&amp;'[1]BC_ ĐG LX'!V$3,[1]DATA!$AW:$AW,0)),"")</f>
        <v>9.82</v>
      </c>
      <c r="W73" s="19">
        <f>IFERROR(INDEX([1]DATA!$AH:$AH,MATCH('[1]BC_ ĐG LX'!$C73&amp;'[1]BC_ ĐG LX'!W$3,[1]DATA!$AW:$AW,0)),"")</f>
        <v>9.82</v>
      </c>
      <c r="X73" s="19">
        <f>IFERROR(INDEX([1]DATA!$AH:$AH,MATCH('[1]BC_ ĐG LX'!$C73&amp;'[1]BC_ ĐG LX'!X$3,[1]DATA!$AW:$AW,0)),"")</f>
        <v>9.82</v>
      </c>
      <c r="Y73" s="19">
        <f>IFERROR(INDEX([1]DATA!$AH:$AH,MATCH('[1]BC_ ĐG LX'!$C73&amp;'[1]BC_ ĐG LX'!Y$3,[1]DATA!$AW:$AW,0)),"")</f>
        <v>9.82</v>
      </c>
      <c r="Z73" s="19">
        <f>IFERROR(INDEX([1]DATA!$AH:$AH,MATCH('[1]BC_ ĐG LX'!$C73&amp;'[1]BC_ ĐG LX'!Z$3,[1]DATA!$AW:$AW,0)),"")</f>
        <v>9.42</v>
      </c>
      <c r="AA73" s="19" t="str">
        <f>IFERROR(INDEX([1]DATA!$AH:$AH,MATCH('[1]BC_ ĐG LX'!$C73&amp;'[1]BC_ ĐG LX'!AA$3,[1]DATA!$AW:$AW,0)),"")</f>
        <v/>
      </c>
      <c r="AB73" s="19" t="str">
        <f>IFERROR(INDEX([1]DATA!$AH:$AH,MATCH('[1]BC_ ĐG LX'!$C73&amp;'[1]BC_ ĐG LX'!AB$3,[1]DATA!$AW:$AW,0)),"")</f>
        <v/>
      </c>
      <c r="AC73" s="19" t="str">
        <f>IFERROR(INDEX([1]DATA!$AH:$AH,MATCH('[1]BC_ ĐG LX'!$C73&amp;'[1]BC_ ĐG LX'!AC$3,[1]DATA!$AW:$AW,0)),"")</f>
        <v/>
      </c>
      <c r="AD73" s="19" t="str">
        <f>IFERROR(INDEX([1]DATA!$AH:$AH,MATCH('[1]BC_ ĐG LX'!$C73&amp;'[1]BC_ ĐG LX'!AD$3,[1]DATA!$AW:$AW,0)),"")</f>
        <v/>
      </c>
      <c r="AE73" s="19" t="str">
        <f>IFERROR(INDEX([1]DATA!$AH:$AH,MATCH('[1]BC_ ĐG LX'!$C73&amp;'[1]BC_ ĐG LX'!AE$3,[1]DATA!$AW:$AW,0)),"")</f>
        <v/>
      </c>
      <c r="AF73" s="19" t="str">
        <f>IFERROR(INDEX([1]DATA!$AH:$AH,MATCH('[1]BC_ ĐG LX'!$C73&amp;'[1]BC_ ĐG LX'!AF$3,[1]DATA!$AW:$AW,0)),"")</f>
        <v/>
      </c>
      <c r="AG73" s="19" t="str">
        <f>IFERROR(INDEX([1]DATA!$AH:$AH,MATCH('[1]BC_ ĐG LX'!$C73&amp;'[1]BC_ ĐG LX'!AG$3,[1]DATA!$AW:$AW,0)),"")</f>
        <v/>
      </c>
      <c r="AH73" s="19" t="str">
        <f>IFERROR(INDEX([1]DATA!$AH:$AH,MATCH('[1]BC_ ĐG LX'!$C73&amp;'[1]BC_ ĐG LX'!AH$3,[1]DATA!$AW:$AW,0)),"")</f>
        <v/>
      </c>
      <c r="AI73" s="19" t="str">
        <f>IFERROR(INDEX([1]DATA!$AH:$AH,MATCH('[1]BC_ ĐG LX'!$C73&amp;'[1]BC_ ĐG LX'!AI$3,[1]DATA!$AW:$AW,0)),"")</f>
        <v/>
      </c>
      <c r="AJ73" s="19" t="str">
        <f>IFERROR(INDEX([1]DATA!$AH:$AH,MATCH('[1]BC_ ĐG LX'!$C73&amp;'[1]BC_ ĐG LX'!AJ$3,[1]DATA!$AW:$AW,0)),"")</f>
        <v/>
      </c>
      <c r="AK73" s="26">
        <f t="shared" si="4"/>
        <v>9.4</v>
      </c>
      <c r="AL73" s="21"/>
      <c r="AM73" s="22">
        <f t="shared" si="3"/>
        <v>20</v>
      </c>
      <c r="AN73" s="22" t="str">
        <f>_xlfn.XLOOKUP(B73,[1]DATA!AF:AF,[1]DATA!AX:AX)</f>
        <v>Linh</v>
      </c>
      <c r="AO73"/>
    </row>
    <row r="74" spans="1:41" s="22" customFormat="1" ht="14.25" customHeight="1">
      <c r="A74" s="16">
        <f>SUBTOTAL(3,$D$33:D74)</f>
        <v>42</v>
      </c>
      <c r="B74" s="16" t="str">
        <f>_xlfn.XLOOKUP(C74,[1]DATA!D:D,[1]DATA!AF:AF)</f>
        <v>XE01088</v>
      </c>
      <c r="C74" s="18" t="s">
        <v>94</v>
      </c>
      <c r="D74" s="16" t="s">
        <v>19</v>
      </c>
      <c r="E74" s="18" t="s">
        <v>17</v>
      </c>
      <c r="F74" s="18" t="s">
        <v>18</v>
      </c>
      <c r="G74" s="19">
        <f>IFERROR(INDEX([1]DATA!$AH:$AH,MATCH('[1]BC_ ĐG LX'!$C74&amp;'[1]BC_ ĐG LX'!G$3,[1]DATA!$AW:$AW,0)),"")</f>
        <v>8.84</v>
      </c>
      <c r="H74" s="19">
        <f>IFERROR(INDEX([1]DATA!$AH:$AH,MATCH('[1]BC_ ĐG LX'!$C74&amp;'[1]BC_ ĐG LX'!H$3,[1]DATA!$AW:$AW,0)),"")</f>
        <v>9.02</v>
      </c>
      <c r="I74" s="19">
        <f>IFERROR(INDEX([1]DATA!$AH:$AH,MATCH('[1]BC_ ĐG LX'!$C74&amp;'[1]BC_ ĐG LX'!I$3,[1]DATA!$AW:$AW,0)),"")</f>
        <v>9.24</v>
      </c>
      <c r="J74" s="19">
        <f>IFERROR(INDEX([1]DATA!$AH:$AH,MATCH('[1]BC_ ĐG LX'!$C74&amp;'[1]BC_ ĐG LX'!J$3,[1]DATA!$AW:$AW,0)),"")</f>
        <v>8.44</v>
      </c>
      <c r="K74" s="19">
        <f>IFERROR(INDEX([1]DATA!$AH:$AH,MATCH('[1]BC_ ĐG LX'!$C74&amp;'[1]BC_ ĐG LX'!K$3,[1]DATA!$AW:$AW,0)),"")</f>
        <v>9.82</v>
      </c>
      <c r="L74" s="19">
        <f>IFERROR(INDEX([1]DATA!$AH:$AH,MATCH('[1]BC_ ĐG LX'!$C74&amp;'[1]BC_ ĐG LX'!L$3,[1]DATA!$AW:$AW,0)),"")</f>
        <v>9.02</v>
      </c>
      <c r="M74" s="19">
        <f>IFERROR(INDEX([1]DATA!$AH:$AH,MATCH('[1]BC_ ĐG LX'!$C74&amp;'[1]BC_ ĐG LX'!M$3,[1]DATA!$AW:$AW,0)),"")</f>
        <v>9.02</v>
      </c>
      <c r="N74" s="19">
        <f>IFERROR(INDEX([1]DATA!$AH:$AH,MATCH('[1]BC_ ĐG LX'!$C74&amp;'[1]BC_ ĐG LX'!N$3,[1]DATA!$AW:$AW,0)),"")</f>
        <v>9.42</v>
      </c>
      <c r="O74" s="19">
        <f>IFERROR(INDEX([1]DATA!$AH:$AH,MATCH('[1]BC_ ĐG LX'!$C74&amp;'[1]BC_ ĐG LX'!O$3,[1]DATA!$AW:$AW,0)),"")</f>
        <v>8.44</v>
      </c>
      <c r="P74" s="19">
        <f>IFERROR(INDEX([1]DATA!$AH:$AH,MATCH('[1]BC_ ĐG LX'!$C74&amp;'[1]BC_ ĐG LX'!P$3,[1]DATA!$AW:$AW,0)),"")</f>
        <v>9.42</v>
      </c>
      <c r="Q74" s="19">
        <f>IFERROR(INDEX([1]DATA!$AH:$AH,MATCH('[1]BC_ ĐG LX'!$C74&amp;'[1]BC_ ĐG LX'!Q$3,[1]DATA!$AW:$AW,0)),"")</f>
        <v>9.82</v>
      </c>
      <c r="R74" s="19">
        <f>IFERROR(INDEX([1]DATA!$AH:$AH,MATCH('[1]BC_ ĐG LX'!$C74&amp;'[1]BC_ ĐG LX'!R$3,[1]DATA!$AW:$AW,0)),"")</f>
        <v>9.82</v>
      </c>
      <c r="S74" s="19">
        <f>IFERROR(INDEX([1]DATA!$AH:$AH,MATCH('[1]BC_ ĐG LX'!$C74&amp;'[1]BC_ ĐG LX'!S$3,[1]DATA!$AW:$AW,0)),"")</f>
        <v>9.82</v>
      </c>
      <c r="T74" s="19">
        <f>IFERROR(INDEX([1]DATA!$AH:$AH,MATCH('[1]BC_ ĐG LX'!$C74&amp;'[1]BC_ ĐG LX'!T$3,[1]DATA!$AW:$AW,0)),"")</f>
        <v>9.02</v>
      </c>
      <c r="U74" s="19">
        <f>IFERROR(INDEX([1]DATA!$AH:$AH,MATCH('[1]BC_ ĐG LX'!$C74&amp;'[1]BC_ ĐG LX'!U$3,[1]DATA!$AW:$AW,0)),"")</f>
        <v>9.42</v>
      </c>
      <c r="V74" s="19">
        <f>IFERROR(INDEX([1]DATA!$AH:$AH,MATCH('[1]BC_ ĐG LX'!$C74&amp;'[1]BC_ ĐG LX'!V$3,[1]DATA!$AW:$AW,0)),"")</f>
        <v>8.84</v>
      </c>
      <c r="W74" s="19">
        <f>IFERROR(INDEX([1]DATA!$AH:$AH,MATCH('[1]BC_ ĐG LX'!$C74&amp;'[1]BC_ ĐG LX'!W$3,[1]DATA!$AW:$AW,0)),"")</f>
        <v>9.42</v>
      </c>
      <c r="X74" s="19">
        <f>IFERROR(INDEX([1]DATA!$AH:$AH,MATCH('[1]BC_ ĐG LX'!$C74&amp;'[1]BC_ ĐG LX'!X$3,[1]DATA!$AW:$AW,0)),"")</f>
        <v>7.24</v>
      </c>
      <c r="Y74" s="19">
        <f>IFERROR(INDEX([1]DATA!$AH:$AH,MATCH('[1]BC_ ĐG LX'!$C74&amp;'[1]BC_ ĐG LX'!Y$3,[1]DATA!$AW:$AW,0)),"")</f>
        <v>9.82</v>
      </c>
      <c r="Z74" s="19">
        <f>IFERROR(INDEX([1]DATA!$AH:$AH,MATCH('[1]BC_ ĐG LX'!$C74&amp;'[1]BC_ ĐG LX'!Z$3,[1]DATA!$AW:$AW,0)),"")</f>
        <v>9.42</v>
      </c>
      <c r="AA74" s="19">
        <f>IFERROR(INDEX([1]DATA!$AH:$AH,MATCH('[1]BC_ ĐG LX'!$C74&amp;'[1]BC_ ĐG LX'!AA$3,[1]DATA!$AW:$AW,0)),"")</f>
        <v>9.42</v>
      </c>
      <c r="AB74" s="19">
        <f>IFERROR(INDEX([1]DATA!$AH:$AH,MATCH('[1]BC_ ĐG LX'!$C74&amp;'[1]BC_ ĐG LX'!AB$3,[1]DATA!$AW:$AW,0)),"")</f>
        <v>9.82</v>
      </c>
      <c r="AC74" s="19">
        <f>IFERROR(INDEX([1]DATA!$AH:$AH,MATCH('[1]BC_ ĐG LX'!$C74&amp;'[1]BC_ ĐG LX'!AC$3,[1]DATA!$AW:$AW,0)),"")</f>
        <v>9.82</v>
      </c>
      <c r="AD74" s="19">
        <f>IFERROR(INDEX([1]DATA!$AH:$AH,MATCH('[1]BC_ ĐG LX'!$C74&amp;'[1]BC_ ĐG LX'!AD$3,[1]DATA!$AW:$AW,0)),"")</f>
        <v>9.82</v>
      </c>
      <c r="AE74" s="19">
        <f>IFERROR(INDEX([1]DATA!$AH:$AH,MATCH('[1]BC_ ĐG LX'!$C74&amp;'[1]BC_ ĐG LX'!AE$3,[1]DATA!$AW:$AW,0)),"")</f>
        <v>9.42</v>
      </c>
      <c r="AF74" s="19" t="str">
        <f>IFERROR(INDEX([1]DATA!$AH:$AH,MATCH('[1]BC_ ĐG LX'!$C74&amp;'[1]BC_ ĐG LX'!AF$3,[1]DATA!$AW:$AW,0)),"")</f>
        <v/>
      </c>
      <c r="AG74" s="19" t="str">
        <f>IFERROR(INDEX([1]DATA!$AH:$AH,MATCH('[1]BC_ ĐG LX'!$C74&amp;'[1]BC_ ĐG LX'!AG$3,[1]DATA!$AW:$AW,0)),"")</f>
        <v/>
      </c>
      <c r="AH74" s="19" t="str">
        <f>IFERROR(INDEX([1]DATA!$AH:$AH,MATCH('[1]BC_ ĐG LX'!$C74&amp;'[1]BC_ ĐG LX'!AH$3,[1]DATA!$AW:$AW,0)),"")</f>
        <v/>
      </c>
      <c r="AI74" s="19" t="str">
        <f>IFERROR(INDEX([1]DATA!$AH:$AH,MATCH('[1]BC_ ĐG LX'!$C74&amp;'[1]BC_ ĐG LX'!AI$3,[1]DATA!$AW:$AW,0)),"")</f>
        <v/>
      </c>
      <c r="AJ74" s="19" t="str">
        <f>IFERROR(INDEX([1]DATA!$AH:$AH,MATCH('[1]BC_ ĐG LX'!$C74&amp;'[1]BC_ ĐG LX'!AJ$3,[1]DATA!$AW:$AW,0)),"")</f>
        <v/>
      </c>
      <c r="AK74" s="26">
        <f t="shared" si="4"/>
        <v>9.2999999999999989</v>
      </c>
      <c r="AL74" s="21"/>
      <c r="AM74" s="22">
        <f t="shared" si="3"/>
        <v>25</v>
      </c>
      <c r="AN74" s="22" t="str">
        <f>_xlfn.XLOOKUP(B74,[1]DATA!AF:AF,[1]DATA!AX:AX)</f>
        <v>Hằng</v>
      </c>
      <c r="AO74"/>
    </row>
    <row r="75" spans="1:41" s="22" customFormat="1" ht="14.25" customHeight="1">
      <c r="A75" s="16">
        <f>SUBTOTAL(3,$D$33:D75)</f>
        <v>43</v>
      </c>
      <c r="B75" s="16" t="str">
        <f>_xlfn.XLOOKUP(C75,[1]DATA!D:D,[1]DATA!AF:AF)</f>
        <v>XE01155</v>
      </c>
      <c r="C75" s="18" t="s">
        <v>95</v>
      </c>
      <c r="D75" s="16" t="s">
        <v>19</v>
      </c>
      <c r="E75" s="18" t="s">
        <v>17</v>
      </c>
      <c r="F75" s="18" t="s">
        <v>18</v>
      </c>
      <c r="G75" s="19">
        <f>IFERROR(INDEX([1]DATA!$AH:$AH,MATCH('[1]BC_ ĐG LX'!$C75&amp;'[1]BC_ ĐG LX'!G$3,[1]DATA!$AW:$AW,0)),"")</f>
        <v>9.82</v>
      </c>
      <c r="H75" s="19">
        <f>IFERROR(INDEX([1]DATA!$AH:$AH,MATCH('[1]BC_ ĐG LX'!$C75&amp;'[1]BC_ ĐG LX'!H$3,[1]DATA!$AW:$AW,0)),"")</f>
        <v>9.82</v>
      </c>
      <c r="I75" s="19">
        <f>IFERROR(INDEX([1]DATA!$AH:$AH,MATCH('[1]BC_ ĐG LX'!$C75&amp;'[1]BC_ ĐG LX'!I$3,[1]DATA!$AW:$AW,0)),"")</f>
        <v>9.82</v>
      </c>
      <c r="J75" s="19">
        <f>IFERROR(INDEX([1]DATA!$AH:$AH,MATCH('[1]BC_ ĐG LX'!$C75&amp;'[1]BC_ ĐG LX'!J$3,[1]DATA!$AW:$AW,0)),"")</f>
        <v>9.82</v>
      </c>
      <c r="K75" s="19">
        <f>IFERROR(INDEX([1]DATA!$AH:$AH,MATCH('[1]BC_ ĐG LX'!$C75&amp;'[1]BC_ ĐG LX'!K$3,[1]DATA!$AW:$AW,0)),"")</f>
        <v>9.42</v>
      </c>
      <c r="L75" s="19">
        <f>IFERROR(INDEX([1]DATA!$AH:$AH,MATCH('[1]BC_ ĐG LX'!$C75&amp;'[1]BC_ ĐG LX'!L$3,[1]DATA!$AW:$AW,0)),"")</f>
        <v>8.82</v>
      </c>
      <c r="M75" s="19">
        <f>IFERROR(INDEX([1]DATA!$AH:$AH,MATCH('[1]BC_ ĐG LX'!$C75&amp;'[1]BC_ ĐG LX'!M$3,[1]DATA!$AW:$AW,0)),"")</f>
        <v>9.82</v>
      </c>
      <c r="N75" s="19">
        <f>IFERROR(INDEX([1]DATA!$AH:$AH,MATCH('[1]BC_ ĐG LX'!$C75&amp;'[1]BC_ ĐG LX'!N$3,[1]DATA!$AW:$AW,0)),"")</f>
        <v>9.82</v>
      </c>
      <c r="O75" s="19">
        <f>IFERROR(INDEX([1]DATA!$AH:$AH,MATCH('[1]BC_ ĐG LX'!$C75&amp;'[1]BC_ ĐG LX'!O$3,[1]DATA!$AW:$AW,0)),"")</f>
        <v>9.02</v>
      </c>
      <c r="P75" s="19">
        <f>IFERROR(INDEX([1]DATA!$AH:$AH,MATCH('[1]BC_ ĐG LX'!$C75&amp;'[1]BC_ ĐG LX'!P$3,[1]DATA!$AW:$AW,0)),"")</f>
        <v>8.44</v>
      </c>
      <c r="Q75" s="19">
        <f>IFERROR(INDEX([1]DATA!$AH:$AH,MATCH('[1]BC_ ĐG LX'!$C75&amp;'[1]BC_ ĐG LX'!Q$3,[1]DATA!$AW:$AW,0)),"")</f>
        <v>9.42</v>
      </c>
      <c r="R75" s="19">
        <f>IFERROR(INDEX([1]DATA!$AH:$AH,MATCH('[1]BC_ ĐG LX'!$C75&amp;'[1]BC_ ĐG LX'!R$3,[1]DATA!$AW:$AW,0)),"")</f>
        <v>9.42</v>
      </c>
      <c r="S75" s="19">
        <f>IFERROR(INDEX([1]DATA!$AH:$AH,MATCH('[1]BC_ ĐG LX'!$C75&amp;'[1]BC_ ĐG LX'!S$3,[1]DATA!$AW:$AW,0)),"")</f>
        <v>9.82</v>
      </c>
      <c r="T75" s="19">
        <f>IFERROR(INDEX([1]DATA!$AH:$AH,MATCH('[1]BC_ ĐG LX'!$C75&amp;'[1]BC_ ĐG LX'!T$3,[1]DATA!$AW:$AW,0)),"")</f>
        <v>9.82</v>
      </c>
      <c r="U75" s="19">
        <f>IFERROR(INDEX([1]DATA!$AH:$AH,MATCH('[1]BC_ ĐG LX'!$C75&amp;'[1]BC_ ĐG LX'!U$3,[1]DATA!$AW:$AW,0)),"")</f>
        <v>7.24</v>
      </c>
      <c r="V75" s="19">
        <f>IFERROR(INDEX([1]DATA!$AH:$AH,MATCH('[1]BC_ ĐG LX'!$C75&amp;'[1]BC_ ĐG LX'!V$3,[1]DATA!$AW:$AW,0)),"")</f>
        <v>9.02</v>
      </c>
      <c r="W75" s="19">
        <f>IFERROR(INDEX([1]DATA!$AH:$AH,MATCH('[1]BC_ ĐG LX'!$C75&amp;'[1]BC_ ĐG LX'!W$3,[1]DATA!$AW:$AW,0)),"")</f>
        <v>9.42</v>
      </c>
      <c r="X75" s="19">
        <f>IFERROR(INDEX([1]DATA!$AH:$AH,MATCH('[1]BC_ ĐG LX'!$C75&amp;'[1]BC_ ĐG LX'!X$3,[1]DATA!$AW:$AW,0)),"")</f>
        <v>9.02</v>
      </c>
      <c r="Y75" s="19">
        <f>IFERROR(INDEX([1]DATA!$AH:$AH,MATCH('[1]BC_ ĐG LX'!$C75&amp;'[1]BC_ ĐG LX'!Y$3,[1]DATA!$AW:$AW,0)),"")</f>
        <v>9.42</v>
      </c>
      <c r="Z75" s="19">
        <f>IFERROR(INDEX([1]DATA!$AH:$AH,MATCH('[1]BC_ ĐG LX'!$C75&amp;'[1]BC_ ĐG LX'!Z$3,[1]DATA!$AW:$AW,0)),"")</f>
        <v>9.42</v>
      </c>
      <c r="AA75" s="19">
        <f>IFERROR(INDEX([1]DATA!$AH:$AH,MATCH('[1]BC_ ĐG LX'!$C75&amp;'[1]BC_ ĐG LX'!AA$3,[1]DATA!$AW:$AW,0)),"")</f>
        <v>9.42</v>
      </c>
      <c r="AB75" s="19">
        <f>IFERROR(INDEX([1]DATA!$AH:$AH,MATCH('[1]BC_ ĐG LX'!$C75&amp;'[1]BC_ ĐG LX'!AB$3,[1]DATA!$AW:$AW,0)),"")</f>
        <v>9.32</v>
      </c>
      <c r="AC75" s="19">
        <f>IFERROR(INDEX([1]DATA!$AH:$AH,MATCH('[1]BC_ ĐG LX'!$C75&amp;'[1]BC_ ĐG LX'!AC$3,[1]DATA!$AW:$AW,0)),"")</f>
        <v>9.82</v>
      </c>
      <c r="AD75" s="19">
        <f>IFERROR(INDEX([1]DATA!$AH:$AH,MATCH('[1]BC_ ĐG LX'!$C75&amp;'[1]BC_ ĐG LX'!AD$3,[1]DATA!$AW:$AW,0)),"")</f>
        <v>9.02</v>
      </c>
      <c r="AE75" s="19">
        <f>IFERROR(INDEX([1]DATA!$AH:$AH,MATCH('[1]BC_ ĐG LX'!$C75&amp;'[1]BC_ ĐG LX'!AE$3,[1]DATA!$AW:$AW,0)),"")</f>
        <v>9.82</v>
      </c>
      <c r="AF75" s="19" t="str">
        <f>IFERROR(INDEX([1]DATA!$AH:$AH,MATCH('[1]BC_ ĐG LX'!$C75&amp;'[1]BC_ ĐG LX'!AF$3,[1]DATA!$AW:$AW,0)),"")</f>
        <v/>
      </c>
      <c r="AG75" s="19" t="str">
        <f>IFERROR(INDEX([1]DATA!$AH:$AH,MATCH('[1]BC_ ĐG LX'!$C75&amp;'[1]BC_ ĐG LX'!AG$3,[1]DATA!$AW:$AW,0)),"")</f>
        <v/>
      </c>
      <c r="AH75" s="19" t="str">
        <f>IFERROR(INDEX([1]DATA!$AH:$AH,MATCH('[1]BC_ ĐG LX'!$C75&amp;'[1]BC_ ĐG LX'!AH$3,[1]DATA!$AW:$AW,0)),"")</f>
        <v/>
      </c>
      <c r="AI75" s="19" t="str">
        <f>IFERROR(INDEX([1]DATA!$AH:$AH,MATCH('[1]BC_ ĐG LX'!$C75&amp;'[1]BC_ ĐG LX'!AI$3,[1]DATA!$AW:$AW,0)),"")</f>
        <v/>
      </c>
      <c r="AJ75" s="19" t="str">
        <f>IFERROR(INDEX([1]DATA!$AH:$AH,MATCH('[1]BC_ ĐG LX'!$C75&amp;'[1]BC_ ĐG LX'!AJ$3,[1]DATA!$AW:$AW,0)),"")</f>
        <v/>
      </c>
      <c r="AK75" s="26">
        <f t="shared" si="4"/>
        <v>9.4</v>
      </c>
      <c r="AL75" s="21"/>
      <c r="AM75" s="22">
        <f t="shared" si="3"/>
        <v>25</v>
      </c>
      <c r="AN75" s="22" t="str">
        <f>_xlfn.XLOOKUP(B75,[1]DATA!AF:AF,[1]DATA!AX:AX)</f>
        <v>Lương</v>
      </c>
      <c r="AO75"/>
    </row>
    <row r="76" spans="1:41" s="22" customFormat="1" ht="14.25" customHeight="1">
      <c r="A76" s="16">
        <f>SUBTOTAL(3,$D$33:D76)</f>
        <v>44</v>
      </c>
      <c r="B76" s="16" t="str">
        <f>_xlfn.XLOOKUP(C76,[1]DATA!D:D,[1]DATA!AF:AF)</f>
        <v>XE01157</v>
      </c>
      <c r="C76" s="18" t="s">
        <v>96</v>
      </c>
      <c r="D76" s="16" t="s">
        <v>19</v>
      </c>
      <c r="E76" s="18" t="s">
        <v>17</v>
      </c>
      <c r="F76" s="18" t="s">
        <v>18</v>
      </c>
      <c r="G76" s="19">
        <f>IFERROR(INDEX([1]DATA!$AH:$AH,MATCH('[1]BC_ ĐG LX'!$C76&amp;'[1]BC_ ĐG LX'!G$3,[1]DATA!$AW:$AW,0)),"")</f>
        <v>9.82</v>
      </c>
      <c r="H76" s="19">
        <f>IFERROR(INDEX([1]DATA!$AH:$AH,MATCH('[1]BC_ ĐG LX'!$C76&amp;'[1]BC_ ĐG LX'!H$3,[1]DATA!$AW:$AW,0)),"")</f>
        <v>8.84</v>
      </c>
      <c r="I76" s="19">
        <f>IFERROR(INDEX([1]DATA!$AH:$AH,MATCH('[1]BC_ ĐG LX'!$C76&amp;'[1]BC_ ĐG LX'!I$3,[1]DATA!$AW:$AW,0)),"")</f>
        <v>9.82</v>
      </c>
      <c r="J76" s="19">
        <f>IFERROR(INDEX([1]DATA!$AH:$AH,MATCH('[1]BC_ ĐG LX'!$C76&amp;'[1]BC_ ĐG LX'!J$3,[1]DATA!$AW:$AW,0)),"")</f>
        <v>10</v>
      </c>
      <c r="K76" s="19">
        <f>IFERROR(INDEX([1]DATA!$AH:$AH,MATCH('[1]BC_ ĐG LX'!$C76&amp;'[1]BC_ ĐG LX'!K$3,[1]DATA!$AW:$AW,0)),"")</f>
        <v>9.6199999999999992</v>
      </c>
      <c r="L76" s="19">
        <f>IFERROR(INDEX([1]DATA!$AH:$AH,MATCH('[1]BC_ ĐG LX'!$C76&amp;'[1]BC_ ĐG LX'!L$3,[1]DATA!$AW:$AW,0)),"")</f>
        <v>9.82</v>
      </c>
      <c r="M76" s="19">
        <f>IFERROR(INDEX([1]DATA!$AH:$AH,MATCH('[1]BC_ ĐG LX'!$C76&amp;'[1]BC_ ĐG LX'!M$3,[1]DATA!$AW:$AW,0)),"")</f>
        <v>9.82</v>
      </c>
      <c r="N76" s="19">
        <f>IFERROR(INDEX([1]DATA!$AH:$AH,MATCH('[1]BC_ ĐG LX'!$C76&amp;'[1]BC_ ĐG LX'!N$3,[1]DATA!$AW:$AW,0)),"")</f>
        <v>9.42</v>
      </c>
      <c r="O76" s="19">
        <f>IFERROR(INDEX([1]DATA!$AH:$AH,MATCH('[1]BC_ ĐG LX'!$C76&amp;'[1]BC_ ĐG LX'!O$3,[1]DATA!$AW:$AW,0)),"")</f>
        <v>9.82</v>
      </c>
      <c r="P76" s="19">
        <f>IFERROR(INDEX([1]DATA!$AH:$AH,MATCH('[1]BC_ ĐG LX'!$C76&amp;'[1]BC_ ĐG LX'!P$3,[1]DATA!$AW:$AW,0)),"")</f>
        <v>9.42</v>
      </c>
      <c r="Q76" s="19">
        <f>IFERROR(INDEX([1]DATA!$AH:$AH,MATCH('[1]BC_ ĐG LX'!$C76&amp;'[1]BC_ ĐG LX'!Q$3,[1]DATA!$AW:$AW,0)),"")</f>
        <v>9.82</v>
      </c>
      <c r="R76" s="19">
        <f>IFERROR(INDEX([1]DATA!$AH:$AH,MATCH('[1]BC_ ĐG LX'!$C76&amp;'[1]BC_ ĐG LX'!R$3,[1]DATA!$AW:$AW,0)),"")</f>
        <v>9.82</v>
      </c>
      <c r="S76" s="19">
        <f>IFERROR(INDEX([1]DATA!$AH:$AH,MATCH('[1]BC_ ĐG LX'!$C76&amp;'[1]BC_ ĐG LX'!S$3,[1]DATA!$AW:$AW,0)),"")</f>
        <v>9.82</v>
      </c>
      <c r="T76" s="19">
        <f>IFERROR(INDEX([1]DATA!$AH:$AH,MATCH('[1]BC_ ĐG LX'!$C76&amp;'[1]BC_ ĐG LX'!T$3,[1]DATA!$AW:$AW,0)),"")</f>
        <v>9.82</v>
      </c>
      <c r="U76" s="19">
        <f>IFERROR(INDEX([1]DATA!$AH:$AH,MATCH('[1]BC_ ĐG LX'!$C76&amp;'[1]BC_ ĐG LX'!U$3,[1]DATA!$AW:$AW,0)),"")</f>
        <v>9.6199999999999992</v>
      </c>
      <c r="V76" s="19">
        <f>IFERROR(INDEX([1]DATA!$AH:$AH,MATCH('[1]BC_ ĐG LX'!$C76&amp;'[1]BC_ ĐG LX'!V$3,[1]DATA!$AW:$AW,0)),"")</f>
        <v>9.42</v>
      </c>
      <c r="W76" s="19">
        <f>IFERROR(INDEX([1]DATA!$AH:$AH,MATCH('[1]BC_ ĐG LX'!$C76&amp;'[1]BC_ ĐG LX'!W$3,[1]DATA!$AW:$AW,0)),"")</f>
        <v>9.42</v>
      </c>
      <c r="X76" s="19">
        <f>IFERROR(INDEX([1]DATA!$AH:$AH,MATCH('[1]BC_ ĐG LX'!$C76&amp;'[1]BC_ ĐG LX'!X$3,[1]DATA!$AW:$AW,0)),"")</f>
        <v>9.42</v>
      </c>
      <c r="Y76" s="19">
        <f>IFERROR(INDEX([1]DATA!$AH:$AH,MATCH('[1]BC_ ĐG LX'!$C76&amp;'[1]BC_ ĐG LX'!Y$3,[1]DATA!$AW:$AW,0)),"")</f>
        <v>8.620000000000001</v>
      </c>
      <c r="Z76" s="19">
        <f>IFERROR(INDEX([1]DATA!$AH:$AH,MATCH('[1]BC_ ĐG LX'!$C76&amp;'[1]BC_ ĐG LX'!Z$3,[1]DATA!$AW:$AW,0)),"")</f>
        <v>9.82</v>
      </c>
      <c r="AA76" s="19">
        <f>IFERROR(INDEX([1]DATA!$AH:$AH,MATCH('[1]BC_ ĐG LX'!$C76&amp;'[1]BC_ ĐG LX'!AA$3,[1]DATA!$AW:$AW,0)),"")</f>
        <v>8.2200000000000006</v>
      </c>
      <c r="AB76" s="19">
        <f>IFERROR(INDEX([1]DATA!$AH:$AH,MATCH('[1]BC_ ĐG LX'!$C76&amp;'[1]BC_ ĐG LX'!AB$3,[1]DATA!$AW:$AW,0)),"")</f>
        <v>9.42</v>
      </c>
      <c r="AC76" s="19">
        <f>IFERROR(INDEX([1]DATA!$AH:$AH,MATCH('[1]BC_ ĐG LX'!$C76&amp;'[1]BC_ ĐG LX'!AC$3,[1]DATA!$AW:$AW,0)),"")</f>
        <v>9.42</v>
      </c>
      <c r="AD76" s="19">
        <f>IFERROR(INDEX([1]DATA!$AH:$AH,MATCH('[1]BC_ ĐG LX'!$C76&amp;'[1]BC_ ĐG LX'!AD$3,[1]DATA!$AW:$AW,0)),"")</f>
        <v>9.82</v>
      </c>
      <c r="AE76" s="19">
        <f>IFERROR(INDEX([1]DATA!$AH:$AH,MATCH('[1]BC_ ĐG LX'!$C76&amp;'[1]BC_ ĐG LX'!AE$3,[1]DATA!$AW:$AW,0)),"")</f>
        <v>9.82</v>
      </c>
      <c r="AF76" s="19" t="str">
        <f>IFERROR(INDEX([1]DATA!$AH:$AH,MATCH('[1]BC_ ĐG LX'!$C76&amp;'[1]BC_ ĐG LX'!AF$3,[1]DATA!$AW:$AW,0)),"")</f>
        <v/>
      </c>
      <c r="AG76" s="19" t="str">
        <f>IFERROR(INDEX([1]DATA!$AH:$AH,MATCH('[1]BC_ ĐG LX'!$C76&amp;'[1]BC_ ĐG LX'!AG$3,[1]DATA!$AW:$AW,0)),"")</f>
        <v/>
      </c>
      <c r="AH76" s="19" t="str">
        <f>IFERROR(INDEX([1]DATA!$AH:$AH,MATCH('[1]BC_ ĐG LX'!$C76&amp;'[1]BC_ ĐG LX'!AH$3,[1]DATA!$AW:$AW,0)),"")</f>
        <v/>
      </c>
      <c r="AI76" s="19" t="str">
        <f>IFERROR(INDEX([1]DATA!$AH:$AH,MATCH('[1]BC_ ĐG LX'!$C76&amp;'[1]BC_ ĐG LX'!AI$3,[1]DATA!$AW:$AW,0)),"")</f>
        <v/>
      </c>
      <c r="AJ76" s="19" t="str">
        <f>IFERROR(INDEX([1]DATA!$AH:$AH,MATCH('[1]BC_ ĐG LX'!$C76&amp;'[1]BC_ ĐG LX'!AJ$3,[1]DATA!$AW:$AW,0)),"")</f>
        <v/>
      </c>
      <c r="AK76" s="26">
        <f t="shared" si="4"/>
        <v>9.6</v>
      </c>
      <c r="AL76" s="21"/>
      <c r="AM76" s="22">
        <f t="shared" si="3"/>
        <v>25</v>
      </c>
      <c r="AN76" s="22" t="str">
        <f>_xlfn.XLOOKUP(B76,[1]DATA!AF:AF,[1]DATA!AX:AX)</f>
        <v>Linh</v>
      </c>
      <c r="AO76"/>
    </row>
    <row r="77" spans="1:41" s="22" customFormat="1" ht="14.25" customHeight="1">
      <c r="A77" s="16">
        <f>SUBTOTAL(3,$D$33:D77)</f>
        <v>45</v>
      </c>
      <c r="B77" s="16" t="str">
        <f>_xlfn.XLOOKUP(C77,[1]DATA!D:D,[1]DATA!AF:AF)</f>
        <v>XE01166</v>
      </c>
      <c r="C77" s="18" t="s">
        <v>97</v>
      </c>
      <c r="D77" s="16" t="s">
        <v>19</v>
      </c>
      <c r="E77" s="18" t="s">
        <v>17</v>
      </c>
      <c r="F77" s="18" t="s">
        <v>18</v>
      </c>
      <c r="G77" s="19">
        <f>IFERROR(INDEX([1]DATA!$AH:$AH,MATCH('[1]BC_ ĐG LX'!$C77&amp;'[1]BC_ ĐG LX'!G$3,[1]DATA!$AW:$AW,0)),"")</f>
        <v>9.82</v>
      </c>
      <c r="H77" s="19">
        <f>IFERROR(INDEX([1]DATA!$AH:$AH,MATCH('[1]BC_ ĐG LX'!$C77&amp;'[1]BC_ ĐG LX'!H$3,[1]DATA!$AW:$AW,0)),"")</f>
        <v>9.42</v>
      </c>
      <c r="I77" s="19">
        <f>IFERROR(INDEX([1]DATA!$AH:$AH,MATCH('[1]BC_ ĐG LX'!$C77&amp;'[1]BC_ ĐG LX'!I$3,[1]DATA!$AW:$AW,0)),"")</f>
        <v>9.82</v>
      </c>
      <c r="J77" s="19">
        <f>IFERROR(INDEX([1]DATA!$AH:$AH,MATCH('[1]BC_ ĐG LX'!$C77&amp;'[1]BC_ ĐG LX'!J$3,[1]DATA!$AW:$AW,0)),"")</f>
        <v>8.84</v>
      </c>
      <c r="K77" s="19">
        <f>IFERROR(INDEX([1]DATA!$AH:$AH,MATCH('[1]BC_ ĐG LX'!$C77&amp;'[1]BC_ ĐG LX'!K$3,[1]DATA!$AW:$AW,0)),"")</f>
        <v>9.82</v>
      </c>
      <c r="L77" s="19">
        <f>IFERROR(INDEX([1]DATA!$AH:$AH,MATCH('[1]BC_ ĐG LX'!$C77&amp;'[1]BC_ ĐG LX'!L$3,[1]DATA!$AW:$AW,0)),"")</f>
        <v>9.42</v>
      </c>
      <c r="M77" s="19">
        <f>IFERROR(INDEX([1]DATA!$AH:$AH,MATCH('[1]BC_ ĐG LX'!$C77&amp;'[1]BC_ ĐG LX'!M$3,[1]DATA!$AW:$AW,0)),"")</f>
        <v>9.82</v>
      </c>
      <c r="N77" s="19">
        <f>IFERROR(INDEX([1]DATA!$AH:$AH,MATCH('[1]BC_ ĐG LX'!$C77&amp;'[1]BC_ ĐG LX'!N$3,[1]DATA!$AW:$AW,0)),"")</f>
        <v>9.82</v>
      </c>
      <c r="O77" s="19">
        <f>IFERROR(INDEX([1]DATA!$AH:$AH,MATCH('[1]BC_ ĐG LX'!$C77&amp;'[1]BC_ ĐG LX'!O$3,[1]DATA!$AW:$AW,0)),"")</f>
        <v>9.82</v>
      </c>
      <c r="P77" s="19">
        <f>IFERROR(INDEX([1]DATA!$AH:$AH,MATCH('[1]BC_ ĐG LX'!$C77&amp;'[1]BC_ ĐG LX'!P$3,[1]DATA!$AW:$AW,0)),"")</f>
        <v>9.02</v>
      </c>
      <c r="Q77" s="19">
        <f>IFERROR(INDEX([1]DATA!$AH:$AH,MATCH('[1]BC_ ĐG LX'!$C77&amp;'[1]BC_ ĐG LX'!Q$3,[1]DATA!$AW:$AW,0)),"")</f>
        <v>9.02</v>
      </c>
      <c r="R77" s="19">
        <f>IFERROR(INDEX([1]DATA!$AH:$AH,MATCH('[1]BC_ ĐG LX'!$C77&amp;'[1]BC_ ĐG LX'!R$3,[1]DATA!$AW:$AW,0)),"")</f>
        <v>9.82</v>
      </c>
      <c r="S77" s="19">
        <f>IFERROR(INDEX([1]DATA!$AH:$AH,MATCH('[1]BC_ ĐG LX'!$C77&amp;'[1]BC_ ĐG LX'!S$3,[1]DATA!$AW:$AW,0)),"")</f>
        <v>9.42</v>
      </c>
      <c r="T77" s="19">
        <f>IFERROR(INDEX([1]DATA!$AH:$AH,MATCH('[1]BC_ ĐG LX'!$C77&amp;'[1]BC_ ĐG LX'!T$3,[1]DATA!$AW:$AW,0)),"")</f>
        <v>9.42</v>
      </c>
      <c r="U77" s="19">
        <f>IFERROR(INDEX([1]DATA!$AH:$AH,MATCH('[1]BC_ ĐG LX'!$C77&amp;'[1]BC_ ĐG LX'!U$3,[1]DATA!$AW:$AW,0)),"")</f>
        <v>9.42</v>
      </c>
      <c r="V77" s="19">
        <f>IFERROR(INDEX([1]DATA!$AH:$AH,MATCH('[1]BC_ ĐG LX'!$C77&amp;'[1]BC_ ĐG LX'!V$3,[1]DATA!$AW:$AW,0)),"")</f>
        <v>8.6199999999999992</v>
      </c>
      <c r="W77" s="19">
        <f>IFERROR(INDEX([1]DATA!$AH:$AH,MATCH('[1]BC_ ĐG LX'!$C77&amp;'[1]BC_ ĐG LX'!W$3,[1]DATA!$AW:$AW,0)),"")</f>
        <v>8.620000000000001</v>
      </c>
      <c r="X77" s="19">
        <f>IFERROR(INDEX([1]DATA!$AH:$AH,MATCH('[1]BC_ ĐG LX'!$C77&amp;'[1]BC_ ĐG LX'!X$3,[1]DATA!$AW:$AW,0)),"")</f>
        <v>9.82</v>
      </c>
      <c r="Y77" s="19">
        <f>IFERROR(INDEX([1]DATA!$AH:$AH,MATCH('[1]BC_ ĐG LX'!$C77&amp;'[1]BC_ ĐG LX'!Y$3,[1]DATA!$AW:$AW,0)),"")</f>
        <v>8.44</v>
      </c>
      <c r="Z77" s="19">
        <f>IFERROR(INDEX([1]DATA!$AH:$AH,MATCH('[1]BC_ ĐG LX'!$C77&amp;'[1]BC_ ĐG LX'!Z$3,[1]DATA!$AW:$AW,0)),"")</f>
        <v>9.42</v>
      </c>
      <c r="AA77" s="19">
        <f>IFERROR(INDEX([1]DATA!$AH:$AH,MATCH('[1]BC_ ĐG LX'!$C77&amp;'[1]BC_ ĐG LX'!AA$3,[1]DATA!$AW:$AW,0)),"")</f>
        <v>9.02</v>
      </c>
      <c r="AB77" s="19">
        <f>IFERROR(INDEX([1]DATA!$AH:$AH,MATCH('[1]BC_ ĐG LX'!$C77&amp;'[1]BC_ ĐG LX'!AB$3,[1]DATA!$AW:$AW,0)),"")</f>
        <v>9.82</v>
      </c>
      <c r="AC77" s="19">
        <f>IFERROR(INDEX([1]DATA!$AH:$AH,MATCH('[1]BC_ ĐG LX'!$C77&amp;'[1]BC_ ĐG LX'!AC$3,[1]DATA!$AW:$AW,0)),"")</f>
        <v>9.82</v>
      </c>
      <c r="AD77" s="19">
        <f>IFERROR(INDEX([1]DATA!$AH:$AH,MATCH('[1]BC_ ĐG LX'!$C77&amp;'[1]BC_ ĐG LX'!AD$3,[1]DATA!$AW:$AW,0)),"")</f>
        <v>8.2200000000000006</v>
      </c>
      <c r="AE77" s="19">
        <f>IFERROR(INDEX([1]DATA!$AH:$AH,MATCH('[1]BC_ ĐG LX'!$C77&amp;'[1]BC_ ĐG LX'!AE$3,[1]DATA!$AW:$AW,0)),"")</f>
        <v>9.02</v>
      </c>
      <c r="AF77" s="19" t="str">
        <f>IFERROR(INDEX([1]DATA!$AH:$AH,MATCH('[1]BC_ ĐG LX'!$C77&amp;'[1]BC_ ĐG LX'!AF$3,[1]DATA!$AW:$AW,0)),"")</f>
        <v/>
      </c>
      <c r="AG77" s="19" t="str">
        <f>IFERROR(INDEX([1]DATA!$AH:$AH,MATCH('[1]BC_ ĐG LX'!$C77&amp;'[1]BC_ ĐG LX'!AG$3,[1]DATA!$AW:$AW,0)),"")</f>
        <v/>
      </c>
      <c r="AH77" s="19" t="str">
        <f>IFERROR(INDEX([1]DATA!$AH:$AH,MATCH('[1]BC_ ĐG LX'!$C77&amp;'[1]BC_ ĐG LX'!AH$3,[1]DATA!$AW:$AW,0)),"")</f>
        <v/>
      </c>
      <c r="AI77" s="19" t="str">
        <f>IFERROR(INDEX([1]DATA!$AH:$AH,MATCH('[1]BC_ ĐG LX'!$C77&amp;'[1]BC_ ĐG LX'!AI$3,[1]DATA!$AW:$AW,0)),"")</f>
        <v/>
      </c>
      <c r="AJ77" s="19" t="str">
        <f>IFERROR(INDEX([1]DATA!$AH:$AH,MATCH('[1]BC_ ĐG LX'!$C77&amp;'[1]BC_ ĐG LX'!AJ$3,[1]DATA!$AW:$AW,0)),"")</f>
        <v/>
      </c>
      <c r="AK77" s="26">
        <f t="shared" si="4"/>
        <v>9.4</v>
      </c>
      <c r="AL77" s="21"/>
      <c r="AM77" s="22">
        <f t="shared" si="3"/>
        <v>25</v>
      </c>
      <c r="AN77" s="22" t="str">
        <f>_xlfn.XLOOKUP(B77,[1]DATA!AF:AF,[1]DATA!AX:AX)</f>
        <v>Linh</v>
      </c>
      <c r="AO77"/>
    </row>
    <row r="78" spans="1:41" s="22" customFormat="1" ht="14.25" customHeight="1">
      <c r="A78" s="16">
        <f>SUBTOTAL(3,$D$33:D78)</f>
        <v>46</v>
      </c>
      <c r="B78" s="16" t="str">
        <f>_xlfn.XLOOKUP(C78,[1]DATA!D:D,[1]DATA!AF:AF)</f>
        <v>XE01221</v>
      </c>
      <c r="C78" s="18" t="s">
        <v>98</v>
      </c>
      <c r="D78" s="16" t="s">
        <v>19</v>
      </c>
      <c r="E78" s="18" t="s">
        <v>17</v>
      </c>
      <c r="F78" s="18" t="s">
        <v>18</v>
      </c>
      <c r="G78" s="19">
        <f>IFERROR(INDEX([1]DATA!$AH:$AH,MATCH('[1]BC_ ĐG LX'!$C78&amp;'[1]BC_ ĐG LX'!G$3,[1]DATA!$AW:$AW,0)),"")</f>
        <v>9.42</v>
      </c>
      <c r="H78" s="19">
        <f>IFERROR(INDEX([1]DATA!$AH:$AH,MATCH('[1]BC_ ĐG LX'!$C78&amp;'[1]BC_ ĐG LX'!H$3,[1]DATA!$AW:$AW,0)),"")</f>
        <v>9.42</v>
      </c>
      <c r="I78" s="19">
        <f>IFERROR(INDEX([1]DATA!$AH:$AH,MATCH('[1]BC_ ĐG LX'!$C78&amp;'[1]BC_ ĐG LX'!I$3,[1]DATA!$AW:$AW,0)),"")</f>
        <v>9.82</v>
      </c>
      <c r="J78" s="19">
        <f>IFERROR(INDEX([1]DATA!$AH:$AH,MATCH('[1]BC_ ĐG LX'!$C78&amp;'[1]BC_ ĐG LX'!J$3,[1]DATA!$AW:$AW,0)),"")</f>
        <v>9.2199999999999989</v>
      </c>
      <c r="K78" s="19">
        <f>IFERROR(INDEX([1]DATA!$AH:$AH,MATCH('[1]BC_ ĐG LX'!$C78&amp;'[1]BC_ ĐG LX'!K$3,[1]DATA!$AW:$AW,0)),"")</f>
        <v>9.42</v>
      </c>
      <c r="L78" s="19">
        <f>IFERROR(INDEX([1]DATA!$AH:$AH,MATCH('[1]BC_ ĐG LX'!$C78&amp;'[1]BC_ ĐG LX'!L$3,[1]DATA!$AW:$AW,0)),"")</f>
        <v>9.42</v>
      </c>
      <c r="M78" s="19">
        <f>IFERROR(INDEX([1]DATA!$AH:$AH,MATCH('[1]BC_ ĐG LX'!$C78&amp;'[1]BC_ ĐG LX'!M$3,[1]DATA!$AW:$AW,0)),"")</f>
        <v>9.42</v>
      </c>
      <c r="N78" s="19">
        <f>IFERROR(INDEX([1]DATA!$AH:$AH,MATCH('[1]BC_ ĐG LX'!$C78&amp;'[1]BC_ ĐG LX'!N$3,[1]DATA!$AW:$AW,0)),"")</f>
        <v>9.82</v>
      </c>
      <c r="O78" s="19">
        <f>IFERROR(INDEX([1]DATA!$AH:$AH,MATCH('[1]BC_ ĐG LX'!$C78&amp;'[1]BC_ ĐG LX'!O$3,[1]DATA!$AW:$AW,0)),"")</f>
        <v>9.82</v>
      </c>
      <c r="P78" s="19">
        <f>IFERROR(INDEX([1]DATA!$AH:$AH,MATCH('[1]BC_ ĐG LX'!$C78&amp;'[1]BC_ ĐG LX'!P$3,[1]DATA!$AW:$AW,0)),"")</f>
        <v>8.44</v>
      </c>
      <c r="Q78" s="19">
        <f>IFERROR(INDEX([1]DATA!$AH:$AH,MATCH('[1]BC_ ĐG LX'!$C78&amp;'[1]BC_ ĐG LX'!Q$3,[1]DATA!$AW:$AW,0)),"")</f>
        <v>8.84</v>
      </c>
      <c r="R78" s="19">
        <f>IFERROR(INDEX([1]DATA!$AH:$AH,MATCH('[1]BC_ ĐG LX'!$C78&amp;'[1]BC_ ĐG LX'!R$3,[1]DATA!$AW:$AW,0)),"")</f>
        <v>9.82</v>
      </c>
      <c r="S78" s="19">
        <f>IFERROR(INDEX([1]DATA!$AH:$AH,MATCH('[1]BC_ ĐG LX'!$C78&amp;'[1]BC_ ĐG LX'!S$3,[1]DATA!$AW:$AW,0)),"")</f>
        <v>9.82</v>
      </c>
      <c r="T78" s="19">
        <f>IFERROR(INDEX([1]DATA!$AH:$AH,MATCH('[1]BC_ ĐG LX'!$C78&amp;'[1]BC_ ĐG LX'!T$3,[1]DATA!$AW:$AW,0)),"")</f>
        <v>6.6400000000000006</v>
      </c>
      <c r="U78" s="19">
        <f>IFERROR(INDEX([1]DATA!$AH:$AH,MATCH('[1]BC_ ĐG LX'!$C78&amp;'[1]BC_ ĐG LX'!U$3,[1]DATA!$AW:$AW,0)),"")</f>
        <v>9.82</v>
      </c>
      <c r="V78" s="19">
        <f>IFERROR(INDEX([1]DATA!$AH:$AH,MATCH('[1]BC_ ĐG LX'!$C78&amp;'[1]BC_ ĐG LX'!V$3,[1]DATA!$AW:$AW,0)),"")</f>
        <v>9.8000000000000007</v>
      </c>
      <c r="W78" s="19">
        <f>IFERROR(INDEX([1]DATA!$AH:$AH,MATCH('[1]BC_ ĐG LX'!$C78&amp;'[1]BC_ ĐG LX'!W$3,[1]DATA!$AW:$AW,0)),"")</f>
        <v>9.82</v>
      </c>
      <c r="X78" s="19">
        <f>IFERROR(INDEX([1]DATA!$AH:$AH,MATCH('[1]BC_ ĐG LX'!$C78&amp;'[1]BC_ ĐG LX'!X$3,[1]DATA!$AW:$AW,0)),"")</f>
        <v>9.2199999999999989</v>
      </c>
      <c r="Y78" s="19">
        <f>IFERROR(INDEX([1]DATA!$AH:$AH,MATCH('[1]BC_ ĐG LX'!$C78&amp;'[1]BC_ ĐG LX'!Y$3,[1]DATA!$AW:$AW,0)),"")</f>
        <v>9.82</v>
      </c>
      <c r="Z78" s="19">
        <f>IFERROR(INDEX([1]DATA!$AH:$AH,MATCH('[1]BC_ ĐG LX'!$C78&amp;'[1]BC_ ĐG LX'!Z$3,[1]DATA!$AW:$AW,0)),"")</f>
        <v>8.44</v>
      </c>
      <c r="AA78" s="19">
        <f>IFERROR(INDEX([1]DATA!$AH:$AH,MATCH('[1]BC_ ĐG LX'!$C78&amp;'[1]BC_ ĐG LX'!AA$3,[1]DATA!$AW:$AW,0)),"")</f>
        <v>9.82</v>
      </c>
      <c r="AB78" s="19" t="str">
        <f>IFERROR(INDEX([1]DATA!$AH:$AH,MATCH('[1]BC_ ĐG LX'!$C78&amp;'[1]BC_ ĐG LX'!AB$3,[1]DATA!$AW:$AW,0)),"")</f>
        <v/>
      </c>
      <c r="AC78" s="19" t="str">
        <f>IFERROR(INDEX([1]DATA!$AH:$AH,MATCH('[1]BC_ ĐG LX'!$C78&amp;'[1]BC_ ĐG LX'!AC$3,[1]DATA!$AW:$AW,0)),"")</f>
        <v/>
      </c>
      <c r="AD78" s="19" t="str">
        <f>IFERROR(INDEX([1]DATA!$AH:$AH,MATCH('[1]BC_ ĐG LX'!$C78&amp;'[1]BC_ ĐG LX'!AD$3,[1]DATA!$AW:$AW,0)),"")</f>
        <v/>
      </c>
      <c r="AE78" s="19" t="str">
        <f>IFERROR(INDEX([1]DATA!$AH:$AH,MATCH('[1]BC_ ĐG LX'!$C78&amp;'[1]BC_ ĐG LX'!AE$3,[1]DATA!$AW:$AW,0)),"")</f>
        <v/>
      </c>
      <c r="AF78" s="19" t="str">
        <f>IFERROR(INDEX([1]DATA!$AH:$AH,MATCH('[1]BC_ ĐG LX'!$C78&amp;'[1]BC_ ĐG LX'!AF$3,[1]DATA!$AW:$AW,0)),"")</f>
        <v/>
      </c>
      <c r="AG78" s="19" t="str">
        <f>IFERROR(INDEX([1]DATA!$AH:$AH,MATCH('[1]BC_ ĐG LX'!$C78&amp;'[1]BC_ ĐG LX'!AG$3,[1]DATA!$AW:$AW,0)),"")</f>
        <v/>
      </c>
      <c r="AH78" s="19" t="str">
        <f>IFERROR(INDEX([1]DATA!$AH:$AH,MATCH('[1]BC_ ĐG LX'!$C78&amp;'[1]BC_ ĐG LX'!AH$3,[1]DATA!$AW:$AW,0)),"")</f>
        <v/>
      </c>
      <c r="AI78" s="19" t="str">
        <f>IFERROR(INDEX([1]DATA!$AH:$AH,MATCH('[1]BC_ ĐG LX'!$C78&amp;'[1]BC_ ĐG LX'!AI$3,[1]DATA!$AW:$AW,0)),"")</f>
        <v/>
      </c>
      <c r="AJ78" s="19" t="str">
        <f>IFERROR(INDEX([1]DATA!$AH:$AH,MATCH('[1]BC_ ĐG LX'!$C78&amp;'[1]BC_ ĐG LX'!AJ$3,[1]DATA!$AW:$AW,0)),"")</f>
        <v/>
      </c>
      <c r="AK78" s="26">
        <f t="shared" si="4"/>
        <v>9.4</v>
      </c>
      <c r="AL78" s="21"/>
      <c r="AM78" s="22">
        <f t="shared" si="3"/>
        <v>21</v>
      </c>
      <c r="AN78" s="22" t="str">
        <f>_xlfn.XLOOKUP(B78,[1]DATA!AF:AF,[1]DATA!AX:AX)</f>
        <v>Linh</v>
      </c>
      <c r="AO78"/>
    </row>
    <row r="79" spans="1:41" s="22" customFormat="1" ht="14.25" customHeight="1">
      <c r="A79" s="16">
        <f>SUBTOTAL(3,$D$33:D79)</f>
        <v>47</v>
      </c>
      <c r="B79" s="16" t="str">
        <f>_xlfn.XLOOKUP(C79,[1]DATA!D:D,[1]DATA!AF:AF)</f>
        <v>XE01243</v>
      </c>
      <c r="C79" s="18" t="s">
        <v>99</v>
      </c>
      <c r="D79" s="16" t="s">
        <v>19</v>
      </c>
      <c r="E79" s="18" t="s">
        <v>17</v>
      </c>
      <c r="F79" s="18" t="s">
        <v>18</v>
      </c>
      <c r="G79" s="19">
        <f>IFERROR(INDEX([1]DATA!$AH:$AH,MATCH('[1]BC_ ĐG LX'!$C79&amp;'[1]BC_ ĐG LX'!G$3,[1]DATA!$AW:$AW,0)),"")</f>
        <v>9.02</v>
      </c>
      <c r="H79" s="19">
        <f>IFERROR(INDEX([1]DATA!$AH:$AH,MATCH('[1]BC_ ĐG LX'!$C79&amp;'[1]BC_ ĐG LX'!H$3,[1]DATA!$AW:$AW,0)),"")</f>
        <v>9.42</v>
      </c>
      <c r="I79" s="19">
        <f>IFERROR(INDEX([1]DATA!$AH:$AH,MATCH('[1]BC_ ĐG LX'!$C79&amp;'[1]BC_ ĐG LX'!I$3,[1]DATA!$AW:$AW,0)),"")</f>
        <v>9.02</v>
      </c>
      <c r="J79" s="19">
        <f>IFERROR(INDEX([1]DATA!$AH:$AH,MATCH('[1]BC_ ĐG LX'!$C79&amp;'[1]BC_ ĐG LX'!J$3,[1]DATA!$AW:$AW,0)),"")</f>
        <v>9.42</v>
      </c>
      <c r="K79" s="19">
        <f>IFERROR(INDEX([1]DATA!$AH:$AH,MATCH('[1]BC_ ĐG LX'!$C79&amp;'[1]BC_ ĐG LX'!K$3,[1]DATA!$AW:$AW,0)),"")</f>
        <v>9.02</v>
      </c>
      <c r="L79" s="19">
        <f>IFERROR(INDEX([1]DATA!$AH:$AH,MATCH('[1]BC_ ĐG LX'!$C79&amp;'[1]BC_ ĐG LX'!L$3,[1]DATA!$AW:$AW,0)),"")</f>
        <v>9.42</v>
      </c>
      <c r="M79" s="19">
        <f>IFERROR(INDEX([1]DATA!$AH:$AH,MATCH('[1]BC_ ĐG LX'!$C79&amp;'[1]BC_ ĐG LX'!M$3,[1]DATA!$AW:$AW,0)),"")</f>
        <v>10</v>
      </c>
      <c r="N79" s="19">
        <f>IFERROR(INDEX([1]DATA!$AH:$AH,MATCH('[1]BC_ ĐG LX'!$C79&amp;'[1]BC_ ĐG LX'!N$3,[1]DATA!$AW:$AW,0)),"")</f>
        <v>9.42</v>
      </c>
      <c r="O79" s="19">
        <f>IFERROR(INDEX([1]DATA!$AH:$AH,MATCH('[1]BC_ ĐG LX'!$C79&amp;'[1]BC_ ĐG LX'!O$3,[1]DATA!$AW:$AW,0)),"")</f>
        <v>9.42</v>
      </c>
      <c r="P79" s="19">
        <f>IFERROR(INDEX([1]DATA!$AH:$AH,MATCH('[1]BC_ ĐG LX'!$C79&amp;'[1]BC_ ĐG LX'!P$3,[1]DATA!$AW:$AW,0)),"")</f>
        <v>9.42</v>
      </c>
      <c r="Q79" s="19">
        <f>IFERROR(INDEX([1]DATA!$AH:$AH,MATCH('[1]BC_ ĐG LX'!$C79&amp;'[1]BC_ ĐG LX'!Q$3,[1]DATA!$AW:$AW,0)),"")</f>
        <v>9.82</v>
      </c>
      <c r="R79" s="19">
        <f>IFERROR(INDEX([1]DATA!$AH:$AH,MATCH('[1]BC_ ĐG LX'!$C79&amp;'[1]BC_ ĐG LX'!R$3,[1]DATA!$AW:$AW,0)),"")</f>
        <v>9.42</v>
      </c>
      <c r="S79" s="19">
        <f>IFERROR(INDEX([1]DATA!$AH:$AH,MATCH('[1]BC_ ĐG LX'!$C79&amp;'[1]BC_ ĐG LX'!S$3,[1]DATA!$AW:$AW,0)),"")</f>
        <v>9.42</v>
      </c>
      <c r="T79" s="19">
        <f>IFERROR(INDEX([1]DATA!$AH:$AH,MATCH('[1]BC_ ĐG LX'!$C79&amp;'[1]BC_ ĐG LX'!T$3,[1]DATA!$AW:$AW,0)),"")</f>
        <v>8.84</v>
      </c>
      <c r="U79" s="19">
        <f>IFERROR(INDEX([1]DATA!$AH:$AH,MATCH('[1]BC_ ĐG LX'!$C79&amp;'[1]BC_ ĐG LX'!U$3,[1]DATA!$AW:$AW,0)),"")</f>
        <v>9.82</v>
      </c>
      <c r="V79" s="19">
        <f>IFERROR(INDEX([1]DATA!$AH:$AH,MATCH('[1]BC_ ĐG LX'!$C79&amp;'[1]BC_ ĐG LX'!V$3,[1]DATA!$AW:$AW,0)),"")</f>
        <v>8.6199999999999992</v>
      </c>
      <c r="W79" s="19">
        <f>IFERROR(INDEX([1]DATA!$AH:$AH,MATCH('[1]BC_ ĐG LX'!$C79&amp;'[1]BC_ ĐG LX'!W$3,[1]DATA!$AW:$AW,0)),"")</f>
        <v>9.02</v>
      </c>
      <c r="X79" s="19">
        <f>IFERROR(INDEX([1]DATA!$AH:$AH,MATCH('[1]BC_ ĐG LX'!$C79&amp;'[1]BC_ ĐG LX'!X$3,[1]DATA!$AW:$AW,0)),"")</f>
        <v>9.82</v>
      </c>
      <c r="Y79" s="19">
        <f>IFERROR(INDEX([1]DATA!$AH:$AH,MATCH('[1]BC_ ĐG LX'!$C79&amp;'[1]BC_ ĐG LX'!Y$3,[1]DATA!$AW:$AW,0)),"")</f>
        <v>9.42</v>
      </c>
      <c r="Z79" s="19">
        <f>IFERROR(INDEX([1]DATA!$AH:$AH,MATCH('[1]BC_ ĐG LX'!$C79&amp;'[1]BC_ ĐG LX'!Z$3,[1]DATA!$AW:$AW,0)),"")</f>
        <v>9.02</v>
      </c>
      <c r="AA79" s="19">
        <f>IFERROR(INDEX([1]DATA!$AH:$AH,MATCH('[1]BC_ ĐG LX'!$C79&amp;'[1]BC_ ĐG LX'!AA$3,[1]DATA!$AW:$AW,0)),"")</f>
        <v>8.2200000000000006</v>
      </c>
      <c r="AB79" s="19">
        <f>IFERROR(INDEX([1]DATA!$AH:$AH,MATCH('[1]BC_ ĐG LX'!$C79&amp;'[1]BC_ ĐG LX'!AB$3,[1]DATA!$AW:$AW,0)),"")</f>
        <v>9.82</v>
      </c>
      <c r="AC79" s="19">
        <f>IFERROR(INDEX([1]DATA!$AH:$AH,MATCH('[1]BC_ ĐG LX'!$C79&amp;'[1]BC_ ĐG LX'!AC$3,[1]DATA!$AW:$AW,0)),"")</f>
        <v>9.82</v>
      </c>
      <c r="AD79" s="19">
        <f>IFERROR(INDEX([1]DATA!$AH:$AH,MATCH('[1]BC_ ĐG LX'!$C79&amp;'[1]BC_ ĐG LX'!AD$3,[1]DATA!$AW:$AW,0)),"")</f>
        <v>8.620000000000001</v>
      </c>
      <c r="AE79" s="19">
        <f>IFERROR(INDEX([1]DATA!$AH:$AH,MATCH('[1]BC_ ĐG LX'!$C79&amp;'[1]BC_ ĐG LX'!AE$3,[1]DATA!$AW:$AW,0)),"")</f>
        <v>9.02</v>
      </c>
      <c r="AF79" s="19" t="str">
        <f>IFERROR(INDEX([1]DATA!$AH:$AH,MATCH('[1]BC_ ĐG LX'!$C79&amp;'[1]BC_ ĐG LX'!AF$3,[1]DATA!$AW:$AW,0)),"")</f>
        <v/>
      </c>
      <c r="AG79" s="19" t="str">
        <f>IFERROR(INDEX([1]DATA!$AH:$AH,MATCH('[1]BC_ ĐG LX'!$C79&amp;'[1]BC_ ĐG LX'!AG$3,[1]DATA!$AW:$AW,0)),"")</f>
        <v/>
      </c>
      <c r="AH79" s="19" t="str">
        <f>IFERROR(INDEX([1]DATA!$AH:$AH,MATCH('[1]BC_ ĐG LX'!$C79&amp;'[1]BC_ ĐG LX'!AH$3,[1]DATA!$AW:$AW,0)),"")</f>
        <v/>
      </c>
      <c r="AI79" s="19" t="str">
        <f>IFERROR(INDEX([1]DATA!$AH:$AH,MATCH('[1]BC_ ĐG LX'!$C79&amp;'[1]BC_ ĐG LX'!AI$3,[1]DATA!$AW:$AW,0)),"")</f>
        <v/>
      </c>
      <c r="AJ79" s="19" t="str">
        <f>IFERROR(INDEX([1]DATA!$AH:$AH,MATCH('[1]BC_ ĐG LX'!$C79&amp;'[1]BC_ ĐG LX'!AJ$3,[1]DATA!$AW:$AW,0)),"")</f>
        <v/>
      </c>
      <c r="AK79" s="26">
        <f t="shared" si="4"/>
        <v>9.2999999999999989</v>
      </c>
      <c r="AL79" s="21"/>
      <c r="AM79" s="22">
        <f t="shared" si="3"/>
        <v>25</v>
      </c>
      <c r="AN79" s="22" t="str">
        <f>_xlfn.XLOOKUP(B79,[1]DATA!AF:AF,[1]DATA!AX:AX)</f>
        <v>Linh</v>
      </c>
      <c r="AO79"/>
    </row>
    <row r="80" spans="1:41" s="22" customFormat="1" ht="14.25" customHeight="1">
      <c r="A80" s="16">
        <f>SUBTOTAL(3,$D$33:D80)</f>
        <v>48</v>
      </c>
      <c r="B80" s="16" t="str">
        <f>_xlfn.XLOOKUP(C80,[1]DATA!D:D,[1]DATA!AF:AF)</f>
        <v>XE01314</v>
      </c>
      <c r="C80" s="18" t="s">
        <v>100</v>
      </c>
      <c r="D80" s="16" t="s">
        <v>19</v>
      </c>
      <c r="E80" s="18" t="s">
        <v>17</v>
      </c>
      <c r="F80" s="18" t="s">
        <v>18</v>
      </c>
      <c r="G80" s="19">
        <f>IFERROR(INDEX([1]DATA!$AH:$AH,MATCH('[1]BC_ ĐG LX'!$C80&amp;'[1]BC_ ĐG LX'!G$3,[1]DATA!$AW:$AW,0)),"")</f>
        <v>8.84</v>
      </c>
      <c r="H80" s="19">
        <f>IFERROR(INDEX([1]DATA!$AH:$AH,MATCH('[1]BC_ ĐG LX'!$C80&amp;'[1]BC_ ĐG LX'!H$3,[1]DATA!$AW:$AW,0)),"")</f>
        <v>9.6199999999999992</v>
      </c>
      <c r="I80" s="19">
        <f>IFERROR(INDEX([1]DATA!$AH:$AH,MATCH('[1]BC_ ĐG LX'!$C80&amp;'[1]BC_ ĐG LX'!I$3,[1]DATA!$AW:$AW,0)),"")</f>
        <v>9.42</v>
      </c>
      <c r="J80" s="19">
        <f>IFERROR(INDEX([1]DATA!$AH:$AH,MATCH('[1]BC_ ĐG LX'!$C80&amp;'[1]BC_ ĐG LX'!J$3,[1]DATA!$AW:$AW,0)),"")</f>
        <v>8.84</v>
      </c>
      <c r="K80" s="19">
        <f>IFERROR(INDEX([1]DATA!$AH:$AH,MATCH('[1]BC_ ĐG LX'!$C80&amp;'[1]BC_ ĐG LX'!K$3,[1]DATA!$AW:$AW,0)),"")</f>
        <v>9.82</v>
      </c>
      <c r="L80" s="19">
        <f>IFERROR(INDEX([1]DATA!$AH:$AH,MATCH('[1]BC_ ĐG LX'!$C80&amp;'[1]BC_ ĐG LX'!L$3,[1]DATA!$AW:$AW,0)),"")</f>
        <v>9.82</v>
      </c>
      <c r="M80" s="19">
        <f>IFERROR(INDEX([1]DATA!$AH:$AH,MATCH('[1]BC_ ĐG LX'!$C80&amp;'[1]BC_ ĐG LX'!M$3,[1]DATA!$AW:$AW,0)),"")</f>
        <v>7.82</v>
      </c>
      <c r="N80" s="19">
        <f>IFERROR(INDEX([1]DATA!$AH:$AH,MATCH('[1]BC_ ĐG LX'!$C80&amp;'[1]BC_ ĐG LX'!N$3,[1]DATA!$AW:$AW,0)),"")</f>
        <v>8.84</v>
      </c>
      <c r="O80" s="19">
        <f>IFERROR(INDEX([1]DATA!$AH:$AH,MATCH('[1]BC_ ĐG LX'!$C80&amp;'[1]BC_ ĐG LX'!O$3,[1]DATA!$AW:$AW,0)),"")</f>
        <v>9.24</v>
      </c>
      <c r="P80" s="19">
        <f>IFERROR(INDEX([1]DATA!$AH:$AH,MATCH('[1]BC_ ĐG LX'!$C80&amp;'[1]BC_ ĐG LX'!P$3,[1]DATA!$AW:$AW,0)),"")</f>
        <v>9.42</v>
      </c>
      <c r="Q80" s="19">
        <f>IFERROR(INDEX([1]DATA!$AH:$AH,MATCH('[1]BC_ ĐG LX'!$C80&amp;'[1]BC_ ĐG LX'!Q$3,[1]DATA!$AW:$AW,0)),"")</f>
        <v>8.2200000000000006</v>
      </c>
      <c r="R80" s="19">
        <f>IFERROR(INDEX([1]DATA!$AH:$AH,MATCH('[1]BC_ ĐG LX'!$C80&amp;'[1]BC_ ĐG LX'!R$3,[1]DATA!$AW:$AW,0)),"")</f>
        <v>9.02</v>
      </c>
      <c r="S80" s="19">
        <f>IFERROR(INDEX([1]DATA!$AH:$AH,MATCH('[1]BC_ ĐG LX'!$C80&amp;'[1]BC_ ĐG LX'!S$3,[1]DATA!$AW:$AW,0)),"")</f>
        <v>9.82</v>
      </c>
      <c r="T80" s="19">
        <f>IFERROR(INDEX([1]DATA!$AH:$AH,MATCH('[1]BC_ ĐG LX'!$C80&amp;'[1]BC_ ĐG LX'!T$3,[1]DATA!$AW:$AW,0)),"")</f>
        <v>9.82</v>
      </c>
      <c r="U80" s="19">
        <f>IFERROR(INDEX([1]DATA!$AH:$AH,MATCH('[1]BC_ ĐG LX'!$C80&amp;'[1]BC_ ĐG LX'!U$3,[1]DATA!$AW:$AW,0)),"")</f>
        <v>8.2200000000000006</v>
      </c>
      <c r="V80" s="19">
        <f>IFERROR(INDEX([1]DATA!$AH:$AH,MATCH('[1]BC_ ĐG LX'!$C80&amp;'[1]BC_ ĐG LX'!V$3,[1]DATA!$AW:$AW,0)),"")</f>
        <v>9.42</v>
      </c>
      <c r="W80" s="19">
        <f>IFERROR(INDEX([1]DATA!$AH:$AH,MATCH('[1]BC_ ĐG LX'!$C80&amp;'[1]BC_ ĐG LX'!W$3,[1]DATA!$AW:$AW,0)),"")</f>
        <v>9.42</v>
      </c>
      <c r="X80" s="19">
        <f>IFERROR(INDEX([1]DATA!$AH:$AH,MATCH('[1]BC_ ĐG LX'!$C80&amp;'[1]BC_ ĐG LX'!X$3,[1]DATA!$AW:$AW,0)),"")</f>
        <v>9.02</v>
      </c>
      <c r="Y80" s="19">
        <f>IFERROR(INDEX([1]DATA!$AH:$AH,MATCH('[1]BC_ ĐG LX'!$C80&amp;'[1]BC_ ĐG LX'!Y$3,[1]DATA!$AW:$AW,0)),"")</f>
        <v>9.82</v>
      </c>
      <c r="Z80" s="19">
        <f>IFERROR(INDEX([1]DATA!$AH:$AH,MATCH('[1]BC_ ĐG LX'!$C80&amp;'[1]BC_ ĐG LX'!Z$3,[1]DATA!$AW:$AW,0)),"")</f>
        <v>9.82</v>
      </c>
      <c r="AA80" s="19">
        <f>IFERROR(INDEX([1]DATA!$AH:$AH,MATCH('[1]BC_ ĐG LX'!$C80&amp;'[1]BC_ ĐG LX'!AA$3,[1]DATA!$AW:$AW,0)),"")</f>
        <v>9.82</v>
      </c>
      <c r="AB80" s="19">
        <f>IFERROR(INDEX([1]DATA!$AH:$AH,MATCH('[1]BC_ ĐG LX'!$C80&amp;'[1]BC_ ĐG LX'!AB$3,[1]DATA!$AW:$AW,0)),"")</f>
        <v>9.82</v>
      </c>
      <c r="AC80" s="19">
        <f>IFERROR(INDEX([1]DATA!$AH:$AH,MATCH('[1]BC_ ĐG LX'!$C80&amp;'[1]BC_ ĐG LX'!AC$3,[1]DATA!$AW:$AW,0)),"")</f>
        <v>9.24</v>
      </c>
      <c r="AD80" s="19">
        <f>IFERROR(INDEX([1]DATA!$AH:$AH,MATCH('[1]BC_ ĐG LX'!$C80&amp;'[1]BC_ ĐG LX'!AD$3,[1]DATA!$AW:$AW,0)),"")</f>
        <v>9.42</v>
      </c>
      <c r="AE80" s="19">
        <f>IFERROR(INDEX([1]DATA!$AH:$AH,MATCH('[1]BC_ ĐG LX'!$C80&amp;'[1]BC_ ĐG LX'!AE$3,[1]DATA!$AW:$AW,0)),"")</f>
        <v>9.82</v>
      </c>
      <c r="AF80" s="19" t="str">
        <f>IFERROR(INDEX([1]DATA!$AH:$AH,MATCH('[1]BC_ ĐG LX'!$C80&amp;'[1]BC_ ĐG LX'!AF$3,[1]DATA!$AW:$AW,0)),"")</f>
        <v/>
      </c>
      <c r="AG80" s="19" t="str">
        <f>IFERROR(INDEX([1]DATA!$AH:$AH,MATCH('[1]BC_ ĐG LX'!$C80&amp;'[1]BC_ ĐG LX'!AG$3,[1]DATA!$AW:$AW,0)),"")</f>
        <v/>
      </c>
      <c r="AH80" s="19" t="str">
        <f>IFERROR(INDEX([1]DATA!$AH:$AH,MATCH('[1]BC_ ĐG LX'!$C80&amp;'[1]BC_ ĐG LX'!AH$3,[1]DATA!$AW:$AW,0)),"")</f>
        <v/>
      </c>
      <c r="AI80" s="19" t="str">
        <f>IFERROR(INDEX([1]DATA!$AH:$AH,MATCH('[1]BC_ ĐG LX'!$C80&amp;'[1]BC_ ĐG LX'!AI$3,[1]DATA!$AW:$AW,0)),"")</f>
        <v/>
      </c>
      <c r="AJ80" s="19" t="str">
        <f>IFERROR(INDEX([1]DATA!$AH:$AH,MATCH('[1]BC_ ĐG LX'!$C80&amp;'[1]BC_ ĐG LX'!AJ$3,[1]DATA!$AW:$AW,0)),"")</f>
        <v/>
      </c>
      <c r="AK80" s="26">
        <f t="shared" si="4"/>
        <v>9.2999999999999989</v>
      </c>
      <c r="AL80" s="21"/>
      <c r="AM80" s="22">
        <f t="shared" si="3"/>
        <v>25</v>
      </c>
      <c r="AN80" s="22" t="str">
        <f>_xlfn.XLOOKUP(B80,[1]DATA!AF:AF,[1]DATA!AX:AX)</f>
        <v>Lương</v>
      </c>
      <c r="AO80"/>
    </row>
    <row r="81" spans="1:41" s="22" customFormat="1" ht="14.25" customHeight="1">
      <c r="A81" s="16">
        <f>SUBTOTAL(3,$D$33:D81)</f>
        <v>49</v>
      </c>
      <c r="B81" s="16" t="str">
        <f>_xlfn.XLOOKUP(C81,[1]DATA!D:D,[1]DATA!AF:AF)</f>
        <v>XE01117</v>
      </c>
      <c r="C81" s="18" t="s">
        <v>101</v>
      </c>
      <c r="D81" s="16" t="s">
        <v>19</v>
      </c>
      <c r="E81" s="18" t="s">
        <v>17</v>
      </c>
      <c r="F81" s="18" t="s">
        <v>18</v>
      </c>
      <c r="G81" s="19">
        <f>IFERROR(INDEX([1]DATA!$AH:$AH,MATCH('[1]BC_ ĐG LX'!$C81&amp;'[1]BC_ ĐG LX'!G$3,[1]DATA!$AW:$AW,0)),"")</f>
        <v>9.42</v>
      </c>
      <c r="H81" s="19">
        <f>IFERROR(INDEX([1]DATA!$AH:$AH,MATCH('[1]BC_ ĐG LX'!$C81&amp;'[1]BC_ ĐG LX'!H$3,[1]DATA!$AW:$AW,0)),"")</f>
        <v>7.6199999999999992</v>
      </c>
      <c r="I81" s="19">
        <f>IFERROR(INDEX([1]DATA!$AH:$AH,MATCH('[1]BC_ ĐG LX'!$C81&amp;'[1]BC_ ĐG LX'!I$3,[1]DATA!$AW:$AW,0)),"")</f>
        <v>9.42</v>
      </c>
      <c r="J81" s="19">
        <f>IFERROR(INDEX([1]DATA!$AH:$AH,MATCH('[1]BC_ ĐG LX'!$C81&amp;'[1]BC_ ĐG LX'!J$3,[1]DATA!$AW:$AW,0)),"")</f>
        <v>9.82</v>
      </c>
      <c r="K81" s="19">
        <f>IFERROR(INDEX([1]DATA!$AH:$AH,MATCH('[1]BC_ ĐG LX'!$C81&amp;'[1]BC_ ĐG LX'!K$3,[1]DATA!$AW:$AW,0)),"")</f>
        <v>9.42</v>
      </c>
      <c r="L81" s="19">
        <f>IFERROR(INDEX([1]DATA!$AH:$AH,MATCH('[1]BC_ ĐG LX'!$C81&amp;'[1]BC_ ĐG LX'!L$3,[1]DATA!$AW:$AW,0)),"")</f>
        <v>9.82</v>
      </c>
      <c r="M81" s="19">
        <f>IFERROR(INDEX([1]DATA!$AH:$AH,MATCH('[1]BC_ ĐG LX'!$C81&amp;'[1]BC_ ĐG LX'!M$3,[1]DATA!$AW:$AW,0)),"")</f>
        <v>9.6199999999999992</v>
      </c>
      <c r="N81" s="19">
        <f>IFERROR(INDEX([1]DATA!$AH:$AH,MATCH('[1]BC_ ĐG LX'!$C81&amp;'[1]BC_ ĐG LX'!N$3,[1]DATA!$AW:$AW,0)),"")</f>
        <v>9.42</v>
      </c>
      <c r="O81" s="19">
        <f>IFERROR(INDEX([1]DATA!$AH:$AH,MATCH('[1]BC_ ĐG LX'!$C81&amp;'[1]BC_ ĐG LX'!O$3,[1]DATA!$AW:$AW,0)),"")</f>
        <v>8.2200000000000006</v>
      </c>
      <c r="P81" s="19">
        <f>IFERROR(INDEX([1]DATA!$AH:$AH,MATCH('[1]BC_ ĐG LX'!$C81&amp;'[1]BC_ ĐG LX'!P$3,[1]DATA!$AW:$AW,0)),"")</f>
        <v>7.42</v>
      </c>
      <c r="Q81" s="19">
        <f>IFERROR(INDEX([1]DATA!$AH:$AH,MATCH('[1]BC_ ĐG LX'!$C81&amp;'[1]BC_ ĐG LX'!Q$3,[1]DATA!$AW:$AW,0)),"")</f>
        <v>9.82</v>
      </c>
      <c r="R81" s="19">
        <f>IFERROR(INDEX([1]DATA!$AH:$AH,MATCH('[1]BC_ ĐG LX'!$C81&amp;'[1]BC_ ĐG LX'!R$3,[1]DATA!$AW:$AW,0)),"")</f>
        <v>9.82</v>
      </c>
      <c r="S81" s="19">
        <f>IFERROR(INDEX([1]DATA!$AH:$AH,MATCH('[1]BC_ ĐG LX'!$C81&amp;'[1]BC_ ĐG LX'!S$3,[1]DATA!$AW:$AW,0)),"")</f>
        <v>9.02</v>
      </c>
      <c r="T81" s="19">
        <f>IFERROR(INDEX([1]DATA!$AH:$AH,MATCH('[1]BC_ ĐG LX'!$C81&amp;'[1]BC_ ĐG LX'!T$3,[1]DATA!$AW:$AW,0)),"")</f>
        <v>9.82</v>
      </c>
      <c r="U81" s="19">
        <f>IFERROR(INDEX([1]DATA!$AH:$AH,MATCH('[1]BC_ ĐG LX'!$C81&amp;'[1]BC_ ĐG LX'!U$3,[1]DATA!$AW:$AW,0)),"")</f>
        <v>9.82</v>
      </c>
      <c r="V81" s="19">
        <f>IFERROR(INDEX([1]DATA!$AH:$AH,MATCH('[1]BC_ ĐG LX'!$C81&amp;'[1]BC_ ĐG LX'!V$3,[1]DATA!$AW:$AW,0)),"")</f>
        <v>7.6400000000000006</v>
      </c>
      <c r="W81" s="19">
        <f>IFERROR(INDEX([1]DATA!$AH:$AH,MATCH('[1]BC_ ĐG LX'!$C81&amp;'[1]BC_ ĐG LX'!W$3,[1]DATA!$AW:$AW,0)),"")</f>
        <v>6.84</v>
      </c>
      <c r="X81" s="19">
        <f>IFERROR(INDEX([1]DATA!$AH:$AH,MATCH('[1]BC_ ĐG LX'!$C81&amp;'[1]BC_ ĐG LX'!X$3,[1]DATA!$AW:$AW,0)),"")</f>
        <v>7.82</v>
      </c>
      <c r="Y81" s="19">
        <f>IFERROR(INDEX([1]DATA!$AH:$AH,MATCH('[1]BC_ ĐG LX'!$C81&amp;'[1]BC_ ĐG LX'!Y$3,[1]DATA!$AW:$AW,0)),"")</f>
        <v>9.42</v>
      </c>
      <c r="Z81" s="19">
        <f>IFERROR(INDEX([1]DATA!$AH:$AH,MATCH('[1]BC_ ĐG LX'!$C81&amp;'[1]BC_ ĐG LX'!Z$3,[1]DATA!$AW:$AW,0)),"")</f>
        <v>9.02</v>
      </c>
      <c r="AA81" s="19">
        <f>IFERROR(INDEX([1]DATA!$AH:$AH,MATCH('[1]BC_ ĐG LX'!$C81&amp;'[1]BC_ ĐG LX'!AA$3,[1]DATA!$AW:$AW,0)),"")</f>
        <v>9.42</v>
      </c>
      <c r="AB81" s="19">
        <f>IFERROR(INDEX([1]DATA!$AH:$AH,MATCH('[1]BC_ ĐG LX'!$C81&amp;'[1]BC_ ĐG LX'!AB$3,[1]DATA!$AW:$AW,0)),"")</f>
        <v>9.02</v>
      </c>
      <c r="AC81" s="19">
        <f>IFERROR(INDEX([1]DATA!$AH:$AH,MATCH('[1]BC_ ĐG LX'!$C81&amp;'[1]BC_ ĐG LX'!AC$3,[1]DATA!$AW:$AW,0)),"")</f>
        <v>9.02</v>
      </c>
      <c r="AD81" s="19">
        <f>IFERROR(INDEX([1]DATA!$AH:$AH,MATCH('[1]BC_ ĐG LX'!$C81&amp;'[1]BC_ ĐG LX'!AD$3,[1]DATA!$AW:$AW,0)),"")</f>
        <v>8.84</v>
      </c>
      <c r="AE81" s="19">
        <f>IFERROR(INDEX([1]DATA!$AH:$AH,MATCH('[1]BC_ ĐG LX'!$C81&amp;'[1]BC_ ĐG LX'!AE$3,[1]DATA!$AW:$AW,0)),"")</f>
        <v>9.82</v>
      </c>
      <c r="AF81" s="19" t="str">
        <f>IFERROR(INDEX([1]DATA!$AH:$AH,MATCH('[1]BC_ ĐG LX'!$C81&amp;'[1]BC_ ĐG LX'!AF$3,[1]DATA!$AW:$AW,0)),"")</f>
        <v/>
      </c>
      <c r="AG81" s="19" t="str">
        <f>IFERROR(INDEX([1]DATA!$AH:$AH,MATCH('[1]BC_ ĐG LX'!$C81&amp;'[1]BC_ ĐG LX'!AG$3,[1]DATA!$AW:$AW,0)),"")</f>
        <v/>
      </c>
      <c r="AH81" s="19" t="str">
        <f>IFERROR(INDEX([1]DATA!$AH:$AH,MATCH('[1]BC_ ĐG LX'!$C81&amp;'[1]BC_ ĐG LX'!AH$3,[1]DATA!$AW:$AW,0)),"")</f>
        <v/>
      </c>
      <c r="AI81" s="19" t="str">
        <f>IFERROR(INDEX([1]DATA!$AH:$AH,MATCH('[1]BC_ ĐG LX'!$C81&amp;'[1]BC_ ĐG LX'!AI$3,[1]DATA!$AW:$AW,0)),"")</f>
        <v/>
      </c>
      <c r="AJ81" s="19" t="str">
        <f>IFERROR(INDEX([1]DATA!$AH:$AH,MATCH('[1]BC_ ĐG LX'!$C81&amp;'[1]BC_ ĐG LX'!AJ$3,[1]DATA!$AW:$AW,0)),"")</f>
        <v/>
      </c>
      <c r="AK81" s="26">
        <f t="shared" si="4"/>
        <v>9.1</v>
      </c>
      <c r="AL81" s="21"/>
      <c r="AM81" s="22">
        <f t="shared" si="3"/>
        <v>25</v>
      </c>
      <c r="AN81" s="22" t="str">
        <f>_xlfn.XLOOKUP(B81,[1]DATA!AF:AF,[1]DATA!AX:AX)</f>
        <v>Linh</v>
      </c>
      <c r="AO81"/>
    </row>
    <row r="82" spans="1:41" s="22" customFormat="1" ht="14.25" customHeight="1">
      <c r="A82" s="16">
        <f>SUBTOTAL(3,$D$33:D82)</f>
        <v>50</v>
      </c>
      <c r="B82" s="16" t="str">
        <f>_xlfn.XLOOKUP(C82,[1]DATA!D:D,[1]DATA!AF:AF)</f>
        <v>XE01380</v>
      </c>
      <c r="C82" s="18" t="s">
        <v>102</v>
      </c>
      <c r="D82" s="16" t="s">
        <v>19</v>
      </c>
      <c r="E82" s="18" t="s">
        <v>17</v>
      </c>
      <c r="F82" s="18" t="s">
        <v>18</v>
      </c>
      <c r="G82" s="19">
        <f>IFERROR(INDEX([1]DATA!$AH:$AH,MATCH('[1]BC_ ĐG LX'!$C82&amp;'[1]BC_ ĐG LX'!G$3,[1]DATA!$AW:$AW,0)),"")</f>
        <v>9.42</v>
      </c>
      <c r="H82" s="19">
        <f>IFERROR(INDEX([1]DATA!$AH:$AH,MATCH('[1]BC_ ĐG LX'!$C82&amp;'[1]BC_ ĐG LX'!H$3,[1]DATA!$AW:$AW,0)),"")</f>
        <v>9.82</v>
      </c>
      <c r="I82" s="19">
        <f>IFERROR(INDEX([1]DATA!$AH:$AH,MATCH('[1]BC_ ĐG LX'!$C82&amp;'[1]BC_ ĐG LX'!I$3,[1]DATA!$AW:$AW,0)),"")</f>
        <v>9.02</v>
      </c>
      <c r="J82" s="19">
        <f>IFERROR(INDEX([1]DATA!$AH:$AH,MATCH('[1]BC_ ĐG LX'!$C82&amp;'[1]BC_ ĐG LX'!J$3,[1]DATA!$AW:$AW,0)),"")</f>
        <v>7.82</v>
      </c>
      <c r="K82" s="19">
        <f>IFERROR(INDEX([1]DATA!$AH:$AH,MATCH('[1]BC_ ĐG LX'!$C82&amp;'[1]BC_ ĐG LX'!K$3,[1]DATA!$AW:$AW,0)),"")</f>
        <v>9.42</v>
      </c>
      <c r="L82" s="19">
        <f>IFERROR(INDEX([1]DATA!$AH:$AH,MATCH('[1]BC_ ĐG LX'!$C82&amp;'[1]BC_ ĐG LX'!L$3,[1]DATA!$AW:$AW,0)),"")</f>
        <v>7.6400000000000006</v>
      </c>
      <c r="M82" s="19">
        <f>IFERROR(INDEX([1]DATA!$AH:$AH,MATCH('[1]BC_ ĐG LX'!$C82&amp;'[1]BC_ ĐG LX'!M$3,[1]DATA!$AW:$AW,0)),"")</f>
        <v>9.42</v>
      </c>
      <c r="N82" s="19">
        <f>IFERROR(INDEX([1]DATA!$AH:$AH,MATCH('[1]BC_ ĐG LX'!$C82&amp;'[1]BC_ ĐG LX'!N$3,[1]DATA!$AW:$AW,0)),"")</f>
        <v>9.82</v>
      </c>
      <c r="O82" s="19">
        <f>IFERROR(INDEX([1]DATA!$AH:$AH,MATCH('[1]BC_ ĐG LX'!$C82&amp;'[1]BC_ ĐG LX'!O$3,[1]DATA!$AW:$AW,0)),"")</f>
        <v>9.42</v>
      </c>
      <c r="P82" s="19">
        <f>IFERROR(INDEX([1]DATA!$AH:$AH,MATCH('[1]BC_ ĐG LX'!$C82&amp;'[1]BC_ ĐG LX'!P$3,[1]DATA!$AW:$AW,0)),"")</f>
        <v>9.02</v>
      </c>
      <c r="Q82" s="19">
        <f>IFERROR(INDEX([1]DATA!$AH:$AH,MATCH('[1]BC_ ĐG LX'!$C82&amp;'[1]BC_ ĐG LX'!Q$3,[1]DATA!$AW:$AW,0)),"")</f>
        <v>9.42</v>
      </c>
      <c r="R82" s="19">
        <f>IFERROR(INDEX([1]DATA!$AH:$AH,MATCH('[1]BC_ ĐG LX'!$C82&amp;'[1]BC_ ĐG LX'!R$3,[1]DATA!$AW:$AW,0)),"")</f>
        <v>8.84</v>
      </c>
      <c r="S82" s="19">
        <f>IFERROR(INDEX([1]DATA!$AH:$AH,MATCH('[1]BC_ ĐG LX'!$C82&amp;'[1]BC_ ĐG LX'!S$3,[1]DATA!$AW:$AW,0)),"")</f>
        <v>9.82</v>
      </c>
      <c r="T82" s="19">
        <f>IFERROR(INDEX([1]DATA!$AH:$AH,MATCH('[1]BC_ ĐG LX'!$C82&amp;'[1]BC_ ĐG LX'!T$3,[1]DATA!$AW:$AW,0)),"")</f>
        <v>9.82</v>
      </c>
      <c r="U82" s="19">
        <f>IFERROR(INDEX([1]DATA!$AH:$AH,MATCH('[1]BC_ ĐG LX'!$C82&amp;'[1]BC_ ĐG LX'!U$3,[1]DATA!$AW:$AW,0)),"")</f>
        <v>9.82</v>
      </c>
      <c r="V82" s="19">
        <f>IFERROR(INDEX([1]DATA!$AH:$AH,MATCH('[1]BC_ ĐG LX'!$C82&amp;'[1]BC_ ĐG LX'!V$3,[1]DATA!$AW:$AW,0)),"")</f>
        <v>9.42</v>
      </c>
      <c r="W82" s="19">
        <f>IFERROR(INDEX([1]DATA!$AH:$AH,MATCH('[1]BC_ ĐG LX'!$C82&amp;'[1]BC_ ĐG LX'!W$3,[1]DATA!$AW:$AW,0)),"")</f>
        <v>9.2199999999999989</v>
      </c>
      <c r="X82" s="19">
        <f>IFERROR(INDEX([1]DATA!$AH:$AH,MATCH('[1]BC_ ĐG LX'!$C82&amp;'[1]BC_ ĐG LX'!X$3,[1]DATA!$AW:$AW,0)),"")</f>
        <v>9.82</v>
      </c>
      <c r="Y82" s="19">
        <f>IFERROR(INDEX([1]DATA!$AH:$AH,MATCH('[1]BC_ ĐG LX'!$C82&amp;'[1]BC_ ĐG LX'!Y$3,[1]DATA!$AW:$AW,0)),"")</f>
        <v>9.82</v>
      </c>
      <c r="Z82" s="19">
        <f>IFERROR(INDEX([1]DATA!$AH:$AH,MATCH('[1]BC_ ĐG LX'!$C82&amp;'[1]BC_ ĐG LX'!Z$3,[1]DATA!$AW:$AW,0)),"")</f>
        <v>9.82</v>
      </c>
      <c r="AA82" s="19">
        <f>IFERROR(INDEX([1]DATA!$AH:$AH,MATCH('[1]BC_ ĐG LX'!$C82&amp;'[1]BC_ ĐG LX'!AA$3,[1]DATA!$AW:$AW,0)),"")</f>
        <v>9.82</v>
      </c>
      <c r="AB82" s="19">
        <f>IFERROR(INDEX([1]DATA!$AH:$AH,MATCH('[1]BC_ ĐG LX'!$C82&amp;'[1]BC_ ĐG LX'!AB$3,[1]DATA!$AW:$AW,0)),"")</f>
        <v>9.6</v>
      </c>
      <c r="AC82" s="19">
        <f>IFERROR(INDEX([1]DATA!$AH:$AH,MATCH('[1]BC_ ĐG LX'!$C82&amp;'[1]BC_ ĐG LX'!AC$3,[1]DATA!$AW:$AW,0)),"")</f>
        <v>9.82</v>
      </c>
      <c r="AD82" s="19">
        <f>IFERROR(INDEX([1]DATA!$AH:$AH,MATCH('[1]BC_ ĐG LX'!$C82&amp;'[1]BC_ ĐG LX'!AD$3,[1]DATA!$AW:$AW,0)),"")</f>
        <v>8.84</v>
      </c>
      <c r="AE82" s="19">
        <f>IFERROR(INDEX([1]DATA!$AH:$AH,MATCH('[1]BC_ ĐG LX'!$C82&amp;'[1]BC_ ĐG LX'!AE$3,[1]DATA!$AW:$AW,0)),"")</f>
        <v>8.620000000000001</v>
      </c>
      <c r="AF82" s="19" t="str">
        <f>IFERROR(INDEX([1]DATA!$AH:$AH,MATCH('[1]BC_ ĐG LX'!$C82&amp;'[1]BC_ ĐG LX'!AF$3,[1]DATA!$AW:$AW,0)),"")</f>
        <v/>
      </c>
      <c r="AG82" s="19" t="str">
        <f>IFERROR(INDEX([1]DATA!$AH:$AH,MATCH('[1]BC_ ĐG LX'!$C82&amp;'[1]BC_ ĐG LX'!AG$3,[1]DATA!$AW:$AW,0)),"")</f>
        <v/>
      </c>
      <c r="AH82" s="19" t="str">
        <f>IFERROR(INDEX([1]DATA!$AH:$AH,MATCH('[1]BC_ ĐG LX'!$C82&amp;'[1]BC_ ĐG LX'!AH$3,[1]DATA!$AW:$AW,0)),"")</f>
        <v/>
      </c>
      <c r="AI82" s="19" t="str">
        <f>IFERROR(INDEX([1]DATA!$AH:$AH,MATCH('[1]BC_ ĐG LX'!$C82&amp;'[1]BC_ ĐG LX'!AI$3,[1]DATA!$AW:$AW,0)),"")</f>
        <v/>
      </c>
      <c r="AJ82" s="19" t="str">
        <f>IFERROR(INDEX([1]DATA!$AH:$AH,MATCH('[1]BC_ ĐG LX'!$C82&amp;'[1]BC_ ĐG LX'!AJ$3,[1]DATA!$AW:$AW,0)),"")</f>
        <v/>
      </c>
      <c r="AK82" s="26">
        <f t="shared" si="4"/>
        <v>9.4</v>
      </c>
      <c r="AL82" s="21"/>
      <c r="AM82" s="22">
        <f t="shared" si="3"/>
        <v>25</v>
      </c>
      <c r="AN82" s="22" t="str">
        <f>_xlfn.XLOOKUP(B82,[1]DATA!AF:AF,[1]DATA!AX:AX)</f>
        <v>Linh</v>
      </c>
      <c r="AO82"/>
    </row>
    <row r="83" spans="1:41" s="22" customFormat="1" ht="14.25" customHeight="1">
      <c r="A83" s="16">
        <f>SUBTOTAL(3,$D$33:D83)</f>
        <v>51</v>
      </c>
      <c r="B83" s="16" t="str">
        <f>_xlfn.XLOOKUP(C83,[1]DATA!D:D,[1]DATA!AF:AF)</f>
        <v>XE00138</v>
      </c>
      <c r="C83" s="18" t="s">
        <v>103</v>
      </c>
      <c r="D83" s="16" t="s">
        <v>19</v>
      </c>
      <c r="E83" s="18" t="s">
        <v>17</v>
      </c>
      <c r="F83" s="18" t="s">
        <v>18</v>
      </c>
      <c r="G83" s="19">
        <f>IFERROR(INDEX([1]DATA!$AH:$AH,MATCH('[1]BC_ ĐG LX'!$C83&amp;'[1]BC_ ĐG LX'!G$3,[1]DATA!$AW:$AW,0)),"")</f>
        <v>9.42</v>
      </c>
      <c r="H83" s="19">
        <f>IFERROR(INDEX([1]DATA!$AH:$AH,MATCH('[1]BC_ ĐG LX'!$C83&amp;'[1]BC_ ĐG LX'!H$3,[1]DATA!$AW:$AW,0)),"")</f>
        <v>8.44</v>
      </c>
      <c r="I83" s="19">
        <f>IFERROR(INDEX([1]DATA!$AH:$AH,MATCH('[1]BC_ ĐG LX'!$C83&amp;'[1]BC_ ĐG LX'!I$3,[1]DATA!$AW:$AW,0)),"")</f>
        <v>9.82</v>
      </c>
      <c r="J83" s="19">
        <f>IFERROR(INDEX([1]DATA!$AH:$AH,MATCH('[1]BC_ ĐG LX'!$C83&amp;'[1]BC_ ĐG LX'!J$3,[1]DATA!$AW:$AW,0)),"")</f>
        <v>8.2200000000000006</v>
      </c>
      <c r="K83" s="19">
        <f>IFERROR(INDEX([1]DATA!$AH:$AH,MATCH('[1]BC_ ĐG LX'!$C83&amp;'[1]BC_ ĐG LX'!K$3,[1]DATA!$AW:$AW,0)),"")</f>
        <v>9.82</v>
      </c>
      <c r="L83" s="19">
        <f>IFERROR(INDEX([1]DATA!$AH:$AH,MATCH('[1]BC_ ĐG LX'!$C83&amp;'[1]BC_ ĐG LX'!L$3,[1]DATA!$AW:$AW,0)),"")</f>
        <v>9.82</v>
      </c>
      <c r="M83" s="19">
        <f>IFERROR(INDEX([1]DATA!$AH:$AH,MATCH('[1]BC_ ĐG LX'!$C83&amp;'[1]BC_ ĐG LX'!M$3,[1]DATA!$AW:$AW,0)),"")</f>
        <v>9.02</v>
      </c>
      <c r="N83" s="19">
        <f>IFERROR(INDEX([1]DATA!$AH:$AH,MATCH('[1]BC_ ĐG LX'!$C83&amp;'[1]BC_ ĐG LX'!N$3,[1]DATA!$AW:$AW,0)),"")</f>
        <v>9.82</v>
      </c>
      <c r="O83" s="19">
        <f>IFERROR(INDEX([1]DATA!$AH:$AH,MATCH('[1]BC_ ĐG LX'!$C83&amp;'[1]BC_ ĐG LX'!O$3,[1]DATA!$AW:$AW,0)),"")</f>
        <v>9.42</v>
      </c>
      <c r="P83" s="19">
        <f>IFERROR(INDEX([1]DATA!$AH:$AH,MATCH('[1]BC_ ĐG LX'!$C83&amp;'[1]BC_ ĐG LX'!P$3,[1]DATA!$AW:$AW,0)),"")</f>
        <v>9.42</v>
      </c>
      <c r="Q83" s="19">
        <f>IFERROR(INDEX([1]DATA!$AH:$AH,MATCH('[1]BC_ ĐG LX'!$C83&amp;'[1]BC_ ĐG LX'!Q$3,[1]DATA!$AW:$AW,0)),"")</f>
        <v>8.84</v>
      </c>
      <c r="R83" s="19">
        <f>IFERROR(INDEX([1]DATA!$AH:$AH,MATCH('[1]BC_ ĐG LX'!$C83&amp;'[1]BC_ ĐG LX'!R$3,[1]DATA!$AW:$AW,0)),"")</f>
        <v>9.82</v>
      </c>
      <c r="S83" s="19">
        <f>IFERROR(INDEX([1]DATA!$AH:$AH,MATCH('[1]BC_ ĐG LX'!$C83&amp;'[1]BC_ ĐG LX'!S$3,[1]DATA!$AW:$AW,0)),"")</f>
        <v>9.82</v>
      </c>
      <c r="T83" s="19">
        <f>IFERROR(INDEX([1]DATA!$AH:$AH,MATCH('[1]BC_ ĐG LX'!$C83&amp;'[1]BC_ ĐG LX'!T$3,[1]DATA!$AW:$AW,0)),"")</f>
        <v>9.82</v>
      </c>
      <c r="U83" s="19">
        <f>IFERROR(INDEX([1]DATA!$AH:$AH,MATCH('[1]BC_ ĐG LX'!$C83&amp;'[1]BC_ ĐG LX'!U$3,[1]DATA!$AW:$AW,0)),"")</f>
        <v>9.02</v>
      </c>
      <c r="V83" s="19">
        <f>IFERROR(INDEX([1]DATA!$AH:$AH,MATCH('[1]BC_ ĐG LX'!$C83&amp;'[1]BC_ ĐG LX'!V$3,[1]DATA!$AW:$AW,0)),"")</f>
        <v>8.84</v>
      </c>
      <c r="W83" s="19">
        <f>IFERROR(INDEX([1]DATA!$AH:$AH,MATCH('[1]BC_ ĐG LX'!$C83&amp;'[1]BC_ ĐG LX'!W$3,[1]DATA!$AW:$AW,0)),"")</f>
        <v>9.42</v>
      </c>
      <c r="X83" s="19">
        <f>IFERROR(INDEX([1]DATA!$AH:$AH,MATCH('[1]BC_ ĐG LX'!$C83&amp;'[1]BC_ ĐG LX'!X$3,[1]DATA!$AW:$AW,0)),"")</f>
        <v>9.42</v>
      </c>
      <c r="Y83" s="19">
        <f>IFERROR(INDEX([1]DATA!$AH:$AH,MATCH('[1]BC_ ĐG LX'!$C83&amp;'[1]BC_ ĐG LX'!Y$3,[1]DATA!$AW:$AW,0)),"")</f>
        <v>9.82</v>
      </c>
      <c r="Z83" s="19">
        <f>IFERROR(INDEX([1]DATA!$AH:$AH,MATCH('[1]BC_ ĐG LX'!$C83&amp;'[1]BC_ ĐG LX'!Z$3,[1]DATA!$AW:$AW,0)),"")</f>
        <v>9.0399999999999991</v>
      </c>
      <c r="AA83" s="19">
        <f>IFERROR(INDEX([1]DATA!$AH:$AH,MATCH('[1]BC_ ĐG LX'!$C83&amp;'[1]BC_ ĐG LX'!AA$3,[1]DATA!$AW:$AW,0)),"")</f>
        <v>9.82</v>
      </c>
      <c r="AB83" s="19">
        <f>IFERROR(INDEX([1]DATA!$AH:$AH,MATCH('[1]BC_ ĐG LX'!$C83&amp;'[1]BC_ ĐG LX'!AB$3,[1]DATA!$AW:$AW,0)),"")</f>
        <v>9.42</v>
      </c>
      <c r="AC83" s="19">
        <f>IFERROR(INDEX([1]DATA!$AH:$AH,MATCH('[1]BC_ ĐG LX'!$C83&amp;'[1]BC_ ĐG LX'!AC$3,[1]DATA!$AW:$AW,0)),"")</f>
        <v>9.42</v>
      </c>
      <c r="AD83" s="19">
        <f>IFERROR(INDEX([1]DATA!$AH:$AH,MATCH('[1]BC_ ĐG LX'!$C83&amp;'[1]BC_ ĐG LX'!AD$3,[1]DATA!$AW:$AW,0)),"")</f>
        <v>9.02</v>
      </c>
      <c r="AE83" s="19">
        <f>IFERROR(INDEX([1]DATA!$AH:$AH,MATCH('[1]BC_ ĐG LX'!$C83&amp;'[1]BC_ ĐG LX'!AE$3,[1]DATA!$AW:$AW,0)),"")</f>
        <v>9.02</v>
      </c>
      <c r="AF83" s="19" t="str">
        <f>IFERROR(INDEX([1]DATA!$AH:$AH,MATCH('[1]BC_ ĐG LX'!$C83&amp;'[1]BC_ ĐG LX'!AF$3,[1]DATA!$AW:$AW,0)),"")</f>
        <v/>
      </c>
      <c r="AG83" s="19" t="str">
        <f>IFERROR(INDEX([1]DATA!$AH:$AH,MATCH('[1]BC_ ĐG LX'!$C83&amp;'[1]BC_ ĐG LX'!AG$3,[1]DATA!$AW:$AW,0)),"")</f>
        <v/>
      </c>
      <c r="AH83" s="19" t="str">
        <f>IFERROR(INDEX([1]DATA!$AH:$AH,MATCH('[1]BC_ ĐG LX'!$C83&amp;'[1]BC_ ĐG LX'!AH$3,[1]DATA!$AW:$AW,0)),"")</f>
        <v/>
      </c>
      <c r="AI83" s="19" t="str">
        <f>IFERROR(INDEX([1]DATA!$AH:$AH,MATCH('[1]BC_ ĐG LX'!$C83&amp;'[1]BC_ ĐG LX'!AI$3,[1]DATA!$AW:$AW,0)),"")</f>
        <v/>
      </c>
      <c r="AJ83" s="19" t="str">
        <f>IFERROR(INDEX([1]DATA!$AH:$AH,MATCH('[1]BC_ ĐG LX'!$C83&amp;'[1]BC_ ĐG LX'!AJ$3,[1]DATA!$AW:$AW,0)),"")</f>
        <v/>
      </c>
      <c r="AK83" s="26">
        <f t="shared" si="4"/>
        <v>9.4</v>
      </c>
      <c r="AL83" s="21"/>
      <c r="AM83" s="22">
        <f t="shared" si="3"/>
        <v>25</v>
      </c>
      <c r="AN83" s="22" t="str">
        <f>_xlfn.XLOOKUP(B83,[1]DATA!AF:AF,[1]DATA!AX:AX)</f>
        <v>Lương</v>
      </c>
      <c r="AO83"/>
    </row>
    <row r="84" spans="1:41" s="22" customFormat="1" ht="14.25" customHeight="1">
      <c r="A84" s="16">
        <f>SUBTOTAL(3,$D$33:D84)</f>
        <v>52</v>
      </c>
      <c r="B84" s="16" t="str">
        <f>_xlfn.XLOOKUP(C84,[1]DATA!D:D,[1]DATA!AF:AF)</f>
        <v>XE01429</v>
      </c>
      <c r="C84" s="18" t="s">
        <v>104</v>
      </c>
      <c r="D84" s="16" t="s">
        <v>19</v>
      </c>
      <c r="E84" s="18" t="s">
        <v>17</v>
      </c>
      <c r="F84" s="18" t="s">
        <v>18</v>
      </c>
      <c r="G84" s="19">
        <f>IFERROR(INDEX([1]DATA!$AH:$AH,MATCH('[1]BC_ ĐG LX'!$C84&amp;'[1]BC_ ĐG LX'!G$3,[1]DATA!$AW:$AW,0)),"")</f>
        <v>9.42</v>
      </c>
      <c r="H84" s="19">
        <f>IFERROR(INDEX([1]DATA!$AH:$AH,MATCH('[1]BC_ ĐG LX'!$C84&amp;'[1]BC_ ĐG LX'!H$3,[1]DATA!$AW:$AW,0)),"")</f>
        <v>7.82</v>
      </c>
      <c r="I84" s="19">
        <f>IFERROR(INDEX([1]DATA!$AH:$AH,MATCH('[1]BC_ ĐG LX'!$C84&amp;'[1]BC_ ĐG LX'!I$3,[1]DATA!$AW:$AW,0)),"")</f>
        <v>9.82</v>
      </c>
      <c r="J84" s="19">
        <f>IFERROR(INDEX([1]DATA!$AH:$AH,MATCH('[1]BC_ ĐG LX'!$C84&amp;'[1]BC_ ĐG LX'!J$3,[1]DATA!$AW:$AW,0)),"")</f>
        <v>9.82</v>
      </c>
      <c r="K84" s="19">
        <f>IFERROR(INDEX([1]DATA!$AH:$AH,MATCH('[1]BC_ ĐG LX'!$C84&amp;'[1]BC_ ĐG LX'!K$3,[1]DATA!$AW:$AW,0)),"")</f>
        <v>9.82</v>
      </c>
      <c r="L84" s="19">
        <f>IFERROR(INDEX([1]DATA!$AH:$AH,MATCH('[1]BC_ ĐG LX'!$C84&amp;'[1]BC_ ĐG LX'!L$3,[1]DATA!$AW:$AW,0)),"")</f>
        <v>9.82</v>
      </c>
      <c r="M84" s="19">
        <f>IFERROR(INDEX([1]DATA!$AH:$AH,MATCH('[1]BC_ ĐG LX'!$C84&amp;'[1]BC_ ĐG LX'!M$3,[1]DATA!$AW:$AW,0)),"")</f>
        <v>7.82</v>
      </c>
      <c r="N84" s="19">
        <f>IFERROR(INDEX([1]DATA!$AH:$AH,MATCH('[1]BC_ ĐG LX'!$C84&amp;'[1]BC_ ĐG LX'!N$3,[1]DATA!$AW:$AW,0)),"")</f>
        <v>9.6199999999999992</v>
      </c>
      <c r="O84" s="19">
        <f>IFERROR(INDEX([1]DATA!$AH:$AH,MATCH('[1]BC_ ĐG LX'!$C84&amp;'[1]BC_ ĐG LX'!O$3,[1]DATA!$AW:$AW,0)),"")</f>
        <v>9.82</v>
      </c>
      <c r="P84" s="19">
        <f>IFERROR(INDEX([1]DATA!$AH:$AH,MATCH('[1]BC_ ĐG LX'!$C84&amp;'[1]BC_ ĐG LX'!P$3,[1]DATA!$AW:$AW,0)),"")</f>
        <v>9.42</v>
      </c>
      <c r="Q84" s="19">
        <f>IFERROR(INDEX([1]DATA!$AH:$AH,MATCH('[1]BC_ ĐG LX'!$C84&amp;'[1]BC_ ĐG LX'!Q$3,[1]DATA!$AW:$AW,0)),"")</f>
        <v>9.82</v>
      </c>
      <c r="R84" s="19">
        <f>IFERROR(INDEX([1]DATA!$AH:$AH,MATCH('[1]BC_ ĐG LX'!$C84&amp;'[1]BC_ ĐG LX'!R$3,[1]DATA!$AW:$AW,0)),"")</f>
        <v>9.42</v>
      </c>
      <c r="S84" s="19">
        <f>IFERROR(INDEX([1]DATA!$AH:$AH,MATCH('[1]BC_ ĐG LX'!$C84&amp;'[1]BC_ ĐG LX'!S$3,[1]DATA!$AW:$AW,0)),"")</f>
        <v>9.82</v>
      </c>
      <c r="T84" s="19">
        <f>IFERROR(INDEX([1]DATA!$AH:$AH,MATCH('[1]BC_ ĐG LX'!$C84&amp;'[1]BC_ ĐG LX'!T$3,[1]DATA!$AW:$AW,0)),"")</f>
        <v>9.42</v>
      </c>
      <c r="U84" s="19">
        <f>IFERROR(INDEX([1]DATA!$AH:$AH,MATCH('[1]BC_ ĐG LX'!$C84&amp;'[1]BC_ ĐG LX'!U$3,[1]DATA!$AW:$AW,0)),"")</f>
        <v>9.02</v>
      </c>
      <c r="V84" s="19">
        <f>IFERROR(INDEX([1]DATA!$AH:$AH,MATCH('[1]BC_ ĐG LX'!$C84&amp;'[1]BC_ ĐG LX'!V$3,[1]DATA!$AW:$AW,0)),"")</f>
        <v>7.82</v>
      </c>
      <c r="W84" s="19">
        <f>IFERROR(INDEX([1]DATA!$AH:$AH,MATCH('[1]BC_ ĐG LX'!$C84&amp;'[1]BC_ ĐG LX'!W$3,[1]DATA!$AW:$AW,0)),"")</f>
        <v>8.84</v>
      </c>
      <c r="X84" s="19">
        <f>IFERROR(INDEX([1]DATA!$AH:$AH,MATCH('[1]BC_ ĐG LX'!$C84&amp;'[1]BC_ ĐG LX'!X$3,[1]DATA!$AW:$AW,0)),"")</f>
        <v>9.42</v>
      </c>
      <c r="Y84" s="19">
        <f>IFERROR(INDEX([1]DATA!$AH:$AH,MATCH('[1]BC_ ĐG LX'!$C84&amp;'[1]BC_ ĐG LX'!Y$3,[1]DATA!$AW:$AW,0)),"")</f>
        <v>9.02</v>
      </c>
      <c r="Z84" s="19">
        <f>IFERROR(INDEX([1]DATA!$AH:$AH,MATCH('[1]BC_ ĐG LX'!$C84&amp;'[1]BC_ ĐG LX'!Z$3,[1]DATA!$AW:$AW,0)),"")</f>
        <v>9.6199999999999992</v>
      </c>
      <c r="AA84" s="19">
        <f>IFERROR(INDEX([1]DATA!$AH:$AH,MATCH('[1]BC_ ĐG LX'!$C84&amp;'[1]BC_ ĐG LX'!AA$3,[1]DATA!$AW:$AW,0)),"")</f>
        <v>7.6400000000000006</v>
      </c>
      <c r="AB84" s="19">
        <f>IFERROR(INDEX([1]DATA!$AH:$AH,MATCH('[1]BC_ ĐG LX'!$C84&amp;'[1]BC_ ĐG LX'!AB$3,[1]DATA!$AW:$AW,0)),"")</f>
        <v>8.44</v>
      </c>
      <c r="AC84" s="19">
        <f>IFERROR(INDEX([1]DATA!$AH:$AH,MATCH('[1]BC_ ĐG LX'!$C84&amp;'[1]BC_ ĐG LX'!AC$3,[1]DATA!$AW:$AW,0)),"")</f>
        <v>7.82</v>
      </c>
      <c r="AD84" s="19">
        <f>IFERROR(INDEX([1]DATA!$AH:$AH,MATCH('[1]BC_ ĐG LX'!$C84&amp;'[1]BC_ ĐG LX'!AD$3,[1]DATA!$AW:$AW,0)),"")</f>
        <v>9.82</v>
      </c>
      <c r="AE84" s="19">
        <f>IFERROR(INDEX([1]DATA!$AH:$AH,MATCH('[1]BC_ ĐG LX'!$C84&amp;'[1]BC_ ĐG LX'!AE$3,[1]DATA!$AW:$AW,0)),"")</f>
        <v>9.82</v>
      </c>
      <c r="AF84" s="19" t="str">
        <f>IFERROR(INDEX([1]DATA!$AH:$AH,MATCH('[1]BC_ ĐG LX'!$C84&amp;'[1]BC_ ĐG LX'!AF$3,[1]DATA!$AW:$AW,0)),"")</f>
        <v/>
      </c>
      <c r="AG84" s="19" t="str">
        <f>IFERROR(INDEX([1]DATA!$AH:$AH,MATCH('[1]BC_ ĐG LX'!$C84&amp;'[1]BC_ ĐG LX'!AG$3,[1]DATA!$AW:$AW,0)),"")</f>
        <v/>
      </c>
      <c r="AH84" s="19" t="str">
        <f>IFERROR(INDEX([1]DATA!$AH:$AH,MATCH('[1]BC_ ĐG LX'!$C84&amp;'[1]BC_ ĐG LX'!AH$3,[1]DATA!$AW:$AW,0)),"")</f>
        <v/>
      </c>
      <c r="AI84" s="19" t="str">
        <f>IFERROR(INDEX([1]DATA!$AH:$AH,MATCH('[1]BC_ ĐG LX'!$C84&amp;'[1]BC_ ĐG LX'!AI$3,[1]DATA!$AW:$AW,0)),"")</f>
        <v/>
      </c>
      <c r="AJ84" s="19" t="str">
        <f>IFERROR(INDEX([1]DATA!$AH:$AH,MATCH('[1]BC_ ĐG LX'!$C84&amp;'[1]BC_ ĐG LX'!AJ$3,[1]DATA!$AW:$AW,0)),"")</f>
        <v/>
      </c>
      <c r="AK84" s="26">
        <f t="shared" si="4"/>
        <v>9.1999999999999993</v>
      </c>
      <c r="AL84" s="21"/>
      <c r="AM84" s="22">
        <f t="shared" si="3"/>
        <v>25</v>
      </c>
      <c r="AN84" s="22" t="str">
        <f>_xlfn.XLOOKUP(B84,[1]DATA!AF:AF,[1]DATA!AX:AX)</f>
        <v>Linh</v>
      </c>
      <c r="AO84"/>
    </row>
    <row r="85" spans="1:41" s="22" customFormat="1" ht="14.25" customHeight="1">
      <c r="A85" s="16">
        <f>SUBTOTAL(3,$D$33:D85)</f>
        <v>53</v>
      </c>
      <c r="B85" s="16" t="str">
        <f>_xlfn.XLOOKUP(C85,[1]DATA!D:D,[1]DATA!AF:AF)</f>
        <v>XE00600</v>
      </c>
      <c r="C85" s="18" t="s">
        <v>105</v>
      </c>
      <c r="D85" s="16" t="s">
        <v>19</v>
      </c>
      <c r="E85" s="18" t="s">
        <v>17</v>
      </c>
      <c r="F85" s="18" t="s">
        <v>18</v>
      </c>
      <c r="G85" s="19">
        <f>IFERROR(INDEX([1]DATA!$AH:$AH,MATCH('[1]BC_ ĐG LX'!$C85&amp;'[1]BC_ ĐG LX'!G$3,[1]DATA!$AW:$AW,0)),"")</f>
        <v>9.82</v>
      </c>
      <c r="H85" s="19">
        <f>IFERROR(INDEX([1]DATA!$AH:$AH,MATCH('[1]BC_ ĐG LX'!$C85&amp;'[1]BC_ ĐG LX'!H$3,[1]DATA!$AW:$AW,0)),"")</f>
        <v>9.82</v>
      </c>
      <c r="I85" s="19">
        <f>IFERROR(INDEX([1]DATA!$AH:$AH,MATCH('[1]BC_ ĐG LX'!$C85&amp;'[1]BC_ ĐG LX'!I$3,[1]DATA!$AW:$AW,0)),"")</f>
        <v>9.42</v>
      </c>
      <c r="J85" s="19">
        <f>IFERROR(INDEX([1]DATA!$AH:$AH,MATCH('[1]BC_ ĐG LX'!$C85&amp;'[1]BC_ ĐG LX'!J$3,[1]DATA!$AW:$AW,0)),"")</f>
        <v>9.2199999999999989</v>
      </c>
      <c r="K85" s="19">
        <f>IFERROR(INDEX([1]DATA!$AH:$AH,MATCH('[1]BC_ ĐG LX'!$C85&amp;'[1]BC_ ĐG LX'!K$3,[1]DATA!$AW:$AW,0)),"")</f>
        <v>9.82</v>
      </c>
      <c r="L85" s="19">
        <f>IFERROR(INDEX([1]DATA!$AH:$AH,MATCH('[1]BC_ ĐG LX'!$C85&amp;'[1]BC_ ĐG LX'!L$3,[1]DATA!$AW:$AW,0)),"")</f>
        <v>9.6199999999999992</v>
      </c>
      <c r="M85" s="19">
        <f>IFERROR(INDEX([1]DATA!$AH:$AH,MATCH('[1]BC_ ĐG LX'!$C85&amp;'[1]BC_ ĐG LX'!M$3,[1]DATA!$AW:$AW,0)),"")</f>
        <v>9.82</v>
      </c>
      <c r="N85" s="19">
        <f>IFERROR(INDEX([1]DATA!$AH:$AH,MATCH('[1]BC_ ĐG LX'!$C85&amp;'[1]BC_ ĐG LX'!N$3,[1]DATA!$AW:$AW,0)),"")</f>
        <v>8.2200000000000006</v>
      </c>
      <c r="O85" s="19">
        <f>IFERROR(INDEX([1]DATA!$AH:$AH,MATCH('[1]BC_ ĐG LX'!$C85&amp;'[1]BC_ ĐG LX'!O$3,[1]DATA!$AW:$AW,0)),"")</f>
        <v>9.42</v>
      </c>
      <c r="P85" s="19">
        <f>IFERROR(INDEX([1]DATA!$AH:$AH,MATCH('[1]BC_ ĐG LX'!$C85&amp;'[1]BC_ ĐG LX'!P$3,[1]DATA!$AW:$AW,0)),"")</f>
        <v>9.82</v>
      </c>
      <c r="Q85" s="19">
        <f>IFERROR(INDEX([1]DATA!$AH:$AH,MATCH('[1]BC_ ĐG LX'!$C85&amp;'[1]BC_ ĐG LX'!Q$3,[1]DATA!$AW:$AW,0)),"")</f>
        <v>9.82</v>
      </c>
      <c r="R85" s="19">
        <f>IFERROR(INDEX([1]DATA!$AH:$AH,MATCH('[1]BC_ ĐG LX'!$C85&amp;'[1]BC_ ĐG LX'!R$3,[1]DATA!$AW:$AW,0)),"")</f>
        <v>7.82</v>
      </c>
      <c r="S85" s="19">
        <f>IFERROR(INDEX([1]DATA!$AH:$AH,MATCH('[1]BC_ ĐG LX'!$C85&amp;'[1]BC_ ĐG LX'!S$3,[1]DATA!$AW:$AW,0)),"")</f>
        <v>9.64</v>
      </c>
      <c r="T85" s="19">
        <f>IFERROR(INDEX([1]DATA!$AH:$AH,MATCH('[1]BC_ ĐG LX'!$C85&amp;'[1]BC_ ĐG LX'!T$3,[1]DATA!$AW:$AW,0)),"")</f>
        <v>9.82</v>
      </c>
      <c r="U85" s="19">
        <f>IFERROR(INDEX([1]DATA!$AH:$AH,MATCH('[1]BC_ ĐG LX'!$C85&amp;'[1]BC_ ĐG LX'!U$3,[1]DATA!$AW:$AW,0)),"")</f>
        <v>9.82</v>
      </c>
      <c r="V85" s="19">
        <f>IFERROR(INDEX([1]DATA!$AH:$AH,MATCH('[1]BC_ ĐG LX'!$C85&amp;'[1]BC_ ĐG LX'!V$3,[1]DATA!$AW:$AW,0)),"")</f>
        <v>9.82</v>
      </c>
      <c r="W85" s="19">
        <f>IFERROR(INDEX([1]DATA!$AH:$AH,MATCH('[1]BC_ ĐG LX'!$C85&amp;'[1]BC_ ĐG LX'!W$3,[1]DATA!$AW:$AW,0)),"")</f>
        <v>9.42</v>
      </c>
      <c r="X85" s="19">
        <f>IFERROR(INDEX([1]DATA!$AH:$AH,MATCH('[1]BC_ ĐG LX'!$C85&amp;'[1]BC_ ĐG LX'!X$3,[1]DATA!$AW:$AW,0)),"")</f>
        <v>7.6400000000000006</v>
      </c>
      <c r="Y85" s="19">
        <f>IFERROR(INDEX([1]DATA!$AH:$AH,MATCH('[1]BC_ ĐG LX'!$C85&amp;'[1]BC_ ĐG LX'!Y$3,[1]DATA!$AW:$AW,0)),"")</f>
        <v>9.82</v>
      </c>
      <c r="Z85" s="19">
        <f>IFERROR(INDEX([1]DATA!$AH:$AH,MATCH('[1]BC_ ĐG LX'!$C85&amp;'[1]BC_ ĐG LX'!Z$3,[1]DATA!$AW:$AW,0)),"")</f>
        <v>9.82</v>
      </c>
      <c r="AA85" s="19">
        <f>IFERROR(INDEX([1]DATA!$AH:$AH,MATCH('[1]BC_ ĐG LX'!$C85&amp;'[1]BC_ ĐG LX'!AA$3,[1]DATA!$AW:$AW,0)),"")</f>
        <v>9.82</v>
      </c>
      <c r="AB85" s="19">
        <f>IFERROR(INDEX([1]DATA!$AH:$AH,MATCH('[1]BC_ ĐG LX'!$C85&amp;'[1]BC_ ĐG LX'!AB$3,[1]DATA!$AW:$AW,0)),"")</f>
        <v>9.82</v>
      </c>
      <c r="AC85" s="19">
        <f>IFERROR(INDEX([1]DATA!$AH:$AH,MATCH('[1]BC_ ĐG LX'!$C85&amp;'[1]BC_ ĐG LX'!AC$3,[1]DATA!$AW:$AW,0)),"")</f>
        <v>9.42</v>
      </c>
      <c r="AD85" s="19">
        <f>IFERROR(INDEX([1]DATA!$AH:$AH,MATCH('[1]BC_ ĐG LX'!$C85&amp;'[1]BC_ ĐG LX'!AD$3,[1]DATA!$AW:$AW,0)),"")</f>
        <v>9.64</v>
      </c>
      <c r="AE85" s="19">
        <f>IFERROR(INDEX([1]DATA!$AH:$AH,MATCH('[1]BC_ ĐG LX'!$C85&amp;'[1]BC_ ĐG LX'!AE$3,[1]DATA!$AW:$AW,0)),"")</f>
        <v>9.42</v>
      </c>
      <c r="AF85" s="19" t="str">
        <f>IFERROR(INDEX([1]DATA!$AH:$AH,MATCH('[1]BC_ ĐG LX'!$C85&amp;'[1]BC_ ĐG LX'!AF$3,[1]DATA!$AW:$AW,0)),"")</f>
        <v/>
      </c>
      <c r="AG85" s="19" t="str">
        <f>IFERROR(INDEX([1]DATA!$AH:$AH,MATCH('[1]BC_ ĐG LX'!$C85&amp;'[1]BC_ ĐG LX'!AG$3,[1]DATA!$AW:$AW,0)),"")</f>
        <v/>
      </c>
      <c r="AH85" s="19" t="str">
        <f>IFERROR(INDEX([1]DATA!$AH:$AH,MATCH('[1]BC_ ĐG LX'!$C85&amp;'[1]BC_ ĐG LX'!AH$3,[1]DATA!$AW:$AW,0)),"")</f>
        <v/>
      </c>
      <c r="AI85" s="19" t="str">
        <f>IFERROR(INDEX([1]DATA!$AH:$AH,MATCH('[1]BC_ ĐG LX'!$C85&amp;'[1]BC_ ĐG LX'!AI$3,[1]DATA!$AW:$AW,0)),"")</f>
        <v/>
      </c>
      <c r="AJ85" s="19" t="str">
        <f>IFERROR(INDEX([1]DATA!$AH:$AH,MATCH('[1]BC_ ĐG LX'!$C85&amp;'[1]BC_ ĐG LX'!AJ$3,[1]DATA!$AW:$AW,0)),"")</f>
        <v/>
      </c>
      <c r="AK85" s="26">
        <f t="shared" si="4"/>
        <v>9.5</v>
      </c>
      <c r="AL85" s="21"/>
      <c r="AM85" s="22">
        <f t="shared" si="3"/>
        <v>25</v>
      </c>
      <c r="AN85" s="22" t="str">
        <f>_xlfn.XLOOKUP(B85,[1]DATA!AF:AF,[1]DATA!AX:AX)</f>
        <v>Lương</v>
      </c>
      <c r="AO85"/>
    </row>
    <row r="86" spans="1:41" s="22" customFormat="1" ht="14.25" customHeight="1">
      <c r="A86" s="16">
        <f>SUBTOTAL(3,$D$33:D86)</f>
        <v>54</v>
      </c>
      <c r="B86" s="16" t="str">
        <f>_xlfn.XLOOKUP(C86,[1]DATA!D:D,[1]DATA!AF:AF)</f>
        <v>XE01570</v>
      </c>
      <c r="C86" s="18" t="s">
        <v>106</v>
      </c>
      <c r="D86" s="16" t="s">
        <v>19</v>
      </c>
      <c r="E86" s="18" t="s">
        <v>17</v>
      </c>
      <c r="F86" s="18" t="s">
        <v>18</v>
      </c>
      <c r="G86" s="19">
        <f>IFERROR(INDEX([1]DATA!$AH:$AH,MATCH('[1]BC_ ĐG LX'!$C86&amp;'[1]BC_ ĐG LX'!G$3,[1]DATA!$AW:$AW,0)),"")</f>
        <v>9.42</v>
      </c>
      <c r="H86" s="19">
        <f>IFERROR(INDEX([1]DATA!$AH:$AH,MATCH('[1]BC_ ĐG LX'!$C86&amp;'[1]BC_ ĐG LX'!H$3,[1]DATA!$AW:$AW,0)),"")</f>
        <v>9.02</v>
      </c>
      <c r="I86" s="19">
        <f>IFERROR(INDEX([1]DATA!$AH:$AH,MATCH('[1]BC_ ĐG LX'!$C86&amp;'[1]BC_ ĐG LX'!I$3,[1]DATA!$AW:$AW,0)),"")</f>
        <v>10</v>
      </c>
      <c r="J86" s="19">
        <f>IFERROR(INDEX([1]DATA!$AH:$AH,MATCH('[1]BC_ ĐG LX'!$C86&amp;'[1]BC_ ĐG LX'!J$3,[1]DATA!$AW:$AW,0)),"")</f>
        <v>10</v>
      </c>
      <c r="K86" s="19">
        <f>IFERROR(INDEX([1]DATA!$AH:$AH,MATCH('[1]BC_ ĐG LX'!$C86&amp;'[1]BC_ ĐG LX'!K$3,[1]DATA!$AW:$AW,0)),"")</f>
        <v>8.44</v>
      </c>
      <c r="L86" s="19">
        <f>IFERROR(INDEX([1]DATA!$AH:$AH,MATCH('[1]BC_ ĐG LX'!$C86&amp;'[1]BC_ ĐG LX'!L$3,[1]DATA!$AW:$AW,0)),"")</f>
        <v>9.82</v>
      </c>
      <c r="M86" s="19">
        <f>IFERROR(INDEX([1]DATA!$AH:$AH,MATCH('[1]BC_ ĐG LX'!$C86&amp;'[1]BC_ ĐG LX'!M$3,[1]DATA!$AW:$AW,0)),"")</f>
        <v>9.82</v>
      </c>
      <c r="N86" s="19">
        <f>IFERROR(INDEX([1]DATA!$AH:$AH,MATCH('[1]BC_ ĐG LX'!$C86&amp;'[1]BC_ ĐG LX'!N$3,[1]DATA!$AW:$AW,0)),"")</f>
        <v>9.82</v>
      </c>
      <c r="O86" s="19">
        <f>IFERROR(INDEX([1]DATA!$AH:$AH,MATCH('[1]BC_ ĐG LX'!$C86&amp;'[1]BC_ ĐG LX'!O$3,[1]DATA!$AW:$AW,0)),"")</f>
        <v>9.82</v>
      </c>
      <c r="P86" s="19">
        <f>IFERROR(INDEX([1]DATA!$AH:$AH,MATCH('[1]BC_ ĐG LX'!$C86&amp;'[1]BC_ ĐG LX'!P$3,[1]DATA!$AW:$AW,0)),"")</f>
        <v>9.82</v>
      </c>
      <c r="Q86" s="19">
        <f>IFERROR(INDEX([1]DATA!$AH:$AH,MATCH('[1]BC_ ĐG LX'!$C86&amp;'[1]BC_ ĐG LX'!Q$3,[1]DATA!$AW:$AW,0)),"")</f>
        <v>9.42</v>
      </c>
      <c r="R86" s="19">
        <f>IFERROR(INDEX([1]DATA!$AH:$AH,MATCH('[1]BC_ ĐG LX'!$C86&amp;'[1]BC_ ĐG LX'!R$3,[1]DATA!$AW:$AW,0)),"")</f>
        <v>9.82</v>
      </c>
      <c r="S86" s="19">
        <f>IFERROR(INDEX([1]DATA!$AH:$AH,MATCH('[1]BC_ ĐG LX'!$C86&amp;'[1]BC_ ĐG LX'!S$3,[1]DATA!$AW:$AW,0)),"")</f>
        <v>9.82</v>
      </c>
      <c r="T86" s="19">
        <f>IFERROR(INDEX([1]DATA!$AH:$AH,MATCH('[1]BC_ ĐG LX'!$C86&amp;'[1]BC_ ĐG LX'!T$3,[1]DATA!$AW:$AW,0)),"")</f>
        <v>9.82</v>
      </c>
      <c r="U86" s="19">
        <f>IFERROR(INDEX([1]DATA!$AH:$AH,MATCH('[1]BC_ ĐG LX'!$C86&amp;'[1]BC_ ĐG LX'!U$3,[1]DATA!$AW:$AW,0)),"")</f>
        <v>9.82</v>
      </c>
      <c r="V86" s="19">
        <f>IFERROR(INDEX([1]DATA!$AH:$AH,MATCH('[1]BC_ ĐG LX'!$C86&amp;'[1]BC_ ĐG LX'!V$3,[1]DATA!$AW:$AW,0)),"")</f>
        <v>9.42</v>
      </c>
      <c r="W86" s="19">
        <f>IFERROR(INDEX([1]DATA!$AH:$AH,MATCH('[1]BC_ ĐG LX'!$C86&amp;'[1]BC_ ĐG LX'!W$3,[1]DATA!$AW:$AW,0)),"")</f>
        <v>9.82</v>
      </c>
      <c r="X86" s="19">
        <f>IFERROR(INDEX([1]DATA!$AH:$AH,MATCH('[1]BC_ ĐG LX'!$C86&amp;'[1]BC_ ĐG LX'!X$3,[1]DATA!$AW:$AW,0)),"")</f>
        <v>9.82</v>
      </c>
      <c r="Y86" s="19">
        <f>IFERROR(INDEX([1]DATA!$AH:$AH,MATCH('[1]BC_ ĐG LX'!$C86&amp;'[1]BC_ ĐG LX'!Y$3,[1]DATA!$AW:$AW,0)),"")</f>
        <v>9.82</v>
      </c>
      <c r="Z86" s="19">
        <f>IFERROR(INDEX([1]DATA!$AH:$AH,MATCH('[1]BC_ ĐG LX'!$C86&amp;'[1]BC_ ĐG LX'!Z$3,[1]DATA!$AW:$AW,0)),"")</f>
        <v>9.42</v>
      </c>
      <c r="AA86" s="19">
        <f>IFERROR(INDEX([1]DATA!$AH:$AH,MATCH('[1]BC_ ĐG LX'!$C86&amp;'[1]BC_ ĐG LX'!AA$3,[1]DATA!$AW:$AW,0)),"")</f>
        <v>9.82</v>
      </c>
      <c r="AB86" s="19">
        <f>IFERROR(INDEX([1]DATA!$AH:$AH,MATCH('[1]BC_ ĐG LX'!$C86&amp;'[1]BC_ ĐG LX'!AB$3,[1]DATA!$AW:$AW,0)),"")</f>
        <v>9.82</v>
      </c>
      <c r="AC86" s="19">
        <f>IFERROR(INDEX([1]DATA!$AH:$AH,MATCH('[1]BC_ ĐG LX'!$C86&amp;'[1]BC_ ĐG LX'!AC$3,[1]DATA!$AW:$AW,0)),"")</f>
        <v>9.82</v>
      </c>
      <c r="AD86" s="19">
        <f>IFERROR(INDEX([1]DATA!$AH:$AH,MATCH('[1]BC_ ĐG LX'!$C86&amp;'[1]BC_ ĐG LX'!AD$3,[1]DATA!$AW:$AW,0)),"")</f>
        <v>8.44</v>
      </c>
      <c r="AE86" s="19">
        <f>IFERROR(INDEX([1]DATA!$AH:$AH,MATCH('[1]BC_ ĐG LX'!$C86&amp;'[1]BC_ ĐG LX'!AE$3,[1]DATA!$AW:$AW,0)),"")</f>
        <v>9.6199999999999992</v>
      </c>
      <c r="AF86" s="19" t="str">
        <f>IFERROR(INDEX([1]DATA!$AH:$AH,MATCH('[1]BC_ ĐG LX'!$C86&amp;'[1]BC_ ĐG LX'!AF$3,[1]DATA!$AW:$AW,0)),"")</f>
        <v/>
      </c>
      <c r="AG86" s="19" t="str">
        <f>IFERROR(INDEX([1]DATA!$AH:$AH,MATCH('[1]BC_ ĐG LX'!$C86&amp;'[1]BC_ ĐG LX'!AG$3,[1]DATA!$AW:$AW,0)),"")</f>
        <v/>
      </c>
      <c r="AH86" s="19" t="str">
        <f>IFERROR(INDEX([1]DATA!$AH:$AH,MATCH('[1]BC_ ĐG LX'!$C86&amp;'[1]BC_ ĐG LX'!AH$3,[1]DATA!$AW:$AW,0)),"")</f>
        <v/>
      </c>
      <c r="AI86" s="19" t="str">
        <f>IFERROR(INDEX([1]DATA!$AH:$AH,MATCH('[1]BC_ ĐG LX'!$C86&amp;'[1]BC_ ĐG LX'!AI$3,[1]DATA!$AW:$AW,0)),"")</f>
        <v/>
      </c>
      <c r="AJ86" s="19" t="str">
        <f>IFERROR(INDEX([1]DATA!$AH:$AH,MATCH('[1]BC_ ĐG LX'!$C86&amp;'[1]BC_ ĐG LX'!AJ$3,[1]DATA!$AW:$AW,0)),"")</f>
        <v/>
      </c>
      <c r="AK86" s="26">
        <f t="shared" si="4"/>
        <v>9.6999999999999993</v>
      </c>
      <c r="AL86" s="21"/>
      <c r="AM86" s="22">
        <f t="shared" si="3"/>
        <v>25</v>
      </c>
      <c r="AN86" s="22" t="str">
        <f>_xlfn.XLOOKUP(B86,[1]DATA!AF:AF,[1]DATA!AX:AX)</f>
        <v>Hằng</v>
      </c>
      <c r="AO86"/>
    </row>
    <row r="87" spans="1:41" s="22" customFormat="1" ht="14.25" customHeight="1">
      <c r="A87" s="16">
        <v>55</v>
      </c>
      <c r="B87" s="16" t="str">
        <f>_xlfn.XLOOKUP(C87,[1]DATA!D:D,[1]DATA!AF:AF)</f>
        <v>XE01688</v>
      </c>
      <c r="C87" s="18" t="s">
        <v>107</v>
      </c>
      <c r="D87" s="16" t="s">
        <v>19</v>
      </c>
      <c r="E87" s="18" t="s">
        <v>17</v>
      </c>
      <c r="F87" s="18" t="s">
        <v>108</v>
      </c>
      <c r="G87" s="19">
        <f>IFERROR(INDEX([1]DATA!$AH:$AH,MATCH('[1]BC_ ĐG LX'!$C87&amp;'[1]BC_ ĐG LX'!G$3,[1]DATA!$AW:$AW,0)),"")</f>
        <v>9.02</v>
      </c>
      <c r="H87" s="19">
        <f>IFERROR(INDEX([1]DATA!$AH:$AH,MATCH('[1]BC_ ĐG LX'!$C87&amp;'[1]BC_ ĐG LX'!H$3,[1]DATA!$AW:$AW,0)),"")</f>
        <v>9.1999999999999993</v>
      </c>
      <c r="I87" s="19">
        <f>IFERROR(INDEX([1]DATA!$AH:$AH,MATCH('[1]BC_ ĐG LX'!$C87&amp;'[1]BC_ ĐG LX'!I$3,[1]DATA!$AW:$AW,0)),"")</f>
        <v>10</v>
      </c>
      <c r="J87" s="19">
        <f>IFERROR(INDEX([1]DATA!$AH:$AH,MATCH('[1]BC_ ĐG LX'!$C87&amp;'[1]BC_ ĐG LX'!J$3,[1]DATA!$AW:$AW,0)),"")</f>
        <v>10</v>
      </c>
      <c r="K87" s="19">
        <f>IFERROR(INDEX([1]DATA!$AH:$AH,MATCH('[1]BC_ ĐG LX'!$C87&amp;'[1]BC_ ĐG LX'!K$3,[1]DATA!$AW:$AW,0)),"")</f>
        <v>8.6199999999999992</v>
      </c>
      <c r="L87" s="33">
        <f>IFERROR(INDEX([1]DATA!$AH:$AH,MATCH('[1]BC_ ĐG LX'!$C87&amp;'[1]BC_ ĐG LX'!L$3,[1]DATA!$AW:$AW,0)),"")</f>
        <v>9.82</v>
      </c>
      <c r="M87" s="33">
        <f>IFERROR(INDEX([1]DATA!$AH:$AH,MATCH('[1]BC_ ĐG LX'!$C87&amp;'[1]BC_ ĐG LX'!M$3,[1]DATA!$AW:$AW,0)),"")</f>
        <v>9.02</v>
      </c>
      <c r="N87" s="33">
        <f>IFERROR(INDEX([1]DATA!$AH:$AH,MATCH('[1]BC_ ĐG LX'!$C87&amp;'[1]BC_ ĐG LX'!N$3,[1]DATA!$AW:$AW,0)),"")</f>
        <v>9.24</v>
      </c>
      <c r="O87" s="33">
        <f>IFERROR(INDEX([1]DATA!$AH:$AH,MATCH('[1]BC_ ĐG LX'!$C87&amp;'[1]BC_ ĐG LX'!O$3,[1]DATA!$AW:$AW,0)),"")</f>
        <v>9.82</v>
      </c>
      <c r="P87" s="33">
        <f>IFERROR(INDEX([1]DATA!$AH:$AH,MATCH('[1]BC_ ĐG LX'!$C87&amp;'[1]BC_ ĐG LX'!P$3,[1]DATA!$AW:$AW,0)),"")</f>
        <v>9.42</v>
      </c>
      <c r="Q87" s="33">
        <f>IFERROR(INDEX([1]DATA!$AH:$AH,MATCH('[1]BC_ ĐG LX'!$C87&amp;'[1]BC_ ĐG LX'!Q$3,[1]DATA!$AW:$AW,0)),"")</f>
        <v>8.44</v>
      </c>
      <c r="R87" s="33">
        <f>IFERROR(INDEX([1]DATA!$AH:$AH,MATCH('[1]BC_ ĐG LX'!$C87&amp;'[1]BC_ ĐG LX'!R$3,[1]DATA!$AW:$AW,0)),"")</f>
        <v>9.82</v>
      </c>
      <c r="S87" s="33">
        <f>IFERROR(INDEX([1]DATA!$AH:$AH,MATCH('[1]BC_ ĐG LX'!$C87&amp;'[1]BC_ ĐG LX'!S$3,[1]DATA!$AW:$AW,0)),"")</f>
        <v>9.82</v>
      </c>
      <c r="T87" s="33">
        <f>IFERROR(INDEX([1]DATA!$AH:$AH,MATCH('[1]BC_ ĐG LX'!$C87&amp;'[1]BC_ ĐG LX'!T$3,[1]DATA!$AW:$AW,0)),"")</f>
        <v>7.6400000000000006</v>
      </c>
      <c r="U87" s="33">
        <f>IFERROR(INDEX([1]DATA!$AH:$AH,MATCH('[1]BC_ ĐG LX'!$C87&amp;'[1]BC_ ĐG LX'!U$3,[1]DATA!$AW:$AW,0)),"")</f>
        <v>8.6199999999999992</v>
      </c>
      <c r="V87" s="33">
        <f>IFERROR(INDEX([1]DATA!$AH:$AH,MATCH('[1]BC_ ĐG LX'!$C87&amp;'[1]BC_ ĐG LX'!V$3,[1]DATA!$AW:$AW,0)),"")</f>
        <v>9.42</v>
      </c>
      <c r="W87" s="33">
        <f>IFERROR(INDEX([1]DATA!$AH:$AH,MATCH('[1]BC_ ĐG LX'!$C87&amp;'[1]BC_ ĐG LX'!W$3,[1]DATA!$AW:$AW,0)),"")</f>
        <v>8.84</v>
      </c>
      <c r="X87" s="33">
        <f>IFERROR(INDEX([1]DATA!$AH:$AH,MATCH('[1]BC_ ĐG LX'!$C87&amp;'[1]BC_ ĐG LX'!X$3,[1]DATA!$AW:$AW,0)),"")</f>
        <v>9.42</v>
      </c>
      <c r="Y87" s="33">
        <f>IFERROR(INDEX([1]DATA!$AH:$AH,MATCH('[1]BC_ ĐG LX'!$C87&amp;'[1]BC_ ĐG LX'!Y$3,[1]DATA!$AW:$AW,0)),"")</f>
        <v>9.02</v>
      </c>
      <c r="Z87" s="33">
        <f>IFERROR(INDEX([1]DATA!$AH:$AH,MATCH('[1]BC_ ĐG LX'!$C87&amp;'[1]BC_ ĐG LX'!Z$3,[1]DATA!$AW:$AW,0)),"")</f>
        <v>9.24</v>
      </c>
      <c r="AA87" s="33">
        <f>IFERROR(INDEX([1]DATA!$AH:$AH,MATCH('[1]BC_ ĐG LX'!$C87&amp;'[1]BC_ ĐG LX'!AA$3,[1]DATA!$AW:$AW,0)),"")</f>
        <v>9.82</v>
      </c>
      <c r="AB87" s="33">
        <f>IFERROR(INDEX([1]DATA!$AH:$AH,MATCH('[1]BC_ ĐG LX'!$C87&amp;'[1]BC_ ĐG LX'!AB$3,[1]DATA!$AW:$AW,0)),"")</f>
        <v>9.82</v>
      </c>
      <c r="AC87" s="33">
        <f>IFERROR(INDEX([1]DATA!$AH:$AH,MATCH('[1]BC_ ĐG LX'!$C87&amp;'[1]BC_ ĐG LX'!AC$3,[1]DATA!$AW:$AW,0)),"")</f>
        <v>9.2199999999999989</v>
      </c>
      <c r="AD87" s="19"/>
      <c r="AE87" s="19"/>
      <c r="AF87" s="19"/>
      <c r="AG87" s="19"/>
      <c r="AH87" s="19"/>
      <c r="AI87" s="19"/>
      <c r="AJ87" s="19"/>
      <c r="AK87" s="26">
        <f t="shared" si="4"/>
        <v>9.2999999999999989</v>
      </c>
      <c r="AL87" s="21" t="s">
        <v>109</v>
      </c>
      <c r="AM87" s="22">
        <f t="shared" si="3"/>
        <v>23</v>
      </c>
      <c r="AN87" s="22" t="str">
        <f>_xlfn.XLOOKUP(B87,[1]DATA!AF:AF,[1]DATA!AX:AX)</f>
        <v>Hằng</v>
      </c>
      <c r="AO87"/>
    </row>
    <row r="88" spans="1:41" s="22" customFormat="1" ht="14.25" customHeight="1">
      <c r="A88" s="16">
        <v>56</v>
      </c>
      <c r="B88" s="16" t="str">
        <f>_xlfn.XLOOKUP(C88,[1]DATA!D:D,[1]DATA!AF:AF)</f>
        <v>XE01699</v>
      </c>
      <c r="C88" s="18" t="s">
        <v>110</v>
      </c>
      <c r="D88" s="16" t="s">
        <v>19</v>
      </c>
      <c r="E88" s="18" t="s">
        <v>17</v>
      </c>
      <c r="F88" s="18" t="s">
        <v>108</v>
      </c>
      <c r="G88" s="19">
        <f>IFERROR(INDEX([1]DATA!$AH:$AH,MATCH('[1]BC_ ĐG LX'!$C88&amp;'[1]BC_ ĐG LX'!G$3,[1]DATA!$AW:$AW,0)),"")</f>
        <v>10</v>
      </c>
      <c r="H88" s="19">
        <f>IFERROR(INDEX([1]DATA!$AH:$AH,MATCH('[1]BC_ ĐG LX'!$C88&amp;'[1]BC_ ĐG LX'!H$3,[1]DATA!$AW:$AW,0)),"")</f>
        <v>9.42</v>
      </c>
      <c r="I88" s="19">
        <f>IFERROR(INDEX([1]DATA!$AH:$AH,MATCH('[1]BC_ ĐG LX'!$C88&amp;'[1]BC_ ĐG LX'!I$3,[1]DATA!$AW:$AW,0)),"")</f>
        <v>9.42</v>
      </c>
      <c r="J88" s="19">
        <f>IFERROR(INDEX([1]DATA!$AH:$AH,MATCH('[1]BC_ ĐG LX'!$C88&amp;'[1]BC_ ĐG LX'!J$3,[1]DATA!$AW:$AW,0)),"")</f>
        <v>9.42</v>
      </c>
      <c r="K88" s="19">
        <f>IFERROR(INDEX([1]DATA!$AH:$AH,MATCH('[1]BC_ ĐG LX'!$C88&amp;'[1]BC_ ĐG LX'!K$3,[1]DATA!$AW:$AW,0)),"")</f>
        <v>10</v>
      </c>
      <c r="L88" s="33">
        <f>IFERROR(INDEX([1]DATA!$AH:$AH,MATCH('[1]BC_ ĐG LX'!$C88&amp;'[1]BC_ ĐG LX'!L$3,[1]DATA!$AW:$AW,0)),"")</f>
        <v>9.82</v>
      </c>
      <c r="M88" s="33">
        <f>IFERROR(INDEX([1]DATA!$AH:$AH,MATCH('[1]BC_ ĐG LX'!$C88&amp;'[1]BC_ ĐG LX'!M$3,[1]DATA!$AW:$AW,0)),"")</f>
        <v>9.42</v>
      </c>
      <c r="N88" s="33">
        <f>IFERROR(INDEX([1]DATA!$AH:$AH,MATCH('[1]BC_ ĐG LX'!$C88&amp;'[1]BC_ ĐG LX'!N$3,[1]DATA!$AW:$AW,0)),"")</f>
        <v>8.44</v>
      </c>
      <c r="O88" s="33">
        <f>IFERROR(INDEX([1]DATA!$AH:$AH,MATCH('[1]BC_ ĐG LX'!$C88&amp;'[1]BC_ ĐG LX'!O$3,[1]DATA!$AW:$AW,0)),"")</f>
        <v>8.44</v>
      </c>
      <c r="P88" s="33">
        <f>IFERROR(INDEX([1]DATA!$AH:$AH,MATCH('[1]BC_ ĐG LX'!$C88&amp;'[1]BC_ ĐG LX'!P$3,[1]DATA!$AW:$AW,0)),"")</f>
        <v>9.02</v>
      </c>
      <c r="Q88" s="33">
        <f>IFERROR(INDEX([1]DATA!$AH:$AH,MATCH('[1]BC_ ĐG LX'!$C88&amp;'[1]BC_ ĐG LX'!Q$3,[1]DATA!$AW:$AW,0)),"")</f>
        <v>9.82</v>
      </c>
      <c r="R88" s="33">
        <f>IFERROR(INDEX([1]DATA!$AH:$AH,MATCH('[1]BC_ ĐG LX'!$C88&amp;'[1]BC_ ĐG LX'!R$3,[1]DATA!$AW:$AW,0)),"")</f>
        <v>7.82</v>
      </c>
      <c r="S88" s="33">
        <f>IFERROR(INDEX([1]DATA!$AH:$AH,MATCH('[1]BC_ ĐG LX'!$C88&amp;'[1]BC_ ĐG LX'!S$3,[1]DATA!$AW:$AW,0)),"")</f>
        <v>9.82</v>
      </c>
      <c r="T88" s="33">
        <f>IFERROR(INDEX([1]DATA!$AH:$AH,MATCH('[1]BC_ ĐG LX'!$C88&amp;'[1]BC_ ĐG LX'!T$3,[1]DATA!$AW:$AW,0)),"")</f>
        <v>9.82</v>
      </c>
      <c r="U88" s="33">
        <f>IFERROR(INDEX([1]DATA!$AH:$AH,MATCH('[1]BC_ ĐG LX'!$C88&amp;'[1]BC_ ĐG LX'!U$3,[1]DATA!$AW:$AW,0)),"")</f>
        <v>9.42</v>
      </c>
      <c r="V88" s="33">
        <f>IFERROR(INDEX([1]DATA!$AH:$AH,MATCH('[1]BC_ ĐG LX'!$C88&amp;'[1]BC_ ĐG LX'!V$3,[1]DATA!$AW:$AW,0)),"")</f>
        <v>9.24</v>
      </c>
      <c r="W88" s="33">
        <f>IFERROR(INDEX([1]DATA!$AH:$AH,MATCH('[1]BC_ ĐG LX'!$C88&amp;'[1]BC_ ĐG LX'!W$3,[1]DATA!$AW:$AW,0)),"")</f>
        <v>9.42</v>
      </c>
      <c r="X88" s="33">
        <f>IFERROR(INDEX([1]DATA!$AH:$AH,MATCH('[1]BC_ ĐG LX'!$C88&amp;'[1]BC_ ĐG LX'!X$3,[1]DATA!$AW:$AW,0)),"")</f>
        <v>9.42</v>
      </c>
      <c r="Y88" s="33">
        <f>IFERROR(INDEX([1]DATA!$AH:$AH,MATCH('[1]BC_ ĐG LX'!$C88&amp;'[1]BC_ ĐG LX'!Y$3,[1]DATA!$AW:$AW,0)),"")</f>
        <v>9.2199999999999989</v>
      </c>
      <c r="Z88" s="33">
        <f>IFERROR(INDEX([1]DATA!$AH:$AH,MATCH('[1]BC_ ĐG LX'!$C88&amp;'[1]BC_ ĐG LX'!Z$3,[1]DATA!$AW:$AW,0)),"")</f>
        <v>9.82</v>
      </c>
      <c r="AA88" s="33">
        <f>IFERROR(INDEX([1]DATA!$AH:$AH,MATCH('[1]BC_ ĐG LX'!$C88&amp;'[1]BC_ ĐG LX'!AA$3,[1]DATA!$AW:$AW,0)),"")</f>
        <v>9.42</v>
      </c>
      <c r="AB88" s="33">
        <f>IFERROR(INDEX([1]DATA!$AH:$AH,MATCH('[1]BC_ ĐG LX'!$C88&amp;'[1]BC_ ĐG LX'!AB$3,[1]DATA!$AW:$AW,0)),"")</f>
        <v>9.82</v>
      </c>
      <c r="AC88" s="33">
        <f>IFERROR(INDEX([1]DATA!$AH:$AH,MATCH('[1]BC_ ĐG LX'!$C88&amp;'[1]BC_ ĐG LX'!AC$3,[1]DATA!$AW:$AW,0)),"")</f>
        <v>9.02</v>
      </c>
      <c r="AD88" s="19"/>
      <c r="AE88" s="19"/>
      <c r="AF88" s="19"/>
      <c r="AG88" s="19"/>
      <c r="AH88" s="19"/>
      <c r="AI88" s="19"/>
      <c r="AJ88" s="19"/>
      <c r="AK88" s="26">
        <f t="shared" si="4"/>
        <v>9.4</v>
      </c>
      <c r="AL88" s="21" t="s">
        <v>111</v>
      </c>
      <c r="AM88" s="22">
        <f t="shared" si="3"/>
        <v>23</v>
      </c>
      <c r="AN88" s="22" t="str">
        <f>_xlfn.XLOOKUP(B88,[1]DATA!AF:AF,[1]DATA!AX:AX)</f>
        <v>Hằng</v>
      </c>
      <c r="AO88"/>
    </row>
    <row r="89" spans="1:41" s="22" customFormat="1" ht="14.25" customHeight="1">
      <c r="A89" s="16">
        <v>57</v>
      </c>
      <c r="B89" s="16" t="str">
        <f>_xlfn.XLOOKUP(C89,[1]DATA!D:D,[1]DATA!AF:AF)</f>
        <v>XE01700</v>
      </c>
      <c r="C89" s="18" t="s">
        <v>112</v>
      </c>
      <c r="D89" s="16" t="s">
        <v>19</v>
      </c>
      <c r="E89" s="18" t="s">
        <v>17</v>
      </c>
      <c r="F89" s="18" t="s">
        <v>108</v>
      </c>
      <c r="G89" s="19">
        <f>IFERROR(INDEX([1]DATA!$AH:$AH,MATCH('[1]BC_ ĐG LX'!$C89&amp;'[1]BC_ ĐG LX'!G$3,[1]DATA!$AW:$AW,0)),"")</f>
        <v>9.42</v>
      </c>
      <c r="H89" s="19">
        <f>IFERROR(INDEX([1]DATA!$AH:$AH,MATCH('[1]BC_ ĐG LX'!$C89&amp;'[1]BC_ ĐG LX'!H$3,[1]DATA!$AW:$AW,0)),"")</f>
        <v>9.82</v>
      </c>
      <c r="I89" s="19">
        <f>IFERROR(INDEX([1]DATA!$AH:$AH,MATCH('[1]BC_ ĐG LX'!$C89&amp;'[1]BC_ ĐG LX'!I$3,[1]DATA!$AW:$AW,0)),"")</f>
        <v>9.42</v>
      </c>
      <c r="J89" s="19">
        <f>IFERROR(INDEX([1]DATA!$AH:$AH,MATCH('[1]BC_ ĐG LX'!$C89&amp;'[1]BC_ ĐG LX'!J$3,[1]DATA!$AW:$AW,0)),"")</f>
        <v>9.82</v>
      </c>
      <c r="K89" s="19">
        <f>IFERROR(INDEX([1]DATA!$AH:$AH,MATCH('[1]BC_ ĐG LX'!$C89&amp;'[1]BC_ ĐG LX'!K$3,[1]DATA!$AW:$AW,0)),"")</f>
        <v>9.02</v>
      </c>
      <c r="L89" s="33">
        <f>IFERROR(INDEX([1]DATA!$AH:$AH,MATCH('[1]BC_ ĐG LX'!$C89&amp;'[1]BC_ ĐG LX'!L$3,[1]DATA!$AW:$AW,0)),"")</f>
        <v>9.42</v>
      </c>
      <c r="M89" s="33">
        <f>IFERROR(INDEX([1]DATA!$AH:$AH,MATCH('[1]BC_ ĐG LX'!$C89&amp;'[1]BC_ ĐG LX'!M$3,[1]DATA!$AW:$AW,0)),"")</f>
        <v>9.82</v>
      </c>
      <c r="N89" s="33">
        <f>IFERROR(INDEX([1]DATA!$AH:$AH,MATCH('[1]BC_ ĐG LX'!$C89&amp;'[1]BC_ ĐG LX'!N$3,[1]DATA!$AW:$AW,0)),"")</f>
        <v>9.64</v>
      </c>
      <c r="O89" s="33">
        <f>IFERROR(INDEX([1]DATA!$AH:$AH,MATCH('[1]BC_ ĐG LX'!$C89&amp;'[1]BC_ ĐG LX'!O$3,[1]DATA!$AW:$AW,0)),"")</f>
        <v>9.82</v>
      </c>
      <c r="P89" s="33">
        <f>IFERROR(INDEX([1]DATA!$AH:$AH,MATCH('[1]BC_ ĐG LX'!$C89&amp;'[1]BC_ ĐG LX'!P$3,[1]DATA!$AW:$AW,0)),"")</f>
        <v>9.42</v>
      </c>
      <c r="Q89" s="33" t="str">
        <f>IFERROR(INDEX([1]DATA!$AH:$AH,MATCH('[1]BC_ ĐG LX'!$C89&amp;'[1]BC_ ĐG LX'!Q$3,[1]DATA!$AW:$AW,0)),"")</f>
        <v/>
      </c>
      <c r="R89" s="33" t="str">
        <f>IFERROR(INDEX([1]DATA!$AH:$AH,MATCH('[1]BC_ ĐG LX'!$C89&amp;'[1]BC_ ĐG LX'!R$3,[1]DATA!$AW:$AW,0)),"")</f>
        <v/>
      </c>
      <c r="S89" s="33" t="str">
        <f>IFERROR(INDEX([1]DATA!$AH:$AH,MATCH('[1]BC_ ĐG LX'!$C89&amp;'[1]BC_ ĐG LX'!S$3,[1]DATA!$AW:$AW,0)),"")</f>
        <v/>
      </c>
      <c r="T89" s="33" t="str">
        <f>IFERROR(INDEX([1]DATA!$AH:$AH,MATCH('[1]BC_ ĐG LX'!$C89&amp;'[1]BC_ ĐG LX'!T$3,[1]DATA!$AW:$AW,0)),"")</f>
        <v/>
      </c>
      <c r="U89" s="33" t="str">
        <f>IFERROR(INDEX([1]DATA!$AH:$AH,MATCH('[1]BC_ ĐG LX'!$C89&amp;'[1]BC_ ĐG LX'!U$3,[1]DATA!$AW:$AW,0)),"")</f>
        <v/>
      </c>
      <c r="V89" s="33" t="str">
        <f>IFERROR(INDEX([1]DATA!$AH:$AH,MATCH('[1]BC_ ĐG LX'!$C89&amp;'[1]BC_ ĐG LX'!V$3,[1]DATA!$AW:$AW,0)),"")</f>
        <v/>
      </c>
      <c r="W89" s="33" t="str">
        <f>IFERROR(INDEX([1]DATA!$AH:$AH,MATCH('[1]BC_ ĐG LX'!$C89&amp;'[1]BC_ ĐG LX'!W$3,[1]DATA!$AW:$AW,0)),"")</f>
        <v/>
      </c>
      <c r="X89" s="33" t="str">
        <f>IFERROR(INDEX([1]DATA!$AH:$AH,MATCH('[1]BC_ ĐG LX'!$C89&amp;'[1]BC_ ĐG LX'!X$3,[1]DATA!$AW:$AW,0)),"")</f>
        <v/>
      </c>
      <c r="Y89" s="33" t="str">
        <f>IFERROR(INDEX([1]DATA!$AH:$AH,MATCH('[1]BC_ ĐG LX'!$C89&amp;'[1]BC_ ĐG LX'!Y$3,[1]DATA!$AW:$AW,0)),"")</f>
        <v/>
      </c>
      <c r="Z89" s="33" t="str">
        <f>IFERROR(INDEX([1]DATA!$AH:$AH,MATCH('[1]BC_ ĐG LX'!$C89&amp;'[1]BC_ ĐG LX'!Z$3,[1]DATA!$AW:$AW,0)),"")</f>
        <v/>
      </c>
      <c r="AA89" s="33" t="str">
        <f>IFERROR(INDEX([1]DATA!$AH:$AH,MATCH('[1]BC_ ĐG LX'!$C89&amp;'[1]BC_ ĐG LX'!AA$3,[1]DATA!$AW:$AW,0)),"")</f>
        <v/>
      </c>
      <c r="AB89" s="33" t="str">
        <f>IFERROR(INDEX([1]DATA!$AH:$AH,MATCH('[1]BC_ ĐG LX'!$C89&amp;'[1]BC_ ĐG LX'!AB$3,[1]DATA!$AW:$AW,0)),"")</f>
        <v/>
      </c>
      <c r="AC89" s="33" t="str">
        <f>IFERROR(INDEX([1]DATA!$AH:$AH,MATCH('[1]BC_ ĐG LX'!$C89&amp;'[1]BC_ ĐG LX'!AC$3,[1]DATA!$AW:$AW,0)),"")</f>
        <v/>
      </c>
      <c r="AD89" s="19"/>
      <c r="AE89" s="19"/>
      <c r="AF89" s="19"/>
      <c r="AG89" s="19"/>
      <c r="AH89" s="19"/>
      <c r="AI89" s="19"/>
      <c r="AJ89" s="19"/>
      <c r="AK89" s="26">
        <f t="shared" si="4"/>
        <v>9.6</v>
      </c>
      <c r="AL89" s="21" t="s">
        <v>111</v>
      </c>
      <c r="AM89" s="22">
        <f t="shared" si="3"/>
        <v>10</v>
      </c>
      <c r="AN89" s="22" t="str">
        <f>_xlfn.XLOOKUP(B89,[1]DATA!AF:AF,[1]DATA!AX:AX)</f>
        <v>Hằng</v>
      </c>
      <c r="AO89"/>
    </row>
    <row r="90" spans="1:41" s="22" customFormat="1" ht="14.25" customHeight="1">
      <c r="A90" s="16">
        <v>58</v>
      </c>
      <c r="B90" s="16" t="str">
        <f>_xlfn.XLOOKUP(C90,[1]DATA!D:D,[1]DATA!AF:AF)</f>
        <v>XE00383</v>
      </c>
      <c r="C90" s="18" t="s">
        <v>113</v>
      </c>
      <c r="D90" s="16" t="s">
        <v>19</v>
      </c>
      <c r="E90" s="18" t="s">
        <v>17</v>
      </c>
      <c r="F90" s="18" t="s">
        <v>18</v>
      </c>
      <c r="G90" s="19">
        <f>IFERROR(INDEX([1]DATA!$AH:$AH,MATCH('[1]BC_ ĐG LX'!$C90&amp;'[1]BC_ ĐG LX'!G$3,[1]DATA!$AW:$AW,0)),"")</f>
        <v>8.44</v>
      </c>
      <c r="H90" s="19">
        <f>IFERROR(INDEX([1]DATA!$AH:$AH,MATCH('[1]BC_ ĐG LX'!$C90&amp;'[1]BC_ ĐG LX'!H$3,[1]DATA!$AW:$AW,0)),"")</f>
        <v>10</v>
      </c>
      <c r="I90" s="19">
        <f>IFERROR(INDEX([1]DATA!$AH:$AH,MATCH('[1]BC_ ĐG LX'!$C90&amp;'[1]BC_ ĐG LX'!I$3,[1]DATA!$AW:$AW,0)),"")</f>
        <v>9.02</v>
      </c>
      <c r="J90" s="33">
        <f>IFERROR(INDEX([1]DATA!$AH:$AH,MATCH('[1]BC_ ĐG LX'!$C90&amp;'[1]BC_ ĐG LX'!J$3,[1]DATA!$AW:$AW,0)),"")</f>
        <v>9.02</v>
      </c>
      <c r="K90" s="33">
        <f>IFERROR(INDEX([1]DATA!$AH:$AH,MATCH('[1]BC_ ĐG LX'!$C90&amp;'[1]BC_ ĐG LX'!K$3,[1]DATA!$AW:$AW,0)),"")</f>
        <v>9.02</v>
      </c>
      <c r="L90" s="33">
        <f>IFERROR(INDEX([1]DATA!$AH:$AH,MATCH('[1]BC_ ĐG LX'!$C90&amp;'[1]BC_ ĐG LX'!L$3,[1]DATA!$AW:$AW,0)),"")</f>
        <v>9.82</v>
      </c>
      <c r="M90" s="33">
        <f>IFERROR(INDEX([1]DATA!$AH:$AH,MATCH('[1]BC_ ĐG LX'!$C90&amp;'[1]BC_ ĐG LX'!M$3,[1]DATA!$AW:$AW,0)),"")</f>
        <v>8.84</v>
      </c>
      <c r="N90" s="33">
        <f>IFERROR(INDEX([1]DATA!$AH:$AH,MATCH('[1]BC_ ĐG LX'!$C90&amp;'[1]BC_ ĐG LX'!N$3,[1]DATA!$AW:$AW,0)),"")</f>
        <v>9.82</v>
      </c>
      <c r="O90" s="33">
        <f>IFERROR(INDEX([1]DATA!$AH:$AH,MATCH('[1]BC_ ĐG LX'!$C90&amp;'[1]BC_ ĐG LX'!O$3,[1]DATA!$AW:$AW,0)),"")</f>
        <v>9.42</v>
      </c>
      <c r="P90" s="33">
        <f>IFERROR(INDEX([1]DATA!$AH:$AH,MATCH('[1]BC_ ĐG LX'!$C90&amp;'[1]BC_ ĐG LX'!P$3,[1]DATA!$AW:$AW,0)),"")</f>
        <v>8.84</v>
      </c>
      <c r="Q90" s="33">
        <f>IFERROR(INDEX([1]DATA!$AH:$AH,MATCH('[1]BC_ ĐG LX'!$C90&amp;'[1]BC_ ĐG LX'!Q$3,[1]DATA!$AW:$AW,0)),"")</f>
        <v>9.82</v>
      </c>
      <c r="R90" s="33">
        <f>IFERROR(INDEX([1]DATA!$AH:$AH,MATCH('[1]BC_ ĐG LX'!$C90&amp;'[1]BC_ ĐG LX'!R$3,[1]DATA!$AW:$AW,0)),"")</f>
        <v>7.82</v>
      </c>
      <c r="S90" s="33">
        <f>IFERROR(INDEX([1]DATA!$AH:$AH,MATCH('[1]BC_ ĐG LX'!$C90&amp;'[1]BC_ ĐG LX'!S$3,[1]DATA!$AW:$AW,0)),"")</f>
        <v>9.82</v>
      </c>
      <c r="T90" s="33">
        <f>IFERROR(INDEX([1]DATA!$AH:$AH,MATCH('[1]BC_ ĐG LX'!$C90&amp;'[1]BC_ ĐG LX'!T$3,[1]DATA!$AW:$AW,0)),"")</f>
        <v>8.44</v>
      </c>
      <c r="U90" s="33">
        <f>IFERROR(INDEX([1]DATA!$AH:$AH,MATCH('[1]BC_ ĐG LX'!$C90&amp;'[1]BC_ ĐG LX'!U$3,[1]DATA!$AW:$AW,0)),"")</f>
        <v>8.84</v>
      </c>
      <c r="V90" s="33">
        <f>IFERROR(INDEX([1]DATA!$AH:$AH,MATCH('[1]BC_ ĐG LX'!$C90&amp;'[1]BC_ ĐG LX'!V$3,[1]DATA!$AW:$AW,0)),"")</f>
        <v>9.82</v>
      </c>
      <c r="W90" s="33">
        <f>IFERROR(INDEX([1]DATA!$AH:$AH,MATCH('[1]BC_ ĐG LX'!$C90&amp;'[1]BC_ ĐG LX'!W$3,[1]DATA!$AW:$AW,0)),"")</f>
        <v>9.42</v>
      </c>
      <c r="X90" s="33">
        <f>IFERROR(INDEX([1]DATA!$AH:$AH,MATCH('[1]BC_ ĐG LX'!$C90&amp;'[1]BC_ ĐG LX'!X$3,[1]DATA!$AW:$AW,0)),"")</f>
        <v>9.82</v>
      </c>
      <c r="Y90" s="33">
        <f>IFERROR(INDEX([1]DATA!$AH:$AH,MATCH('[1]BC_ ĐG LX'!$C90&amp;'[1]BC_ ĐG LX'!Y$3,[1]DATA!$AW:$AW,0)),"")</f>
        <v>9.82</v>
      </c>
      <c r="Z90" s="33">
        <f>IFERROR(INDEX([1]DATA!$AH:$AH,MATCH('[1]BC_ ĐG LX'!$C90&amp;'[1]BC_ ĐG LX'!Z$3,[1]DATA!$AW:$AW,0)),"")</f>
        <v>9.82</v>
      </c>
      <c r="AA90" s="33">
        <f>IFERROR(INDEX([1]DATA!$AH:$AH,MATCH('[1]BC_ ĐG LX'!$C90&amp;'[1]BC_ ĐG LX'!AA$3,[1]DATA!$AW:$AW,0)),"")</f>
        <v>9.82</v>
      </c>
      <c r="AB90" s="33">
        <f>IFERROR(INDEX([1]DATA!$AH:$AH,MATCH('[1]BC_ ĐG LX'!$C90&amp;'[1]BC_ ĐG LX'!AB$3,[1]DATA!$AW:$AW,0)),"")</f>
        <v>9.02</v>
      </c>
      <c r="AC90" s="33">
        <f>IFERROR(INDEX([1]DATA!$AH:$AH,MATCH('[1]BC_ ĐG LX'!$C90&amp;'[1]BC_ ĐG LX'!AC$3,[1]DATA!$AW:$AW,0)),"")</f>
        <v>9.42</v>
      </c>
      <c r="AD90" s="19">
        <f>IFERROR(INDEX([1]DATA!$AH:$AH,MATCH('[1]BC_ ĐG LX'!$C90&amp;'[1]BC_ ĐG LX'!AD$3,[1]DATA!$AW:$AW,0)),"")</f>
        <v>9.42</v>
      </c>
      <c r="AE90" s="19">
        <f>IFERROR(INDEX([1]DATA!$AH:$AH,MATCH('[1]BC_ ĐG LX'!$C90&amp;'[1]BC_ ĐG LX'!AE$3,[1]DATA!$AW:$AW,0)),"")</f>
        <v>9.24</v>
      </c>
      <c r="AF90" s="19" t="str">
        <f>IFERROR(INDEX([1]DATA!$AH:$AH,MATCH('[1]BC_ ĐG LX'!$C90&amp;'[1]BC_ ĐG LX'!AF$3,[1]DATA!$AW:$AW,0)),"")</f>
        <v/>
      </c>
      <c r="AG90" s="19" t="str">
        <f>IFERROR(INDEX([1]DATA!$AH:$AH,MATCH('[1]BC_ ĐG LX'!$C90&amp;'[1]BC_ ĐG LX'!AG$3,[1]DATA!$AW:$AW,0)),"")</f>
        <v/>
      </c>
      <c r="AH90" s="19" t="str">
        <f>IFERROR(INDEX([1]DATA!$AH:$AH,MATCH('[1]BC_ ĐG LX'!$C90&amp;'[1]BC_ ĐG LX'!AH$3,[1]DATA!$AW:$AW,0)),"")</f>
        <v/>
      </c>
      <c r="AI90" s="19" t="str">
        <f>IFERROR(INDEX([1]DATA!$AH:$AH,MATCH('[1]BC_ ĐG LX'!$C90&amp;'[1]BC_ ĐG LX'!AI$3,[1]DATA!$AW:$AW,0)),"")</f>
        <v/>
      </c>
      <c r="AJ90" s="19" t="str">
        <f>IFERROR(INDEX([1]DATA!$AH:$AH,MATCH('[1]BC_ ĐG LX'!$C90&amp;'[1]BC_ ĐG LX'!AJ$3,[1]DATA!$AW:$AW,0)),"")</f>
        <v/>
      </c>
      <c r="AK90" s="26">
        <f t="shared" si="4"/>
        <v>9.4</v>
      </c>
      <c r="AL90" s="21" t="s">
        <v>114</v>
      </c>
      <c r="AM90" s="22">
        <f t="shared" si="3"/>
        <v>25</v>
      </c>
      <c r="AN90" s="22" t="str">
        <f>_xlfn.XLOOKUP(B90,[1]DATA!AF:AF,[1]DATA!AX:AX)</f>
        <v>Hằng</v>
      </c>
      <c r="AO90"/>
    </row>
    <row r="91" spans="1:41" s="22" customFormat="1" ht="14.25" customHeight="1">
      <c r="A91" s="16"/>
      <c r="B91" s="16"/>
      <c r="C91" s="18"/>
      <c r="D91" s="16"/>
      <c r="E91" s="18"/>
      <c r="F91" s="18"/>
      <c r="G91" s="19" t="str">
        <f>IFERROR(INDEX([1]DATA!$AH:$AH,MATCH('[1]BC_ ĐG LX'!$C91&amp;'[1]BC_ ĐG LX'!G$3,[1]DATA!$AW:$AW,0)),"")</f>
        <v/>
      </c>
      <c r="H91" s="19" t="str">
        <f>IFERROR(INDEX([1]DATA!$AH:$AH,MATCH('[1]BC_ ĐG LX'!$C91&amp;'[1]BC_ ĐG LX'!H$3,[1]DATA!$AW:$AW,0)),"")</f>
        <v/>
      </c>
      <c r="I91" s="19" t="str">
        <f>IFERROR(INDEX([1]DATA!$AH:$AH,MATCH('[1]BC_ ĐG LX'!$C91&amp;'[1]BC_ ĐG LX'!I$3,[1]DATA!$AW:$AW,0)),"")</f>
        <v/>
      </c>
      <c r="J91" s="19" t="str">
        <f>IFERROR(INDEX([1]DATA!$AH:$AH,MATCH('[1]BC_ ĐG LX'!$C91&amp;'[1]BC_ ĐG LX'!J$3,[1]DATA!$AW:$AW,0)),"")</f>
        <v/>
      </c>
      <c r="K91" s="19" t="str">
        <f>IFERROR(INDEX([1]DATA!$AH:$AH,MATCH('[1]BC_ ĐG LX'!$C91&amp;'[1]BC_ ĐG LX'!K$3,[1]DATA!$AW:$AW,0)),"")</f>
        <v/>
      </c>
      <c r="L91" s="19" t="str">
        <f>IFERROR(INDEX([1]DATA!$AH:$AH,MATCH('[1]BC_ ĐG LX'!$C91&amp;'[1]BC_ ĐG LX'!L$3,[1]DATA!$AW:$AW,0)),"")</f>
        <v/>
      </c>
      <c r="M91" s="19" t="str">
        <f>IFERROR(INDEX([1]DATA!$AH:$AH,MATCH('[1]BC_ ĐG LX'!$C91&amp;'[1]BC_ ĐG LX'!M$3,[1]DATA!$AW:$AW,0)),"")</f>
        <v/>
      </c>
      <c r="N91" s="19" t="str">
        <f>IFERROR(INDEX([1]DATA!$AH:$AH,MATCH('[1]BC_ ĐG LX'!$C91&amp;'[1]BC_ ĐG LX'!N$3,[1]DATA!$AW:$AW,0)),"")</f>
        <v/>
      </c>
      <c r="O91" s="19" t="str">
        <f>IFERROR(INDEX([1]DATA!$AH:$AH,MATCH('[1]BC_ ĐG LX'!$C91&amp;'[1]BC_ ĐG LX'!O$3,[1]DATA!$AW:$AW,0)),"")</f>
        <v/>
      </c>
      <c r="P91" s="19" t="str">
        <f>IFERROR(INDEX([1]DATA!$AH:$AH,MATCH('[1]BC_ ĐG LX'!$C91&amp;'[1]BC_ ĐG LX'!P$3,[1]DATA!$AW:$AW,0)),"")</f>
        <v/>
      </c>
      <c r="Q91" s="19" t="str">
        <f>IFERROR(INDEX([1]DATA!$AH:$AH,MATCH('[1]BC_ ĐG LX'!$C91&amp;'[1]BC_ ĐG LX'!Q$3,[1]DATA!$AW:$AW,0)),"")</f>
        <v/>
      </c>
      <c r="R91" s="19" t="str">
        <f>IFERROR(INDEX([1]DATA!$AH:$AH,MATCH('[1]BC_ ĐG LX'!$C91&amp;'[1]BC_ ĐG LX'!R$3,[1]DATA!$AW:$AW,0)),"")</f>
        <v/>
      </c>
      <c r="S91" s="19" t="str">
        <f>IFERROR(INDEX([1]DATA!$AH:$AH,MATCH('[1]BC_ ĐG LX'!$C91&amp;'[1]BC_ ĐG LX'!S$3,[1]DATA!$AW:$AW,0)),"")</f>
        <v/>
      </c>
      <c r="T91" s="19" t="str">
        <f>IFERROR(INDEX([1]DATA!$AH:$AH,MATCH('[1]BC_ ĐG LX'!$C91&amp;'[1]BC_ ĐG LX'!T$3,[1]DATA!$AW:$AW,0)),"")</f>
        <v/>
      </c>
      <c r="U91" s="19" t="str">
        <f>IFERROR(INDEX([1]DATA!$AH:$AH,MATCH('[1]BC_ ĐG LX'!$C91&amp;'[1]BC_ ĐG LX'!U$3,[1]DATA!$AW:$AW,0)),"")</f>
        <v/>
      </c>
      <c r="V91" s="19" t="str">
        <f>IFERROR(INDEX([1]DATA!$AH:$AH,MATCH('[1]BC_ ĐG LX'!$C91&amp;'[1]BC_ ĐG LX'!V$3,[1]DATA!$AW:$AW,0)),"")</f>
        <v/>
      </c>
      <c r="W91" s="19" t="str">
        <f>IFERROR(INDEX([1]DATA!$AH:$AH,MATCH('[1]BC_ ĐG LX'!$C91&amp;'[1]BC_ ĐG LX'!W$3,[1]DATA!$AW:$AW,0)),"")</f>
        <v/>
      </c>
      <c r="X91" s="19" t="str">
        <f>IFERROR(INDEX([1]DATA!$AH:$AH,MATCH('[1]BC_ ĐG LX'!$C91&amp;'[1]BC_ ĐG LX'!X$3,[1]DATA!$AW:$AW,0)),"")</f>
        <v/>
      </c>
      <c r="Y91" s="19" t="str">
        <f>IFERROR(INDEX([1]DATA!$AH:$AH,MATCH('[1]BC_ ĐG LX'!$C91&amp;'[1]BC_ ĐG LX'!Y$3,[1]DATA!$AW:$AW,0)),"")</f>
        <v/>
      </c>
      <c r="Z91" s="19" t="str">
        <f>IFERROR(INDEX([1]DATA!$AH:$AH,MATCH('[1]BC_ ĐG LX'!$C91&amp;'[1]BC_ ĐG LX'!Z$3,[1]DATA!$AW:$AW,0)),"")</f>
        <v/>
      </c>
      <c r="AA91" s="19" t="str">
        <f>IFERROR(INDEX([1]DATA!$AH:$AH,MATCH('[1]BC_ ĐG LX'!$C91&amp;'[1]BC_ ĐG LX'!AA$3,[1]DATA!$AW:$AW,0)),"")</f>
        <v/>
      </c>
      <c r="AB91" s="19" t="str">
        <f>IFERROR(INDEX([1]DATA!$AH:$AH,MATCH('[1]BC_ ĐG LX'!$C91&amp;'[1]BC_ ĐG LX'!AB$3,[1]DATA!$AW:$AW,0)),"")</f>
        <v/>
      </c>
      <c r="AC91" s="19" t="str">
        <f>IFERROR(INDEX([1]DATA!$AH:$AH,MATCH('[1]BC_ ĐG LX'!$C91&amp;'[1]BC_ ĐG LX'!AC$3,[1]DATA!$AW:$AW,0)),"")</f>
        <v/>
      </c>
      <c r="AD91" s="19" t="str">
        <f>IFERROR(INDEX([1]DATA!$AH:$AH,MATCH('[1]BC_ ĐG LX'!$C91&amp;'[1]BC_ ĐG LX'!AD$3,[1]DATA!$AW:$AW,0)),"")</f>
        <v/>
      </c>
      <c r="AE91" s="19" t="str">
        <f>IFERROR(INDEX([1]DATA!$AH:$AH,MATCH('[1]BC_ ĐG LX'!$C91&amp;'[1]BC_ ĐG LX'!AE$3,[1]DATA!$AW:$AW,0)),"")</f>
        <v/>
      </c>
      <c r="AF91" s="19" t="str">
        <f>IFERROR(INDEX([1]DATA!$AH:$AH,MATCH('[1]BC_ ĐG LX'!$C91&amp;'[1]BC_ ĐG LX'!AF$3,[1]DATA!$AW:$AW,0)),"")</f>
        <v/>
      </c>
      <c r="AG91" s="19" t="str">
        <f>IFERROR(INDEX([1]DATA!$AH:$AH,MATCH('[1]BC_ ĐG LX'!$C91&amp;'[1]BC_ ĐG LX'!AG$3,[1]DATA!$AW:$AW,0)),"")</f>
        <v/>
      </c>
      <c r="AH91" s="19" t="str">
        <f>IFERROR(INDEX([1]DATA!$AH:$AH,MATCH('[1]BC_ ĐG LX'!$C91&amp;'[1]BC_ ĐG LX'!AH$3,[1]DATA!$AW:$AW,0)),"")</f>
        <v/>
      </c>
      <c r="AI91" s="19" t="str">
        <f>IFERROR(INDEX([1]DATA!$AH:$AH,MATCH('[1]BC_ ĐG LX'!$C91&amp;'[1]BC_ ĐG LX'!AI$3,[1]DATA!$AW:$AW,0)),"")</f>
        <v/>
      </c>
      <c r="AJ91" s="19" t="str">
        <f>IFERROR(INDEX([1]DATA!$AH:$AH,MATCH('[1]BC_ ĐG LX'!$C91&amp;'[1]BC_ ĐG LX'!AJ$3,[1]DATA!$AW:$AW,0)),"")</f>
        <v/>
      </c>
      <c r="AK91" s="26" t="str">
        <f t="shared" si="4"/>
        <v/>
      </c>
      <c r="AL91" s="21"/>
      <c r="AM91" s="22">
        <f t="shared" si="3"/>
        <v>0</v>
      </c>
      <c r="AN91" s="22">
        <f>_xlfn.XLOOKUP(B91,[1]DATA!AF:AF,[1]DATA!AX:AX)</f>
        <v>0</v>
      </c>
      <c r="AO91"/>
    </row>
    <row r="92" spans="1:41" s="22" customFormat="1" ht="14.25" customHeight="1">
      <c r="A92" s="18"/>
      <c r="B92" s="16"/>
      <c r="C92" s="17" t="s">
        <v>115</v>
      </c>
      <c r="D92" s="16"/>
      <c r="E92" s="18"/>
      <c r="F92" s="18"/>
      <c r="G92" s="19" t="str">
        <f>IFERROR(INDEX([1]DATA!$AH:$AH,MATCH('[1]BC_ ĐG LX'!$C92&amp;'[1]BC_ ĐG LX'!G$3,[1]DATA!$AW:$AW,0)),"")</f>
        <v/>
      </c>
      <c r="H92" s="19" t="str">
        <f>IFERROR(INDEX([1]DATA!$AH:$AH,MATCH('[1]BC_ ĐG LX'!$C92&amp;'[1]BC_ ĐG LX'!H$3,[1]DATA!$AW:$AW,0)),"")</f>
        <v/>
      </c>
      <c r="I92" s="19" t="str">
        <f>IFERROR(INDEX([1]DATA!$AH:$AH,MATCH('[1]BC_ ĐG LX'!$C92&amp;'[1]BC_ ĐG LX'!I$3,[1]DATA!$AW:$AW,0)),"")</f>
        <v/>
      </c>
      <c r="J92" s="19" t="str">
        <f>IFERROR(INDEX([1]DATA!$AH:$AH,MATCH('[1]BC_ ĐG LX'!$C92&amp;'[1]BC_ ĐG LX'!J$3,[1]DATA!$AW:$AW,0)),"")</f>
        <v/>
      </c>
      <c r="K92" s="19" t="str">
        <f>IFERROR(INDEX([1]DATA!$AH:$AH,MATCH('[1]BC_ ĐG LX'!$C92&amp;'[1]BC_ ĐG LX'!K$3,[1]DATA!$AW:$AW,0)),"")</f>
        <v/>
      </c>
      <c r="L92" s="19" t="str">
        <f>IFERROR(INDEX([1]DATA!$AH:$AH,MATCH('[1]BC_ ĐG LX'!$C92&amp;'[1]BC_ ĐG LX'!L$3,[1]DATA!$AW:$AW,0)),"")</f>
        <v/>
      </c>
      <c r="M92" s="19" t="str">
        <f>IFERROR(INDEX([1]DATA!$AH:$AH,MATCH('[1]BC_ ĐG LX'!$C92&amp;'[1]BC_ ĐG LX'!M$3,[1]DATA!$AW:$AW,0)),"")</f>
        <v/>
      </c>
      <c r="N92" s="19" t="str">
        <f>IFERROR(INDEX([1]DATA!$AH:$AH,MATCH('[1]BC_ ĐG LX'!$C92&amp;'[1]BC_ ĐG LX'!N$3,[1]DATA!$AW:$AW,0)),"")</f>
        <v/>
      </c>
      <c r="O92" s="19" t="str">
        <f>IFERROR(INDEX([1]DATA!$AH:$AH,MATCH('[1]BC_ ĐG LX'!$C92&amp;'[1]BC_ ĐG LX'!O$3,[1]DATA!$AW:$AW,0)),"")</f>
        <v/>
      </c>
      <c r="P92" s="19" t="str">
        <f>IFERROR(INDEX([1]DATA!$AH:$AH,MATCH('[1]BC_ ĐG LX'!$C92&amp;'[1]BC_ ĐG LX'!P$3,[1]DATA!$AW:$AW,0)),"")</f>
        <v/>
      </c>
      <c r="Q92" s="19" t="str">
        <f>IFERROR(INDEX([1]DATA!$AH:$AH,MATCH('[1]BC_ ĐG LX'!$C92&amp;'[1]BC_ ĐG LX'!Q$3,[1]DATA!$AW:$AW,0)),"")</f>
        <v/>
      </c>
      <c r="R92" s="19" t="str">
        <f>IFERROR(INDEX([1]DATA!$AH:$AH,MATCH('[1]BC_ ĐG LX'!$C92&amp;'[1]BC_ ĐG LX'!R$3,[1]DATA!$AW:$AW,0)),"")</f>
        <v/>
      </c>
      <c r="S92" s="19" t="str">
        <f>IFERROR(INDEX([1]DATA!$AH:$AH,MATCH('[1]BC_ ĐG LX'!$C92&amp;'[1]BC_ ĐG LX'!S$3,[1]DATA!$AW:$AW,0)),"")</f>
        <v/>
      </c>
      <c r="T92" s="19" t="str">
        <f>IFERROR(INDEX([1]DATA!$AH:$AH,MATCH('[1]BC_ ĐG LX'!$C92&amp;'[1]BC_ ĐG LX'!T$3,[1]DATA!$AW:$AW,0)),"")</f>
        <v/>
      </c>
      <c r="U92" s="19" t="str">
        <f>IFERROR(INDEX([1]DATA!$AH:$AH,MATCH('[1]BC_ ĐG LX'!$C92&amp;'[1]BC_ ĐG LX'!U$3,[1]DATA!$AW:$AW,0)),"")</f>
        <v/>
      </c>
      <c r="V92" s="19" t="str">
        <f>IFERROR(INDEX([1]DATA!$AH:$AH,MATCH('[1]BC_ ĐG LX'!$C92&amp;'[1]BC_ ĐG LX'!V$3,[1]DATA!$AW:$AW,0)),"")</f>
        <v/>
      </c>
      <c r="W92" s="19" t="str">
        <f>IFERROR(INDEX([1]DATA!$AH:$AH,MATCH('[1]BC_ ĐG LX'!$C92&amp;'[1]BC_ ĐG LX'!W$3,[1]DATA!$AW:$AW,0)),"")</f>
        <v/>
      </c>
      <c r="X92" s="19" t="str">
        <f>IFERROR(INDEX([1]DATA!$AH:$AH,MATCH('[1]BC_ ĐG LX'!$C92&amp;'[1]BC_ ĐG LX'!X$3,[1]DATA!$AW:$AW,0)),"")</f>
        <v/>
      </c>
      <c r="Y92" s="19" t="str">
        <f>IFERROR(INDEX([1]DATA!$AH:$AH,MATCH('[1]BC_ ĐG LX'!$C92&amp;'[1]BC_ ĐG LX'!Y$3,[1]DATA!$AW:$AW,0)),"")</f>
        <v/>
      </c>
      <c r="Z92" s="19" t="str">
        <f>IFERROR(INDEX([1]DATA!$AH:$AH,MATCH('[1]BC_ ĐG LX'!$C92&amp;'[1]BC_ ĐG LX'!Z$3,[1]DATA!$AW:$AW,0)),"")</f>
        <v/>
      </c>
      <c r="AA92" s="19" t="str">
        <f>IFERROR(INDEX([1]DATA!$AH:$AH,MATCH('[1]BC_ ĐG LX'!$C92&amp;'[1]BC_ ĐG LX'!AA$3,[1]DATA!$AW:$AW,0)),"")</f>
        <v/>
      </c>
      <c r="AB92" s="19" t="str">
        <f>IFERROR(INDEX([1]DATA!$AH:$AH,MATCH('[1]BC_ ĐG LX'!$C92&amp;'[1]BC_ ĐG LX'!AB$3,[1]DATA!$AW:$AW,0)),"")</f>
        <v/>
      </c>
      <c r="AC92" s="19" t="str">
        <f>IFERROR(INDEX([1]DATA!$AH:$AH,MATCH('[1]BC_ ĐG LX'!$C92&amp;'[1]BC_ ĐG LX'!AC$3,[1]DATA!$AW:$AW,0)),"")</f>
        <v/>
      </c>
      <c r="AD92" s="19" t="str">
        <f>IFERROR(INDEX([1]DATA!$AH:$AH,MATCH('[1]BC_ ĐG LX'!$C92&amp;'[1]BC_ ĐG LX'!AD$3,[1]DATA!$AW:$AW,0)),"")</f>
        <v/>
      </c>
      <c r="AE92" s="19" t="str">
        <f>IFERROR(INDEX([1]DATA!$AH:$AH,MATCH('[1]BC_ ĐG LX'!$C92&amp;'[1]BC_ ĐG LX'!AE$3,[1]DATA!$AW:$AW,0)),"")</f>
        <v/>
      </c>
      <c r="AF92" s="19" t="str">
        <f>IFERROR(INDEX([1]DATA!$AH:$AH,MATCH('[1]BC_ ĐG LX'!$C92&amp;'[1]BC_ ĐG LX'!AF$3,[1]DATA!$AW:$AW,0)),"")</f>
        <v/>
      </c>
      <c r="AG92" s="19" t="str">
        <f>IFERROR(INDEX([1]DATA!$AH:$AH,MATCH('[1]BC_ ĐG LX'!$C92&amp;'[1]BC_ ĐG LX'!AG$3,[1]DATA!$AW:$AW,0)),"")</f>
        <v/>
      </c>
      <c r="AH92" s="19" t="str">
        <f>IFERROR(INDEX([1]DATA!$AH:$AH,MATCH('[1]BC_ ĐG LX'!$C92&amp;'[1]BC_ ĐG LX'!AH$3,[1]DATA!$AW:$AW,0)),"")</f>
        <v/>
      </c>
      <c r="AI92" s="19" t="str">
        <f>IFERROR(INDEX([1]DATA!$AH:$AH,MATCH('[1]BC_ ĐG LX'!$C92&amp;'[1]BC_ ĐG LX'!AI$3,[1]DATA!$AW:$AW,0)),"")</f>
        <v/>
      </c>
      <c r="AJ92" s="19" t="str">
        <f>IFERROR(INDEX([1]DATA!$AH:$AH,MATCH('[1]BC_ ĐG LX'!$C92&amp;'[1]BC_ ĐG LX'!AJ$3,[1]DATA!$AW:$AW,0)),"")</f>
        <v/>
      </c>
      <c r="AK92" s="38">
        <f>SUM(AK93:AK114)/COUNTIF(AK93:AK114,"&gt;0")</f>
        <v>9.3954545454545464</v>
      </c>
      <c r="AL92" s="21"/>
      <c r="AM92" s="22">
        <f t="shared" si="3"/>
        <v>0</v>
      </c>
      <c r="AN92" s="22" t="str">
        <f>_xlfn.XLOOKUP(B92,[1]DATA!AF:AF,[1]DATA!AX:AX)</f>
        <v>Lương</v>
      </c>
      <c r="AO92"/>
    </row>
    <row r="93" spans="1:41" s="22" customFormat="1" ht="14.25" customHeight="1">
      <c r="A93" s="16">
        <f>SUBTOTAL(3,$D$93:D93)</f>
        <v>1</v>
      </c>
      <c r="B93" s="16" t="str">
        <f>_xlfn.XLOOKUP(C93,[1]DATA!D:D,[1]DATA!AF:AF)</f>
        <v>XE00054</v>
      </c>
      <c r="C93" s="18" t="s">
        <v>116</v>
      </c>
      <c r="D93" s="16" t="s">
        <v>21</v>
      </c>
      <c r="E93" s="18" t="s">
        <v>17</v>
      </c>
      <c r="F93" s="18" t="s">
        <v>18</v>
      </c>
      <c r="G93" s="19">
        <f>IFERROR(INDEX([1]DATA!$AH:$AH,MATCH('[1]BC_ ĐG LX'!$C93&amp;'[1]BC_ ĐG LX'!G$3,[1]DATA!$AW:$AW,0)),"")</f>
        <v>9.82</v>
      </c>
      <c r="H93" s="19">
        <f>IFERROR(INDEX([1]DATA!$AH:$AH,MATCH('[1]BC_ ĐG LX'!$C93&amp;'[1]BC_ ĐG LX'!H$3,[1]DATA!$AW:$AW,0)),"")</f>
        <v>7.0200000000000005</v>
      </c>
      <c r="I93" s="19">
        <f>IFERROR(INDEX([1]DATA!$AH:$AH,MATCH('[1]BC_ ĐG LX'!$C93&amp;'[1]BC_ ĐG LX'!I$3,[1]DATA!$AW:$AW,0)),"")</f>
        <v>9.82</v>
      </c>
      <c r="J93" s="19">
        <f>IFERROR(INDEX([1]DATA!$AH:$AH,MATCH('[1]BC_ ĐG LX'!$C93&amp;'[1]BC_ ĐG LX'!J$3,[1]DATA!$AW:$AW,0)),"")</f>
        <v>9.6199999999999992</v>
      </c>
      <c r="K93" s="19">
        <f>IFERROR(INDEX([1]DATA!$AH:$AH,MATCH('[1]BC_ ĐG LX'!$C93&amp;'[1]BC_ ĐG LX'!K$3,[1]DATA!$AW:$AW,0)),"")</f>
        <v>8.84</v>
      </c>
      <c r="L93" s="19">
        <f>IFERROR(INDEX([1]DATA!$AH:$AH,MATCH('[1]BC_ ĐG LX'!$C93&amp;'[1]BC_ ĐG LX'!L$3,[1]DATA!$AW:$AW,0)),"")</f>
        <v>9.82</v>
      </c>
      <c r="M93" s="19">
        <f>IFERROR(INDEX([1]DATA!$AH:$AH,MATCH('[1]BC_ ĐG LX'!$C93&amp;'[1]BC_ ĐG LX'!M$3,[1]DATA!$AW:$AW,0)),"")</f>
        <v>9.82</v>
      </c>
      <c r="N93" s="19">
        <f>IFERROR(INDEX([1]DATA!$AH:$AH,MATCH('[1]BC_ ĐG LX'!$C93&amp;'[1]BC_ ĐG LX'!N$3,[1]DATA!$AW:$AW,0)),"")</f>
        <v>9.82</v>
      </c>
      <c r="O93" s="19">
        <f>IFERROR(INDEX([1]DATA!$AH:$AH,MATCH('[1]BC_ ĐG LX'!$C93&amp;'[1]BC_ ĐG LX'!O$3,[1]DATA!$AW:$AW,0)),"")</f>
        <v>9.82</v>
      </c>
      <c r="P93" s="19">
        <f>IFERROR(INDEX([1]DATA!$AH:$AH,MATCH('[1]BC_ ĐG LX'!$C93&amp;'[1]BC_ ĐG LX'!P$3,[1]DATA!$AW:$AW,0)),"")</f>
        <v>9.42</v>
      </c>
      <c r="Q93" s="19">
        <f>IFERROR(INDEX([1]DATA!$AH:$AH,MATCH('[1]BC_ ĐG LX'!$C93&amp;'[1]BC_ ĐG LX'!Q$3,[1]DATA!$AW:$AW,0)),"")</f>
        <v>9.82</v>
      </c>
      <c r="R93" s="19">
        <f>IFERROR(INDEX([1]DATA!$AH:$AH,MATCH('[1]BC_ ĐG LX'!$C93&amp;'[1]BC_ ĐG LX'!R$3,[1]DATA!$AW:$AW,0)),"")</f>
        <v>8.84</v>
      </c>
      <c r="S93" s="19">
        <f>IFERROR(INDEX([1]DATA!$AH:$AH,MATCH('[1]BC_ ĐG LX'!$C93&amp;'[1]BC_ ĐG LX'!S$3,[1]DATA!$AW:$AW,0)),"")</f>
        <v>9.82</v>
      </c>
      <c r="T93" s="19">
        <f>IFERROR(INDEX([1]DATA!$AH:$AH,MATCH('[1]BC_ ĐG LX'!$C93&amp;'[1]BC_ ĐG LX'!T$3,[1]DATA!$AW:$AW,0)),"")</f>
        <v>9.82</v>
      </c>
      <c r="U93" s="19">
        <f>IFERROR(INDEX([1]DATA!$AH:$AH,MATCH('[1]BC_ ĐG LX'!$C93&amp;'[1]BC_ ĐG LX'!U$3,[1]DATA!$AW:$AW,0)),"")</f>
        <v>9.6199999999999992</v>
      </c>
      <c r="V93" s="19">
        <f>IFERROR(INDEX([1]DATA!$AH:$AH,MATCH('[1]BC_ ĐG LX'!$C93&amp;'[1]BC_ ĐG LX'!V$3,[1]DATA!$AW:$AW,0)),"")</f>
        <v>9.82</v>
      </c>
      <c r="W93" s="19">
        <f>IFERROR(INDEX([1]DATA!$AH:$AH,MATCH('[1]BC_ ĐG LX'!$C93&amp;'[1]BC_ ĐG LX'!W$3,[1]DATA!$AW:$AW,0)),"")</f>
        <v>9.42</v>
      </c>
      <c r="X93" s="19">
        <f>IFERROR(INDEX([1]DATA!$AH:$AH,MATCH('[1]BC_ ĐG LX'!$C93&amp;'[1]BC_ ĐG LX'!X$3,[1]DATA!$AW:$AW,0)),"")</f>
        <v>9.42</v>
      </c>
      <c r="Y93" s="19">
        <f>IFERROR(INDEX([1]DATA!$AH:$AH,MATCH('[1]BC_ ĐG LX'!$C93&amp;'[1]BC_ ĐG LX'!Y$3,[1]DATA!$AW:$AW,0)),"")</f>
        <v>9.82</v>
      </c>
      <c r="Z93" s="19">
        <f>IFERROR(INDEX([1]DATA!$AH:$AH,MATCH('[1]BC_ ĐG LX'!$C93&amp;'[1]BC_ ĐG LX'!Z$3,[1]DATA!$AW:$AW,0)),"")</f>
        <v>8.84</v>
      </c>
      <c r="AA93" s="19">
        <f>IFERROR(INDEX([1]DATA!$AH:$AH,MATCH('[1]BC_ ĐG LX'!$C93&amp;'[1]BC_ ĐG LX'!AA$3,[1]DATA!$AW:$AW,0)),"")</f>
        <v>9.42</v>
      </c>
      <c r="AB93" s="19">
        <f>IFERROR(INDEX([1]DATA!$AH:$AH,MATCH('[1]BC_ ĐG LX'!$C93&amp;'[1]BC_ ĐG LX'!AB$3,[1]DATA!$AW:$AW,0)),"")</f>
        <v>9.82</v>
      </c>
      <c r="AC93" s="19">
        <f>IFERROR(INDEX([1]DATA!$AH:$AH,MATCH('[1]BC_ ĐG LX'!$C93&amp;'[1]BC_ ĐG LX'!AC$3,[1]DATA!$AW:$AW,0)),"")</f>
        <v>9.82</v>
      </c>
      <c r="AD93" s="19">
        <f>IFERROR(INDEX([1]DATA!$AH:$AH,MATCH('[1]BC_ ĐG LX'!$C93&amp;'[1]BC_ ĐG LX'!AD$3,[1]DATA!$AW:$AW,0)),"")</f>
        <v>9.82</v>
      </c>
      <c r="AE93" s="19">
        <f>IFERROR(INDEX([1]DATA!$AH:$AH,MATCH('[1]BC_ ĐG LX'!$C93&amp;'[1]BC_ ĐG LX'!AE$3,[1]DATA!$AW:$AW,0)),"")</f>
        <v>9.42</v>
      </c>
      <c r="AF93" s="19" t="str">
        <f>IFERROR(INDEX([1]DATA!$AH:$AH,MATCH('[1]BC_ ĐG LX'!$C93&amp;'[1]BC_ ĐG LX'!AF$3,[1]DATA!$AW:$AW,0)),"")</f>
        <v/>
      </c>
      <c r="AG93" s="19" t="str">
        <f>IFERROR(INDEX([1]DATA!$AH:$AH,MATCH('[1]BC_ ĐG LX'!$C93&amp;'[1]BC_ ĐG LX'!AG$3,[1]DATA!$AW:$AW,0)),"")</f>
        <v/>
      </c>
      <c r="AH93" s="19" t="str">
        <f>IFERROR(INDEX([1]DATA!$AH:$AH,MATCH('[1]BC_ ĐG LX'!$C93&amp;'[1]BC_ ĐG LX'!AH$3,[1]DATA!$AW:$AW,0)),"")</f>
        <v/>
      </c>
      <c r="AI93" s="19" t="str">
        <f>IFERROR(INDEX([1]DATA!$AH:$AH,MATCH('[1]BC_ ĐG LX'!$C93&amp;'[1]BC_ ĐG LX'!AI$3,[1]DATA!$AW:$AW,0)),"")</f>
        <v/>
      </c>
      <c r="AJ93" s="19" t="str">
        <f>IFERROR(INDEX([1]DATA!$AH:$AH,MATCH('[1]BC_ ĐG LX'!$C93&amp;'[1]BC_ ĐG LX'!AJ$3,[1]DATA!$AW:$AW,0)),"")</f>
        <v/>
      </c>
      <c r="AK93" s="26">
        <f t="shared" ref="AK93:AK116" si="5">IFERROR(ROUNDUP(+SUM(G93:AJ93)/COUNTIF(G93:AJ93,"&gt;"&amp;0),1),"")</f>
        <v>9.5</v>
      </c>
      <c r="AL93" s="21"/>
      <c r="AM93" s="22">
        <f t="shared" si="3"/>
        <v>25</v>
      </c>
      <c r="AN93" s="22" t="str">
        <f>_xlfn.XLOOKUP(B93,[1]DATA!AF:AF,[1]DATA!AX:AX)</f>
        <v>Nga</v>
      </c>
      <c r="AO93"/>
    </row>
    <row r="94" spans="1:41" s="22" customFormat="1" ht="14.25" customHeight="1">
      <c r="A94" s="16">
        <f>SUBTOTAL(3,$D$93:D94)</f>
        <v>2</v>
      </c>
      <c r="B94" s="16" t="str">
        <f>_xlfn.XLOOKUP(C94,[1]DATA!D:D,[1]DATA!AF:AF)</f>
        <v>XE00063</v>
      </c>
      <c r="C94" s="18" t="s">
        <v>117</v>
      </c>
      <c r="D94" s="16" t="s">
        <v>21</v>
      </c>
      <c r="E94" s="18" t="s">
        <v>17</v>
      </c>
      <c r="F94" s="18" t="s">
        <v>18</v>
      </c>
      <c r="G94" s="19">
        <f>IFERROR(INDEX([1]DATA!$AH:$AH,MATCH('[1]BC_ ĐG LX'!$C94&amp;'[1]BC_ ĐG LX'!G$3,[1]DATA!$AW:$AW,0)),"")</f>
        <v>9.82</v>
      </c>
      <c r="H94" s="19">
        <f>IFERROR(INDEX([1]DATA!$AH:$AH,MATCH('[1]BC_ ĐG LX'!$C94&amp;'[1]BC_ ĐG LX'!H$3,[1]DATA!$AW:$AW,0)),"")</f>
        <v>9.42</v>
      </c>
      <c r="I94" s="19">
        <f>IFERROR(INDEX([1]DATA!$AH:$AH,MATCH('[1]BC_ ĐG LX'!$C94&amp;'[1]BC_ ĐG LX'!I$3,[1]DATA!$AW:$AW,0)),"")</f>
        <v>7.82</v>
      </c>
      <c r="J94" s="19">
        <f>IFERROR(INDEX([1]DATA!$AH:$AH,MATCH('[1]BC_ ĐG LX'!$C94&amp;'[1]BC_ ĐG LX'!J$3,[1]DATA!$AW:$AW,0)),"")</f>
        <v>10</v>
      </c>
      <c r="K94" s="19">
        <f>IFERROR(INDEX([1]DATA!$AH:$AH,MATCH('[1]BC_ ĐG LX'!$C94&amp;'[1]BC_ ĐG LX'!K$3,[1]DATA!$AW:$AW,0)),"")</f>
        <v>9.82</v>
      </c>
      <c r="L94" s="19">
        <f>IFERROR(INDEX([1]DATA!$AH:$AH,MATCH('[1]BC_ ĐG LX'!$C94&amp;'[1]BC_ ĐG LX'!L$3,[1]DATA!$AW:$AW,0)),"")</f>
        <v>9.42</v>
      </c>
      <c r="M94" s="19">
        <f>IFERROR(INDEX([1]DATA!$AH:$AH,MATCH('[1]BC_ ĐG LX'!$C94&amp;'[1]BC_ ĐG LX'!M$3,[1]DATA!$AW:$AW,0)),"")</f>
        <v>9.82</v>
      </c>
      <c r="N94" s="19">
        <f>IFERROR(INDEX([1]DATA!$AH:$AH,MATCH('[1]BC_ ĐG LX'!$C94&amp;'[1]BC_ ĐG LX'!N$3,[1]DATA!$AW:$AW,0)),"")</f>
        <v>9.02</v>
      </c>
      <c r="O94" s="19">
        <f>IFERROR(INDEX([1]DATA!$AH:$AH,MATCH('[1]BC_ ĐG LX'!$C94&amp;'[1]BC_ ĐG LX'!O$3,[1]DATA!$AW:$AW,0)),"")</f>
        <v>9.82</v>
      </c>
      <c r="P94" s="19">
        <f>IFERROR(INDEX([1]DATA!$AH:$AH,MATCH('[1]BC_ ĐG LX'!$C94&amp;'[1]BC_ ĐG LX'!P$3,[1]DATA!$AW:$AW,0)),"")</f>
        <v>9.82</v>
      </c>
      <c r="Q94" s="19">
        <f>IFERROR(INDEX([1]DATA!$AH:$AH,MATCH('[1]BC_ ĐG LX'!$C94&amp;'[1]BC_ ĐG LX'!Q$3,[1]DATA!$AW:$AW,0)),"")</f>
        <v>9.42</v>
      </c>
      <c r="R94" s="19">
        <f>IFERROR(INDEX([1]DATA!$AH:$AH,MATCH('[1]BC_ ĐG LX'!$C94&amp;'[1]BC_ ĐG LX'!R$3,[1]DATA!$AW:$AW,0)),"")</f>
        <v>9.82</v>
      </c>
      <c r="S94" s="19">
        <f>IFERROR(INDEX([1]DATA!$AH:$AH,MATCH('[1]BC_ ĐG LX'!$C94&amp;'[1]BC_ ĐG LX'!S$3,[1]DATA!$AW:$AW,0)),"")</f>
        <v>9.82</v>
      </c>
      <c r="T94" s="19">
        <f>IFERROR(INDEX([1]DATA!$AH:$AH,MATCH('[1]BC_ ĐG LX'!$C94&amp;'[1]BC_ ĐG LX'!T$3,[1]DATA!$AW:$AW,0)),"")</f>
        <v>9.42</v>
      </c>
      <c r="U94" s="19">
        <f>IFERROR(INDEX([1]DATA!$AH:$AH,MATCH('[1]BC_ ĐG LX'!$C94&amp;'[1]BC_ ĐG LX'!U$3,[1]DATA!$AW:$AW,0)),"")</f>
        <v>9.82</v>
      </c>
      <c r="V94" s="19">
        <f>IFERROR(INDEX([1]DATA!$AH:$AH,MATCH('[1]BC_ ĐG LX'!$C94&amp;'[1]BC_ ĐG LX'!V$3,[1]DATA!$AW:$AW,0)),"")</f>
        <v>9.42</v>
      </c>
      <c r="W94" s="19">
        <f>IFERROR(INDEX([1]DATA!$AH:$AH,MATCH('[1]BC_ ĐG LX'!$C94&amp;'[1]BC_ ĐG LX'!W$3,[1]DATA!$AW:$AW,0)),"")</f>
        <v>9.42</v>
      </c>
      <c r="X94" s="19">
        <f>IFERROR(INDEX([1]DATA!$AH:$AH,MATCH('[1]BC_ ĐG LX'!$C94&amp;'[1]BC_ ĐG LX'!X$3,[1]DATA!$AW:$AW,0)),"")</f>
        <v>9.24</v>
      </c>
      <c r="Y94" s="19">
        <f>IFERROR(INDEX([1]DATA!$AH:$AH,MATCH('[1]BC_ ĐG LX'!$C94&amp;'[1]BC_ ĐG LX'!Y$3,[1]DATA!$AW:$AW,0)),"")</f>
        <v>9.82</v>
      </c>
      <c r="Z94" s="19">
        <f>IFERROR(INDEX([1]DATA!$AH:$AH,MATCH('[1]BC_ ĐG LX'!$C94&amp;'[1]BC_ ĐG LX'!Z$3,[1]DATA!$AW:$AW,0)),"")</f>
        <v>9.82</v>
      </c>
      <c r="AA94" s="19">
        <f>IFERROR(INDEX([1]DATA!$AH:$AH,MATCH('[1]BC_ ĐG LX'!$C94&amp;'[1]BC_ ĐG LX'!AA$3,[1]DATA!$AW:$AW,0)),"")</f>
        <v>9.82</v>
      </c>
      <c r="AB94" s="19">
        <f>IFERROR(INDEX([1]DATA!$AH:$AH,MATCH('[1]BC_ ĐG LX'!$C94&amp;'[1]BC_ ĐG LX'!AB$3,[1]DATA!$AW:$AW,0)),"")</f>
        <v>9.82</v>
      </c>
      <c r="AC94" s="19">
        <f>IFERROR(INDEX([1]DATA!$AH:$AH,MATCH('[1]BC_ ĐG LX'!$C94&amp;'[1]BC_ ĐG LX'!AC$3,[1]DATA!$AW:$AW,0)),"")</f>
        <v>9.42</v>
      </c>
      <c r="AD94" s="19">
        <f>IFERROR(INDEX([1]DATA!$AH:$AH,MATCH('[1]BC_ ĐG LX'!$C94&amp;'[1]BC_ ĐG LX'!AD$3,[1]DATA!$AW:$AW,0)),"")</f>
        <v>9.82</v>
      </c>
      <c r="AE94" s="19">
        <f>IFERROR(INDEX([1]DATA!$AH:$AH,MATCH('[1]BC_ ĐG LX'!$C94&amp;'[1]BC_ ĐG LX'!AE$3,[1]DATA!$AW:$AW,0)),"")</f>
        <v>9.6199999999999992</v>
      </c>
      <c r="AF94" s="19" t="str">
        <f>IFERROR(INDEX([1]DATA!$AH:$AH,MATCH('[1]BC_ ĐG LX'!$C94&amp;'[1]BC_ ĐG LX'!AF$3,[1]DATA!$AW:$AW,0)),"")</f>
        <v/>
      </c>
      <c r="AG94" s="19" t="str">
        <f>IFERROR(INDEX([1]DATA!$AH:$AH,MATCH('[1]BC_ ĐG LX'!$C94&amp;'[1]BC_ ĐG LX'!AG$3,[1]DATA!$AW:$AW,0)),"")</f>
        <v/>
      </c>
      <c r="AH94" s="19" t="str">
        <f>IFERROR(INDEX([1]DATA!$AH:$AH,MATCH('[1]BC_ ĐG LX'!$C94&amp;'[1]BC_ ĐG LX'!AH$3,[1]DATA!$AW:$AW,0)),"")</f>
        <v/>
      </c>
      <c r="AI94" s="19" t="str">
        <f>IFERROR(INDEX([1]DATA!$AH:$AH,MATCH('[1]BC_ ĐG LX'!$C94&amp;'[1]BC_ ĐG LX'!AI$3,[1]DATA!$AW:$AW,0)),"")</f>
        <v/>
      </c>
      <c r="AJ94" s="19" t="str">
        <f>IFERROR(INDEX([1]DATA!$AH:$AH,MATCH('[1]BC_ ĐG LX'!$C94&amp;'[1]BC_ ĐG LX'!AJ$3,[1]DATA!$AW:$AW,0)),"")</f>
        <v/>
      </c>
      <c r="AK94" s="26">
        <f t="shared" si="5"/>
        <v>9.6</v>
      </c>
      <c r="AL94" s="21"/>
      <c r="AM94" s="22">
        <f t="shared" si="3"/>
        <v>25</v>
      </c>
      <c r="AN94" s="22" t="str">
        <f>_xlfn.XLOOKUP(B94,[1]DATA!AF:AF,[1]DATA!AX:AX)</f>
        <v>Nga</v>
      </c>
      <c r="AO94"/>
    </row>
    <row r="95" spans="1:41" s="22" customFormat="1" ht="14.25" customHeight="1">
      <c r="A95" s="16">
        <f>SUBTOTAL(3,$D$93:D95)</f>
        <v>3</v>
      </c>
      <c r="B95" s="16" t="str">
        <f>_xlfn.XLOOKUP(C95,[1]DATA!D:D,[1]DATA!AF:AF)</f>
        <v>XE00122</v>
      </c>
      <c r="C95" s="18" t="s">
        <v>118</v>
      </c>
      <c r="D95" s="16" t="s">
        <v>21</v>
      </c>
      <c r="E95" s="18" t="s">
        <v>17</v>
      </c>
      <c r="F95" s="18" t="s">
        <v>18</v>
      </c>
      <c r="G95" s="19">
        <f>IFERROR(INDEX([1]DATA!$AH:$AH,MATCH('[1]BC_ ĐG LX'!$C95&amp;'[1]BC_ ĐG LX'!G$3,[1]DATA!$AW:$AW,0)),"")</f>
        <v>9.02</v>
      </c>
      <c r="H95" s="19">
        <f>IFERROR(INDEX([1]DATA!$AH:$AH,MATCH('[1]BC_ ĐG LX'!$C95&amp;'[1]BC_ ĐG LX'!H$3,[1]DATA!$AW:$AW,0)),"")</f>
        <v>9.82</v>
      </c>
      <c r="I95" s="19">
        <f>IFERROR(INDEX([1]DATA!$AH:$AH,MATCH('[1]BC_ ĐG LX'!$C95&amp;'[1]BC_ ĐG LX'!I$3,[1]DATA!$AW:$AW,0)),"")</f>
        <v>8.6199999999999992</v>
      </c>
      <c r="J95" s="19">
        <f>IFERROR(INDEX([1]DATA!$AH:$AH,MATCH('[1]BC_ ĐG LX'!$C95&amp;'[1]BC_ ĐG LX'!J$3,[1]DATA!$AW:$AW,0)),"")</f>
        <v>9.82</v>
      </c>
      <c r="K95" s="19">
        <f>IFERROR(INDEX([1]DATA!$AH:$AH,MATCH('[1]BC_ ĐG LX'!$C95&amp;'[1]BC_ ĐG LX'!K$3,[1]DATA!$AW:$AW,0)),"")</f>
        <v>9.82</v>
      </c>
      <c r="L95" s="19">
        <f>IFERROR(INDEX([1]DATA!$AH:$AH,MATCH('[1]BC_ ĐG LX'!$C95&amp;'[1]BC_ ĐG LX'!L$3,[1]DATA!$AW:$AW,0)),"")</f>
        <v>9.42</v>
      </c>
      <c r="M95" s="19">
        <f>IFERROR(INDEX([1]DATA!$AH:$AH,MATCH('[1]BC_ ĐG LX'!$C95&amp;'[1]BC_ ĐG LX'!M$3,[1]DATA!$AW:$AW,0)),"")</f>
        <v>9.42</v>
      </c>
      <c r="N95" s="19">
        <f>IFERROR(INDEX([1]DATA!$AH:$AH,MATCH('[1]BC_ ĐG LX'!$C95&amp;'[1]BC_ ĐG LX'!N$3,[1]DATA!$AW:$AW,0)),"")</f>
        <v>9.82</v>
      </c>
      <c r="O95" s="19">
        <f>IFERROR(INDEX([1]DATA!$AH:$AH,MATCH('[1]BC_ ĐG LX'!$C95&amp;'[1]BC_ ĐG LX'!O$3,[1]DATA!$AW:$AW,0)),"")</f>
        <v>9.42</v>
      </c>
      <c r="P95" s="19">
        <f>IFERROR(INDEX([1]DATA!$AH:$AH,MATCH('[1]BC_ ĐG LX'!$C95&amp;'[1]BC_ ĐG LX'!P$3,[1]DATA!$AW:$AW,0)),"")</f>
        <v>9.82</v>
      </c>
      <c r="Q95" s="19">
        <f>IFERROR(INDEX([1]DATA!$AH:$AH,MATCH('[1]BC_ ĐG LX'!$C95&amp;'[1]BC_ ĐG LX'!Q$3,[1]DATA!$AW:$AW,0)),"")</f>
        <v>7.82</v>
      </c>
      <c r="R95" s="19">
        <f>IFERROR(INDEX([1]DATA!$AH:$AH,MATCH('[1]BC_ ĐG LX'!$C95&amp;'[1]BC_ ĐG LX'!R$3,[1]DATA!$AW:$AW,0)),"")</f>
        <v>9.82</v>
      </c>
      <c r="S95" s="19">
        <f>IFERROR(INDEX([1]DATA!$AH:$AH,MATCH('[1]BC_ ĐG LX'!$C95&amp;'[1]BC_ ĐG LX'!S$3,[1]DATA!$AW:$AW,0)),"")</f>
        <v>9.42</v>
      </c>
      <c r="T95" s="19">
        <f>IFERROR(INDEX([1]DATA!$AH:$AH,MATCH('[1]BC_ ĐG LX'!$C95&amp;'[1]BC_ ĐG LX'!T$3,[1]DATA!$AW:$AW,0)),"")</f>
        <v>9.82</v>
      </c>
      <c r="U95" s="19">
        <f>IFERROR(INDEX([1]DATA!$AH:$AH,MATCH('[1]BC_ ĐG LX'!$C95&amp;'[1]BC_ ĐG LX'!U$3,[1]DATA!$AW:$AW,0)),"")</f>
        <v>9.42</v>
      </c>
      <c r="V95" s="19">
        <f>IFERROR(INDEX([1]DATA!$AH:$AH,MATCH('[1]BC_ ĐG LX'!$C95&amp;'[1]BC_ ĐG LX'!V$3,[1]DATA!$AW:$AW,0)),"")</f>
        <v>9.42</v>
      </c>
      <c r="W95" s="19">
        <f>IFERROR(INDEX([1]DATA!$AH:$AH,MATCH('[1]BC_ ĐG LX'!$C95&amp;'[1]BC_ ĐG LX'!W$3,[1]DATA!$AW:$AW,0)),"")</f>
        <v>9.82</v>
      </c>
      <c r="X95" s="19">
        <f>IFERROR(INDEX([1]DATA!$AH:$AH,MATCH('[1]BC_ ĐG LX'!$C95&amp;'[1]BC_ ĐG LX'!X$3,[1]DATA!$AW:$AW,0)),"")</f>
        <v>8.84</v>
      </c>
      <c r="Y95" s="19">
        <f>IFERROR(INDEX([1]DATA!$AH:$AH,MATCH('[1]BC_ ĐG LX'!$C95&amp;'[1]BC_ ĐG LX'!Y$3,[1]DATA!$AW:$AW,0)),"")</f>
        <v>9.82</v>
      </c>
      <c r="Z95" s="19">
        <f>IFERROR(INDEX([1]DATA!$AH:$AH,MATCH('[1]BC_ ĐG LX'!$C95&amp;'[1]BC_ ĐG LX'!Z$3,[1]DATA!$AW:$AW,0)),"")</f>
        <v>9.82</v>
      </c>
      <c r="AA95" s="19">
        <f>IFERROR(INDEX([1]DATA!$AH:$AH,MATCH('[1]BC_ ĐG LX'!$C95&amp;'[1]BC_ ĐG LX'!AA$3,[1]DATA!$AW:$AW,0)),"")</f>
        <v>9.7199999999999989</v>
      </c>
      <c r="AB95" s="19">
        <f>IFERROR(INDEX([1]DATA!$AH:$AH,MATCH('[1]BC_ ĐG LX'!$C95&amp;'[1]BC_ ĐG LX'!AB$3,[1]DATA!$AW:$AW,0)),"")</f>
        <v>9.6199999999999992</v>
      </c>
      <c r="AC95" s="19">
        <f>IFERROR(INDEX([1]DATA!$AH:$AH,MATCH('[1]BC_ ĐG LX'!$C95&amp;'[1]BC_ ĐG LX'!AC$3,[1]DATA!$AW:$AW,0)),"")</f>
        <v>9.42</v>
      </c>
      <c r="AD95" s="19">
        <f>IFERROR(INDEX([1]DATA!$AH:$AH,MATCH('[1]BC_ ĐG LX'!$C95&amp;'[1]BC_ ĐG LX'!AD$3,[1]DATA!$AW:$AW,0)),"")</f>
        <v>9.82</v>
      </c>
      <c r="AE95" s="19">
        <f>IFERROR(INDEX([1]DATA!$AH:$AH,MATCH('[1]BC_ ĐG LX'!$C95&amp;'[1]BC_ ĐG LX'!AE$3,[1]DATA!$AW:$AW,0)),"")</f>
        <v>9.02</v>
      </c>
      <c r="AF95" s="19" t="str">
        <f>IFERROR(INDEX([1]DATA!$AH:$AH,MATCH('[1]BC_ ĐG LX'!$C95&amp;'[1]BC_ ĐG LX'!AF$3,[1]DATA!$AW:$AW,0)),"")</f>
        <v/>
      </c>
      <c r="AG95" s="19" t="str">
        <f>IFERROR(INDEX([1]DATA!$AH:$AH,MATCH('[1]BC_ ĐG LX'!$C95&amp;'[1]BC_ ĐG LX'!AG$3,[1]DATA!$AW:$AW,0)),"")</f>
        <v/>
      </c>
      <c r="AH95" s="19" t="str">
        <f>IFERROR(INDEX([1]DATA!$AH:$AH,MATCH('[1]BC_ ĐG LX'!$C95&amp;'[1]BC_ ĐG LX'!AH$3,[1]DATA!$AW:$AW,0)),"")</f>
        <v/>
      </c>
      <c r="AI95" s="19" t="str">
        <f>IFERROR(INDEX([1]DATA!$AH:$AH,MATCH('[1]BC_ ĐG LX'!$C95&amp;'[1]BC_ ĐG LX'!AI$3,[1]DATA!$AW:$AW,0)),"")</f>
        <v/>
      </c>
      <c r="AJ95" s="19" t="str">
        <f>IFERROR(INDEX([1]DATA!$AH:$AH,MATCH('[1]BC_ ĐG LX'!$C95&amp;'[1]BC_ ĐG LX'!AJ$3,[1]DATA!$AW:$AW,0)),"")</f>
        <v/>
      </c>
      <c r="AK95" s="26">
        <f t="shared" si="5"/>
        <v>9.5</v>
      </c>
      <c r="AL95" s="21"/>
      <c r="AM95" s="22">
        <f t="shared" ref="AM95:AM131" si="6">COUNTIF((G95:AJ95),"&gt;"&amp;0)</f>
        <v>25</v>
      </c>
      <c r="AN95" s="22" t="str">
        <f>_xlfn.XLOOKUP(B95,[1]DATA!AF:AF,[1]DATA!AX:AX)</f>
        <v>Hằng</v>
      </c>
      <c r="AO95"/>
    </row>
    <row r="96" spans="1:41" s="22" customFormat="1" ht="14.25" customHeight="1">
      <c r="A96" s="16">
        <f>SUBTOTAL(3,$D$93:D96)</f>
        <v>4</v>
      </c>
      <c r="B96" s="16" t="str">
        <f>_xlfn.XLOOKUP(C96,[1]DATA!D:D,[1]DATA!AF:AF)</f>
        <v>XE00148</v>
      </c>
      <c r="C96" s="18" t="s">
        <v>119</v>
      </c>
      <c r="D96" s="16" t="s">
        <v>21</v>
      </c>
      <c r="E96" s="18" t="s">
        <v>17</v>
      </c>
      <c r="F96" s="18" t="s">
        <v>18</v>
      </c>
      <c r="G96" s="19">
        <f>IFERROR(INDEX([1]DATA!$AH:$AH,MATCH('[1]BC_ ĐG LX'!$C96&amp;'[1]BC_ ĐG LX'!G$3,[1]DATA!$AW:$AW,0)),"")</f>
        <v>9.82</v>
      </c>
      <c r="H96" s="19">
        <f>IFERROR(INDEX([1]DATA!$AH:$AH,MATCH('[1]BC_ ĐG LX'!$C96&amp;'[1]BC_ ĐG LX'!H$3,[1]DATA!$AW:$AW,0)),"")</f>
        <v>9.42</v>
      </c>
      <c r="I96" s="19">
        <f>IFERROR(INDEX([1]DATA!$AH:$AH,MATCH('[1]BC_ ĐG LX'!$C96&amp;'[1]BC_ ĐG LX'!I$3,[1]DATA!$AW:$AW,0)),"")</f>
        <v>9.42</v>
      </c>
      <c r="J96" s="19">
        <f>IFERROR(INDEX([1]DATA!$AH:$AH,MATCH('[1]BC_ ĐG LX'!$C96&amp;'[1]BC_ ĐG LX'!J$3,[1]DATA!$AW:$AW,0)),"")</f>
        <v>9.82</v>
      </c>
      <c r="K96" s="19">
        <f>IFERROR(INDEX([1]DATA!$AH:$AH,MATCH('[1]BC_ ĐG LX'!$C96&amp;'[1]BC_ ĐG LX'!K$3,[1]DATA!$AW:$AW,0)),"")</f>
        <v>9.02</v>
      </c>
      <c r="L96" s="19">
        <f>IFERROR(INDEX([1]DATA!$AH:$AH,MATCH('[1]BC_ ĐG LX'!$C96&amp;'[1]BC_ ĐG LX'!L$3,[1]DATA!$AW:$AW,0)),"")</f>
        <v>9.82</v>
      </c>
      <c r="M96" s="19">
        <f>IFERROR(INDEX([1]DATA!$AH:$AH,MATCH('[1]BC_ ĐG LX'!$C96&amp;'[1]BC_ ĐG LX'!M$3,[1]DATA!$AW:$AW,0)),"")</f>
        <v>9.82</v>
      </c>
      <c r="N96" s="19">
        <f>IFERROR(INDEX([1]DATA!$AH:$AH,MATCH('[1]BC_ ĐG LX'!$C96&amp;'[1]BC_ ĐG LX'!N$3,[1]DATA!$AW:$AW,0)),"")</f>
        <v>9.82</v>
      </c>
      <c r="O96" s="19">
        <f>IFERROR(INDEX([1]DATA!$AH:$AH,MATCH('[1]BC_ ĐG LX'!$C96&amp;'[1]BC_ ĐG LX'!O$3,[1]DATA!$AW:$AW,0)),"")</f>
        <v>8.84</v>
      </c>
      <c r="P96" s="19">
        <f>IFERROR(INDEX([1]DATA!$AH:$AH,MATCH('[1]BC_ ĐG LX'!$C96&amp;'[1]BC_ ĐG LX'!P$3,[1]DATA!$AW:$AW,0)),"")</f>
        <v>9.6199999999999992</v>
      </c>
      <c r="Q96" s="19">
        <f>IFERROR(INDEX([1]DATA!$AH:$AH,MATCH('[1]BC_ ĐG LX'!$C96&amp;'[1]BC_ ĐG LX'!Q$3,[1]DATA!$AW:$AW,0)),"")</f>
        <v>9.42</v>
      </c>
      <c r="R96" s="19">
        <f>IFERROR(INDEX([1]DATA!$AH:$AH,MATCH('[1]BC_ ĐG LX'!$C96&amp;'[1]BC_ ĐG LX'!R$3,[1]DATA!$AW:$AW,0)),"")</f>
        <v>9.82</v>
      </c>
      <c r="S96" s="19">
        <f>IFERROR(INDEX([1]DATA!$AH:$AH,MATCH('[1]BC_ ĐG LX'!$C96&amp;'[1]BC_ ĐG LX'!S$3,[1]DATA!$AW:$AW,0)),"")</f>
        <v>9.42</v>
      </c>
      <c r="T96" s="19">
        <f>IFERROR(INDEX([1]DATA!$AH:$AH,MATCH('[1]BC_ ĐG LX'!$C96&amp;'[1]BC_ ĐG LX'!T$3,[1]DATA!$AW:$AW,0)),"")</f>
        <v>9.42</v>
      </c>
      <c r="U96" s="19">
        <f>IFERROR(INDEX([1]DATA!$AH:$AH,MATCH('[1]BC_ ĐG LX'!$C96&amp;'[1]BC_ ĐG LX'!U$3,[1]DATA!$AW:$AW,0)),"")</f>
        <v>9.6199999999999992</v>
      </c>
      <c r="V96" s="19">
        <f>IFERROR(INDEX([1]DATA!$AH:$AH,MATCH('[1]BC_ ĐG LX'!$C96&amp;'[1]BC_ ĐG LX'!V$3,[1]DATA!$AW:$AW,0)),"")</f>
        <v>9.42</v>
      </c>
      <c r="W96" s="19">
        <f>IFERROR(INDEX([1]DATA!$AH:$AH,MATCH('[1]BC_ ĐG LX'!$C96&amp;'[1]BC_ ĐG LX'!W$3,[1]DATA!$AW:$AW,0)),"")</f>
        <v>9.82</v>
      </c>
      <c r="X96" s="19">
        <f>IFERROR(INDEX([1]DATA!$AH:$AH,MATCH('[1]BC_ ĐG LX'!$C96&amp;'[1]BC_ ĐG LX'!X$3,[1]DATA!$AW:$AW,0)),"")</f>
        <v>9.42</v>
      </c>
      <c r="Y96" s="19">
        <f>IFERROR(INDEX([1]DATA!$AH:$AH,MATCH('[1]BC_ ĐG LX'!$C96&amp;'[1]BC_ ĐG LX'!Y$3,[1]DATA!$AW:$AW,0)),"")</f>
        <v>9.24</v>
      </c>
      <c r="Z96" s="19">
        <f>IFERROR(INDEX([1]DATA!$AH:$AH,MATCH('[1]BC_ ĐG LX'!$C96&amp;'[1]BC_ ĐG LX'!Z$3,[1]DATA!$AW:$AW,0)),"")</f>
        <v>8.84</v>
      </c>
      <c r="AA96" s="19">
        <f>IFERROR(INDEX([1]DATA!$AH:$AH,MATCH('[1]BC_ ĐG LX'!$C96&amp;'[1]BC_ ĐG LX'!AA$3,[1]DATA!$AW:$AW,0)),"")</f>
        <v>8.84</v>
      </c>
      <c r="AB96" s="19">
        <f>IFERROR(INDEX([1]DATA!$AH:$AH,MATCH('[1]BC_ ĐG LX'!$C96&amp;'[1]BC_ ĐG LX'!AB$3,[1]DATA!$AW:$AW,0)),"")</f>
        <v>9.42</v>
      </c>
      <c r="AC96" s="19">
        <f>IFERROR(INDEX([1]DATA!$AH:$AH,MATCH('[1]BC_ ĐG LX'!$C96&amp;'[1]BC_ ĐG LX'!AC$3,[1]DATA!$AW:$AW,0)),"")</f>
        <v>9.42</v>
      </c>
      <c r="AD96" s="19">
        <f>IFERROR(INDEX([1]DATA!$AH:$AH,MATCH('[1]BC_ ĐG LX'!$C96&amp;'[1]BC_ ĐG LX'!AD$3,[1]DATA!$AW:$AW,0)),"")</f>
        <v>9.42</v>
      </c>
      <c r="AE96" s="19">
        <f>IFERROR(INDEX([1]DATA!$AH:$AH,MATCH('[1]BC_ ĐG LX'!$C96&amp;'[1]BC_ ĐG LX'!AE$3,[1]DATA!$AW:$AW,0)),"")</f>
        <v>9.82</v>
      </c>
      <c r="AF96" s="19" t="str">
        <f>IFERROR(INDEX([1]DATA!$AH:$AH,MATCH('[1]BC_ ĐG LX'!$C96&amp;'[1]BC_ ĐG LX'!AF$3,[1]DATA!$AW:$AW,0)),"")</f>
        <v/>
      </c>
      <c r="AG96" s="19" t="str">
        <f>IFERROR(INDEX([1]DATA!$AH:$AH,MATCH('[1]BC_ ĐG LX'!$C96&amp;'[1]BC_ ĐG LX'!AG$3,[1]DATA!$AW:$AW,0)),"")</f>
        <v/>
      </c>
      <c r="AH96" s="19" t="str">
        <f>IFERROR(INDEX([1]DATA!$AH:$AH,MATCH('[1]BC_ ĐG LX'!$C96&amp;'[1]BC_ ĐG LX'!AH$3,[1]DATA!$AW:$AW,0)),"")</f>
        <v/>
      </c>
      <c r="AI96" s="19" t="str">
        <f>IFERROR(INDEX([1]DATA!$AH:$AH,MATCH('[1]BC_ ĐG LX'!$C96&amp;'[1]BC_ ĐG LX'!AI$3,[1]DATA!$AW:$AW,0)),"")</f>
        <v/>
      </c>
      <c r="AJ96" s="19" t="str">
        <f>IFERROR(INDEX([1]DATA!$AH:$AH,MATCH('[1]BC_ ĐG LX'!$C96&amp;'[1]BC_ ĐG LX'!AJ$3,[1]DATA!$AW:$AW,0)),"")</f>
        <v/>
      </c>
      <c r="AK96" s="26">
        <f t="shared" si="5"/>
        <v>9.5</v>
      </c>
      <c r="AL96" s="21"/>
      <c r="AM96" s="22">
        <f t="shared" si="6"/>
        <v>25</v>
      </c>
      <c r="AN96" s="22" t="str">
        <f>_xlfn.XLOOKUP(B96,[1]DATA!AF:AF,[1]DATA!AX:AX)</f>
        <v>Nga</v>
      </c>
      <c r="AO96"/>
    </row>
    <row r="97" spans="1:41" s="22" customFormat="1" ht="14.25" customHeight="1">
      <c r="A97" s="16">
        <f>SUBTOTAL(3,$D$93:D97)</f>
        <v>5</v>
      </c>
      <c r="B97" s="16" t="str">
        <f>_xlfn.XLOOKUP(C97,[1]DATA!D:D,[1]DATA!AF:AF)</f>
        <v>XE00187</v>
      </c>
      <c r="C97" s="18" t="s">
        <v>120</v>
      </c>
      <c r="D97" s="16" t="s">
        <v>21</v>
      </c>
      <c r="E97" s="18" t="s">
        <v>17</v>
      </c>
      <c r="F97" s="18" t="s">
        <v>18</v>
      </c>
      <c r="G97" s="19">
        <f>IFERROR(INDEX([1]DATA!$AH:$AH,MATCH('[1]BC_ ĐG LX'!$C97&amp;'[1]BC_ ĐG LX'!G$3,[1]DATA!$AW:$AW,0)),"")</f>
        <v>9.82</v>
      </c>
      <c r="H97" s="19">
        <f>IFERROR(INDEX([1]DATA!$AH:$AH,MATCH('[1]BC_ ĐG LX'!$C97&amp;'[1]BC_ ĐG LX'!H$3,[1]DATA!$AW:$AW,0)),"")</f>
        <v>9.64</v>
      </c>
      <c r="I97" s="19">
        <f>IFERROR(INDEX([1]DATA!$AH:$AH,MATCH('[1]BC_ ĐG LX'!$C97&amp;'[1]BC_ ĐG LX'!I$3,[1]DATA!$AW:$AW,0)),"")</f>
        <v>9.02</v>
      </c>
      <c r="J97" s="19">
        <f>IFERROR(INDEX([1]DATA!$AH:$AH,MATCH('[1]BC_ ĐG LX'!$C97&amp;'[1]BC_ ĐG LX'!J$3,[1]DATA!$AW:$AW,0)),"")</f>
        <v>9.42</v>
      </c>
      <c r="K97" s="19">
        <f>IFERROR(INDEX([1]DATA!$AH:$AH,MATCH('[1]BC_ ĐG LX'!$C97&amp;'[1]BC_ ĐG LX'!K$3,[1]DATA!$AW:$AW,0)),"")</f>
        <v>9.42</v>
      </c>
      <c r="L97" s="19">
        <f>IFERROR(INDEX([1]DATA!$AH:$AH,MATCH('[1]BC_ ĐG LX'!$C97&amp;'[1]BC_ ĐG LX'!L$3,[1]DATA!$AW:$AW,0)),"")</f>
        <v>9.82</v>
      </c>
      <c r="M97" s="19">
        <f>IFERROR(INDEX([1]DATA!$AH:$AH,MATCH('[1]BC_ ĐG LX'!$C97&amp;'[1]BC_ ĐG LX'!M$3,[1]DATA!$AW:$AW,0)),"")</f>
        <v>9.6199999999999992</v>
      </c>
      <c r="N97" s="19">
        <f>IFERROR(INDEX([1]DATA!$AH:$AH,MATCH('[1]BC_ ĐG LX'!$C97&amp;'[1]BC_ ĐG LX'!N$3,[1]DATA!$AW:$AW,0)),"")</f>
        <v>9.82</v>
      </c>
      <c r="O97" s="19">
        <f>IFERROR(INDEX([1]DATA!$AH:$AH,MATCH('[1]BC_ ĐG LX'!$C97&amp;'[1]BC_ ĐG LX'!O$3,[1]DATA!$AW:$AW,0)),"")</f>
        <v>9.82</v>
      </c>
      <c r="P97" s="19">
        <f>IFERROR(INDEX([1]DATA!$AH:$AH,MATCH('[1]BC_ ĐG LX'!$C97&amp;'[1]BC_ ĐG LX'!P$3,[1]DATA!$AW:$AW,0)),"")</f>
        <v>9.42</v>
      </c>
      <c r="Q97" s="19">
        <f>IFERROR(INDEX([1]DATA!$AH:$AH,MATCH('[1]BC_ ĐG LX'!$C97&amp;'[1]BC_ ĐG LX'!Q$3,[1]DATA!$AW:$AW,0)),"")</f>
        <v>9.42</v>
      </c>
      <c r="R97" s="19">
        <f>IFERROR(INDEX([1]DATA!$AH:$AH,MATCH('[1]BC_ ĐG LX'!$C97&amp;'[1]BC_ ĐG LX'!R$3,[1]DATA!$AW:$AW,0)),"")</f>
        <v>9.42</v>
      </c>
      <c r="S97" s="19">
        <f>IFERROR(INDEX([1]DATA!$AH:$AH,MATCH('[1]BC_ ĐG LX'!$C97&amp;'[1]BC_ ĐG LX'!S$3,[1]DATA!$AW:$AW,0)),"")</f>
        <v>9.2199999999999989</v>
      </c>
      <c r="T97" s="19">
        <f>IFERROR(INDEX([1]DATA!$AH:$AH,MATCH('[1]BC_ ĐG LX'!$C97&amp;'[1]BC_ ĐG LX'!T$3,[1]DATA!$AW:$AW,0)),"")</f>
        <v>9.82</v>
      </c>
      <c r="U97" s="19">
        <f>IFERROR(INDEX([1]DATA!$AH:$AH,MATCH('[1]BC_ ĐG LX'!$C97&amp;'[1]BC_ ĐG LX'!U$3,[1]DATA!$AW:$AW,0)),"")</f>
        <v>9.82</v>
      </c>
      <c r="V97" s="19">
        <f>IFERROR(INDEX([1]DATA!$AH:$AH,MATCH('[1]BC_ ĐG LX'!$C97&amp;'[1]BC_ ĐG LX'!V$3,[1]DATA!$AW:$AW,0)),"")</f>
        <v>9.82</v>
      </c>
      <c r="W97" s="19">
        <f>IFERROR(INDEX([1]DATA!$AH:$AH,MATCH('[1]BC_ ĐG LX'!$C97&amp;'[1]BC_ ĐG LX'!W$3,[1]DATA!$AW:$AW,0)),"")</f>
        <v>9.02</v>
      </c>
      <c r="X97" s="19">
        <f>IFERROR(INDEX([1]DATA!$AH:$AH,MATCH('[1]BC_ ĐG LX'!$C97&amp;'[1]BC_ ĐG LX'!X$3,[1]DATA!$AW:$AW,0)),"")</f>
        <v>8.6199999999999992</v>
      </c>
      <c r="Y97" s="19">
        <f>IFERROR(INDEX([1]DATA!$AH:$AH,MATCH('[1]BC_ ĐG LX'!$C97&amp;'[1]BC_ ĐG LX'!Y$3,[1]DATA!$AW:$AW,0)),"")</f>
        <v>9.82</v>
      </c>
      <c r="Z97" s="19">
        <f>IFERROR(INDEX([1]DATA!$AH:$AH,MATCH('[1]BC_ ĐG LX'!$C97&amp;'[1]BC_ ĐG LX'!Z$3,[1]DATA!$AW:$AW,0)),"")</f>
        <v>9.42</v>
      </c>
      <c r="AA97" s="19">
        <f>IFERROR(INDEX([1]DATA!$AH:$AH,MATCH('[1]BC_ ĐG LX'!$C97&amp;'[1]BC_ ĐG LX'!AA$3,[1]DATA!$AW:$AW,0)),"")</f>
        <v>9.02</v>
      </c>
      <c r="AB97" s="19">
        <f>IFERROR(INDEX([1]DATA!$AH:$AH,MATCH('[1]BC_ ĐG LX'!$C97&amp;'[1]BC_ ĐG LX'!AB$3,[1]DATA!$AW:$AW,0)),"")</f>
        <v>9.82</v>
      </c>
      <c r="AC97" s="19">
        <f>IFERROR(INDEX([1]DATA!$AH:$AH,MATCH('[1]BC_ ĐG LX'!$C97&amp;'[1]BC_ ĐG LX'!AC$3,[1]DATA!$AW:$AW,0)),"")</f>
        <v>9.42</v>
      </c>
      <c r="AD97" s="19">
        <f>IFERROR(INDEX([1]DATA!$AH:$AH,MATCH('[1]BC_ ĐG LX'!$C97&amp;'[1]BC_ ĐG LX'!AD$3,[1]DATA!$AW:$AW,0)),"")</f>
        <v>8.2200000000000006</v>
      </c>
      <c r="AE97" s="19">
        <f>IFERROR(INDEX([1]DATA!$AH:$AH,MATCH('[1]BC_ ĐG LX'!$C97&amp;'[1]BC_ ĐG LX'!AE$3,[1]DATA!$AW:$AW,0)),"")</f>
        <v>8.84</v>
      </c>
      <c r="AF97" s="19" t="str">
        <f>IFERROR(INDEX([1]DATA!$AH:$AH,MATCH('[1]BC_ ĐG LX'!$C97&amp;'[1]BC_ ĐG LX'!AF$3,[1]DATA!$AW:$AW,0)),"")</f>
        <v/>
      </c>
      <c r="AG97" s="19" t="str">
        <f>IFERROR(INDEX([1]DATA!$AH:$AH,MATCH('[1]BC_ ĐG LX'!$C97&amp;'[1]BC_ ĐG LX'!AG$3,[1]DATA!$AW:$AW,0)),"")</f>
        <v/>
      </c>
      <c r="AH97" s="19" t="str">
        <f>IFERROR(INDEX([1]DATA!$AH:$AH,MATCH('[1]BC_ ĐG LX'!$C97&amp;'[1]BC_ ĐG LX'!AH$3,[1]DATA!$AW:$AW,0)),"")</f>
        <v/>
      </c>
      <c r="AI97" s="19" t="str">
        <f>IFERROR(INDEX([1]DATA!$AH:$AH,MATCH('[1]BC_ ĐG LX'!$C97&amp;'[1]BC_ ĐG LX'!AI$3,[1]DATA!$AW:$AW,0)),"")</f>
        <v/>
      </c>
      <c r="AJ97" s="19" t="str">
        <f>IFERROR(INDEX([1]DATA!$AH:$AH,MATCH('[1]BC_ ĐG LX'!$C97&amp;'[1]BC_ ĐG LX'!AJ$3,[1]DATA!$AW:$AW,0)),"")</f>
        <v/>
      </c>
      <c r="AK97" s="26">
        <f t="shared" si="5"/>
        <v>9.5</v>
      </c>
      <c r="AL97" s="21"/>
      <c r="AM97" s="22">
        <f t="shared" si="6"/>
        <v>25</v>
      </c>
      <c r="AN97" s="22" t="str">
        <f>_xlfn.XLOOKUP(B97,[1]DATA!AF:AF,[1]DATA!AX:AX)</f>
        <v>Nga</v>
      </c>
      <c r="AO97"/>
    </row>
    <row r="98" spans="1:41" s="22" customFormat="1" ht="14.25" customHeight="1">
      <c r="A98" s="16">
        <f>SUBTOTAL(3,$D$93:D98)</f>
        <v>6</v>
      </c>
      <c r="B98" s="16" t="str">
        <f>_xlfn.XLOOKUP(C98,[1]DATA!D:D,[1]DATA!AF:AF)</f>
        <v>XE00234</v>
      </c>
      <c r="C98" s="18" t="s">
        <v>121</v>
      </c>
      <c r="D98" s="16" t="s">
        <v>21</v>
      </c>
      <c r="E98" s="18" t="s">
        <v>17</v>
      </c>
      <c r="F98" s="18" t="s">
        <v>18</v>
      </c>
      <c r="G98" s="19">
        <f>IFERROR(INDEX([1]DATA!$AH:$AH,MATCH('[1]BC_ ĐG LX'!$C98&amp;'[1]BC_ ĐG LX'!G$3,[1]DATA!$AW:$AW,0)),"")</f>
        <v>9.82</v>
      </c>
      <c r="H98" s="19">
        <f>IFERROR(INDEX([1]DATA!$AH:$AH,MATCH('[1]BC_ ĐG LX'!$C98&amp;'[1]BC_ ĐG LX'!H$3,[1]DATA!$AW:$AW,0)),"")</f>
        <v>9.02</v>
      </c>
      <c r="I98" s="19">
        <f>IFERROR(INDEX([1]DATA!$AH:$AH,MATCH('[1]BC_ ĐG LX'!$C98&amp;'[1]BC_ ĐG LX'!I$3,[1]DATA!$AW:$AW,0)),"")</f>
        <v>9.02</v>
      </c>
      <c r="J98" s="19">
        <f>IFERROR(INDEX([1]DATA!$AH:$AH,MATCH('[1]BC_ ĐG LX'!$C98&amp;'[1]BC_ ĐG LX'!J$3,[1]DATA!$AW:$AW,0)),"")</f>
        <v>9.82</v>
      </c>
      <c r="K98" s="19">
        <f>IFERROR(INDEX([1]DATA!$AH:$AH,MATCH('[1]BC_ ĐG LX'!$C98&amp;'[1]BC_ ĐG LX'!K$3,[1]DATA!$AW:$AW,0)),"")</f>
        <v>9.42</v>
      </c>
      <c r="L98" s="19">
        <f>IFERROR(INDEX([1]DATA!$AH:$AH,MATCH('[1]BC_ ĐG LX'!$C98&amp;'[1]BC_ ĐG LX'!L$3,[1]DATA!$AW:$AW,0)),"")</f>
        <v>9.82</v>
      </c>
      <c r="M98" s="19">
        <f>IFERROR(INDEX([1]DATA!$AH:$AH,MATCH('[1]BC_ ĐG LX'!$C98&amp;'[1]BC_ ĐG LX'!M$3,[1]DATA!$AW:$AW,0)),"")</f>
        <v>9.82</v>
      </c>
      <c r="N98" s="19">
        <f>IFERROR(INDEX([1]DATA!$AH:$AH,MATCH('[1]BC_ ĐG LX'!$C98&amp;'[1]BC_ ĐG LX'!N$3,[1]DATA!$AW:$AW,0)),"")</f>
        <v>9.42</v>
      </c>
      <c r="O98" s="19">
        <f>IFERROR(INDEX([1]DATA!$AH:$AH,MATCH('[1]BC_ ĐG LX'!$C98&amp;'[1]BC_ ĐG LX'!O$3,[1]DATA!$AW:$AW,0)),"")</f>
        <v>9.82</v>
      </c>
      <c r="P98" s="19">
        <f>IFERROR(INDEX([1]DATA!$AH:$AH,MATCH('[1]BC_ ĐG LX'!$C98&amp;'[1]BC_ ĐG LX'!P$3,[1]DATA!$AW:$AW,0)),"")</f>
        <v>9.42</v>
      </c>
      <c r="Q98" s="19">
        <f>IFERROR(INDEX([1]DATA!$AH:$AH,MATCH('[1]BC_ ĐG LX'!$C98&amp;'[1]BC_ ĐG LX'!Q$3,[1]DATA!$AW:$AW,0)),"")</f>
        <v>9.82</v>
      </c>
      <c r="R98" s="19">
        <f>IFERROR(INDEX([1]DATA!$AH:$AH,MATCH('[1]BC_ ĐG LX'!$C98&amp;'[1]BC_ ĐG LX'!R$3,[1]DATA!$AW:$AW,0)),"")</f>
        <v>9.42</v>
      </c>
      <c r="S98" s="19">
        <f>IFERROR(INDEX([1]DATA!$AH:$AH,MATCH('[1]BC_ ĐG LX'!$C98&amp;'[1]BC_ ĐG LX'!S$3,[1]DATA!$AW:$AW,0)),"")</f>
        <v>9.42</v>
      </c>
      <c r="T98" s="19">
        <f>IFERROR(INDEX([1]DATA!$AH:$AH,MATCH('[1]BC_ ĐG LX'!$C98&amp;'[1]BC_ ĐG LX'!T$3,[1]DATA!$AW:$AW,0)),"")</f>
        <v>9.02</v>
      </c>
      <c r="U98" s="19">
        <f>IFERROR(INDEX([1]DATA!$AH:$AH,MATCH('[1]BC_ ĐG LX'!$C98&amp;'[1]BC_ ĐG LX'!U$3,[1]DATA!$AW:$AW,0)),"")</f>
        <v>9.42</v>
      </c>
      <c r="V98" s="19">
        <f>IFERROR(INDEX([1]DATA!$AH:$AH,MATCH('[1]BC_ ĐG LX'!$C98&amp;'[1]BC_ ĐG LX'!V$3,[1]DATA!$AW:$AW,0)),"")</f>
        <v>9.24</v>
      </c>
      <c r="W98" s="19">
        <f>IFERROR(INDEX([1]DATA!$AH:$AH,MATCH('[1]BC_ ĐG LX'!$C98&amp;'[1]BC_ ĐG LX'!W$3,[1]DATA!$AW:$AW,0)),"")</f>
        <v>9.82</v>
      </c>
      <c r="X98" s="19">
        <f>IFERROR(INDEX([1]DATA!$AH:$AH,MATCH('[1]BC_ ĐG LX'!$C98&amp;'[1]BC_ ĐG LX'!X$3,[1]DATA!$AW:$AW,0)),"")</f>
        <v>9.42</v>
      </c>
      <c r="Y98" s="19">
        <f>IFERROR(INDEX([1]DATA!$AH:$AH,MATCH('[1]BC_ ĐG LX'!$C98&amp;'[1]BC_ ĐG LX'!Y$3,[1]DATA!$AW:$AW,0)),"")</f>
        <v>9.42</v>
      </c>
      <c r="Z98" s="19">
        <f>IFERROR(INDEX([1]DATA!$AH:$AH,MATCH('[1]BC_ ĐG LX'!$C98&amp;'[1]BC_ ĐG LX'!Z$3,[1]DATA!$AW:$AW,0)),"")</f>
        <v>9.42</v>
      </c>
      <c r="AA98" s="19">
        <f>IFERROR(INDEX([1]DATA!$AH:$AH,MATCH('[1]BC_ ĐG LX'!$C98&amp;'[1]BC_ ĐG LX'!AA$3,[1]DATA!$AW:$AW,0)),"")</f>
        <v>9.82</v>
      </c>
      <c r="AB98" s="19">
        <f>IFERROR(INDEX([1]DATA!$AH:$AH,MATCH('[1]BC_ ĐG LX'!$C98&amp;'[1]BC_ ĐG LX'!AB$3,[1]DATA!$AW:$AW,0)),"")</f>
        <v>9.42</v>
      </c>
      <c r="AC98" s="19">
        <f>IFERROR(INDEX([1]DATA!$AH:$AH,MATCH('[1]BC_ ĐG LX'!$C98&amp;'[1]BC_ ĐG LX'!AC$3,[1]DATA!$AW:$AW,0)),"")</f>
        <v>9.82</v>
      </c>
      <c r="AD98" s="19">
        <f>IFERROR(INDEX([1]DATA!$AH:$AH,MATCH('[1]BC_ ĐG LX'!$C98&amp;'[1]BC_ ĐG LX'!AD$3,[1]DATA!$AW:$AW,0)),"")</f>
        <v>9.6199999999999992</v>
      </c>
      <c r="AE98" s="19">
        <f>IFERROR(INDEX([1]DATA!$AH:$AH,MATCH('[1]BC_ ĐG LX'!$C98&amp;'[1]BC_ ĐG LX'!AE$3,[1]DATA!$AW:$AW,0)),"")</f>
        <v>9.82</v>
      </c>
      <c r="AF98" s="19" t="str">
        <f>IFERROR(INDEX([1]DATA!$AH:$AH,MATCH('[1]BC_ ĐG LX'!$C98&amp;'[1]BC_ ĐG LX'!AF$3,[1]DATA!$AW:$AW,0)),"")</f>
        <v/>
      </c>
      <c r="AG98" s="19" t="str">
        <f>IFERROR(INDEX([1]DATA!$AH:$AH,MATCH('[1]BC_ ĐG LX'!$C98&amp;'[1]BC_ ĐG LX'!AG$3,[1]DATA!$AW:$AW,0)),"")</f>
        <v/>
      </c>
      <c r="AH98" s="19" t="str">
        <f>IFERROR(INDEX([1]DATA!$AH:$AH,MATCH('[1]BC_ ĐG LX'!$C98&amp;'[1]BC_ ĐG LX'!AH$3,[1]DATA!$AW:$AW,0)),"")</f>
        <v/>
      </c>
      <c r="AI98" s="19" t="str">
        <f>IFERROR(INDEX([1]DATA!$AH:$AH,MATCH('[1]BC_ ĐG LX'!$C98&amp;'[1]BC_ ĐG LX'!AI$3,[1]DATA!$AW:$AW,0)),"")</f>
        <v/>
      </c>
      <c r="AJ98" s="19" t="str">
        <f>IFERROR(INDEX([1]DATA!$AH:$AH,MATCH('[1]BC_ ĐG LX'!$C98&amp;'[1]BC_ ĐG LX'!AJ$3,[1]DATA!$AW:$AW,0)),"")</f>
        <v/>
      </c>
      <c r="AK98" s="26">
        <f t="shared" si="5"/>
        <v>9.6</v>
      </c>
      <c r="AL98" s="21"/>
      <c r="AM98" s="22">
        <f t="shared" si="6"/>
        <v>25</v>
      </c>
      <c r="AN98" s="22" t="str">
        <f>_xlfn.XLOOKUP(B98,[1]DATA!AF:AF,[1]DATA!AX:AX)</f>
        <v>Nga</v>
      </c>
      <c r="AO98"/>
    </row>
    <row r="99" spans="1:41" s="22" customFormat="1" ht="14.25" customHeight="1">
      <c r="A99" s="16">
        <f>SUBTOTAL(3,$D$93:D99)</f>
        <v>7</v>
      </c>
      <c r="B99" s="16" t="str">
        <f>_xlfn.XLOOKUP(C99,[1]DATA!D:D,[1]DATA!AF:AF)</f>
        <v>XE00257</v>
      </c>
      <c r="C99" s="18" t="s">
        <v>122</v>
      </c>
      <c r="D99" s="16" t="s">
        <v>21</v>
      </c>
      <c r="E99" s="18" t="s">
        <v>17</v>
      </c>
      <c r="F99" s="18" t="s">
        <v>18</v>
      </c>
      <c r="G99" s="19">
        <f>IFERROR(INDEX([1]DATA!$AH:$AH,MATCH('[1]BC_ ĐG LX'!$C99&amp;'[1]BC_ ĐG LX'!G$3,[1]DATA!$AW:$AW,0)),"")</f>
        <v>9.02</v>
      </c>
      <c r="H99" s="19">
        <f>IFERROR(INDEX([1]DATA!$AH:$AH,MATCH('[1]BC_ ĐG LX'!$C99&amp;'[1]BC_ ĐG LX'!H$3,[1]DATA!$AW:$AW,0)),"")</f>
        <v>7.6400000000000006</v>
      </c>
      <c r="I99" s="19">
        <f>IFERROR(INDEX([1]DATA!$AH:$AH,MATCH('[1]BC_ ĐG LX'!$C99&amp;'[1]BC_ ĐG LX'!I$3,[1]DATA!$AW:$AW,0)),"")</f>
        <v>8.0400000000000009</v>
      </c>
      <c r="J99" s="19">
        <f>IFERROR(INDEX([1]DATA!$AH:$AH,MATCH('[1]BC_ ĐG LX'!$C99&amp;'[1]BC_ ĐG LX'!J$3,[1]DATA!$AW:$AW,0)),"")</f>
        <v>9.42</v>
      </c>
      <c r="K99" s="19">
        <f>IFERROR(INDEX([1]DATA!$AH:$AH,MATCH('[1]BC_ ĐG LX'!$C99&amp;'[1]BC_ ĐG LX'!K$3,[1]DATA!$AW:$AW,0)),"")</f>
        <v>8.44</v>
      </c>
      <c r="L99" s="19">
        <f>IFERROR(INDEX([1]DATA!$AH:$AH,MATCH('[1]BC_ ĐG LX'!$C99&amp;'[1]BC_ ĐG LX'!L$3,[1]DATA!$AW:$AW,0)),"")</f>
        <v>9.82</v>
      </c>
      <c r="M99" s="19">
        <f>IFERROR(INDEX([1]DATA!$AH:$AH,MATCH('[1]BC_ ĐG LX'!$C99&amp;'[1]BC_ ĐG LX'!M$3,[1]DATA!$AW:$AW,0)),"")</f>
        <v>9.02</v>
      </c>
      <c r="N99" s="19">
        <f>IFERROR(INDEX([1]DATA!$AH:$AH,MATCH('[1]BC_ ĐG LX'!$C99&amp;'[1]BC_ ĐG LX'!N$3,[1]DATA!$AW:$AW,0)),"")</f>
        <v>9.42</v>
      </c>
      <c r="O99" s="19">
        <f>IFERROR(INDEX([1]DATA!$AH:$AH,MATCH('[1]BC_ ĐG LX'!$C99&amp;'[1]BC_ ĐG LX'!O$3,[1]DATA!$AW:$AW,0)),"")</f>
        <v>9.82</v>
      </c>
      <c r="P99" s="19">
        <f>IFERROR(INDEX([1]DATA!$AH:$AH,MATCH('[1]BC_ ĐG LX'!$C99&amp;'[1]BC_ ĐG LX'!P$3,[1]DATA!$AW:$AW,0)),"")</f>
        <v>9.02</v>
      </c>
      <c r="Q99" s="19">
        <f>IFERROR(INDEX([1]DATA!$AH:$AH,MATCH('[1]BC_ ĐG LX'!$C99&amp;'[1]BC_ ĐG LX'!Q$3,[1]DATA!$AW:$AW,0)),"")</f>
        <v>9.02</v>
      </c>
      <c r="R99" s="19">
        <f>IFERROR(INDEX([1]DATA!$AH:$AH,MATCH('[1]BC_ ĐG LX'!$C99&amp;'[1]BC_ ĐG LX'!R$3,[1]DATA!$AW:$AW,0)),"")</f>
        <v>9.82</v>
      </c>
      <c r="S99" s="19">
        <f>IFERROR(INDEX([1]DATA!$AH:$AH,MATCH('[1]BC_ ĐG LX'!$C99&amp;'[1]BC_ ĐG LX'!S$3,[1]DATA!$AW:$AW,0)),"")</f>
        <v>9.82</v>
      </c>
      <c r="T99" s="19">
        <f>IFERROR(INDEX([1]DATA!$AH:$AH,MATCH('[1]BC_ ĐG LX'!$C99&amp;'[1]BC_ ĐG LX'!T$3,[1]DATA!$AW:$AW,0)),"")</f>
        <v>9.82</v>
      </c>
      <c r="U99" s="19">
        <f>IFERROR(INDEX([1]DATA!$AH:$AH,MATCH('[1]BC_ ĐG LX'!$C99&amp;'[1]BC_ ĐG LX'!U$3,[1]DATA!$AW:$AW,0)),"")</f>
        <v>9.42</v>
      </c>
      <c r="V99" s="19">
        <f>IFERROR(INDEX([1]DATA!$AH:$AH,MATCH('[1]BC_ ĐG LX'!$C99&amp;'[1]BC_ ĐG LX'!V$3,[1]DATA!$AW:$AW,0)),"")</f>
        <v>9.82</v>
      </c>
      <c r="W99" s="19">
        <f>IFERROR(INDEX([1]DATA!$AH:$AH,MATCH('[1]BC_ ĐG LX'!$C99&amp;'[1]BC_ ĐG LX'!W$3,[1]DATA!$AW:$AW,0)),"")</f>
        <v>9.6199999999999992</v>
      </c>
      <c r="X99" s="19">
        <f>IFERROR(INDEX([1]DATA!$AH:$AH,MATCH('[1]BC_ ĐG LX'!$C99&amp;'[1]BC_ ĐG LX'!X$3,[1]DATA!$AW:$AW,0)),"")</f>
        <v>8.02</v>
      </c>
      <c r="Y99" s="19">
        <f>IFERROR(INDEX([1]DATA!$AH:$AH,MATCH('[1]BC_ ĐG LX'!$C99&amp;'[1]BC_ ĐG LX'!Y$3,[1]DATA!$AW:$AW,0)),"")</f>
        <v>9.42</v>
      </c>
      <c r="Z99" s="19">
        <f>IFERROR(INDEX([1]DATA!$AH:$AH,MATCH('[1]BC_ ĐG LX'!$C99&amp;'[1]BC_ ĐG LX'!Z$3,[1]DATA!$AW:$AW,0)),"")</f>
        <v>9.42</v>
      </c>
      <c r="AA99" s="19">
        <f>IFERROR(INDEX([1]DATA!$AH:$AH,MATCH('[1]BC_ ĐG LX'!$C99&amp;'[1]BC_ ĐG LX'!AA$3,[1]DATA!$AW:$AW,0)),"")</f>
        <v>9.42</v>
      </c>
      <c r="AB99" s="19">
        <f>IFERROR(INDEX([1]DATA!$AH:$AH,MATCH('[1]BC_ ĐG LX'!$C99&amp;'[1]BC_ ĐG LX'!AB$3,[1]DATA!$AW:$AW,0)),"")</f>
        <v>9.82</v>
      </c>
      <c r="AC99" s="19">
        <f>IFERROR(INDEX([1]DATA!$AH:$AH,MATCH('[1]BC_ ĐG LX'!$C99&amp;'[1]BC_ ĐG LX'!AC$3,[1]DATA!$AW:$AW,0)),"")</f>
        <v>9.42</v>
      </c>
      <c r="AD99" s="19">
        <f>IFERROR(INDEX([1]DATA!$AH:$AH,MATCH('[1]BC_ ĐG LX'!$C99&amp;'[1]BC_ ĐG LX'!AD$3,[1]DATA!$AW:$AW,0)),"")</f>
        <v>9.02</v>
      </c>
      <c r="AE99" s="19">
        <f>IFERROR(INDEX([1]DATA!$AH:$AH,MATCH('[1]BC_ ĐG LX'!$C99&amp;'[1]BC_ ĐG LX'!AE$3,[1]DATA!$AW:$AW,0)),"")</f>
        <v>8.6199999999999992</v>
      </c>
      <c r="AF99" s="19" t="str">
        <f>IFERROR(INDEX([1]DATA!$AH:$AH,MATCH('[1]BC_ ĐG LX'!$C99&amp;'[1]BC_ ĐG LX'!AF$3,[1]DATA!$AW:$AW,0)),"")</f>
        <v/>
      </c>
      <c r="AG99" s="19" t="str">
        <f>IFERROR(INDEX([1]DATA!$AH:$AH,MATCH('[1]BC_ ĐG LX'!$C99&amp;'[1]BC_ ĐG LX'!AG$3,[1]DATA!$AW:$AW,0)),"")</f>
        <v/>
      </c>
      <c r="AH99" s="19" t="str">
        <f>IFERROR(INDEX([1]DATA!$AH:$AH,MATCH('[1]BC_ ĐG LX'!$C99&amp;'[1]BC_ ĐG LX'!AH$3,[1]DATA!$AW:$AW,0)),"")</f>
        <v/>
      </c>
      <c r="AI99" s="19" t="str">
        <f>IFERROR(INDEX([1]DATA!$AH:$AH,MATCH('[1]BC_ ĐG LX'!$C99&amp;'[1]BC_ ĐG LX'!AI$3,[1]DATA!$AW:$AW,0)),"")</f>
        <v/>
      </c>
      <c r="AJ99" s="19" t="str">
        <f>IFERROR(INDEX([1]DATA!$AH:$AH,MATCH('[1]BC_ ĐG LX'!$C99&amp;'[1]BC_ ĐG LX'!AJ$3,[1]DATA!$AW:$AW,0)),"")</f>
        <v/>
      </c>
      <c r="AK99" s="26">
        <f t="shared" si="5"/>
        <v>9.2999999999999989</v>
      </c>
      <c r="AL99" s="21"/>
      <c r="AM99" s="22">
        <f t="shared" si="6"/>
        <v>25</v>
      </c>
      <c r="AN99" s="22" t="str">
        <f>_xlfn.XLOOKUP(B99,[1]DATA!AF:AF,[1]DATA!AX:AX)</f>
        <v>Nga</v>
      </c>
      <c r="AO99"/>
    </row>
    <row r="100" spans="1:41" s="22" customFormat="1" ht="14.25" customHeight="1">
      <c r="A100" s="16">
        <f>SUBTOTAL(3,$D$93:D100)</f>
        <v>8</v>
      </c>
      <c r="B100" s="16" t="str">
        <f>_xlfn.XLOOKUP(C100,[1]DATA!D:D,[1]DATA!AF:AF)</f>
        <v>XE00345</v>
      </c>
      <c r="C100" s="18" t="s">
        <v>123</v>
      </c>
      <c r="D100" s="16" t="s">
        <v>21</v>
      </c>
      <c r="E100" s="18" t="s">
        <v>17</v>
      </c>
      <c r="F100" s="18" t="s">
        <v>18</v>
      </c>
      <c r="G100" s="19">
        <f>IFERROR(INDEX([1]DATA!$AH:$AH,MATCH('[1]BC_ ĐG LX'!$C100&amp;'[1]BC_ ĐG LX'!G$3,[1]DATA!$AW:$AW,0)),"")</f>
        <v>9.24</v>
      </c>
      <c r="H100" s="19">
        <f>IFERROR(INDEX([1]DATA!$AH:$AH,MATCH('[1]BC_ ĐG LX'!$C100&amp;'[1]BC_ ĐG LX'!H$3,[1]DATA!$AW:$AW,0)),"")</f>
        <v>10</v>
      </c>
      <c r="I100" s="19">
        <f>IFERROR(INDEX([1]DATA!$AH:$AH,MATCH('[1]BC_ ĐG LX'!$C100&amp;'[1]BC_ ĐG LX'!I$3,[1]DATA!$AW:$AW,0)),"")</f>
        <v>9.82</v>
      </c>
      <c r="J100" s="19">
        <f>IFERROR(INDEX([1]DATA!$AH:$AH,MATCH('[1]BC_ ĐG LX'!$C100&amp;'[1]BC_ ĐG LX'!J$3,[1]DATA!$AW:$AW,0)),"")</f>
        <v>9.42</v>
      </c>
      <c r="K100" s="19">
        <f>IFERROR(INDEX([1]DATA!$AH:$AH,MATCH('[1]BC_ ĐG LX'!$C100&amp;'[1]BC_ ĐG LX'!K$3,[1]DATA!$AW:$AW,0)),"")</f>
        <v>9.42</v>
      </c>
      <c r="L100" s="19">
        <f>IFERROR(INDEX([1]DATA!$AH:$AH,MATCH('[1]BC_ ĐG LX'!$C100&amp;'[1]BC_ ĐG LX'!L$3,[1]DATA!$AW:$AW,0)),"")</f>
        <v>9.02</v>
      </c>
      <c r="M100" s="19">
        <f>IFERROR(INDEX([1]DATA!$AH:$AH,MATCH('[1]BC_ ĐG LX'!$C100&amp;'[1]BC_ ĐG LX'!M$3,[1]DATA!$AW:$AW,0)),"")</f>
        <v>8.2200000000000006</v>
      </c>
      <c r="N100" s="19">
        <f>IFERROR(INDEX([1]DATA!$AH:$AH,MATCH('[1]BC_ ĐG LX'!$C100&amp;'[1]BC_ ĐG LX'!N$3,[1]DATA!$AW:$AW,0)),"")</f>
        <v>9.64</v>
      </c>
      <c r="O100" s="19">
        <f>IFERROR(INDEX([1]DATA!$AH:$AH,MATCH('[1]BC_ ĐG LX'!$C100&amp;'[1]BC_ ĐG LX'!O$3,[1]DATA!$AW:$AW,0)),"")</f>
        <v>7.82</v>
      </c>
      <c r="P100" s="19">
        <f>IFERROR(INDEX([1]DATA!$AH:$AH,MATCH('[1]BC_ ĐG LX'!$C100&amp;'[1]BC_ ĐG LX'!P$3,[1]DATA!$AW:$AW,0)),"")</f>
        <v>9.02</v>
      </c>
      <c r="Q100" s="19">
        <f>IFERROR(INDEX([1]DATA!$AH:$AH,MATCH('[1]BC_ ĐG LX'!$C100&amp;'[1]BC_ ĐG LX'!Q$3,[1]DATA!$AW:$AW,0)),"")</f>
        <v>9.64</v>
      </c>
      <c r="R100" s="19">
        <f>IFERROR(INDEX([1]DATA!$AH:$AH,MATCH('[1]BC_ ĐG LX'!$C100&amp;'[1]BC_ ĐG LX'!R$3,[1]DATA!$AW:$AW,0)),"")</f>
        <v>9.82</v>
      </c>
      <c r="S100" s="19">
        <f>IFERROR(INDEX([1]DATA!$AH:$AH,MATCH('[1]BC_ ĐG LX'!$C100&amp;'[1]BC_ ĐG LX'!S$3,[1]DATA!$AW:$AW,0)),"")</f>
        <v>9.42</v>
      </c>
      <c r="T100" s="19">
        <f>IFERROR(INDEX([1]DATA!$AH:$AH,MATCH('[1]BC_ ĐG LX'!$C100&amp;'[1]BC_ ĐG LX'!T$3,[1]DATA!$AW:$AW,0)),"")</f>
        <v>9.82</v>
      </c>
      <c r="U100" s="19">
        <f>IFERROR(INDEX([1]DATA!$AH:$AH,MATCH('[1]BC_ ĐG LX'!$C100&amp;'[1]BC_ ĐG LX'!U$3,[1]DATA!$AW:$AW,0)),"")</f>
        <v>9.42</v>
      </c>
      <c r="V100" s="19">
        <f>IFERROR(INDEX([1]DATA!$AH:$AH,MATCH('[1]BC_ ĐG LX'!$C100&amp;'[1]BC_ ĐG LX'!V$3,[1]DATA!$AW:$AW,0)),"")</f>
        <v>9.42</v>
      </c>
      <c r="W100" s="19">
        <f>IFERROR(INDEX([1]DATA!$AH:$AH,MATCH('[1]BC_ ĐG LX'!$C100&amp;'[1]BC_ ĐG LX'!W$3,[1]DATA!$AW:$AW,0)),"")</f>
        <v>9.82</v>
      </c>
      <c r="X100" s="19">
        <f>IFERROR(INDEX([1]DATA!$AH:$AH,MATCH('[1]BC_ ĐG LX'!$C100&amp;'[1]BC_ ĐG LX'!X$3,[1]DATA!$AW:$AW,0)),"")</f>
        <v>9.82</v>
      </c>
      <c r="Y100" s="19">
        <f>IFERROR(INDEX([1]DATA!$AH:$AH,MATCH('[1]BC_ ĐG LX'!$C100&amp;'[1]BC_ ĐG LX'!Y$3,[1]DATA!$AW:$AW,0)),"")</f>
        <v>9.42</v>
      </c>
      <c r="Z100" s="19">
        <f>IFERROR(INDEX([1]DATA!$AH:$AH,MATCH('[1]BC_ ĐG LX'!$C100&amp;'[1]BC_ ĐG LX'!Z$3,[1]DATA!$AW:$AW,0)),"")</f>
        <v>9.42</v>
      </c>
      <c r="AA100" s="19">
        <f>IFERROR(INDEX([1]DATA!$AH:$AH,MATCH('[1]BC_ ĐG LX'!$C100&amp;'[1]BC_ ĐG LX'!AA$3,[1]DATA!$AW:$AW,0)),"")</f>
        <v>8.84</v>
      </c>
      <c r="AB100" s="19">
        <f>IFERROR(INDEX([1]DATA!$AH:$AH,MATCH('[1]BC_ ĐG LX'!$C100&amp;'[1]BC_ ĐG LX'!AB$3,[1]DATA!$AW:$AW,0)),"")</f>
        <v>9.02</v>
      </c>
      <c r="AC100" s="19">
        <f>IFERROR(INDEX([1]DATA!$AH:$AH,MATCH('[1]BC_ ĐG LX'!$C100&amp;'[1]BC_ ĐG LX'!AC$3,[1]DATA!$AW:$AW,0)),"")</f>
        <v>9.82</v>
      </c>
      <c r="AD100" s="19">
        <f>IFERROR(INDEX([1]DATA!$AH:$AH,MATCH('[1]BC_ ĐG LX'!$C100&amp;'[1]BC_ ĐG LX'!AD$3,[1]DATA!$AW:$AW,0)),"")</f>
        <v>9.02</v>
      </c>
      <c r="AE100" s="19">
        <f>IFERROR(INDEX([1]DATA!$AH:$AH,MATCH('[1]BC_ ĐG LX'!$C100&amp;'[1]BC_ ĐG LX'!AE$3,[1]DATA!$AW:$AW,0)),"")</f>
        <v>9.02</v>
      </c>
      <c r="AF100" s="19" t="str">
        <f>IFERROR(INDEX([1]DATA!$AH:$AH,MATCH('[1]BC_ ĐG LX'!$C100&amp;'[1]BC_ ĐG LX'!AF$3,[1]DATA!$AW:$AW,0)),"")</f>
        <v/>
      </c>
      <c r="AG100" s="19" t="str">
        <f>IFERROR(INDEX([1]DATA!$AH:$AH,MATCH('[1]BC_ ĐG LX'!$C100&amp;'[1]BC_ ĐG LX'!AG$3,[1]DATA!$AW:$AW,0)),"")</f>
        <v/>
      </c>
      <c r="AH100" s="19" t="str">
        <f>IFERROR(INDEX([1]DATA!$AH:$AH,MATCH('[1]BC_ ĐG LX'!$C100&amp;'[1]BC_ ĐG LX'!AH$3,[1]DATA!$AW:$AW,0)),"")</f>
        <v/>
      </c>
      <c r="AI100" s="19" t="str">
        <f>IFERROR(INDEX([1]DATA!$AH:$AH,MATCH('[1]BC_ ĐG LX'!$C100&amp;'[1]BC_ ĐG LX'!AI$3,[1]DATA!$AW:$AW,0)),"")</f>
        <v/>
      </c>
      <c r="AJ100" s="19" t="str">
        <f>IFERROR(INDEX([1]DATA!$AH:$AH,MATCH('[1]BC_ ĐG LX'!$C100&amp;'[1]BC_ ĐG LX'!AJ$3,[1]DATA!$AW:$AW,0)),"")</f>
        <v/>
      </c>
      <c r="AK100" s="26">
        <f t="shared" si="5"/>
        <v>9.4</v>
      </c>
      <c r="AL100" s="21"/>
      <c r="AM100" s="22">
        <f t="shared" si="6"/>
        <v>25</v>
      </c>
      <c r="AN100" s="22" t="str">
        <f>_xlfn.XLOOKUP(B100,[1]DATA!AF:AF,[1]DATA!AX:AX)</f>
        <v>Hằng</v>
      </c>
      <c r="AO100"/>
    </row>
    <row r="101" spans="1:41" s="22" customFormat="1" ht="14.25" customHeight="1">
      <c r="A101" s="16">
        <f>SUBTOTAL(3,$D$93:D101)</f>
        <v>9</v>
      </c>
      <c r="B101" s="16" t="str">
        <f>_xlfn.XLOOKUP(C101,[1]DATA!D:D,[1]DATA!AF:AF)</f>
        <v>XE00397</v>
      </c>
      <c r="C101" s="18" t="s">
        <v>124</v>
      </c>
      <c r="D101" s="16" t="s">
        <v>21</v>
      </c>
      <c r="E101" s="18" t="s">
        <v>17</v>
      </c>
      <c r="F101" s="18" t="s">
        <v>18</v>
      </c>
      <c r="G101" s="19">
        <f>IFERROR(INDEX([1]DATA!$AH:$AH,MATCH('[1]BC_ ĐG LX'!$C101&amp;'[1]BC_ ĐG LX'!G$3,[1]DATA!$AW:$AW,0)),"")</f>
        <v>9.02</v>
      </c>
      <c r="H101" s="19">
        <f>IFERROR(INDEX([1]DATA!$AH:$AH,MATCH('[1]BC_ ĐG LX'!$C101&amp;'[1]BC_ ĐG LX'!H$3,[1]DATA!$AW:$AW,0)),"")</f>
        <v>8.620000000000001</v>
      </c>
      <c r="I101" s="19">
        <f>IFERROR(INDEX([1]DATA!$AH:$AH,MATCH('[1]BC_ ĐG LX'!$C101&amp;'[1]BC_ ĐG LX'!I$3,[1]DATA!$AW:$AW,0)),"")</f>
        <v>9.42</v>
      </c>
      <c r="J101" s="19">
        <f>IFERROR(INDEX([1]DATA!$AH:$AH,MATCH('[1]BC_ ĐG LX'!$C101&amp;'[1]BC_ ĐG LX'!J$3,[1]DATA!$AW:$AW,0)),"")</f>
        <v>9.82</v>
      </c>
      <c r="K101" s="19">
        <f>IFERROR(INDEX([1]DATA!$AH:$AH,MATCH('[1]BC_ ĐG LX'!$C101&amp;'[1]BC_ ĐG LX'!K$3,[1]DATA!$AW:$AW,0)),"")</f>
        <v>9.24</v>
      </c>
      <c r="L101" s="19">
        <f>IFERROR(INDEX([1]DATA!$AH:$AH,MATCH('[1]BC_ ĐG LX'!$C101&amp;'[1]BC_ ĐG LX'!L$3,[1]DATA!$AW:$AW,0)),"")</f>
        <v>9.82</v>
      </c>
      <c r="M101" s="19">
        <f>IFERROR(INDEX([1]DATA!$AH:$AH,MATCH('[1]BC_ ĐG LX'!$C101&amp;'[1]BC_ ĐG LX'!M$3,[1]DATA!$AW:$AW,0)),"")</f>
        <v>9.82</v>
      </c>
      <c r="N101" s="19">
        <f>IFERROR(INDEX([1]DATA!$AH:$AH,MATCH('[1]BC_ ĐG LX'!$C101&amp;'[1]BC_ ĐG LX'!N$3,[1]DATA!$AW:$AW,0)),"")</f>
        <v>9.42</v>
      </c>
      <c r="O101" s="19">
        <f>IFERROR(INDEX([1]DATA!$AH:$AH,MATCH('[1]BC_ ĐG LX'!$C101&amp;'[1]BC_ ĐG LX'!O$3,[1]DATA!$AW:$AW,0)),"")</f>
        <v>8.02</v>
      </c>
      <c r="P101" s="19">
        <f>IFERROR(INDEX([1]DATA!$AH:$AH,MATCH('[1]BC_ ĐG LX'!$C101&amp;'[1]BC_ ĐG LX'!P$3,[1]DATA!$AW:$AW,0)),"")</f>
        <v>9.42</v>
      </c>
      <c r="Q101" s="19">
        <f>IFERROR(INDEX([1]DATA!$AH:$AH,MATCH('[1]BC_ ĐG LX'!$C101&amp;'[1]BC_ ĐG LX'!Q$3,[1]DATA!$AW:$AW,0)),"")</f>
        <v>9.42</v>
      </c>
      <c r="R101" s="19">
        <f>IFERROR(INDEX([1]DATA!$AH:$AH,MATCH('[1]BC_ ĐG LX'!$C101&amp;'[1]BC_ ĐG LX'!R$3,[1]DATA!$AW:$AW,0)),"")</f>
        <v>9.82</v>
      </c>
      <c r="S101" s="19">
        <f>IFERROR(INDEX([1]DATA!$AH:$AH,MATCH('[1]BC_ ĐG LX'!$C101&amp;'[1]BC_ ĐG LX'!S$3,[1]DATA!$AW:$AW,0)),"")</f>
        <v>9.42</v>
      </c>
      <c r="T101" s="19">
        <f>IFERROR(INDEX([1]DATA!$AH:$AH,MATCH('[1]BC_ ĐG LX'!$C101&amp;'[1]BC_ ĐG LX'!T$3,[1]DATA!$AW:$AW,0)),"")</f>
        <v>9.42</v>
      </c>
      <c r="U101" s="19">
        <f>IFERROR(INDEX([1]DATA!$AH:$AH,MATCH('[1]BC_ ĐG LX'!$C101&amp;'[1]BC_ ĐG LX'!U$3,[1]DATA!$AW:$AW,0)),"")</f>
        <v>9.82</v>
      </c>
      <c r="V101" s="19">
        <f>IFERROR(INDEX([1]DATA!$AH:$AH,MATCH('[1]BC_ ĐG LX'!$C101&amp;'[1]BC_ ĐG LX'!V$3,[1]DATA!$AW:$AW,0)),"")</f>
        <v>9.82</v>
      </c>
      <c r="W101" s="19">
        <f>IFERROR(INDEX([1]DATA!$AH:$AH,MATCH('[1]BC_ ĐG LX'!$C101&amp;'[1]BC_ ĐG LX'!W$3,[1]DATA!$AW:$AW,0)),"")</f>
        <v>9.42</v>
      </c>
      <c r="X101" s="19">
        <f>IFERROR(INDEX([1]DATA!$AH:$AH,MATCH('[1]BC_ ĐG LX'!$C101&amp;'[1]BC_ ĐG LX'!X$3,[1]DATA!$AW:$AW,0)),"")</f>
        <v>8.84</v>
      </c>
      <c r="Y101" s="19">
        <f>IFERROR(INDEX([1]DATA!$AH:$AH,MATCH('[1]BC_ ĐG LX'!$C101&amp;'[1]BC_ ĐG LX'!Y$3,[1]DATA!$AW:$AW,0)),"")</f>
        <v>9.42</v>
      </c>
      <c r="Z101" s="19">
        <f>IFERROR(INDEX([1]DATA!$AH:$AH,MATCH('[1]BC_ ĐG LX'!$C101&amp;'[1]BC_ ĐG LX'!Z$3,[1]DATA!$AW:$AW,0)),"")</f>
        <v>8.6199999999999992</v>
      </c>
      <c r="AA101" s="19">
        <f>IFERROR(INDEX([1]DATA!$AH:$AH,MATCH('[1]BC_ ĐG LX'!$C101&amp;'[1]BC_ ĐG LX'!AA$3,[1]DATA!$AW:$AW,0)),"")</f>
        <v>9.42</v>
      </c>
      <c r="AB101" s="19">
        <f>IFERROR(INDEX([1]DATA!$AH:$AH,MATCH('[1]BC_ ĐG LX'!$C101&amp;'[1]BC_ ĐG LX'!AB$3,[1]DATA!$AW:$AW,0)),"")</f>
        <v>9.42</v>
      </c>
      <c r="AC101" s="19">
        <f>IFERROR(INDEX([1]DATA!$AH:$AH,MATCH('[1]BC_ ĐG LX'!$C101&amp;'[1]BC_ ĐG LX'!AC$3,[1]DATA!$AW:$AW,0)),"")</f>
        <v>9.82</v>
      </c>
      <c r="AD101" s="19">
        <f>IFERROR(INDEX([1]DATA!$AH:$AH,MATCH('[1]BC_ ĐG LX'!$C101&amp;'[1]BC_ ĐG LX'!AD$3,[1]DATA!$AW:$AW,0)),"")</f>
        <v>9.02</v>
      </c>
      <c r="AE101" s="19">
        <f>IFERROR(INDEX([1]DATA!$AH:$AH,MATCH('[1]BC_ ĐG LX'!$C101&amp;'[1]BC_ ĐG LX'!AE$3,[1]DATA!$AW:$AW,0)),"")</f>
        <v>8.6199999999999992</v>
      </c>
      <c r="AF101" s="19" t="str">
        <f>IFERROR(INDEX([1]DATA!$AH:$AH,MATCH('[1]BC_ ĐG LX'!$C101&amp;'[1]BC_ ĐG LX'!AF$3,[1]DATA!$AW:$AW,0)),"")</f>
        <v/>
      </c>
      <c r="AG101" s="19" t="str">
        <f>IFERROR(INDEX([1]DATA!$AH:$AH,MATCH('[1]BC_ ĐG LX'!$C101&amp;'[1]BC_ ĐG LX'!AG$3,[1]DATA!$AW:$AW,0)),"")</f>
        <v/>
      </c>
      <c r="AH101" s="19" t="str">
        <f>IFERROR(INDEX([1]DATA!$AH:$AH,MATCH('[1]BC_ ĐG LX'!$C101&amp;'[1]BC_ ĐG LX'!AH$3,[1]DATA!$AW:$AW,0)),"")</f>
        <v/>
      </c>
      <c r="AI101" s="19" t="str">
        <f>IFERROR(INDEX([1]DATA!$AH:$AH,MATCH('[1]BC_ ĐG LX'!$C101&amp;'[1]BC_ ĐG LX'!AI$3,[1]DATA!$AW:$AW,0)),"")</f>
        <v/>
      </c>
      <c r="AJ101" s="19" t="str">
        <f>IFERROR(INDEX([1]DATA!$AH:$AH,MATCH('[1]BC_ ĐG LX'!$C101&amp;'[1]BC_ ĐG LX'!AJ$3,[1]DATA!$AW:$AW,0)),"")</f>
        <v/>
      </c>
      <c r="AK101" s="26">
        <f t="shared" si="5"/>
        <v>9.4</v>
      </c>
      <c r="AL101" s="21"/>
      <c r="AM101" s="22">
        <f t="shared" si="6"/>
        <v>25</v>
      </c>
      <c r="AN101" s="22" t="str">
        <f>_xlfn.XLOOKUP(B101,[1]DATA!AF:AF,[1]DATA!AX:AX)</f>
        <v>Hằng</v>
      </c>
      <c r="AO101"/>
    </row>
    <row r="102" spans="1:41" s="22" customFormat="1" ht="14.25" customHeight="1">
      <c r="A102" s="16">
        <f>SUBTOTAL(3,$D$93:D102)</f>
        <v>10</v>
      </c>
      <c r="B102" s="16" t="str">
        <f>_xlfn.XLOOKUP(C102,[1]DATA!D:D,[1]DATA!AF:AF)</f>
        <v>XE00495</v>
      </c>
      <c r="C102" s="18" t="s">
        <v>125</v>
      </c>
      <c r="D102" s="16" t="s">
        <v>21</v>
      </c>
      <c r="E102" s="18" t="s">
        <v>17</v>
      </c>
      <c r="F102" s="18" t="s">
        <v>18</v>
      </c>
      <c r="G102" s="19">
        <f>IFERROR(INDEX([1]DATA!$AH:$AH,MATCH('[1]BC_ ĐG LX'!$C102&amp;'[1]BC_ ĐG LX'!G$3,[1]DATA!$AW:$AW,0)),"")</f>
        <v>10</v>
      </c>
      <c r="H102" s="19">
        <f>IFERROR(INDEX([1]DATA!$AH:$AH,MATCH('[1]BC_ ĐG LX'!$C102&amp;'[1]BC_ ĐG LX'!H$3,[1]DATA!$AW:$AW,0)),"")</f>
        <v>10</v>
      </c>
      <c r="I102" s="19">
        <f>IFERROR(INDEX([1]DATA!$AH:$AH,MATCH('[1]BC_ ĐG LX'!$C102&amp;'[1]BC_ ĐG LX'!I$3,[1]DATA!$AW:$AW,0)),"")</f>
        <v>9.42</v>
      </c>
      <c r="J102" s="19">
        <f>IFERROR(INDEX([1]DATA!$AH:$AH,MATCH('[1]BC_ ĐG LX'!$C102&amp;'[1]BC_ ĐG LX'!J$3,[1]DATA!$AW:$AW,0)),"")</f>
        <v>9.42</v>
      </c>
      <c r="K102" s="19">
        <f>IFERROR(INDEX([1]DATA!$AH:$AH,MATCH('[1]BC_ ĐG LX'!$C102&amp;'[1]BC_ ĐG LX'!K$3,[1]DATA!$AW:$AW,0)),"")</f>
        <v>8.2200000000000006</v>
      </c>
      <c r="L102" s="19">
        <f>IFERROR(INDEX([1]DATA!$AH:$AH,MATCH('[1]BC_ ĐG LX'!$C102&amp;'[1]BC_ ĐG LX'!L$3,[1]DATA!$AW:$AW,0)),"")</f>
        <v>9.42</v>
      </c>
      <c r="M102" s="19">
        <f>IFERROR(INDEX([1]DATA!$AH:$AH,MATCH('[1]BC_ ĐG LX'!$C102&amp;'[1]BC_ ĐG LX'!M$3,[1]DATA!$AW:$AW,0)),"")</f>
        <v>9.82</v>
      </c>
      <c r="N102" s="19">
        <f>IFERROR(INDEX([1]DATA!$AH:$AH,MATCH('[1]BC_ ĐG LX'!$C102&amp;'[1]BC_ ĐG LX'!N$3,[1]DATA!$AW:$AW,0)),"")</f>
        <v>9.24</v>
      </c>
      <c r="O102" s="19">
        <f>IFERROR(INDEX([1]DATA!$AH:$AH,MATCH('[1]BC_ ĐG LX'!$C102&amp;'[1]BC_ ĐG LX'!O$3,[1]DATA!$AW:$AW,0)),"")</f>
        <v>9.02</v>
      </c>
      <c r="P102" s="19">
        <f>IFERROR(INDEX([1]DATA!$AH:$AH,MATCH('[1]BC_ ĐG LX'!$C102&amp;'[1]BC_ ĐG LX'!P$3,[1]DATA!$AW:$AW,0)),"")</f>
        <v>9.02</v>
      </c>
      <c r="Q102" s="19">
        <f>IFERROR(INDEX([1]DATA!$AH:$AH,MATCH('[1]BC_ ĐG LX'!$C102&amp;'[1]BC_ ĐG LX'!Q$3,[1]DATA!$AW:$AW,0)),"")</f>
        <v>7.6400000000000006</v>
      </c>
      <c r="R102" s="19">
        <f>IFERROR(INDEX([1]DATA!$AH:$AH,MATCH('[1]BC_ ĐG LX'!$C102&amp;'[1]BC_ ĐG LX'!R$3,[1]DATA!$AW:$AW,0)),"")</f>
        <v>9.02</v>
      </c>
      <c r="S102" s="19">
        <f>IFERROR(INDEX([1]DATA!$AH:$AH,MATCH('[1]BC_ ĐG LX'!$C102&amp;'[1]BC_ ĐG LX'!S$3,[1]DATA!$AW:$AW,0)),"")</f>
        <v>8.620000000000001</v>
      </c>
      <c r="T102" s="19">
        <f>IFERROR(INDEX([1]DATA!$AH:$AH,MATCH('[1]BC_ ĐG LX'!$C102&amp;'[1]BC_ ĐG LX'!T$3,[1]DATA!$AW:$AW,0)),"")</f>
        <v>9.42</v>
      </c>
      <c r="U102" s="19">
        <f>IFERROR(INDEX([1]DATA!$AH:$AH,MATCH('[1]BC_ ĐG LX'!$C102&amp;'[1]BC_ ĐG LX'!U$3,[1]DATA!$AW:$AW,0)),"")</f>
        <v>7.64</v>
      </c>
      <c r="V102" s="19">
        <f>IFERROR(INDEX([1]DATA!$AH:$AH,MATCH('[1]BC_ ĐG LX'!$C102&amp;'[1]BC_ ĐG LX'!V$3,[1]DATA!$AW:$AW,0)),"")</f>
        <v>9.82</v>
      </c>
      <c r="W102" s="19">
        <f>IFERROR(INDEX([1]DATA!$AH:$AH,MATCH('[1]BC_ ĐG LX'!$C102&amp;'[1]BC_ ĐG LX'!W$3,[1]DATA!$AW:$AW,0)),"")</f>
        <v>7.24</v>
      </c>
      <c r="X102" s="19">
        <f>IFERROR(INDEX([1]DATA!$AH:$AH,MATCH('[1]BC_ ĐG LX'!$C102&amp;'[1]BC_ ĐG LX'!X$3,[1]DATA!$AW:$AW,0)),"")</f>
        <v>9.82</v>
      </c>
      <c r="Y102" s="19">
        <f>IFERROR(INDEX([1]DATA!$AH:$AH,MATCH('[1]BC_ ĐG LX'!$C102&amp;'[1]BC_ ĐG LX'!Y$3,[1]DATA!$AW:$AW,0)),"")</f>
        <v>9.82</v>
      </c>
      <c r="Z102" s="19">
        <f>IFERROR(INDEX([1]DATA!$AH:$AH,MATCH('[1]BC_ ĐG LX'!$C102&amp;'[1]BC_ ĐG LX'!Z$3,[1]DATA!$AW:$AW,0)),"")</f>
        <v>8.44</v>
      </c>
      <c r="AA102" s="19">
        <f>IFERROR(INDEX([1]DATA!$AH:$AH,MATCH('[1]BC_ ĐG LX'!$C102&amp;'[1]BC_ ĐG LX'!AA$3,[1]DATA!$AW:$AW,0)),"")</f>
        <v>9.82</v>
      </c>
      <c r="AB102" s="19">
        <f>IFERROR(INDEX([1]DATA!$AH:$AH,MATCH('[1]BC_ ĐG LX'!$C102&amp;'[1]BC_ ĐG LX'!AB$3,[1]DATA!$AW:$AW,0)),"")</f>
        <v>9.82</v>
      </c>
      <c r="AC102" s="19">
        <f>IFERROR(INDEX([1]DATA!$AH:$AH,MATCH('[1]BC_ ĐG LX'!$C102&amp;'[1]BC_ ĐG LX'!AC$3,[1]DATA!$AW:$AW,0)),"")</f>
        <v>9.6199999999999992</v>
      </c>
      <c r="AD102" s="19">
        <f>IFERROR(INDEX([1]DATA!$AH:$AH,MATCH('[1]BC_ ĐG LX'!$C102&amp;'[1]BC_ ĐG LX'!AD$3,[1]DATA!$AW:$AW,0)),"")</f>
        <v>9.82</v>
      </c>
      <c r="AE102" s="19">
        <f>IFERROR(INDEX([1]DATA!$AH:$AH,MATCH('[1]BC_ ĐG LX'!$C102&amp;'[1]BC_ ĐG LX'!AE$3,[1]DATA!$AW:$AW,0)),"")</f>
        <v>8.84</v>
      </c>
      <c r="AF102" s="19" t="str">
        <f>IFERROR(INDEX([1]DATA!$AH:$AH,MATCH('[1]BC_ ĐG LX'!$C102&amp;'[1]BC_ ĐG LX'!AF$3,[1]DATA!$AW:$AW,0)),"")</f>
        <v/>
      </c>
      <c r="AG102" s="19" t="str">
        <f>IFERROR(INDEX([1]DATA!$AH:$AH,MATCH('[1]BC_ ĐG LX'!$C102&amp;'[1]BC_ ĐG LX'!AG$3,[1]DATA!$AW:$AW,0)),"")</f>
        <v/>
      </c>
      <c r="AH102" s="19" t="str">
        <f>IFERROR(INDEX([1]DATA!$AH:$AH,MATCH('[1]BC_ ĐG LX'!$C102&amp;'[1]BC_ ĐG LX'!AH$3,[1]DATA!$AW:$AW,0)),"")</f>
        <v/>
      </c>
      <c r="AI102" s="19" t="str">
        <f>IFERROR(INDEX([1]DATA!$AH:$AH,MATCH('[1]BC_ ĐG LX'!$C102&amp;'[1]BC_ ĐG LX'!AI$3,[1]DATA!$AW:$AW,0)),"")</f>
        <v/>
      </c>
      <c r="AJ102" s="19" t="str">
        <f>IFERROR(INDEX([1]DATA!$AH:$AH,MATCH('[1]BC_ ĐG LX'!$C102&amp;'[1]BC_ ĐG LX'!AJ$3,[1]DATA!$AW:$AW,0)),"")</f>
        <v/>
      </c>
      <c r="AK102" s="26">
        <f t="shared" si="5"/>
        <v>9.1999999999999993</v>
      </c>
      <c r="AL102" s="21"/>
      <c r="AM102" s="22">
        <f t="shared" si="6"/>
        <v>25</v>
      </c>
      <c r="AN102" s="22" t="str">
        <f>_xlfn.XLOOKUP(B102,[1]DATA!AF:AF,[1]DATA!AX:AX)</f>
        <v>Hằng</v>
      </c>
      <c r="AO102"/>
    </row>
    <row r="103" spans="1:41" s="22" customFormat="1" ht="14.25" customHeight="1">
      <c r="A103" s="16">
        <f>SUBTOTAL(3,$D$93:D103)</f>
        <v>11</v>
      </c>
      <c r="B103" s="16" t="str">
        <f>_xlfn.XLOOKUP(C103,[1]DATA!D:D,[1]DATA!AF:AF)</f>
        <v>XE00978</v>
      </c>
      <c r="C103" s="18" t="s">
        <v>126</v>
      </c>
      <c r="D103" s="16" t="s">
        <v>21</v>
      </c>
      <c r="E103" s="18" t="s">
        <v>17</v>
      </c>
      <c r="F103" s="18" t="s">
        <v>18</v>
      </c>
      <c r="G103" s="19">
        <f>IFERROR(INDEX([1]DATA!$AH:$AH,MATCH('[1]BC_ ĐG LX'!$C103&amp;'[1]BC_ ĐG LX'!G$3,[1]DATA!$AW:$AW,0)),"")</f>
        <v>9.02</v>
      </c>
      <c r="H103" s="19">
        <f>IFERROR(INDEX([1]DATA!$AH:$AH,MATCH('[1]BC_ ĐG LX'!$C103&amp;'[1]BC_ ĐG LX'!H$3,[1]DATA!$AW:$AW,0)),"")</f>
        <v>9.82</v>
      </c>
      <c r="I103" s="19">
        <f>IFERROR(INDEX([1]DATA!$AH:$AH,MATCH('[1]BC_ ĐG LX'!$C103&amp;'[1]BC_ ĐG LX'!I$3,[1]DATA!$AW:$AW,0)),"")</f>
        <v>8.0399999999999991</v>
      </c>
      <c r="J103" s="19">
        <f>IFERROR(INDEX([1]DATA!$AH:$AH,MATCH('[1]BC_ ĐG LX'!$C103&amp;'[1]BC_ ĐG LX'!J$3,[1]DATA!$AW:$AW,0)),"")</f>
        <v>8.84</v>
      </c>
      <c r="K103" s="19">
        <f>IFERROR(INDEX([1]DATA!$AH:$AH,MATCH('[1]BC_ ĐG LX'!$C103&amp;'[1]BC_ ĐG LX'!K$3,[1]DATA!$AW:$AW,0)),"")</f>
        <v>9.42</v>
      </c>
      <c r="L103" s="19">
        <f>IFERROR(INDEX([1]DATA!$AH:$AH,MATCH('[1]BC_ ĐG LX'!$C103&amp;'[1]BC_ ĐG LX'!L$3,[1]DATA!$AW:$AW,0)),"")</f>
        <v>9.82</v>
      </c>
      <c r="M103" s="19">
        <f>IFERROR(INDEX([1]DATA!$AH:$AH,MATCH('[1]BC_ ĐG LX'!$C103&amp;'[1]BC_ ĐG LX'!M$3,[1]DATA!$AW:$AW,0)),"")</f>
        <v>7.82</v>
      </c>
      <c r="N103" s="19">
        <f>IFERROR(INDEX([1]DATA!$AH:$AH,MATCH('[1]BC_ ĐG LX'!$C103&amp;'[1]BC_ ĐG LX'!N$3,[1]DATA!$AW:$AW,0)),"")</f>
        <v>9.02</v>
      </c>
      <c r="O103" s="19">
        <f>IFERROR(INDEX([1]DATA!$AH:$AH,MATCH('[1]BC_ ĐG LX'!$C103&amp;'[1]BC_ ĐG LX'!O$3,[1]DATA!$AW:$AW,0)),"")</f>
        <v>9.82</v>
      </c>
      <c r="P103" s="19">
        <f>IFERROR(INDEX([1]DATA!$AH:$AH,MATCH('[1]BC_ ĐG LX'!$C103&amp;'[1]BC_ ĐG LX'!P$3,[1]DATA!$AW:$AW,0)),"")</f>
        <v>8.44</v>
      </c>
      <c r="Q103" s="19">
        <f>IFERROR(INDEX([1]DATA!$AH:$AH,MATCH('[1]BC_ ĐG LX'!$C103&amp;'[1]BC_ ĐG LX'!Q$3,[1]DATA!$AW:$AW,0)),"")</f>
        <v>9.82</v>
      </c>
      <c r="R103" s="19">
        <f>IFERROR(INDEX([1]DATA!$AH:$AH,MATCH('[1]BC_ ĐG LX'!$C103&amp;'[1]BC_ ĐG LX'!R$3,[1]DATA!$AW:$AW,0)),"")</f>
        <v>9.82</v>
      </c>
      <c r="S103" s="19">
        <f>IFERROR(INDEX([1]DATA!$AH:$AH,MATCH('[1]BC_ ĐG LX'!$C103&amp;'[1]BC_ ĐG LX'!S$3,[1]DATA!$AW:$AW,0)),"")</f>
        <v>9.02</v>
      </c>
      <c r="T103" s="19">
        <f>IFERROR(INDEX([1]DATA!$AH:$AH,MATCH('[1]BC_ ĐG LX'!$C103&amp;'[1]BC_ ĐG LX'!T$3,[1]DATA!$AW:$AW,0)),"")</f>
        <v>9.02</v>
      </c>
      <c r="U103" s="19">
        <f>IFERROR(INDEX([1]DATA!$AH:$AH,MATCH('[1]BC_ ĐG LX'!$C103&amp;'[1]BC_ ĐG LX'!U$3,[1]DATA!$AW:$AW,0)),"")</f>
        <v>6.8400000000000007</v>
      </c>
      <c r="V103" s="19">
        <f>IFERROR(INDEX([1]DATA!$AH:$AH,MATCH('[1]BC_ ĐG LX'!$C103&amp;'[1]BC_ ĐG LX'!V$3,[1]DATA!$AW:$AW,0)),"")</f>
        <v>7.6400000000000006</v>
      </c>
      <c r="W103" s="19">
        <f>IFERROR(INDEX([1]DATA!$AH:$AH,MATCH('[1]BC_ ĐG LX'!$C103&amp;'[1]BC_ ĐG LX'!W$3,[1]DATA!$AW:$AW,0)),"")</f>
        <v>9.42</v>
      </c>
      <c r="X103" s="19">
        <f>IFERROR(INDEX([1]DATA!$AH:$AH,MATCH('[1]BC_ ĐG LX'!$C103&amp;'[1]BC_ ĐG LX'!X$3,[1]DATA!$AW:$AW,0)),"")</f>
        <v>9.82</v>
      </c>
      <c r="Y103" s="19">
        <f>IFERROR(INDEX([1]DATA!$AH:$AH,MATCH('[1]BC_ ĐG LX'!$C103&amp;'[1]BC_ ĐG LX'!Y$3,[1]DATA!$AW:$AW,0)),"")</f>
        <v>8.64</v>
      </c>
      <c r="Z103" s="19">
        <f>IFERROR(INDEX([1]DATA!$AH:$AH,MATCH('[1]BC_ ĐG LX'!$C103&amp;'[1]BC_ ĐG LX'!Z$3,[1]DATA!$AW:$AW,0)),"")</f>
        <v>8.84</v>
      </c>
      <c r="AA103" s="19">
        <f>IFERROR(INDEX([1]DATA!$AH:$AH,MATCH('[1]BC_ ĐG LX'!$C103&amp;'[1]BC_ ĐG LX'!AA$3,[1]DATA!$AW:$AW,0)),"")</f>
        <v>9.82</v>
      </c>
      <c r="AB103" s="19">
        <f>IFERROR(INDEX([1]DATA!$AH:$AH,MATCH('[1]BC_ ĐG LX'!$C103&amp;'[1]BC_ ĐG LX'!AB$3,[1]DATA!$AW:$AW,0)),"")</f>
        <v>9.0399999999999991</v>
      </c>
      <c r="AC103" s="19">
        <f>IFERROR(INDEX([1]DATA!$AH:$AH,MATCH('[1]BC_ ĐG LX'!$C103&amp;'[1]BC_ ĐG LX'!AC$3,[1]DATA!$AW:$AW,0)),"")</f>
        <v>9.02</v>
      </c>
      <c r="AD103" s="19">
        <f>IFERROR(INDEX([1]DATA!$AH:$AH,MATCH('[1]BC_ ĐG LX'!$C103&amp;'[1]BC_ ĐG LX'!AD$3,[1]DATA!$AW:$AW,0)),"")</f>
        <v>9.82</v>
      </c>
      <c r="AE103" s="19">
        <f>IFERROR(INDEX([1]DATA!$AH:$AH,MATCH('[1]BC_ ĐG LX'!$C103&amp;'[1]BC_ ĐG LX'!AE$3,[1]DATA!$AW:$AW,0)),"")</f>
        <v>9.42</v>
      </c>
      <c r="AF103" s="19" t="str">
        <f>IFERROR(INDEX([1]DATA!$AH:$AH,MATCH('[1]BC_ ĐG LX'!$C103&amp;'[1]BC_ ĐG LX'!AF$3,[1]DATA!$AW:$AW,0)),"")</f>
        <v/>
      </c>
      <c r="AG103" s="19" t="str">
        <f>IFERROR(INDEX([1]DATA!$AH:$AH,MATCH('[1]BC_ ĐG LX'!$C103&amp;'[1]BC_ ĐG LX'!AG$3,[1]DATA!$AW:$AW,0)),"")</f>
        <v/>
      </c>
      <c r="AH103" s="19" t="str">
        <f>IFERROR(INDEX([1]DATA!$AH:$AH,MATCH('[1]BC_ ĐG LX'!$C103&amp;'[1]BC_ ĐG LX'!AH$3,[1]DATA!$AW:$AW,0)),"")</f>
        <v/>
      </c>
      <c r="AI103" s="19" t="str">
        <f>IFERROR(INDEX([1]DATA!$AH:$AH,MATCH('[1]BC_ ĐG LX'!$C103&amp;'[1]BC_ ĐG LX'!AI$3,[1]DATA!$AW:$AW,0)),"")</f>
        <v/>
      </c>
      <c r="AJ103" s="19" t="str">
        <f>IFERROR(INDEX([1]DATA!$AH:$AH,MATCH('[1]BC_ ĐG LX'!$C103&amp;'[1]BC_ ĐG LX'!AJ$3,[1]DATA!$AW:$AW,0)),"")</f>
        <v/>
      </c>
      <c r="AK103" s="26">
        <f t="shared" si="5"/>
        <v>9.1</v>
      </c>
      <c r="AL103" s="21"/>
      <c r="AM103" s="22">
        <f t="shared" si="6"/>
        <v>25</v>
      </c>
      <c r="AN103" s="22" t="str">
        <f>_xlfn.XLOOKUP(B103,[1]DATA!AF:AF,[1]DATA!AX:AX)</f>
        <v>Hằng</v>
      </c>
      <c r="AO103"/>
    </row>
    <row r="104" spans="1:41" s="22" customFormat="1" ht="14.25" customHeight="1">
      <c r="A104" s="16">
        <f>SUBTOTAL(3,$D$93:D104)</f>
        <v>12</v>
      </c>
      <c r="B104" s="16" t="str">
        <f>_xlfn.XLOOKUP(C104,[1]DATA!D:D,[1]DATA!AF:AF)</f>
        <v>XE01008</v>
      </c>
      <c r="C104" s="18" t="s">
        <v>127</v>
      </c>
      <c r="D104" s="16" t="s">
        <v>21</v>
      </c>
      <c r="E104" s="18" t="s">
        <v>17</v>
      </c>
      <c r="F104" s="18" t="s">
        <v>18</v>
      </c>
      <c r="G104" s="19">
        <f>IFERROR(INDEX([1]DATA!$AH:$AH,MATCH('[1]BC_ ĐG LX'!$C104&amp;'[1]BC_ ĐG LX'!G$3,[1]DATA!$AW:$AW,0)),"")</f>
        <v>10</v>
      </c>
      <c r="H104" s="19">
        <f>IFERROR(INDEX([1]DATA!$AH:$AH,MATCH('[1]BC_ ĐG LX'!$C104&amp;'[1]BC_ ĐG LX'!H$3,[1]DATA!$AW:$AW,0)),"")</f>
        <v>10</v>
      </c>
      <c r="I104" s="19">
        <f>IFERROR(INDEX([1]DATA!$AH:$AH,MATCH('[1]BC_ ĐG LX'!$C104&amp;'[1]BC_ ĐG LX'!I$3,[1]DATA!$AW:$AW,0)),"")</f>
        <v>10</v>
      </c>
      <c r="J104" s="19">
        <f>IFERROR(INDEX([1]DATA!$AH:$AH,MATCH('[1]BC_ ĐG LX'!$C104&amp;'[1]BC_ ĐG LX'!J$3,[1]DATA!$AW:$AW,0)),"")</f>
        <v>8.84</v>
      </c>
      <c r="K104" s="19">
        <f>IFERROR(INDEX([1]DATA!$AH:$AH,MATCH('[1]BC_ ĐG LX'!$C104&amp;'[1]BC_ ĐG LX'!K$3,[1]DATA!$AW:$AW,0)),"")</f>
        <v>9.42</v>
      </c>
      <c r="L104" s="19">
        <f>IFERROR(INDEX([1]DATA!$AH:$AH,MATCH('[1]BC_ ĐG LX'!$C104&amp;'[1]BC_ ĐG LX'!L$3,[1]DATA!$AW:$AW,0)),"")</f>
        <v>9.42</v>
      </c>
      <c r="M104" s="19">
        <f>IFERROR(INDEX([1]DATA!$AH:$AH,MATCH('[1]BC_ ĐG LX'!$C104&amp;'[1]BC_ ĐG LX'!M$3,[1]DATA!$AW:$AW,0)),"")</f>
        <v>9.42</v>
      </c>
      <c r="N104" s="19">
        <f>IFERROR(INDEX([1]DATA!$AH:$AH,MATCH('[1]BC_ ĐG LX'!$C104&amp;'[1]BC_ ĐG LX'!N$3,[1]DATA!$AW:$AW,0)),"")</f>
        <v>9.82</v>
      </c>
      <c r="O104" s="19">
        <f>IFERROR(INDEX([1]DATA!$AH:$AH,MATCH('[1]BC_ ĐG LX'!$C104&amp;'[1]BC_ ĐG LX'!O$3,[1]DATA!$AW:$AW,0)),"")</f>
        <v>9.42</v>
      </c>
      <c r="P104" s="19">
        <f>IFERROR(INDEX([1]DATA!$AH:$AH,MATCH('[1]BC_ ĐG LX'!$C104&amp;'[1]BC_ ĐG LX'!P$3,[1]DATA!$AW:$AW,0)),"")</f>
        <v>9.42</v>
      </c>
      <c r="Q104" s="19">
        <f>IFERROR(INDEX([1]DATA!$AH:$AH,MATCH('[1]BC_ ĐG LX'!$C104&amp;'[1]BC_ ĐG LX'!Q$3,[1]DATA!$AW:$AW,0)),"")</f>
        <v>9.02</v>
      </c>
      <c r="R104" s="19">
        <f>IFERROR(INDEX([1]DATA!$AH:$AH,MATCH('[1]BC_ ĐG LX'!$C104&amp;'[1]BC_ ĐG LX'!R$3,[1]DATA!$AW:$AW,0)),"")</f>
        <v>9.42</v>
      </c>
      <c r="S104" s="19">
        <f>IFERROR(INDEX([1]DATA!$AH:$AH,MATCH('[1]BC_ ĐG LX'!$C104&amp;'[1]BC_ ĐG LX'!S$3,[1]DATA!$AW:$AW,0)),"")</f>
        <v>9.82</v>
      </c>
      <c r="T104" s="19">
        <f>IFERROR(INDEX([1]DATA!$AH:$AH,MATCH('[1]BC_ ĐG LX'!$C104&amp;'[1]BC_ ĐG LX'!T$3,[1]DATA!$AW:$AW,0)),"")</f>
        <v>9.82</v>
      </c>
      <c r="U104" s="19">
        <f>IFERROR(INDEX([1]DATA!$AH:$AH,MATCH('[1]BC_ ĐG LX'!$C104&amp;'[1]BC_ ĐG LX'!U$3,[1]DATA!$AW:$AW,0)),"")</f>
        <v>9.42</v>
      </c>
      <c r="V104" s="19">
        <f>IFERROR(INDEX([1]DATA!$AH:$AH,MATCH('[1]BC_ ĐG LX'!$C104&amp;'[1]BC_ ĐG LX'!V$3,[1]DATA!$AW:$AW,0)),"")</f>
        <v>9.42</v>
      </c>
      <c r="W104" s="19">
        <f>IFERROR(INDEX([1]DATA!$AH:$AH,MATCH('[1]BC_ ĐG LX'!$C104&amp;'[1]BC_ ĐG LX'!W$3,[1]DATA!$AW:$AW,0)),"")</f>
        <v>9.42</v>
      </c>
      <c r="X104" s="19">
        <f>IFERROR(INDEX([1]DATA!$AH:$AH,MATCH('[1]BC_ ĐG LX'!$C104&amp;'[1]BC_ ĐG LX'!X$3,[1]DATA!$AW:$AW,0)),"")</f>
        <v>9.02</v>
      </c>
      <c r="Y104" s="19">
        <f>IFERROR(INDEX([1]DATA!$AH:$AH,MATCH('[1]BC_ ĐG LX'!$C104&amp;'[1]BC_ ĐG LX'!Y$3,[1]DATA!$AW:$AW,0)),"")</f>
        <v>9.82</v>
      </c>
      <c r="Z104" s="19">
        <f>IFERROR(INDEX([1]DATA!$AH:$AH,MATCH('[1]BC_ ĐG LX'!$C104&amp;'[1]BC_ ĐG LX'!Z$3,[1]DATA!$AW:$AW,0)),"")</f>
        <v>8.44</v>
      </c>
      <c r="AA104" s="19">
        <f>IFERROR(INDEX([1]DATA!$AH:$AH,MATCH('[1]BC_ ĐG LX'!$C104&amp;'[1]BC_ ĐG LX'!AA$3,[1]DATA!$AW:$AW,0)),"")</f>
        <v>9.82</v>
      </c>
      <c r="AB104" s="19">
        <f>IFERROR(INDEX([1]DATA!$AH:$AH,MATCH('[1]BC_ ĐG LX'!$C104&amp;'[1]BC_ ĐG LX'!AB$3,[1]DATA!$AW:$AW,0)),"")</f>
        <v>9.42</v>
      </c>
      <c r="AC104" s="19">
        <f>IFERROR(INDEX([1]DATA!$AH:$AH,MATCH('[1]BC_ ĐG LX'!$C104&amp;'[1]BC_ ĐG LX'!AC$3,[1]DATA!$AW:$AW,0)),"")</f>
        <v>9.82</v>
      </c>
      <c r="AD104" s="19">
        <f>IFERROR(INDEX([1]DATA!$AH:$AH,MATCH('[1]BC_ ĐG LX'!$C104&amp;'[1]BC_ ĐG LX'!AD$3,[1]DATA!$AW:$AW,0)),"")</f>
        <v>9.82</v>
      </c>
      <c r="AE104" s="19">
        <f>IFERROR(INDEX([1]DATA!$AH:$AH,MATCH('[1]BC_ ĐG LX'!$C104&amp;'[1]BC_ ĐG LX'!AE$3,[1]DATA!$AW:$AW,0)),"")</f>
        <v>9.42</v>
      </c>
      <c r="AF104" s="19" t="str">
        <f>IFERROR(INDEX([1]DATA!$AH:$AH,MATCH('[1]BC_ ĐG LX'!$C104&amp;'[1]BC_ ĐG LX'!AF$3,[1]DATA!$AW:$AW,0)),"")</f>
        <v/>
      </c>
      <c r="AG104" s="19" t="str">
        <f>IFERROR(INDEX([1]DATA!$AH:$AH,MATCH('[1]BC_ ĐG LX'!$C104&amp;'[1]BC_ ĐG LX'!AG$3,[1]DATA!$AW:$AW,0)),"")</f>
        <v/>
      </c>
      <c r="AH104" s="19" t="str">
        <f>IFERROR(INDEX([1]DATA!$AH:$AH,MATCH('[1]BC_ ĐG LX'!$C104&amp;'[1]BC_ ĐG LX'!AH$3,[1]DATA!$AW:$AW,0)),"")</f>
        <v/>
      </c>
      <c r="AI104" s="19" t="str">
        <f>IFERROR(INDEX([1]DATA!$AH:$AH,MATCH('[1]BC_ ĐG LX'!$C104&amp;'[1]BC_ ĐG LX'!AI$3,[1]DATA!$AW:$AW,0)),"")</f>
        <v/>
      </c>
      <c r="AJ104" s="19" t="str">
        <f>IFERROR(INDEX([1]DATA!$AH:$AH,MATCH('[1]BC_ ĐG LX'!$C104&amp;'[1]BC_ ĐG LX'!AJ$3,[1]DATA!$AW:$AW,0)),"")</f>
        <v/>
      </c>
      <c r="AK104" s="26">
        <f t="shared" si="5"/>
        <v>9.6</v>
      </c>
      <c r="AL104" s="21"/>
      <c r="AM104" s="22">
        <f t="shared" si="6"/>
        <v>25</v>
      </c>
      <c r="AN104" s="22" t="str">
        <f>_xlfn.XLOOKUP(B104,[1]DATA!AF:AF,[1]DATA!AX:AX)</f>
        <v>Hằng</v>
      </c>
      <c r="AO104"/>
    </row>
    <row r="105" spans="1:41" s="22" customFormat="1" ht="14.25" customHeight="1">
      <c r="A105" s="16">
        <f>SUBTOTAL(3,$D$93:D105)</f>
        <v>13</v>
      </c>
      <c r="B105" s="16" t="str">
        <f>_xlfn.XLOOKUP(C105,[1]DATA!D:D,[1]DATA!AF:AF)</f>
        <v>XE01011</v>
      </c>
      <c r="C105" s="18" t="s">
        <v>128</v>
      </c>
      <c r="D105" s="16" t="s">
        <v>21</v>
      </c>
      <c r="E105" s="18" t="s">
        <v>17</v>
      </c>
      <c r="F105" s="18" t="s">
        <v>18</v>
      </c>
      <c r="G105" s="19">
        <f>IFERROR(INDEX([1]DATA!$AH:$AH,MATCH('[1]BC_ ĐG LX'!$C105&amp;'[1]BC_ ĐG LX'!G$3,[1]DATA!$AW:$AW,0)),"")</f>
        <v>9.42</v>
      </c>
      <c r="H105" s="19">
        <f>IFERROR(INDEX([1]DATA!$AH:$AH,MATCH('[1]BC_ ĐG LX'!$C105&amp;'[1]BC_ ĐG LX'!H$3,[1]DATA!$AW:$AW,0)),"")</f>
        <v>8.6199999999999992</v>
      </c>
      <c r="I105" s="19">
        <f>IFERROR(INDEX([1]DATA!$AH:$AH,MATCH('[1]BC_ ĐG LX'!$C105&amp;'[1]BC_ ĐG LX'!I$3,[1]DATA!$AW:$AW,0)),"")</f>
        <v>9.82</v>
      </c>
      <c r="J105" s="19">
        <f>IFERROR(INDEX([1]DATA!$AH:$AH,MATCH('[1]BC_ ĐG LX'!$C105&amp;'[1]BC_ ĐG LX'!J$3,[1]DATA!$AW:$AW,0)),"")</f>
        <v>9.82</v>
      </c>
      <c r="K105" s="19">
        <f>IFERROR(INDEX([1]DATA!$AH:$AH,MATCH('[1]BC_ ĐG LX'!$C105&amp;'[1]BC_ ĐG LX'!K$3,[1]DATA!$AW:$AW,0)),"")</f>
        <v>9.02</v>
      </c>
      <c r="L105" s="19">
        <f>IFERROR(INDEX([1]DATA!$AH:$AH,MATCH('[1]BC_ ĐG LX'!$C105&amp;'[1]BC_ ĐG LX'!L$3,[1]DATA!$AW:$AW,0)),"")</f>
        <v>9.82</v>
      </c>
      <c r="M105" s="19">
        <f>IFERROR(INDEX([1]DATA!$AH:$AH,MATCH('[1]BC_ ĐG LX'!$C105&amp;'[1]BC_ ĐG LX'!M$3,[1]DATA!$AW:$AW,0)),"")</f>
        <v>7.24</v>
      </c>
      <c r="N105" s="19">
        <f>IFERROR(INDEX([1]DATA!$AH:$AH,MATCH('[1]BC_ ĐG LX'!$C105&amp;'[1]BC_ ĐG LX'!N$3,[1]DATA!$AW:$AW,0)),"")</f>
        <v>8.84</v>
      </c>
      <c r="O105" s="19">
        <f>IFERROR(INDEX([1]DATA!$AH:$AH,MATCH('[1]BC_ ĐG LX'!$C105&amp;'[1]BC_ ĐG LX'!O$3,[1]DATA!$AW:$AW,0)),"")</f>
        <v>9.82</v>
      </c>
      <c r="P105" s="19">
        <f>IFERROR(INDEX([1]DATA!$AH:$AH,MATCH('[1]BC_ ĐG LX'!$C105&amp;'[1]BC_ ĐG LX'!P$3,[1]DATA!$AW:$AW,0)),"")</f>
        <v>9.82</v>
      </c>
      <c r="Q105" s="19">
        <f>IFERROR(INDEX([1]DATA!$AH:$AH,MATCH('[1]BC_ ĐG LX'!$C105&amp;'[1]BC_ ĐG LX'!Q$3,[1]DATA!$AW:$AW,0)),"")</f>
        <v>9.82</v>
      </c>
      <c r="R105" s="19">
        <f>IFERROR(INDEX([1]DATA!$AH:$AH,MATCH('[1]BC_ ĐG LX'!$C105&amp;'[1]BC_ ĐG LX'!R$3,[1]DATA!$AW:$AW,0)),"")</f>
        <v>9.82</v>
      </c>
      <c r="S105" s="19">
        <f>IFERROR(INDEX([1]DATA!$AH:$AH,MATCH('[1]BC_ ĐG LX'!$C105&amp;'[1]BC_ ĐG LX'!S$3,[1]DATA!$AW:$AW,0)),"")</f>
        <v>8.2200000000000006</v>
      </c>
      <c r="T105" s="19">
        <f>IFERROR(INDEX([1]DATA!$AH:$AH,MATCH('[1]BC_ ĐG LX'!$C105&amp;'[1]BC_ ĐG LX'!T$3,[1]DATA!$AW:$AW,0)),"")</f>
        <v>8.84</v>
      </c>
      <c r="U105" s="19">
        <f>IFERROR(INDEX([1]DATA!$AH:$AH,MATCH('[1]BC_ ĐG LX'!$C105&amp;'[1]BC_ ĐG LX'!U$3,[1]DATA!$AW:$AW,0)),"")</f>
        <v>9.82</v>
      </c>
      <c r="V105" s="19">
        <f>IFERROR(INDEX([1]DATA!$AH:$AH,MATCH('[1]BC_ ĐG LX'!$C105&amp;'[1]BC_ ĐG LX'!V$3,[1]DATA!$AW:$AW,0)),"")</f>
        <v>7.24</v>
      </c>
      <c r="W105" s="19">
        <f>IFERROR(INDEX([1]DATA!$AH:$AH,MATCH('[1]BC_ ĐG LX'!$C105&amp;'[1]BC_ ĐG LX'!W$3,[1]DATA!$AW:$AW,0)),"")</f>
        <v>7.6400000000000006</v>
      </c>
      <c r="X105" s="19">
        <f>IFERROR(INDEX([1]DATA!$AH:$AH,MATCH('[1]BC_ ĐG LX'!$C105&amp;'[1]BC_ ĐG LX'!X$3,[1]DATA!$AW:$AW,0)),"")</f>
        <v>8.620000000000001</v>
      </c>
      <c r="Y105" s="19">
        <f>IFERROR(INDEX([1]DATA!$AH:$AH,MATCH('[1]BC_ ĐG LX'!$C105&amp;'[1]BC_ ĐG LX'!Y$3,[1]DATA!$AW:$AW,0)),"")</f>
        <v>8.2200000000000006</v>
      </c>
      <c r="Z105" s="19">
        <f>IFERROR(INDEX([1]DATA!$AH:$AH,MATCH('[1]BC_ ĐG LX'!$C105&amp;'[1]BC_ ĐG LX'!Z$3,[1]DATA!$AW:$AW,0)),"")</f>
        <v>9.82</v>
      </c>
      <c r="AA105" s="19">
        <f>IFERROR(INDEX([1]DATA!$AH:$AH,MATCH('[1]BC_ ĐG LX'!$C105&amp;'[1]BC_ ĐG LX'!AA$3,[1]DATA!$AW:$AW,0)),"")</f>
        <v>9.42</v>
      </c>
      <c r="AB105" s="19">
        <f>IFERROR(INDEX([1]DATA!$AH:$AH,MATCH('[1]BC_ ĐG LX'!$C105&amp;'[1]BC_ ĐG LX'!AB$3,[1]DATA!$AW:$AW,0)),"")</f>
        <v>9.379999999999999</v>
      </c>
      <c r="AC105" s="19">
        <f>IFERROR(INDEX([1]DATA!$AH:$AH,MATCH('[1]BC_ ĐG LX'!$C105&amp;'[1]BC_ ĐG LX'!AC$3,[1]DATA!$AW:$AW,0)),"")</f>
        <v>9.2199999999999989</v>
      </c>
      <c r="AD105" s="19">
        <f>IFERROR(INDEX([1]DATA!$AH:$AH,MATCH('[1]BC_ ĐG LX'!$C105&amp;'[1]BC_ ĐG LX'!AD$3,[1]DATA!$AW:$AW,0)),"")</f>
        <v>8.2200000000000006</v>
      </c>
      <c r="AE105" s="19">
        <f>IFERROR(INDEX([1]DATA!$AH:$AH,MATCH('[1]BC_ ĐG LX'!$C105&amp;'[1]BC_ ĐG LX'!AE$3,[1]DATA!$AW:$AW,0)),"")</f>
        <v>8.620000000000001</v>
      </c>
      <c r="AF105" s="19" t="str">
        <f>IFERROR(INDEX([1]DATA!$AH:$AH,MATCH('[1]BC_ ĐG LX'!$C105&amp;'[1]BC_ ĐG LX'!AF$3,[1]DATA!$AW:$AW,0)),"")</f>
        <v/>
      </c>
      <c r="AG105" s="19" t="str">
        <f>IFERROR(INDEX([1]DATA!$AH:$AH,MATCH('[1]BC_ ĐG LX'!$C105&amp;'[1]BC_ ĐG LX'!AG$3,[1]DATA!$AW:$AW,0)),"")</f>
        <v/>
      </c>
      <c r="AH105" s="19" t="str">
        <f>IFERROR(INDEX([1]DATA!$AH:$AH,MATCH('[1]BC_ ĐG LX'!$C105&amp;'[1]BC_ ĐG LX'!AH$3,[1]DATA!$AW:$AW,0)),"")</f>
        <v/>
      </c>
      <c r="AI105" s="19" t="str">
        <f>IFERROR(INDEX([1]DATA!$AH:$AH,MATCH('[1]BC_ ĐG LX'!$C105&amp;'[1]BC_ ĐG LX'!AI$3,[1]DATA!$AW:$AW,0)),"")</f>
        <v/>
      </c>
      <c r="AJ105" s="19" t="str">
        <f>IFERROR(INDEX([1]DATA!$AH:$AH,MATCH('[1]BC_ ĐG LX'!$C105&amp;'[1]BC_ ĐG LX'!AJ$3,[1]DATA!$AW:$AW,0)),"")</f>
        <v/>
      </c>
      <c r="AK105" s="26">
        <f t="shared" si="5"/>
        <v>9.1</v>
      </c>
      <c r="AL105" s="21"/>
      <c r="AM105" s="22">
        <f t="shared" si="6"/>
        <v>25</v>
      </c>
      <c r="AN105" s="22" t="str">
        <f>_xlfn.XLOOKUP(B105,[1]DATA!AF:AF,[1]DATA!AX:AX)</f>
        <v>Hằng</v>
      </c>
      <c r="AO105"/>
    </row>
    <row r="106" spans="1:41" s="22" customFormat="1" ht="14.25" customHeight="1">
      <c r="A106" s="16">
        <f>SUBTOTAL(3,$D$93:D106)</f>
        <v>14</v>
      </c>
      <c r="B106" s="16" t="str">
        <f>_xlfn.XLOOKUP(C106,[1]DATA!D:D,[1]DATA!AF:AF)</f>
        <v>XE01056</v>
      </c>
      <c r="C106" s="18" t="s">
        <v>129</v>
      </c>
      <c r="D106" s="16" t="s">
        <v>21</v>
      </c>
      <c r="E106" s="18" t="s">
        <v>17</v>
      </c>
      <c r="F106" s="18" t="s">
        <v>18</v>
      </c>
      <c r="G106" s="19">
        <f>IFERROR(INDEX([1]DATA!$AH:$AH,MATCH('[1]BC_ ĐG LX'!$C106&amp;'[1]BC_ ĐG LX'!G$3,[1]DATA!$AW:$AW,0)),"")</f>
        <v>9.42</v>
      </c>
      <c r="H106" s="19">
        <f>IFERROR(INDEX([1]DATA!$AH:$AH,MATCH('[1]BC_ ĐG LX'!$C106&amp;'[1]BC_ ĐG LX'!H$3,[1]DATA!$AW:$AW,0)),"")</f>
        <v>9.82</v>
      </c>
      <c r="I106" s="19">
        <f>IFERROR(INDEX([1]DATA!$AH:$AH,MATCH('[1]BC_ ĐG LX'!$C106&amp;'[1]BC_ ĐG LX'!I$3,[1]DATA!$AW:$AW,0)),"")</f>
        <v>9.82</v>
      </c>
      <c r="J106" s="19">
        <f>IFERROR(INDEX([1]DATA!$AH:$AH,MATCH('[1]BC_ ĐG LX'!$C106&amp;'[1]BC_ ĐG LX'!J$3,[1]DATA!$AW:$AW,0)),"")</f>
        <v>9.82</v>
      </c>
      <c r="K106" s="19">
        <f>IFERROR(INDEX([1]DATA!$AH:$AH,MATCH('[1]BC_ ĐG LX'!$C106&amp;'[1]BC_ ĐG LX'!K$3,[1]DATA!$AW:$AW,0)),"")</f>
        <v>9.42</v>
      </c>
      <c r="L106" s="19">
        <f>IFERROR(INDEX([1]DATA!$AH:$AH,MATCH('[1]BC_ ĐG LX'!$C106&amp;'[1]BC_ ĐG LX'!L$3,[1]DATA!$AW:$AW,0)),"")</f>
        <v>8.2200000000000006</v>
      </c>
      <c r="M106" s="19">
        <f>IFERROR(INDEX([1]DATA!$AH:$AH,MATCH('[1]BC_ ĐG LX'!$C106&amp;'[1]BC_ ĐG LX'!M$3,[1]DATA!$AW:$AW,0)),"")</f>
        <v>9.82</v>
      </c>
      <c r="N106" s="19">
        <f>IFERROR(INDEX([1]DATA!$AH:$AH,MATCH('[1]BC_ ĐG LX'!$C106&amp;'[1]BC_ ĐG LX'!N$3,[1]DATA!$AW:$AW,0)),"")</f>
        <v>9.42</v>
      </c>
      <c r="O106" s="19">
        <f>IFERROR(INDEX([1]DATA!$AH:$AH,MATCH('[1]BC_ ĐG LX'!$C106&amp;'[1]BC_ ĐG LX'!O$3,[1]DATA!$AW:$AW,0)),"")</f>
        <v>9.82</v>
      </c>
      <c r="P106" s="19">
        <f>IFERROR(INDEX([1]DATA!$AH:$AH,MATCH('[1]BC_ ĐG LX'!$C106&amp;'[1]BC_ ĐG LX'!P$3,[1]DATA!$AW:$AW,0)),"")</f>
        <v>9.42</v>
      </c>
      <c r="Q106" s="19">
        <f>IFERROR(INDEX([1]DATA!$AH:$AH,MATCH('[1]BC_ ĐG LX'!$C106&amp;'[1]BC_ ĐG LX'!Q$3,[1]DATA!$AW:$AW,0)),"")</f>
        <v>9.42</v>
      </c>
      <c r="R106" s="19">
        <f>IFERROR(INDEX([1]DATA!$AH:$AH,MATCH('[1]BC_ ĐG LX'!$C106&amp;'[1]BC_ ĐG LX'!R$3,[1]DATA!$AW:$AW,0)),"")</f>
        <v>9.82</v>
      </c>
      <c r="S106" s="19">
        <f>IFERROR(INDEX([1]DATA!$AH:$AH,MATCH('[1]BC_ ĐG LX'!$C106&amp;'[1]BC_ ĐG LX'!S$3,[1]DATA!$AW:$AW,0)),"")</f>
        <v>7.6400000000000006</v>
      </c>
      <c r="T106" s="19">
        <f>IFERROR(INDEX([1]DATA!$AH:$AH,MATCH('[1]BC_ ĐG LX'!$C106&amp;'[1]BC_ ĐG LX'!T$3,[1]DATA!$AW:$AW,0)),"")</f>
        <v>9.02</v>
      </c>
      <c r="U106" s="19">
        <f>IFERROR(INDEX([1]DATA!$AH:$AH,MATCH('[1]BC_ ĐG LX'!$C106&amp;'[1]BC_ ĐG LX'!U$3,[1]DATA!$AW:$AW,0)),"")</f>
        <v>9.82</v>
      </c>
      <c r="V106" s="19">
        <f>IFERROR(INDEX([1]DATA!$AH:$AH,MATCH('[1]BC_ ĐG LX'!$C106&amp;'[1]BC_ ĐG LX'!V$3,[1]DATA!$AW:$AW,0)),"")</f>
        <v>9.42</v>
      </c>
      <c r="W106" s="19">
        <f>IFERROR(INDEX([1]DATA!$AH:$AH,MATCH('[1]BC_ ĐG LX'!$C106&amp;'[1]BC_ ĐG LX'!W$3,[1]DATA!$AW:$AW,0)),"")</f>
        <v>9.02</v>
      </c>
      <c r="X106" s="19">
        <f>IFERROR(INDEX([1]DATA!$AH:$AH,MATCH('[1]BC_ ĐG LX'!$C106&amp;'[1]BC_ ĐG LX'!X$3,[1]DATA!$AW:$AW,0)),"")</f>
        <v>9.42</v>
      </c>
      <c r="Y106" s="19">
        <f>IFERROR(INDEX([1]DATA!$AH:$AH,MATCH('[1]BC_ ĐG LX'!$C106&amp;'[1]BC_ ĐG LX'!Y$3,[1]DATA!$AW:$AW,0)),"")</f>
        <v>7.6400000000000006</v>
      </c>
      <c r="Z106" s="19">
        <f>IFERROR(INDEX([1]DATA!$AH:$AH,MATCH('[1]BC_ ĐG LX'!$C106&amp;'[1]BC_ ĐG LX'!Z$3,[1]DATA!$AW:$AW,0)),"")</f>
        <v>9.42</v>
      </c>
      <c r="AA106" s="19">
        <f>IFERROR(INDEX([1]DATA!$AH:$AH,MATCH('[1]BC_ ĐG LX'!$C106&amp;'[1]BC_ ĐG LX'!AA$3,[1]DATA!$AW:$AW,0)),"")</f>
        <v>9.42</v>
      </c>
      <c r="AB106" s="19">
        <f>IFERROR(INDEX([1]DATA!$AH:$AH,MATCH('[1]BC_ ĐG LX'!$C106&amp;'[1]BC_ ĐG LX'!AB$3,[1]DATA!$AW:$AW,0)),"")</f>
        <v>9.82</v>
      </c>
      <c r="AC106" s="19">
        <f>IFERROR(INDEX([1]DATA!$AH:$AH,MATCH('[1]BC_ ĐG LX'!$C106&amp;'[1]BC_ ĐG LX'!AC$3,[1]DATA!$AW:$AW,0)),"")</f>
        <v>9.02</v>
      </c>
      <c r="AD106" s="19">
        <f>IFERROR(INDEX([1]DATA!$AH:$AH,MATCH('[1]BC_ ĐG LX'!$C106&amp;'[1]BC_ ĐG LX'!AD$3,[1]DATA!$AW:$AW,0)),"")</f>
        <v>9.42</v>
      </c>
      <c r="AE106" s="19">
        <f>IFERROR(INDEX([1]DATA!$AH:$AH,MATCH('[1]BC_ ĐG LX'!$C106&amp;'[1]BC_ ĐG LX'!AE$3,[1]DATA!$AW:$AW,0)),"")</f>
        <v>9.42</v>
      </c>
      <c r="AF106" s="19" t="str">
        <f>IFERROR(INDEX([1]DATA!$AH:$AH,MATCH('[1]BC_ ĐG LX'!$C106&amp;'[1]BC_ ĐG LX'!AF$3,[1]DATA!$AW:$AW,0)),"")</f>
        <v/>
      </c>
      <c r="AG106" s="19" t="str">
        <f>IFERROR(INDEX([1]DATA!$AH:$AH,MATCH('[1]BC_ ĐG LX'!$C106&amp;'[1]BC_ ĐG LX'!AG$3,[1]DATA!$AW:$AW,0)),"")</f>
        <v/>
      </c>
      <c r="AH106" s="19" t="str">
        <f>IFERROR(INDEX([1]DATA!$AH:$AH,MATCH('[1]BC_ ĐG LX'!$C106&amp;'[1]BC_ ĐG LX'!AH$3,[1]DATA!$AW:$AW,0)),"")</f>
        <v/>
      </c>
      <c r="AI106" s="19" t="str">
        <f>IFERROR(INDEX([1]DATA!$AH:$AH,MATCH('[1]BC_ ĐG LX'!$C106&amp;'[1]BC_ ĐG LX'!AI$3,[1]DATA!$AW:$AW,0)),"")</f>
        <v/>
      </c>
      <c r="AJ106" s="19" t="str">
        <f>IFERROR(INDEX([1]DATA!$AH:$AH,MATCH('[1]BC_ ĐG LX'!$C106&amp;'[1]BC_ ĐG LX'!AJ$3,[1]DATA!$AW:$AW,0)),"")</f>
        <v/>
      </c>
      <c r="AK106" s="26">
        <f t="shared" si="5"/>
        <v>9.4</v>
      </c>
      <c r="AL106" s="21"/>
      <c r="AM106" s="22">
        <f t="shared" si="6"/>
        <v>25</v>
      </c>
      <c r="AN106" s="22" t="str">
        <f>_xlfn.XLOOKUP(B106,[1]DATA!AF:AF,[1]DATA!AX:AX)</f>
        <v>Hằng</v>
      </c>
      <c r="AO106"/>
    </row>
    <row r="107" spans="1:41" s="22" customFormat="1" ht="14.25" customHeight="1">
      <c r="A107" s="16">
        <f>SUBTOTAL(3,$D$93:D107)</f>
        <v>15</v>
      </c>
      <c r="B107" s="16" t="str">
        <f>_xlfn.XLOOKUP(C107,[1]DATA!D:D,[1]DATA!AF:AF)</f>
        <v>XE01062</v>
      </c>
      <c r="C107" s="18" t="s">
        <v>130</v>
      </c>
      <c r="D107" s="16" t="s">
        <v>21</v>
      </c>
      <c r="E107" s="18" t="s">
        <v>17</v>
      </c>
      <c r="F107" s="18" t="s">
        <v>18</v>
      </c>
      <c r="G107" s="19">
        <f>IFERROR(INDEX([1]DATA!$AH:$AH,MATCH('[1]BC_ ĐG LX'!$C107&amp;'[1]BC_ ĐG LX'!G$3,[1]DATA!$AW:$AW,0)),"")</f>
        <v>9.1999999999999993</v>
      </c>
      <c r="H107" s="19">
        <f>IFERROR(INDEX([1]DATA!$AH:$AH,MATCH('[1]BC_ ĐG LX'!$C107&amp;'[1]BC_ ĐG LX'!H$3,[1]DATA!$AW:$AW,0)),"")</f>
        <v>10</v>
      </c>
      <c r="I107" s="19">
        <f>IFERROR(INDEX([1]DATA!$AH:$AH,MATCH('[1]BC_ ĐG LX'!$C107&amp;'[1]BC_ ĐG LX'!I$3,[1]DATA!$AW:$AW,0)),"")</f>
        <v>10</v>
      </c>
      <c r="J107" s="19">
        <f>IFERROR(INDEX([1]DATA!$AH:$AH,MATCH('[1]BC_ ĐG LX'!$C107&amp;'[1]BC_ ĐG LX'!J$3,[1]DATA!$AW:$AW,0)),"")</f>
        <v>9.42</v>
      </c>
      <c r="K107" s="19">
        <f>IFERROR(INDEX([1]DATA!$AH:$AH,MATCH('[1]BC_ ĐG LX'!$C107&amp;'[1]BC_ ĐG LX'!K$3,[1]DATA!$AW:$AW,0)),"")</f>
        <v>9.42</v>
      </c>
      <c r="L107" s="19">
        <f>IFERROR(INDEX([1]DATA!$AH:$AH,MATCH('[1]BC_ ĐG LX'!$C107&amp;'[1]BC_ ĐG LX'!L$3,[1]DATA!$AW:$AW,0)),"")</f>
        <v>9.42</v>
      </c>
      <c r="M107" s="19">
        <f>IFERROR(INDEX([1]DATA!$AH:$AH,MATCH('[1]BC_ ĐG LX'!$C107&amp;'[1]BC_ ĐG LX'!M$3,[1]DATA!$AW:$AW,0)),"")</f>
        <v>9.82</v>
      </c>
      <c r="N107" s="19">
        <f>IFERROR(INDEX([1]DATA!$AH:$AH,MATCH('[1]BC_ ĐG LX'!$C107&amp;'[1]BC_ ĐG LX'!N$3,[1]DATA!$AW:$AW,0)),"")</f>
        <v>9.82</v>
      </c>
      <c r="O107" s="19">
        <f>IFERROR(INDEX([1]DATA!$AH:$AH,MATCH('[1]BC_ ĐG LX'!$C107&amp;'[1]BC_ ĐG LX'!O$3,[1]DATA!$AW:$AW,0)),"")</f>
        <v>9.24</v>
      </c>
      <c r="P107" s="19">
        <f>IFERROR(INDEX([1]DATA!$AH:$AH,MATCH('[1]BC_ ĐG LX'!$C107&amp;'[1]BC_ ĐG LX'!P$3,[1]DATA!$AW:$AW,0)),"")</f>
        <v>9.82</v>
      </c>
      <c r="Q107" s="19">
        <f>IFERROR(INDEX([1]DATA!$AH:$AH,MATCH('[1]BC_ ĐG LX'!$C107&amp;'[1]BC_ ĐG LX'!Q$3,[1]DATA!$AW:$AW,0)),"")</f>
        <v>9.82</v>
      </c>
      <c r="R107" s="19">
        <f>IFERROR(INDEX([1]DATA!$AH:$AH,MATCH('[1]BC_ ĐG LX'!$C107&amp;'[1]BC_ ĐG LX'!R$3,[1]DATA!$AW:$AW,0)),"")</f>
        <v>9.42</v>
      </c>
      <c r="S107" s="19">
        <f>IFERROR(INDEX([1]DATA!$AH:$AH,MATCH('[1]BC_ ĐG LX'!$C107&amp;'[1]BC_ ĐG LX'!S$3,[1]DATA!$AW:$AW,0)),"")</f>
        <v>9.82</v>
      </c>
      <c r="T107" s="19">
        <f>IFERROR(INDEX([1]DATA!$AH:$AH,MATCH('[1]BC_ ĐG LX'!$C107&amp;'[1]BC_ ĐG LX'!T$3,[1]DATA!$AW:$AW,0)),"")</f>
        <v>9.42</v>
      </c>
      <c r="U107" s="19">
        <f>IFERROR(INDEX([1]DATA!$AH:$AH,MATCH('[1]BC_ ĐG LX'!$C107&amp;'[1]BC_ ĐG LX'!U$3,[1]DATA!$AW:$AW,0)),"")</f>
        <v>9.42</v>
      </c>
      <c r="V107" s="19">
        <f>IFERROR(INDEX([1]DATA!$AH:$AH,MATCH('[1]BC_ ĐG LX'!$C107&amp;'[1]BC_ ĐG LX'!V$3,[1]DATA!$AW:$AW,0)),"")</f>
        <v>9.82</v>
      </c>
      <c r="W107" s="19">
        <f>IFERROR(INDEX([1]DATA!$AH:$AH,MATCH('[1]BC_ ĐG LX'!$C107&amp;'[1]BC_ ĐG LX'!W$3,[1]DATA!$AW:$AW,0)),"")</f>
        <v>9.82</v>
      </c>
      <c r="X107" s="19">
        <f>IFERROR(INDEX([1]DATA!$AH:$AH,MATCH('[1]BC_ ĐG LX'!$C107&amp;'[1]BC_ ĐG LX'!X$3,[1]DATA!$AW:$AW,0)),"")</f>
        <v>9.42</v>
      </c>
      <c r="Y107" s="19">
        <f>IFERROR(INDEX([1]DATA!$AH:$AH,MATCH('[1]BC_ ĐG LX'!$C107&amp;'[1]BC_ ĐG LX'!Y$3,[1]DATA!$AW:$AW,0)),"")</f>
        <v>9.42</v>
      </c>
      <c r="Z107" s="19">
        <f>IFERROR(INDEX([1]DATA!$AH:$AH,MATCH('[1]BC_ ĐG LX'!$C107&amp;'[1]BC_ ĐG LX'!Z$3,[1]DATA!$AW:$AW,0)),"")</f>
        <v>8.44</v>
      </c>
      <c r="AA107" s="19">
        <f>IFERROR(INDEX([1]DATA!$AH:$AH,MATCH('[1]BC_ ĐG LX'!$C107&amp;'[1]BC_ ĐG LX'!AA$3,[1]DATA!$AW:$AW,0)),"")</f>
        <v>9.82</v>
      </c>
      <c r="AB107" s="19">
        <f>IFERROR(INDEX([1]DATA!$AH:$AH,MATCH('[1]BC_ ĐG LX'!$C107&amp;'[1]BC_ ĐG LX'!AB$3,[1]DATA!$AW:$AW,0)),"")</f>
        <v>9.82</v>
      </c>
      <c r="AC107" s="19">
        <f>IFERROR(INDEX([1]DATA!$AH:$AH,MATCH('[1]BC_ ĐG LX'!$C107&amp;'[1]BC_ ĐG LX'!AC$3,[1]DATA!$AW:$AW,0)),"")</f>
        <v>8.84</v>
      </c>
      <c r="AD107" s="19">
        <f>IFERROR(INDEX([1]DATA!$AH:$AH,MATCH('[1]BC_ ĐG LX'!$C107&amp;'[1]BC_ ĐG LX'!AD$3,[1]DATA!$AW:$AW,0)),"")</f>
        <v>9.02</v>
      </c>
      <c r="AE107" s="19">
        <f>IFERROR(INDEX([1]DATA!$AH:$AH,MATCH('[1]BC_ ĐG LX'!$C107&amp;'[1]BC_ ĐG LX'!AE$3,[1]DATA!$AW:$AW,0)),"")</f>
        <v>9.82</v>
      </c>
      <c r="AF107" s="19" t="str">
        <f>IFERROR(INDEX([1]DATA!$AH:$AH,MATCH('[1]BC_ ĐG LX'!$C107&amp;'[1]BC_ ĐG LX'!AF$3,[1]DATA!$AW:$AW,0)),"")</f>
        <v/>
      </c>
      <c r="AG107" s="19" t="str">
        <f>IFERROR(INDEX([1]DATA!$AH:$AH,MATCH('[1]BC_ ĐG LX'!$C107&amp;'[1]BC_ ĐG LX'!AG$3,[1]DATA!$AW:$AW,0)),"")</f>
        <v/>
      </c>
      <c r="AH107" s="19" t="str">
        <f>IFERROR(INDEX([1]DATA!$AH:$AH,MATCH('[1]BC_ ĐG LX'!$C107&amp;'[1]BC_ ĐG LX'!AH$3,[1]DATA!$AW:$AW,0)),"")</f>
        <v/>
      </c>
      <c r="AI107" s="19" t="str">
        <f>IFERROR(INDEX([1]DATA!$AH:$AH,MATCH('[1]BC_ ĐG LX'!$C107&amp;'[1]BC_ ĐG LX'!AI$3,[1]DATA!$AW:$AW,0)),"")</f>
        <v/>
      </c>
      <c r="AJ107" s="19" t="str">
        <f>IFERROR(INDEX([1]DATA!$AH:$AH,MATCH('[1]BC_ ĐG LX'!$C107&amp;'[1]BC_ ĐG LX'!AJ$3,[1]DATA!$AW:$AW,0)),"")</f>
        <v/>
      </c>
      <c r="AK107" s="26">
        <f t="shared" si="5"/>
        <v>9.6</v>
      </c>
      <c r="AL107" s="21"/>
      <c r="AM107" s="22">
        <f t="shared" si="6"/>
        <v>25</v>
      </c>
      <c r="AN107" s="22" t="str">
        <f>_xlfn.XLOOKUP(B107,[1]DATA!AF:AF,[1]DATA!AX:AX)</f>
        <v>Hằng</v>
      </c>
      <c r="AO107"/>
    </row>
    <row r="108" spans="1:41" s="22" customFormat="1" ht="14.25" customHeight="1">
      <c r="A108" s="16">
        <f>SUBTOTAL(3,$D$93:D108)</f>
        <v>16</v>
      </c>
      <c r="B108" s="16" t="str">
        <f>_xlfn.XLOOKUP(C108,[1]DATA!D:D,[1]DATA!AF:AF)</f>
        <v>XE01090</v>
      </c>
      <c r="C108" s="18" t="s">
        <v>131</v>
      </c>
      <c r="D108" s="16" t="s">
        <v>21</v>
      </c>
      <c r="E108" s="18" t="s">
        <v>17</v>
      </c>
      <c r="F108" s="18" t="s">
        <v>18</v>
      </c>
      <c r="G108" s="19">
        <f>IFERROR(INDEX([1]DATA!$AH:$AH,MATCH('[1]BC_ ĐG LX'!$C108&amp;'[1]BC_ ĐG LX'!G$3,[1]DATA!$AW:$AW,0)),"")</f>
        <v>9.82</v>
      </c>
      <c r="H108" s="19">
        <f>IFERROR(INDEX([1]DATA!$AH:$AH,MATCH('[1]BC_ ĐG LX'!$C108&amp;'[1]BC_ ĐG LX'!H$3,[1]DATA!$AW:$AW,0)),"")</f>
        <v>9.02</v>
      </c>
      <c r="I108" s="19">
        <f>IFERROR(INDEX([1]DATA!$AH:$AH,MATCH('[1]BC_ ĐG LX'!$C108&amp;'[1]BC_ ĐG LX'!I$3,[1]DATA!$AW:$AW,0)),"")</f>
        <v>7.24</v>
      </c>
      <c r="J108" s="19">
        <f>IFERROR(INDEX([1]DATA!$AH:$AH,MATCH('[1]BC_ ĐG LX'!$C108&amp;'[1]BC_ ĐG LX'!J$3,[1]DATA!$AW:$AW,0)),"")</f>
        <v>9.02</v>
      </c>
      <c r="K108" s="19">
        <f>IFERROR(INDEX([1]DATA!$AH:$AH,MATCH('[1]BC_ ĐG LX'!$C108&amp;'[1]BC_ ĐG LX'!K$3,[1]DATA!$AW:$AW,0)),"")</f>
        <v>9.82</v>
      </c>
      <c r="L108" s="19">
        <f>IFERROR(INDEX([1]DATA!$AH:$AH,MATCH('[1]BC_ ĐG LX'!$C108&amp;'[1]BC_ ĐG LX'!L$3,[1]DATA!$AW:$AW,0)),"")</f>
        <v>9.42</v>
      </c>
      <c r="M108" s="19">
        <f>IFERROR(INDEX([1]DATA!$AH:$AH,MATCH('[1]BC_ ĐG LX'!$C108&amp;'[1]BC_ ĐG LX'!M$3,[1]DATA!$AW:$AW,0)),"")</f>
        <v>9.42</v>
      </c>
      <c r="N108" s="19">
        <f>IFERROR(INDEX([1]DATA!$AH:$AH,MATCH('[1]BC_ ĐG LX'!$C108&amp;'[1]BC_ ĐG LX'!N$3,[1]DATA!$AW:$AW,0)),"")</f>
        <v>9.82</v>
      </c>
      <c r="O108" s="19">
        <f>IFERROR(INDEX([1]DATA!$AH:$AH,MATCH('[1]BC_ ĐG LX'!$C108&amp;'[1]BC_ ĐG LX'!O$3,[1]DATA!$AW:$AW,0)),"")</f>
        <v>9.42</v>
      </c>
      <c r="P108" s="19">
        <f>IFERROR(INDEX([1]DATA!$AH:$AH,MATCH('[1]BC_ ĐG LX'!$C108&amp;'[1]BC_ ĐG LX'!P$3,[1]DATA!$AW:$AW,0)),"")</f>
        <v>7.24</v>
      </c>
      <c r="Q108" s="19">
        <f>IFERROR(INDEX([1]DATA!$AH:$AH,MATCH('[1]BC_ ĐG LX'!$C108&amp;'[1]BC_ ĐG LX'!Q$3,[1]DATA!$AW:$AW,0)),"")</f>
        <v>9.82</v>
      </c>
      <c r="R108" s="19">
        <f>IFERROR(INDEX([1]DATA!$AH:$AH,MATCH('[1]BC_ ĐG LX'!$C108&amp;'[1]BC_ ĐG LX'!R$3,[1]DATA!$AW:$AW,0)),"")</f>
        <v>9.02</v>
      </c>
      <c r="S108" s="19">
        <f>IFERROR(INDEX([1]DATA!$AH:$AH,MATCH('[1]BC_ ĐG LX'!$C108&amp;'[1]BC_ ĐG LX'!S$3,[1]DATA!$AW:$AW,0)),"")</f>
        <v>9.42</v>
      </c>
      <c r="T108" s="19">
        <f>IFERROR(INDEX([1]DATA!$AH:$AH,MATCH('[1]BC_ ĐG LX'!$C108&amp;'[1]BC_ ĐG LX'!T$3,[1]DATA!$AW:$AW,0)),"")</f>
        <v>9.42</v>
      </c>
      <c r="U108" s="19">
        <f>IFERROR(INDEX([1]DATA!$AH:$AH,MATCH('[1]BC_ ĐG LX'!$C108&amp;'[1]BC_ ĐG LX'!U$3,[1]DATA!$AW:$AW,0)),"")</f>
        <v>9.42</v>
      </c>
      <c r="V108" s="19">
        <f>IFERROR(INDEX([1]DATA!$AH:$AH,MATCH('[1]BC_ ĐG LX'!$C108&amp;'[1]BC_ ĐG LX'!V$3,[1]DATA!$AW:$AW,0)),"")</f>
        <v>9.42</v>
      </c>
      <c r="W108" s="19">
        <f>IFERROR(INDEX([1]DATA!$AH:$AH,MATCH('[1]BC_ ĐG LX'!$C108&amp;'[1]BC_ ĐG LX'!W$3,[1]DATA!$AW:$AW,0)),"")</f>
        <v>9.82</v>
      </c>
      <c r="X108" s="19">
        <f>IFERROR(INDEX([1]DATA!$AH:$AH,MATCH('[1]BC_ ĐG LX'!$C108&amp;'[1]BC_ ĐG LX'!X$3,[1]DATA!$AW:$AW,0)),"")</f>
        <v>9.42</v>
      </c>
      <c r="Y108" s="19">
        <f>IFERROR(INDEX([1]DATA!$AH:$AH,MATCH('[1]BC_ ĐG LX'!$C108&amp;'[1]BC_ ĐG LX'!Y$3,[1]DATA!$AW:$AW,0)),"")</f>
        <v>9.42</v>
      </c>
      <c r="Z108" s="19">
        <f>IFERROR(INDEX([1]DATA!$AH:$AH,MATCH('[1]BC_ ĐG LX'!$C108&amp;'[1]BC_ ĐG LX'!Z$3,[1]DATA!$AW:$AW,0)),"")</f>
        <v>9.42</v>
      </c>
      <c r="AA108" s="19">
        <f>IFERROR(INDEX([1]DATA!$AH:$AH,MATCH('[1]BC_ ĐG LX'!$C108&amp;'[1]BC_ ĐG LX'!AA$3,[1]DATA!$AW:$AW,0)),"")</f>
        <v>9.42</v>
      </c>
      <c r="AB108" s="19">
        <f>IFERROR(INDEX([1]DATA!$AH:$AH,MATCH('[1]BC_ ĐG LX'!$C108&amp;'[1]BC_ ĐG LX'!AB$3,[1]DATA!$AW:$AW,0)),"")</f>
        <v>9.82</v>
      </c>
      <c r="AC108" s="19">
        <f>IFERROR(INDEX([1]DATA!$AH:$AH,MATCH('[1]BC_ ĐG LX'!$C108&amp;'[1]BC_ ĐG LX'!AC$3,[1]DATA!$AW:$AW,0)),"")</f>
        <v>8.620000000000001</v>
      </c>
      <c r="AD108" s="19">
        <f>IFERROR(INDEX([1]DATA!$AH:$AH,MATCH('[1]BC_ ĐG LX'!$C108&amp;'[1]BC_ ĐG LX'!AD$3,[1]DATA!$AW:$AW,0)),"")</f>
        <v>9.82</v>
      </c>
      <c r="AE108" s="19">
        <f>IFERROR(INDEX([1]DATA!$AH:$AH,MATCH('[1]BC_ ĐG LX'!$C108&amp;'[1]BC_ ĐG LX'!AE$3,[1]DATA!$AW:$AW,0)),"")</f>
        <v>10</v>
      </c>
      <c r="AF108" s="19" t="str">
        <f>IFERROR(INDEX([1]DATA!$AH:$AH,MATCH('[1]BC_ ĐG LX'!$C108&amp;'[1]BC_ ĐG LX'!AF$3,[1]DATA!$AW:$AW,0)),"")</f>
        <v/>
      </c>
      <c r="AG108" s="19" t="str">
        <f>IFERROR(INDEX([1]DATA!$AH:$AH,MATCH('[1]BC_ ĐG LX'!$C108&amp;'[1]BC_ ĐG LX'!AG$3,[1]DATA!$AW:$AW,0)),"")</f>
        <v/>
      </c>
      <c r="AH108" s="19" t="str">
        <f>IFERROR(INDEX([1]DATA!$AH:$AH,MATCH('[1]BC_ ĐG LX'!$C108&amp;'[1]BC_ ĐG LX'!AH$3,[1]DATA!$AW:$AW,0)),"")</f>
        <v/>
      </c>
      <c r="AI108" s="19" t="str">
        <f>IFERROR(INDEX([1]DATA!$AH:$AH,MATCH('[1]BC_ ĐG LX'!$C108&amp;'[1]BC_ ĐG LX'!AI$3,[1]DATA!$AW:$AW,0)),"")</f>
        <v/>
      </c>
      <c r="AJ108" s="19" t="str">
        <f>IFERROR(INDEX([1]DATA!$AH:$AH,MATCH('[1]BC_ ĐG LX'!$C108&amp;'[1]BC_ ĐG LX'!AJ$3,[1]DATA!$AW:$AW,0)),"")</f>
        <v/>
      </c>
      <c r="AK108" s="26">
        <f t="shared" si="5"/>
        <v>9.4</v>
      </c>
      <c r="AL108" s="21"/>
      <c r="AM108" s="22">
        <f t="shared" si="6"/>
        <v>25</v>
      </c>
      <c r="AN108" s="22" t="str">
        <f>_xlfn.XLOOKUP(B108,[1]DATA!AF:AF,[1]DATA!AX:AX)</f>
        <v>Hằng</v>
      </c>
      <c r="AO108"/>
    </row>
    <row r="109" spans="1:41" s="22" customFormat="1" ht="14.25" customHeight="1">
      <c r="A109" s="16">
        <f>SUBTOTAL(3,$D$93:D109)</f>
        <v>17</v>
      </c>
      <c r="B109" s="16" t="str">
        <f>_xlfn.XLOOKUP(C109,[1]DATA!D:D,[1]DATA!AF:AF)</f>
        <v>XE01182</v>
      </c>
      <c r="C109" s="18" t="s">
        <v>132</v>
      </c>
      <c r="D109" s="16" t="s">
        <v>21</v>
      </c>
      <c r="E109" s="18" t="s">
        <v>17</v>
      </c>
      <c r="F109" s="18" t="s">
        <v>18</v>
      </c>
      <c r="G109" s="19">
        <f>IFERROR(INDEX([1]DATA!$AH:$AH,MATCH('[1]BC_ ĐG LX'!$C109&amp;'[1]BC_ ĐG LX'!G$3,[1]DATA!$AW:$AW,0)),"")</f>
        <v>9.42</v>
      </c>
      <c r="H109" s="19">
        <f>IFERROR(INDEX([1]DATA!$AH:$AH,MATCH('[1]BC_ ĐG LX'!$C109&amp;'[1]BC_ ĐG LX'!H$3,[1]DATA!$AW:$AW,0)),"")</f>
        <v>9.6</v>
      </c>
      <c r="I109" s="19">
        <f>IFERROR(INDEX([1]DATA!$AH:$AH,MATCH('[1]BC_ ĐG LX'!$C109&amp;'[1]BC_ ĐG LX'!I$3,[1]DATA!$AW:$AW,0)),"")</f>
        <v>8.6199999999999992</v>
      </c>
      <c r="J109" s="19">
        <f>IFERROR(INDEX([1]DATA!$AH:$AH,MATCH('[1]BC_ ĐG LX'!$C109&amp;'[1]BC_ ĐG LX'!J$3,[1]DATA!$AW:$AW,0)),"")</f>
        <v>9.02</v>
      </c>
      <c r="K109" s="19">
        <f>IFERROR(INDEX([1]DATA!$AH:$AH,MATCH('[1]BC_ ĐG LX'!$C109&amp;'[1]BC_ ĐG LX'!K$3,[1]DATA!$AW:$AW,0)),"")</f>
        <v>9.82</v>
      </c>
      <c r="L109" s="19">
        <f>IFERROR(INDEX([1]DATA!$AH:$AH,MATCH('[1]BC_ ĐG LX'!$C109&amp;'[1]BC_ ĐG LX'!L$3,[1]DATA!$AW:$AW,0)),"")</f>
        <v>9.82</v>
      </c>
      <c r="M109" s="19">
        <f>IFERROR(INDEX([1]DATA!$AH:$AH,MATCH('[1]BC_ ĐG LX'!$C109&amp;'[1]BC_ ĐG LX'!M$3,[1]DATA!$AW:$AW,0)),"")</f>
        <v>9.42</v>
      </c>
      <c r="N109" s="19">
        <f>IFERROR(INDEX([1]DATA!$AH:$AH,MATCH('[1]BC_ ĐG LX'!$C109&amp;'[1]BC_ ĐG LX'!N$3,[1]DATA!$AW:$AW,0)),"")</f>
        <v>9.82</v>
      </c>
      <c r="O109" s="19">
        <f>IFERROR(INDEX([1]DATA!$AH:$AH,MATCH('[1]BC_ ĐG LX'!$C109&amp;'[1]BC_ ĐG LX'!O$3,[1]DATA!$AW:$AW,0)),"")</f>
        <v>9.42</v>
      </c>
      <c r="P109" s="19">
        <f>IFERROR(INDEX([1]DATA!$AH:$AH,MATCH('[1]BC_ ĐG LX'!$C109&amp;'[1]BC_ ĐG LX'!P$3,[1]DATA!$AW:$AW,0)),"")</f>
        <v>8.620000000000001</v>
      </c>
      <c r="Q109" s="19">
        <f>IFERROR(INDEX([1]DATA!$AH:$AH,MATCH('[1]BC_ ĐG LX'!$C109&amp;'[1]BC_ ĐG LX'!Q$3,[1]DATA!$AW:$AW,0)),"")</f>
        <v>9.02</v>
      </c>
      <c r="R109" s="19">
        <f>IFERROR(INDEX([1]DATA!$AH:$AH,MATCH('[1]BC_ ĐG LX'!$C109&amp;'[1]BC_ ĐG LX'!R$3,[1]DATA!$AW:$AW,0)),"")</f>
        <v>9.82</v>
      </c>
      <c r="S109" s="19">
        <f>IFERROR(INDEX([1]DATA!$AH:$AH,MATCH('[1]BC_ ĐG LX'!$C109&amp;'[1]BC_ ĐG LX'!S$3,[1]DATA!$AW:$AW,0)),"")</f>
        <v>8.2200000000000006</v>
      </c>
      <c r="T109" s="19">
        <f>IFERROR(INDEX([1]DATA!$AH:$AH,MATCH('[1]BC_ ĐG LX'!$C109&amp;'[1]BC_ ĐG LX'!T$3,[1]DATA!$AW:$AW,0)),"")</f>
        <v>9.42</v>
      </c>
      <c r="U109" s="19">
        <f>IFERROR(INDEX([1]DATA!$AH:$AH,MATCH('[1]BC_ ĐG LX'!$C109&amp;'[1]BC_ ĐG LX'!U$3,[1]DATA!$AW:$AW,0)),"")</f>
        <v>9.42</v>
      </c>
      <c r="V109" s="19">
        <f>IFERROR(INDEX([1]DATA!$AH:$AH,MATCH('[1]BC_ ĐG LX'!$C109&amp;'[1]BC_ ĐG LX'!V$3,[1]DATA!$AW:$AW,0)),"")</f>
        <v>9.82</v>
      </c>
      <c r="W109" s="19">
        <f>IFERROR(INDEX([1]DATA!$AH:$AH,MATCH('[1]BC_ ĐG LX'!$C109&amp;'[1]BC_ ĐG LX'!W$3,[1]DATA!$AW:$AW,0)),"")</f>
        <v>9.82</v>
      </c>
      <c r="X109" s="19">
        <f>IFERROR(INDEX([1]DATA!$AH:$AH,MATCH('[1]BC_ ĐG LX'!$C109&amp;'[1]BC_ ĐG LX'!X$3,[1]DATA!$AW:$AW,0)),"")</f>
        <v>9.42</v>
      </c>
      <c r="Y109" s="19">
        <f>IFERROR(INDEX([1]DATA!$AH:$AH,MATCH('[1]BC_ ĐG LX'!$C109&amp;'[1]BC_ ĐG LX'!Y$3,[1]DATA!$AW:$AW,0)),"")</f>
        <v>9.42</v>
      </c>
      <c r="Z109" s="19">
        <f>IFERROR(INDEX([1]DATA!$AH:$AH,MATCH('[1]BC_ ĐG LX'!$C109&amp;'[1]BC_ ĐG LX'!Z$3,[1]DATA!$AW:$AW,0)),"")</f>
        <v>9.02</v>
      </c>
      <c r="AA109" s="19">
        <f>IFERROR(INDEX([1]DATA!$AH:$AH,MATCH('[1]BC_ ĐG LX'!$C109&amp;'[1]BC_ ĐG LX'!AA$3,[1]DATA!$AW:$AW,0)),"")</f>
        <v>9.82</v>
      </c>
      <c r="AB109" s="19">
        <f>IFERROR(INDEX([1]DATA!$AH:$AH,MATCH('[1]BC_ ĐG LX'!$C109&amp;'[1]BC_ ĐG LX'!AB$3,[1]DATA!$AW:$AW,0)),"")</f>
        <v>7.82</v>
      </c>
      <c r="AC109" s="19">
        <f>IFERROR(INDEX([1]DATA!$AH:$AH,MATCH('[1]BC_ ĐG LX'!$C109&amp;'[1]BC_ ĐG LX'!AC$3,[1]DATA!$AW:$AW,0)),"")</f>
        <v>9.82</v>
      </c>
      <c r="AD109" s="19">
        <f>IFERROR(INDEX([1]DATA!$AH:$AH,MATCH('[1]BC_ ĐG LX'!$C109&amp;'[1]BC_ ĐG LX'!AD$3,[1]DATA!$AW:$AW,0)),"")</f>
        <v>8.82</v>
      </c>
      <c r="AE109" s="19">
        <f>IFERROR(INDEX([1]DATA!$AH:$AH,MATCH('[1]BC_ ĐG LX'!$C109&amp;'[1]BC_ ĐG LX'!AE$3,[1]DATA!$AW:$AW,0)),"")</f>
        <v>9.82</v>
      </c>
      <c r="AF109" s="19" t="str">
        <f>IFERROR(INDEX([1]DATA!$AH:$AH,MATCH('[1]BC_ ĐG LX'!$C109&amp;'[1]BC_ ĐG LX'!AF$3,[1]DATA!$AW:$AW,0)),"")</f>
        <v/>
      </c>
      <c r="AG109" s="19" t="str">
        <f>IFERROR(INDEX([1]DATA!$AH:$AH,MATCH('[1]BC_ ĐG LX'!$C109&amp;'[1]BC_ ĐG LX'!AG$3,[1]DATA!$AW:$AW,0)),"")</f>
        <v/>
      </c>
      <c r="AH109" s="19" t="str">
        <f>IFERROR(INDEX([1]DATA!$AH:$AH,MATCH('[1]BC_ ĐG LX'!$C109&amp;'[1]BC_ ĐG LX'!AH$3,[1]DATA!$AW:$AW,0)),"")</f>
        <v/>
      </c>
      <c r="AI109" s="19" t="str">
        <f>IFERROR(INDEX([1]DATA!$AH:$AH,MATCH('[1]BC_ ĐG LX'!$C109&amp;'[1]BC_ ĐG LX'!AI$3,[1]DATA!$AW:$AW,0)),"")</f>
        <v/>
      </c>
      <c r="AJ109" s="19" t="str">
        <f>IFERROR(INDEX([1]DATA!$AH:$AH,MATCH('[1]BC_ ĐG LX'!$C109&amp;'[1]BC_ ĐG LX'!AJ$3,[1]DATA!$AW:$AW,0)),"")</f>
        <v/>
      </c>
      <c r="AK109" s="26">
        <f t="shared" si="5"/>
        <v>9.4</v>
      </c>
      <c r="AL109" s="21"/>
      <c r="AM109" s="22">
        <f t="shared" si="6"/>
        <v>25</v>
      </c>
      <c r="AN109" s="22" t="str">
        <f>_xlfn.XLOOKUP(B109,[1]DATA!AF:AF,[1]DATA!AX:AX)</f>
        <v>Hằng</v>
      </c>
      <c r="AO109"/>
    </row>
    <row r="110" spans="1:41" s="22" customFormat="1" ht="14.25" customHeight="1">
      <c r="A110" s="16">
        <f>SUBTOTAL(3,$D$93:D110)</f>
        <v>18</v>
      </c>
      <c r="B110" s="16" t="str">
        <f>_xlfn.XLOOKUP(C110,[1]DATA!D:D,[1]DATA!AF:AF)</f>
        <v>XE01601</v>
      </c>
      <c r="C110" s="18" t="s">
        <v>133</v>
      </c>
      <c r="D110" s="16" t="s">
        <v>21</v>
      </c>
      <c r="E110" s="18" t="s">
        <v>17</v>
      </c>
      <c r="F110" s="18" t="s">
        <v>18</v>
      </c>
      <c r="G110" s="19">
        <f>IFERROR(INDEX([1]DATA!$AH:$AH,MATCH('[1]BC_ ĐG LX'!$C110&amp;'[1]BC_ ĐG LX'!G$3,[1]DATA!$AW:$AW,0)),"")</f>
        <v>7.6400000000000006</v>
      </c>
      <c r="H110" s="19">
        <f>IFERROR(INDEX([1]DATA!$AH:$AH,MATCH('[1]BC_ ĐG LX'!$C110&amp;'[1]BC_ ĐG LX'!H$3,[1]DATA!$AW:$AW,0)),"")</f>
        <v>9.82</v>
      </c>
      <c r="I110" s="19">
        <f>IFERROR(INDEX([1]DATA!$AH:$AH,MATCH('[1]BC_ ĐG LX'!$C110&amp;'[1]BC_ ĐG LX'!I$3,[1]DATA!$AW:$AW,0)),"")</f>
        <v>9.42</v>
      </c>
      <c r="J110" s="19">
        <f>IFERROR(INDEX([1]DATA!$AH:$AH,MATCH('[1]BC_ ĐG LX'!$C110&amp;'[1]BC_ ĐG LX'!J$3,[1]DATA!$AW:$AW,0)),"")</f>
        <v>8.2200000000000006</v>
      </c>
      <c r="K110" s="19">
        <f>IFERROR(INDEX([1]DATA!$AH:$AH,MATCH('[1]BC_ ĐG LX'!$C110&amp;'[1]BC_ ĐG LX'!K$3,[1]DATA!$AW:$AW,0)),"")</f>
        <v>9.82</v>
      </c>
      <c r="L110" s="19">
        <f>IFERROR(INDEX([1]DATA!$AH:$AH,MATCH('[1]BC_ ĐG LX'!$C110&amp;'[1]BC_ ĐG LX'!L$3,[1]DATA!$AW:$AW,0)),"")</f>
        <v>9.42</v>
      </c>
      <c r="M110" s="19">
        <f>IFERROR(INDEX([1]DATA!$AH:$AH,MATCH('[1]BC_ ĐG LX'!$C110&amp;'[1]BC_ ĐG LX'!M$3,[1]DATA!$AW:$AW,0)),"")</f>
        <v>9.42</v>
      </c>
      <c r="N110" s="19">
        <f>IFERROR(INDEX([1]DATA!$AH:$AH,MATCH('[1]BC_ ĐG LX'!$C110&amp;'[1]BC_ ĐG LX'!N$3,[1]DATA!$AW:$AW,0)),"")</f>
        <v>9.42</v>
      </c>
      <c r="O110" s="19">
        <f>IFERROR(INDEX([1]DATA!$AH:$AH,MATCH('[1]BC_ ĐG LX'!$C110&amp;'[1]BC_ ĐG LX'!O$3,[1]DATA!$AW:$AW,0)),"")</f>
        <v>9.24</v>
      </c>
      <c r="P110" s="19">
        <f>IFERROR(INDEX([1]DATA!$AH:$AH,MATCH('[1]BC_ ĐG LX'!$C110&amp;'[1]BC_ ĐG LX'!P$3,[1]DATA!$AW:$AW,0)),"")</f>
        <v>9.02</v>
      </c>
      <c r="Q110" s="19">
        <f>IFERROR(INDEX([1]DATA!$AH:$AH,MATCH('[1]BC_ ĐG LX'!$C110&amp;'[1]BC_ ĐG LX'!Q$3,[1]DATA!$AW:$AW,0)),"")</f>
        <v>9.82</v>
      </c>
      <c r="R110" s="19">
        <f>IFERROR(INDEX([1]DATA!$AH:$AH,MATCH('[1]BC_ ĐG LX'!$C110&amp;'[1]BC_ ĐG LX'!R$3,[1]DATA!$AW:$AW,0)),"")</f>
        <v>9.82</v>
      </c>
      <c r="S110" s="19">
        <f>IFERROR(INDEX([1]DATA!$AH:$AH,MATCH('[1]BC_ ĐG LX'!$C110&amp;'[1]BC_ ĐG LX'!S$3,[1]DATA!$AW:$AW,0)),"")</f>
        <v>9.02</v>
      </c>
      <c r="T110" s="19">
        <f>IFERROR(INDEX([1]DATA!$AH:$AH,MATCH('[1]BC_ ĐG LX'!$C110&amp;'[1]BC_ ĐG LX'!T$3,[1]DATA!$AW:$AW,0)),"")</f>
        <v>9.82</v>
      </c>
      <c r="U110" s="19">
        <f>IFERROR(INDEX([1]DATA!$AH:$AH,MATCH('[1]BC_ ĐG LX'!$C110&amp;'[1]BC_ ĐG LX'!U$3,[1]DATA!$AW:$AW,0)),"")</f>
        <v>9.82</v>
      </c>
      <c r="V110" s="19">
        <f>IFERROR(INDEX([1]DATA!$AH:$AH,MATCH('[1]BC_ ĐG LX'!$C110&amp;'[1]BC_ ĐG LX'!V$3,[1]DATA!$AW:$AW,0)),"")</f>
        <v>9.82</v>
      </c>
      <c r="W110" s="19">
        <f>IFERROR(INDEX([1]DATA!$AH:$AH,MATCH('[1]BC_ ĐG LX'!$C110&amp;'[1]BC_ ĐG LX'!W$3,[1]DATA!$AW:$AW,0)),"")</f>
        <v>9.42</v>
      </c>
      <c r="X110" s="19">
        <f>IFERROR(INDEX([1]DATA!$AH:$AH,MATCH('[1]BC_ ĐG LX'!$C110&amp;'[1]BC_ ĐG LX'!X$3,[1]DATA!$AW:$AW,0)),"")</f>
        <v>9.82</v>
      </c>
      <c r="Y110" s="19">
        <f>IFERROR(INDEX([1]DATA!$AH:$AH,MATCH('[1]BC_ ĐG LX'!$C110&amp;'[1]BC_ ĐG LX'!Y$3,[1]DATA!$AW:$AW,0)),"")</f>
        <v>9.82</v>
      </c>
      <c r="Z110" s="19">
        <f>IFERROR(INDEX([1]DATA!$AH:$AH,MATCH('[1]BC_ ĐG LX'!$C110&amp;'[1]BC_ ĐG LX'!Z$3,[1]DATA!$AW:$AW,0)),"")</f>
        <v>8.84</v>
      </c>
      <c r="AA110" s="19">
        <f>IFERROR(INDEX([1]DATA!$AH:$AH,MATCH('[1]BC_ ĐG LX'!$C110&amp;'[1]BC_ ĐG LX'!AA$3,[1]DATA!$AW:$AW,0)),"")</f>
        <v>9.42</v>
      </c>
      <c r="AB110" s="19">
        <f>IFERROR(INDEX([1]DATA!$AH:$AH,MATCH('[1]BC_ ĐG LX'!$C110&amp;'[1]BC_ ĐG LX'!AB$3,[1]DATA!$AW:$AW,0)),"")</f>
        <v>9.42</v>
      </c>
      <c r="AC110" s="19">
        <f>IFERROR(INDEX([1]DATA!$AH:$AH,MATCH('[1]BC_ ĐG LX'!$C110&amp;'[1]BC_ ĐG LX'!AC$3,[1]DATA!$AW:$AW,0)),"")</f>
        <v>9.42</v>
      </c>
      <c r="AD110" s="19">
        <f>IFERROR(INDEX([1]DATA!$AH:$AH,MATCH('[1]BC_ ĐG LX'!$C110&amp;'[1]BC_ ĐG LX'!AD$3,[1]DATA!$AW:$AW,0)),"")</f>
        <v>8.2200000000000006</v>
      </c>
      <c r="AE110" s="19">
        <f>IFERROR(INDEX([1]DATA!$AH:$AH,MATCH('[1]BC_ ĐG LX'!$C110&amp;'[1]BC_ ĐG LX'!AE$3,[1]DATA!$AW:$AW,0)),"")</f>
        <v>9.82</v>
      </c>
      <c r="AF110" s="19" t="str">
        <f>IFERROR(INDEX([1]DATA!$AH:$AH,MATCH('[1]BC_ ĐG LX'!$C110&amp;'[1]BC_ ĐG LX'!AF$3,[1]DATA!$AW:$AW,0)),"")</f>
        <v/>
      </c>
      <c r="AG110" s="19" t="str">
        <f>IFERROR(INDEX([1]DATA!$AH:$AH,MATCH('[1]BC_ ĐG LX'!$C110&amp;'[1]BC_ ĐG LX'!AG$3,[1]DATA!$AW:$AW,0)),"")</f>
        <v/>
      </c>
      <c r="AH110" s="19" t="str">
        <f>IFERROR(INDEX([1]DATA!$AH:$AH,MATCH('[1]BC_ ĐG LX'!$C110&amp;'[1]BC_ ĐG LX'!AH$3,[1]DATA!$AW:$AW,0)),"")</f>
        <v/>
      </c>
      <c r="AI110" s="19" t="str">
        <f>IFERROR(INDEX([1]DATA!$AH:$AH,MATCH('[1]BC_ ĐG LX'!$C110&amp;'[1]BC_ ĐG LX'!AI$3,[1]DATA!$AW:$AW,0)),"")</f>
        <v/>
      </c>
      <c r="AJ110" s="19" t="str">
        <f>IFERROR(INDEX([1]DATA!$AH:$AH,MATCH('[1]BC_ ĐG LX'!$C110&amp;'[1]BC_ ĐG LX'!AJ$3,[1]DATA!$AW:$AW,0)),"")</f>
        <v/>
      </c>
      <c r="AK110" s="26">
        <f t="shared" si="5"/>
        <v>9.4</v>
      </c>
      <c r="AL110" s="21"/>
      <c r="AM110" s="22">
        <f t="shared" si="6"/>
        <v>25</v>
      </c>
      <c r="AN110" s="22" t="str">
        <f>_xlfn.XLOOKUP(B110,[1]DATA!AF:AF,[1]DATA!AX:AX)</f>
        <v>Hằng</v>
      </c>
      <c r="AO110"/>
    </row>
    <row r="111" spans="1:41" s="22" customFormat="1" ht="14.25" customHeight="1">
      <c r="A111" s="16">
        <f>SUBTOTAL(3,$D$93:D111)</f>
        <v>19</v>
      </c>
      <c r="B111" s="16" t="str">
        <f>_xlfn.XLOOKUP(C111,[1]DATA!D:D,[1]DATA!AF:AF)</f>
        <v>XE00026</v>
      </c>
      <c r="C111" s="18" t="s">
        <v>134</v>
      </c>
      <c r="D111" s="16" t="s">
        <v>21</v>
      </c>
      <c r="E111" s="18" t="s">
        <v>17</v>
      </c>
      <c r="F111" s="18" t="s">
        <v>18</v>
      </c>
      <c r="G111" s="19">
        <f>IFERROR(INDEX([1]DATA!$AH:$AH,MATCH('[1]BC_ ĐG LX'!$C111&amp;'[1]BC_ ĐG LX'!G$3,[1]DATA!$AW:$AW,0)),"")</f>
        <v>10</v>
      </c>
      <c r="H111" s="19">
        <f>IFERROR(INDEX([1]DATA!$AH:$AH,MATCH('[1]BC_ ĐG LX'!$C111&amp;'[1]BC_ ĐG LX'!H$3,[1]DATA!$AW:$AW,0)),"")</f>
        <v>10</v>
      </c>
      <c r="I111" s="19">
        <f>IFERROR(INDEX([1]DATA!$AH:$AH,MATCH('[1]BC_ ĐG LX'!$C111&amp;'[1]BC_ ĐG LX'!I$3,[1]DATA!$AW:$AW,0)),"")</f>
        <v>9.6</v>
      </c>
      <c r="J111" s="19">
        <f>IFERROR(INDEX([1]DATA!$AH:$AH,MATCH('[1]BC_ ĐG LX'!$C111&amp;'[1]BC_ ĐG LX'!J$3,[1]DATA!$AW:$AW,0)),"")</f>
        <v>7.82</v>
      </c>
      <c r="K111" s="19">
        <f>IFERROR(INDEX([1]DATA!$AH:$AH,MATCH('[1]BC_ ĐG LX'!$C111&amp;'[1]BC_ ĐG LX'!K$3,[1]DATA!$AW:$AW,0)),"")</f>
        <v>9.82</v>
      </c>
      <c r="L111" s="19">
        <f>IFERROR(INDEX([1]DATA!$AH:$AH,MATCH('[1]BC_ ĐG LX'!$C111&amp;'[1]BC_ ĐG LX'!L$3,[1]DATA!$AW:$AW,0)),"")</f>
        <v>9.42</v>
      </c>
      <c r="M111" s="19">
        <f>IFERROR(INDEX([1]DATA!$AH:$AH,MATCH('[1]BC_ ĐG LX'!$C111&amp;'[1]BC_ ĐG LX'!M$3,[1]DATA!$AW:$AW,0)),"")</f>
        <v>9.02</v>
      </c>
      <c r="N111" s="19">
        <f>IFERROR(INDEX([1]DATA!$AH:$AH,MATCH('[1]BC_ ĐG LX'!$C111&amp;'[1]BC_ ĐG LX'!N$3,[1]DATA!$AW:$AW,0)),"")</f>
        <v>9.42</v>
      </c>
      <c r="O111" s="19">
        <f>IFERROR(INDEX([1]DATA!$AH:$AH,MATCH('[1]BC_ ĐG LX'!$C111&amp;'[1]BC_ ĐG LX'!O$3,[1]DATA!$AW:$AW,0)),"")</f>
        <v>9.82</v>
      </c>
      <c r="P111" s="19">
        <f>IFERROR(INDEX([1]DATA!$AH:$AH,MATCH('[1]BC_ ĐG LX'!$C111&amp;'[1]BC_ ĐG LX'!P$3,[1]DATA!$AW:$AW,0)),"")</f>
        <v>9.42</v>
      </c>
      <c r="Q111" s="19">
        <f>IFERROR(INDEX([1]DATA!$AH:$AH,MATCH('[1]BC_ ĐG LX'!$C111&amp;'[1]BC_ ĐG LX'!Q$3,[1]DATA!$AW:$AW,0)),"")</f>
        <v>8.2200000000000006</v>
      </c>
      <c r="R111" s="19">
        <f>IFERROR(INDEX([1]DATA!$AH:$AH,MATCH('[1]BC_ ĐG LX'!$C111&amp;'[1]BC_ ĐG LX'!R$3,[1]DATA!$AW:$AW,0)),"")</f>
        <v>9.82</v>
      </c>
      <c r="S111" s="19">
        <f>IFERROR(INDEX([1]DATA!$AH:$AH,MATCH('[1]BC_ ĐG LX'!$C111&amp;'[1]BC_ ĐG LX'!S$3,[1]DATA!$AW:$AW,0)),"")</f>
        <v>9.42</v>
      </c>
      <c r="T111" s="19">
        <f>IFERROR(INDEX([1]DATA!$AH:$AH,MATCH('[1]BC_ ĐG LX'!$C111&amp;'[1]BC_ ĐG LX'!T$3,[1]DATA!$AW:$AW,0)),"")</f>
        <v>9.82</v>
      </c>
      <c r="U111" s="19">
        <f>IFERROR(INDEX([1]DATA!$AH:$AH,MATCH('[1]BC_ ĐG LX'!$C111&amp;'[1]BC_ ĐG LX'!U$3,[1]DATA!$AW:$AW,0)),"")</f>
        <v>9.24</v>
      </c>
      <c r="V111" s="19">
        <f>IFERROR(INDEX([1]DATA!$AH:$AH,MATCH('[1]BC_ ĐG LX'!$C111&amp;'[1]BC_ ĐG LX'!V$3,[1]DATA!$AW:$AW,0)),"")</f>
        <v>9.82</v>
      </c>
      <c r="W111" s="19">
        <f>IFERROR(INDEX([1]DATA!$AH:$AH,MATCH('[1]BC_ ĐG LX'!$C111&amp;'[1]BC_ ĐG LX'!W$3,[1]DATA!$AW:$AW,0)),"")</f>
        <v>8.84</v>
      </c>
      <c r="X111" s="19">
        <f>IFERROR(INDEX([1]DATA!$AH:$AH,MATCH('[1]BC_ ĐG LX'!$C111&amp;'[1]BC_ ĐG LX'!X$3,[1]DATA!$AW:$AW,0)),"")</f>
        <v>9.82</v>
      </c>
      <c r="Y111" s="19">
        <f>IFERROR(INDEX([1]DATA!$AH:$AH,MATCH('[1]BC_ ĐG LX'!$C111&amp;'[1]BC_ ĐG LX'!Y$3,[1]DATA!$AW:$AW,0)),"")</f>
        <v>9.82</v>
      </c>
      <c r="Z111" s="19">
        <f>IFERROR(INDEX([1]DATA!$AH:$AH,MATCH('[1]BC_ ĐG LX'!$C111&amp;'[1]BC_ ĐG LX'!Z$3,[1]DATA!$AW:$AW,0)),"")</f>
        <v>9.82</v>
      </c>
      <c r="AA111" s="19">
        <f>IFERROR(INDEX([1]DATA!$AH:$AH,MATCH('[1]BC_ ĐG LX'!$C111&amp;'[1]BC_ ĐG LX'!AA$3,[1]DATA!$AW:$AW,0)),"")</f>
        <v>9.6199999999999992</v>
      </c>
      <c r="AB111" s="19">
        <f>IFERROR(INDEX([1]DATA!$AH:$AH,MATCH('[1]BC_ ĐG LX'!$C111&amp;'[1]BC_ ĐG LX'!AB$3,[1]DATA!$AW:$AW,0)),"")</f>
        <v>9.82</v>
      </c>
      <c r="AC111" s="19">
        <f>IFERROR(INDEX([1]DATA!$AH:$AH,MATCH('[1]BC_ ĐG LX'!$C111&amp;'[1]BC_ ĐG LX'!AC$3,[1]DATA!$AW:$AW,0)),"")</f>
        <v>9.42</v>
      </c>
      <c r="AD111" s="19">
        <f>IFERROR(INDEX([1]DATA!$AH:$AH,MATCH('[1]BC_ ĐG LX'!$C111&amp;'[1]BC_ ĐG LX'!AD$3,[1]DATA!$AW:$AW,0)),"")</f>
        <v>9.82</v>
      </c>
      <c r="AE111" s="19">
        <f>IFERROR(INDEX([1]DATA!$AH:$AH,MATCH('[1]BC_ ĐG LX'!$C111&amp;'[1]BC_ ĐG LX'!AE$3,[1]DATA!$AW:$AW,0)),"")</f>
        <v>9.82</v>
      </c>
      <c r="AF111" s="19" t="str">
        <f>IFERROR(INDEX([1]DATA!$AH:$AH,MATCH('[1]BC_ ĐG LX'!$C111&amp;'[1]BC_ ĐG LX'!AF$3,[1]DATA!$AW:$AW,0)),"")</f>
        <v/>
      </c>
      <c r="AG111" s="19" t="str">
        <f>IFERROR(INDEX([1]DATA!$AH:$AH,MATCH('[1]BC_ ĐG LX'!$C111&amp;'[1]BC_ ĐG LX'!AG$3,[1]DATA!$AW:$AW,0)),"")</f>
        <v/>
      </c>
      <c r="AH111" s="19" t="str">
        <f>IFERROR(INDEX([1]DATA!$AH:$AH,MATCH('[1]BC_ ĐG LX'!$C111&amp;'[1]BC_ ĐG LX'!AH$3,[1]DATA!$AW:$AW,0)),"")</f>
        <v/>
      </c>
      <c r="AI111" s="19" t="str">
        <f>IFERROR(INDEX([1]DATA!$AH:$AH,MATCH('[1]BC_ ĐG LX'!$C111&amp;'[1]BC_ ĐG LX'!AI$3,[1]DATA!$AW:$AW,0)),"")</f>
        <v/>
      </c>
      <c r="AJ111" s="19" t="str">
        <f>IFERROR(INDEX([1]DATA!$AH:$AH,MATCH('[1]BC_ ĐG LX'!$C111&amp;'[1]BC_ ĐG LX'!AJ$3,[1]DATA!$AW:$AW,0)),"")</f>
        <v/>
      </c>
      <c r="AK111" s="26">
        <f t="shared" si="5"/>
        <v>9.5</v>
      </c>
      <c r="AL111" s="21"/>
      <c r="AM111" s="22">
        <f t="shared" si="6"/>
        <v>25</v>
      </c>
      <c r="AN111" s="22" t="str">
        <f>_xlfn.XLOOKUP(B111,[1]DATA!AF:AF,[1]DATA!AX:AX)</f>
        <v>Hằng</v>
      </c>
      <c r="AO111"/>
    </row>
    <row r="112" spans="1:41" s="22" customFormat="1" ht="14.25" customHeight="1">
      <c r="A112" s="16">
        <f>SUBTOTAL(3,$D$93:D112)</f>
        <v>20</v>
      </c>
      <c r="B112" s="16" t="str">
        <f>_xlfn.XLOOKUP(C112,[1]DATA!D:D,[1]DATA!AF:AF)</f>
        <v>XE00188</v>
      </c>
      <c r="C112" s="18" t="s">
        <v>135</v>
      </c>
      <c r="D112" s="16" t="s">
        <v>21</v>
      </c>
      <c r="E112" s="18" t="s">
        <v>17</v>
      </c>
      <c r="F112" s="18" t="s">
        <v>18</v>
      </c>
      <c r="G112" s="19">
        <f>IFERROR(INDEX([1]DATA!$AH:$AH,MATCH('[1]BC_ ĐG LX'!$C112&amp;'[1]BC_ ĐG LX'!G$3,[1]DATA!$AW:$AW,0)),"")</f>
        <v>9.42</v>
      </c>
      <c r="H112" s="19">
        <f>IFERROR(INDEX([1]DATA!$AH:$AH,MATCH('[1]BC_ ĐG LX'!$C112&amp;'[1]BC_ ĐG LX'!H$3,[1]DATA!$AW:$AW,0)),"")</f>
        <v>8.84</v>
      </c>
      <c r="I112" s="19">
        <f>IFERROR(INDEX([1]DATA!$AH:$AH,MATCH('[1]BC_ ĐG LX'!$C112&amp;'[1]BC_ ĐG LX'!I$3,[1]DATA!$AW:$AW,0)),"")</f>
        <v>7.24</v>
      </c>
      <c r="J112" s="19">
        <f>IFERROR(INDEX([1]DATA!$AH:$AH,MATCH('[1]BC_ ĐG LX'!$C112&amp;'[1]BC_ ĐG LX'!J$3,[1]DATA!$AW:$AW,0)),"")</f>
        <v>9.42</v>
      </c>
      <c r="K112" s="19">
        <f>IFERROR(INDEX([1]DATA!$AH:$AH,MATCH('[1]BC_ ĐG LX'!$C112&amp;'[1]BC_ ĐG LX'!K$3,[1]DATA!$AW:$AW,0)),"")</f>
        <v>9.42</v>
      </c>
      <c r="L112" s="19">
        <f>IFERROR(INDEX([1]DATA!$AH:$AH,MATCH('[1]BC_ ĐG LX'!$C112&amp;'[1]BC_ ĐG LX'!L$3,[1]DATA!$AW:$AW,0)),"")</f>
        <v>7.6400000000000006</v>
      </c>
      <c r="M112" s="19">
        <f>IFERROR(INDEX([1]DATA!$AH:$AH,MATCH('[1]BC_ ĐG LX'!$C112&amp;'[1]BC_ ĐG LX'!M$3,[1]DATA!$AW:$AW,0)),"")</f>
        <v>8.84</v>
      </c>
      <c r="N112" s="19">
        <f>IFERROR(INDEX([1]DATA!$AH:$AH,MATCH('[1]BC_ ĐG LX'!$C112&amp;'[1]BC_ ĐG LX'!N$3,[1]DATA!$AW:$AW,0)),"")</f>
        <v>8.44</v>
      </c>
      <c r="O112" s="19">
        <f>IFERROR(INDEX([1]DATA!$AH:$AH,MATCH('[1]BC_ ĐG LX'!$C112&amp;'[1]BC_ ĐG LX'!O$3,[1]DATA!$AW:$AW,0)),"")</f>
        <v>9.42</v>
      </c>
      <c r="P112" s="19">
        <f>IFERROR(INDEX([1]DATA!$AH:$AH,MATCH('[1]BC_ ĐG LX'!$C112&amp;'[1]BC_ ĐG LX'!P$3,[1]DATA!$AW:$AW,0)),"")</f>
        <v>9.82</v>
      </c>
      <c r="Q112" s="19">
        <f>IFERROR(INDEX([1]DATA!$AH:$AH,MATCH('[1]BC_ ĐG LX'!$C112&amp;'[1]BC_ ĐG LX'!Q$3,[1]DATA!$AW:$AW,0)),"")</f>
        <v>7.24</v>
      </c>
      <c r="R112" s="19">
        <f>IFERROR(INDEX([1]DATA!$AH:$AH,MATCH('[1]BC_ ĐG LX'!$C112&amp;'[1]BC_ ĐG LX'!R$3,[1]DATA!$AW:$AW,0)),"")</f>
        <v>9.82</v>
      </c>
      <c r="S112" s="19">
        <f>IFERROR(INDEX([1]DATA!$AH:$AH,MATCH('[1]BC_ ĐG LX'!$C112&amp;'[1]BC_ ĐG LX'!S$3,[1]DATA!$AW:$AW,0)),"")</f>
        <v>9.42</v>
      </c>
      <c r="T112" s="19">
        <f>IFERROR(INDEX([1]DATA!$AH:$AH,MATCH('[1]BC_ ĐG LX'!$C112&amp;'[1]BC_ ĐG LX'!T$3,[1]DATA!$AW:$AW,0)),"")</f>
        <v>9.02</v>
      </c>
      <c r="U112" s="19">
        <f>IFERROR(INDEX([1]DATA!$AH:$AH,MATCH('[1]BC_ ĐG LX'!$C112&amp;'[1]BC_ ĐG LX'!U$3,[1]DATA!$AW:$AW,0)),"")</f>
        <v>9.82</v>
      </c>
      <c r="V112" s="19">
        <f>IFERROR(INDEX([1]DATA!$AH:$AH,MATCH('[1]BC_ ĐG LX'!$C112&amp;'[1]BC_ ĐG LX'!V$3,[1]DATA!$AW:$AW,0)),"")</f>
        <v>9.82</v>
      </c>
      <c r="W112" s="19">
        <f>IFERROR(INDEX([1]DATA!$AH:$AH,MATCH('[1]BC_ ĐG LX'!$C112&amp;'[1]BC_ ĐG LX'!W$3,[1]DATA!$AW:$AW,0)),"")</f>
        <v>8.84</v>
      </c>
      <c r="X112" s="19">
        <f>IFERROR(INDEX([1]DATA!$AH:$AH,MATCH('[1]BC_ ĐG LX'!$C112&amp;'[1]BC_ ĐG LX'!X$3,[1]DATA!$AW:$AW,0)),"")</f>
        <v>8.620000000000001</v>
      </c>
      <c r="Y112" s="19">
        <f>IFERROR(INDEX([1]DATA!$AH:$AH,MATCH('[1]BC_ ĐG LX'!$C112&amp;'[1]BC_ ĐG LX'!Y$3,[1]DATA!$AW:$AW,0)),"")</f>
        <v>9.24</v>
      </c>
      <c r="Z112" s="19">
        <f>IFERROR(INDEX([1]DATA!$AH:$AH,MATCH('[1]BC_ ĐG LX'!$C112&amp;'[1]BC_ ĐG LX'!Z$3,[1]DATA!$AW:$AW,0)),"")</f>
        <v>9.02</v>
      </c>
      <c r="AA112" s="19">
        <f>IFERROR(INDEX([1]DATA!$AH:$AH,MATCH('[1]BC_ ĐG LX'!$C112&amp;'[1]BC_ ĐG LX'!AA$3,[1]DATA!$AW:$AW,0)),"")</f>
        <v>9.82</v>
      </c>
      <c r="AB112" s="19">
        <f>IFERROR(INDEX([1]DATA!$AH:$AH,MATCH('[1]BC_ ĐG LX'!$C112&amp;'[1]BC_ ĐG LX'!AB$3,[1]DATA!$AW:$AW,0)),"")</f>
        <v>9.82</v>
      </c>
      <c r="AC112" s="19">
        <f>IFERROR(INDEX([1]DATA!$AH:$AH,MATCH('[1]BC_ ĐG LX'!$C112&amp;'[1]BC_ ĐG LX'!AC$3,[1]DATA!$AW:$AW,0)),"")</f>
        <v>8.64</v>
      </c>
      <c r="AD112" s="19">
        <f>IFERROR(INDEX([1]DATA!$AH:$AH,MATCH('[1]BC_ ĐG LX'!$C112&amp;'[1]BC_ ĐG LX'!AD$3,[1]DATA!$AW:$AW,0)),"")</f>
        <v>9.42</v>
      </c>
      <c r="AE112" s="19">
        <f>IFERROR(INDEX([1]DATA!$AH:$AH,MATCH('[1]BC_ ĐG LX'!$C112&amp;'[1]BC_ ĐG LX'!AE$3,[1]DATA!$AW:$AW,0)),"")</f>
        <v>9.82</v>
      </c>
      <c r="AF112" s="19" t="str">
        <f>IFERROR(INDEX([1]DATA!$AH:$AH,MATCH('[1]BC_ ĐG LX'!$C112&amp;'[1]BC_ ĐG LX'!AF$3,[1]DATA!$AW:$AW,0)),"")</f>
        <v/>
      </c>
      <c r="AG112" s="19" t="str">
        <f>IFERROR(INDEX([1]DATA!$AH:$AH,MATCH('[1]BC_ ĐG LX'!$C112&amp;'[1]BC_ ĐG LX'!AG$3,[1]DATA!$AW:$AW,0)),"")</f>
        <v/>
      </c>
      <c r="AH112" s="19" t="str">
        <f>IFERROR(INDEX([1]DATA!$AH:$AH,MATCH('[1]BC_ ĐG LX'!$C112&amp;'[1]BC_ ĐG LX'!AH$3,[1]DATA!$AW:$AW,0)),"")</f>
        <v/>
      </c>
      <c r="AI112" s="19" t="str">
        <f>IFERROR(INDEX([1]DATA!$AH:$AH,MATCH('[1]BC_ ĐG LX'!$C112&amp;'[1]BC_ ĐG LX'!AI$3,[1]DATA!$AW:$AW,0)),"")</f>
        <v/>
      </c>
      <c r="AJ112" s="19" t="str">
        <f>IFERROR(INDEX([1]DATA!$AH:$AH,MATCH('[1]BC_ ĐG LX'!$C112&amp;'[1]BC_ ĐG LX'!AJ$3,[1]DATA!$AW:$AW,0)),"")</f>
        <v/>
      </c>
      <c r="AK112" s="26">
        <f t="shared" si="5"/>
        <v>9.1</v>
      </c>
      <c r="AL112" s="21"/>
      <c r="AM112" s="22">
        <f t="shared" si="6"/>
        <v>25</v>
      </c>
      <c r="AN112" s="22" t="str">
        <f>_xlfn.XLOOKUP(B112,[1]DATA!AF:AF,[1]DATA!AX:AX)</f>
        <v>Hằng</v>
      </c>
      <c r="AO112"/>
    </row>
    <row r="113" spans="1:41" s="22" customFormat="1" ht="14.25" customHeight="1">
      <c r="A113" s="16">
        <f>SUBTOTAL(3,$D$93:D113)</f>
        <v>21</v>
      </c>
      <c r="B113" s="16" t="str">
        <f>_xlfn.XLOOKUP(C113,[1]DATA!D:D,[1]DATA!AF:AF)</f>
        <v>XE01286</v>
      </c>
      <c r="C113" s="18" t="s">
        <v>136</v>
      </c>
      <c r="D113" s="16" t="s">
        <v>21</v>
      </c>
      <c r="E113" s="18" t="s">
        <v>17</v>
      </c>
      <c r="F113" s="18" t="s">
        <v>18</v>
      </c>
      <c r="G113" s="19">
        <f>IFERROR(INDEX([1]DATA!$AH:$AH,MATCH('[1]BC_ ĐG LX'!$C113&amp;'[1]BC_ ĐG LX'!G$3,[1]DATA!$AW:$AW,0)),"")</f>
        <v>9.02</v>
      </c>
      <c r="H113" s="19">
        <f>IFERROR(INDEX([1]DATA!$AH:$AH,MATCH('[1]BC_ ĐG LX'!$C113&amp;'[1]BC_ ĐG LX'!H$3,[1]DATA!$AW:$AW,0)),"")</f>
        <v>9.82</v>
      </c>
      <c r="I113" s="19">
        <f>IFERROR(INDEX([1]DATA!$AH:$AH,MATCH('[1]BC_ ĐG LX'!$C113&amp;'[1]BC_ ĐG LX'!I$3,[1]DATA!$AW:$AW,0)),"")</f>
        <v>9.02</v>
      </c>
      <c r="J113" s="19">
        <f>IFERROR(INDEX([1]DATA!$AH:$AH,MATCH('[1]BC_ ĐG LX'!$C113&amp;'[1]BC_ ĐG LX'!J$3,[1]DATA!$AW:$AW,0)),"")</f>
        <v>9.82</v>
      </c>
      <c r="K113" s="19">
        <f>IFERROR(INDEX([1]DATA!$AH:$AH,MATCH('[1]BC_ ĐG LX'!$C113&amp;'[1]BC_ ĐG LX'!K$3,[1]DATA!$AW:$AW,0)),"")</f>
        <v>9.6199999999999992</v>
      </c>
      <c r="L113" s="19">
        <f>IFERROR(INDEX([1]DATA!$AH:$AH,MATCH('[1]BC_ ĐG LX'!$C113&amp;'[1]BC_ ĐG LX'!L$3,[1]DATA!$AW:$AW,0)),"")</f>
        <v>9.42</v>
      </c>
      <c r="M113" s="19">
        <f>IFERROR(INDEX([1]DATA!$AH:$AH,MATCH('[1]BC_ ĐG LX'!$C113&amp;'[1]BC_ ĐG LX'!M$3,[1]DATA!$AW:$AW,0)),"")</f>
        <v>9.82</v>
      </c>
      <c r="N113" s="19">
        <f>IFERROR(INDEX([1]DATA!$AH:$AH,MATCH('[1]BC_ ĐG LX'!$C113&amp;'[1]BC_ ĐG LX'!N$3,[1]DATA!$AW:$AW,0)),"")</f>
        <v>9.82</v>
      </c>
      <c r="O113" s="19">
        <f>IFERROR(INDEX([1]DATA!$AH:$AH,MATCH('[1]BC_ ĐG LX'!$C113&amp;'[1]BC_ ĐG LX'!O$3,[1]DATA!$AW:$AW,0)),"")</f>
        <v>9.42</v>
      </c>
      <c r="P113" s="19">
        <f>IFERROR(INDEX([1]DATA!$AH:$AH,MATCH('[1]BC_ ĐG LX'!$C113&amp;'[1]BC_ ĐG LX'!P$3,[1]DATA!$AW:$AW,0)),"")</f>
        <v>9.82</v>
      </c>
      <c r="Q113" s="19">
        <f>IFERROR(INDEX([1]DATA!$AH:$AH,MATCH('[1]BC_ ĐG LX'!$C113&amp;'[1]BC_ ĐG LX'!Q$3,[1]DATA!$AW:$AW,0)),"")</f>
        <v>9.82</v>
      </c>
      <c r="R113" s="19">
        <f>IFERROR(INDEX([1]DATA!$AH:$AH,MATCH('[1]BC_ ĐG LX'!$C113&amp;'[1]BC_ ĐG LX'!R$3,[1]DATA!$AW:$AW,0)),"")</f>
        <v>8.620000000000001</v>
      </c>
      <c r="S113" s="19">
        <f>IFERROR(INDEX([1]DATA!$AH:$AH,MATCH('[1]BC_ ĐG LX'!$C113&amp;'[1]BC_ ĐG LX'!S$3,[1]DATA!$AW:$AW,0)),"")</f>
        <v>9.82</v>
      </c>
      <c r="T113" s="19">
        <f>IFERROR(INDEX([1]DATA!$AH:$AH,MATCH('[1]BC_ ĐG LX'!$C113&amp;'[1]BC_ ĐG LX'!T$3,[1]DATA!$AW:$AW,0)),"")</f>
        <v>9.02</v>
      </c>
      <c r="U113" s="19">
        <f>IFERROR(INDEX([1]DATA!$AH:$AH,MATCH('[1]BC_ ĐG LX'!$C113&amp;'[1]BC_ ĐG LX'!U$3,[1]DATA!$AW:$AW,0)),"")</f>
        <v>9.42</v>
      </c>
      <c r="V113" s="19">
        <f>IFERROR(INDEX([1]DATA!$AH:$AH,MATCH('[1]BC_ ĐG LX'!$C113&amp;'[1]BC_ ĐG LX'!V$3,[1]DATA!$AW:$AW,0)),"")</f>
        <v>9.82</v>
      </c>
      <c r="W113" s="19">
        <f>IFERROR(INDEX([1]DATA!$AH:$AH,MATCH('[1]BC_ ĐG LX'!$C113&amp;'[1]BC_ ĐG LX'!W$3,[1]DATA!$AW:$AW,0)),"")</f>
        <v>9.42</v>
      </c>
      <c r="X113" s="19">
        <f>IFERROR(INDEX([1]DATA!$AH:$AH,MATCH('[1]BC_ ĐG LX'!$C113&amp;'[1]BC_ ĐG LX'!X$3,[1]DATA!$AW:$AW,0)),"")</f>
        <v>9.82</v>
      </c>
      <c r="Y113" s="19">
        <f>IFERROR(INDEX([1]DATA!$AH:$AH,MATCH('[1]BC_ ĐG LX'!$C113&amp;'[1]BC_ ĐG LX'!Y$3,[1]DATA!$AW:$AW,0)),"")</f>
        <v>9.42</v>
      </c>
      <c r="Z113" s="19">
        <f>IFERROR(INDEX([1]DATA!$AH:$AH,MATCH('[1]BC_ ĐG LX'!$C113&amp;'[1]BC_ ĐG LX'!Z$3,[1]DATA!$AW:$AW,0)),"")</f>
        <v>9.42</v>
      </c>
      <c r="AA113" s="19">
        <f>IFERROR(INDEX([1]DATA!$AH:$AH,MATCH('[1]BC_ ĐG LX'!$C113&amp;'[1]BC_ ĐG LX'!AA$3,[1]DATA!$AW:$AW,0)),"")</f>
        <v>9.02</v>
      </c>
      <c r="AB113" s="19">
        <f>IFERROR(INDEX([1]DATA!$AH:$AH,MATCH('[1]BC_ ĐG LX'!$C113&amp;'[1]BC_ ĐG LX'!AB$3,[1]DATA!$AW:$AW,0)),"")</f>
        <v>7.62</v>
      </c>
      <c r="AC113" s="19">
        <f>IFERROR(INDEX([1]DATA!$AH:$AH,MATCH('[1]BC_ ĐG LX'!$C113&amp;'[1]BC_ ĐG LX'!AC$3,[1]DATA!$AW:$AW,0)),"")</f>
        <v>7.6400000000000006</v>
      </c>
      <c r="AD113" s="19">
        <f>IFERROR(INDEX([1]DATA!$AH:$AH,MATCH('[1]BC_ ĐG LX'!$C113&amp;'[1]BC_ ĐG LX'!AD$3,[1]DATA!$AW:$AW,0)),"")</f>
        <v>7.6400000000000006</v>
      </c>
      <c r="AE113" s="19">
        <f>IFERROR(INDEX([1]DATA!$AH:$AH,MATCH('[1]BC_ ĐG LX'!$C113&amp;'[1]BC_ ĐG LX'!AE$3,[1]DATA!$AW:$AW,0)),"")</f>
        <v>9.82</v>
      </c>
      <c r="AF113" s="19" t="str">
        <f>IFERROR(INDEX([1]DATA!$AH:$AH,MATCH('[1]BC_ ĐG LX'!$C113&amp;'[1]BC_ ĐG LX'!AF$3,[1]DATA!$AW:$AW,0)),"")</f>
        <v/>
      </c>
      <c r="AG113" s="19" t="str">
        <f>IFERROR(INDEX([1]DATA!$AH:$AH,MATCH('[1]BC_ ĐG LX'!$C113&amp;'[1]BC_ ĐG LX'!AG$3,[1]DATA!$AW:$AW,0)),"")</f>
        <v/>
      </c>
      <c r="AH113" s="19" t="str">
        <f>IFERROR(INDEX([1]DATA!$AH:$AH,MATCH('[1]BC_ ĐG LX'!$C113&amp;'[1]BC_ ĐG LX'!AH$3,[1]DATA!$AW:$AW,0)),"")</f>
        <v/>
      </c>
      <c r="AI113" s="19" t="str">
        <f>IFERROR(INDEX([1]DATA!$AH:$AH,MATCH('[1]BC_ ĐG LX'!$C113&amp;'[1]BC_ ĐG LX'!AI$3,[1]DATA!$AW:$AW,0)),"")</f>
        <v/>
      </c>
      <c r="AJ113" s="19" t="str">
        <f>IFERROR(INDEX([1]DATA!$AH:$AH,MATCH('[1]BC_ ĐG LX'!$C113&amp;'[1]BC_ ĐG LX'!AJ$3,[1]DATA!$AW:$AW,0)),"")</f>
        <v/>
      </c>
      <c r="AK113" s="26">
        <f t="shared" si="5"/>
        <v>9.2999999999999989</v>
      </c>
      <c r="AL113" s="21"/>
      <c r="AM113" s="22">
        <f t="shared" si="6"/>
        <v>25</v>
      </c>
      <c r="AN113" s="22" t="str">
        <f>_xlfn.XLOOKUP(B113,[1]DATA!AF:AF,[1]DATA!AX:AX)</f>
        <v>Hằng</v>
      </c>
      <c r="AO113"/>
    </row>
    <row r="114" spans="1:41" s="22" customFormat="1" ht="14.25" customHeight="1">
      <c r="A114" s="16">
        <f>SUBTOTAL(3,$D$93:D114)</f>
        <v>22</v>
      </c>
      <c r="B114" s="16" t="str">
        <f>_xlfn.XLOOKUP(C114,[1]DATA!D:D,[1]DATA!AF:AF)</f>
        <v>XE00913</v>
      </c>
      <c r="C114" s="18" t="s">
        <v>137</v>
      </c>
      <c r="D114" s="16" t="s">
        <v>21</v>
      </c>
      <c r="E114" s="18" t="s">
        <v>17</v>
      </c>
      <c r="F114" s="18" t="s">
        <v>18</v>
      </c>
      <c r="G114" s="19">
        <f>IFERROR(INDEX([1]DATA!$AH:$AH,MATCH('[1]BC_ ĐG LX'!$C114&amp;'[1]BC_ ĐG LX'!G$3,[1]DATA!$AW:$AW,0)),"")</f>
        <v>9.82</v>
      </c>
      <c r="H114" s="19">
        <f>IFERROR(INDEX([1]DATA!$AH:$AH,MATCH('[1]BC_ ĐG LX'!$C114&amp;'[1]BC_ ĐG LX'!H$3,[1]DATA!$AW:$AW,0)),"")</f>
        <v>9.02</v>
      </c>
      <c r="I114" s="19">
        <f>IFERROR(INDEX([1]DATA!$AH:$AH,MATCH('[1]BC_ ĐG LX'!$C114&amp;'[1]BC_ ĐG LX'!I$3,[1]DATA!$AW:$AW,0)),"")</f>
        <v>10</v>
      </c>
      <c r="J114" s="19">
        <f>IFERROR(INDEX([1]DATA!$AH:$AH,MATCH('[1]BC_ ĐG LX'!$C114&amp;'[1]BC_ ĐG LX'!J$3,[1]DATA!$AW:$AW,0)),"")</f>
        <v>9.42</v>
      </c>
      <c r="K114" s="19">
        <f>IFERROR(INDEX([1]DATA!$AH:$AH,MATCH('[1]BC_ ĐG LX'!$C114&amp;'[1]BC_ ĐG LX'!K$3,[1]DATA!$AW:$AW,0)),"")</f>
        <v>9.42</v>
      </c>
      <c r="L114" s="19">
        <f>IFERROR(INDEX([1]DATA!$AH:$AH,MATCH('[1]BC_ ĐG LX'!$C114&amp;'[1]BC_ ĐG LX'!L$3,[1]DATA!$AW:$AW,0)),"")</f>
        <v>9.82</v>
      </c>
      <c r="M114" s="19">
        <f>IFERROR(INDEX([1]DATA!$AH:$AH,MATCH('[1]BC_ ĐG LX'!$C114&amp;'[1]BC_ ĐG LX'!M$3,[1]DATA!$AW:$AW,0)),"")</f>
        <v>9.82</v>
      </c>
      <c r="N114" s="19">
        <f>IFERROR(INDEX([1]DATA!$AH:$AH,MATCH('[1]BC_ ĐG LX'!$C114&amp;'[1]BC_ ĐG LX'!N$3,[1]DATA!$AW:$AW,0)),"")</f>
        <v>9.82</v>
      </c>
      <c r="O114" s="19">
        <f>IFERROR(INDEX([1]DATA!$AH:$AH,MATCH('[1]BC_ ĐG LX'!$C114&amp;'[1]BC_ ĐG LX'!O$3,[1]DATA!$AW:$AW,0)),"")</f>
        <v>9.42</v>
      </c>
      <c r="P114" s="19">
        <f>IFERROR(INDEX([1]DATA!$AH:$AH,MATCH('[1]BC_ ĐG LX'!$C114&amp;'[1]BC_ ĐG LX'!P$3,[1]DATA!$AW:$AW,0)),"")</f>
        <v>8.2200000000000006</v>
      </c>
      <c r="Q114" s="19">
        <f>IFERROR(INDEX([1]DATA!$AH:$AH,MATCH('[1]BC_ ĐG LX'!$C114&amp;'[1]BC_ ĐG LX'!Q$3,[1]DATA!$AW:$AW,0)),"")</f>
        <v>9.82</v>
      </c>
      <c r="R114" s="19">
        <f>IFERROR(INDEX([1]DATA!$AH:$AH,MATCH('[1]BC_ ĐG LX'!$C114&amp;'[1]BC_ ĐG LX'!R$3,[1]DATA!$AW:$AW,0)),"")</f>
        <v>9.82</v>
      </c>
      <c r="S114" s="19">
        <f>IFERROR(INDEX([1]DATA!$AH:$AH,MATCH('[1]BC_ ĐG LX'!$C114&amp;'[1]BC_ ĐG LX'!S$3,[1]DATA!$AW:$AW,0)),"")</f>
        <v>9.42</v>
      </c>
      <c r="T114" s="19">
        <f>IFERROR(INDEX([1]DATA!$AH:$AH,MATCH('[1]BC_ ĐG LX'!$C114&amp;'[1]BC_ ĐG LX'!T$3,[1]DATA!$AW:$AW,0)),"")</f>
        <v>9.42</v>
      </c>
      <c r="U114" s="19">
        <f>IFERROR(INDEX([1]DATA!$AH:$AH,MATCH('[1]BC_ ĐG LX'!$C114&amp;'[1]BC_ ĐG LX'!U$3,[1]DATA!$AW:$AW,0)),"")</f>
        <v>8.44</v>
      </c>
      <c r="V114" s="19">
        <f>IFERROR(INDEX([1]DATA!$AH:$AH,MATCH('[1]BC_ ĐG LX'!$C114&amp;'[1]BC_ ĐG LX'!V$3,[1]DATA!$AW:$AW,0)),"")</f>
        <v>9.42</v>
      </c>
      <c r="W114" s="19">
        <f>IFERROR(INDEX([1]DATA!$AH:$AH,MATCH('[1]BC_ ĐG LX'!$C114&amp;'[1]BC_ ĐG LX'!W$3,[1]DATA!$AW:$AW,0)),"")</f>
        <v>8.2200000000000006</v>
      </c>
      <c r="X114" s="19">
        <f>IFERROR(INDEX([1]DATA!$AH:$AH,MATCH('[1]BC_ ĐG LX'!$C114&amp;'[1]BC_ ĐG LX'!X$3,[1]DATA!$AW:$AW,0)),"")</f>
        <v>9.42</v>
      </c>
      <c r="Y114" s="19">
        <f>IFERROR(INDEX([1]DATA!$AH:$AH,MATCH('[1]BC_ ĐG LX'!$C114&amp;'[1]BC_ ĐG LX'!Y$3,[1]DATA!$AW:$AW,0)),"")</f>
        <v>9.82</v>
      </c>
      <c r="Z114" s="19">
        <f>IFERROR(INDEX([1]DATA!$AH:$AH,MATCH('[1]BC_ ĐG LX'!$C114&amp;'[1]BC_ ĐG LX'!Z$3,[1]DATA!$AW:$AW,0)),"")</f>
        <v>9.82</v>
      </c>
      <c r="AA114" s="19">
        <f>IFERROR(INDEX([1]DATA!$AH:$AH,MATCH('[1]BC_ ĐG LX'!$C114&amp;'[1]BC_ ĐG LX'!AA$3,[1]DATA!$AW:$AW,0)),"")</f>
        <v>9.02</v>
      </c>
      <c r="AB114" s="19">
        <f>IFERROR(INDEX([1]DATA!$AH:$AH,MATCH('[1]BC_ ĐG LX'!$C114&amp;'[1]BC_ ĐG LX'!AB$3,[1]DATA!$AW:$AW,0)),"")</f>
        <v>9.02</v>
      </c>
      <c r="AC114" s="19">
        <f>IFERROR(INDEX([1]DATA!$AH:$AH,MATCH('[1]BC_ ĐG LX'!$C114&amp;'[1]BC_ ĐG LX'!AC$3,[1]DATA!$AW:$AW,0)),"")</f>
        <v>8.44</v>
      </c>
      <c r="AD114" s="19">
        <f>IFERROR(INDEX([1]DATA!$AH:$AH,MATCH('[1]BC_ ĐG LX'!$C114&amp;'[1]BC_ ĐG LX'!AD$3,[1]DATA!$AW:$AW,0)),"")</f>
        <v>7.82</v>
      </c>
      <c r="AE114" s="19">
        <f>IFERROR(INDEX([1]DATA!$AH:$AH,MATCH('[1]BC_ ĐG LX'!$C114&amp;'[1]BC_ ĐG LX'!AE$3,[1]DATA!$AW:$AW,0)),"")</f>
        <v>9.02</v>
      </c>
      <c r="AF114" s="19" t="str">
        <f>IFERROR(INDEX([1]DATA!$AH:$AH,MATCH('[1]BC_ ĐG LX'!$C114&amp;'[1]BC_ ĐG LX'!AF$3,[1]DATA!$AW:$AW,0)),"")</f>
        <v/>
      </c>
      <c r="AG114" s="19" t="str">
        <f>IFERROR(INDEX([1]DATA!$AH:$AH,MATCH('[1]BC_ ĐG LX'!$C114&amp;'[1]BC_ ĐG LX'!AG$3,[1]DATA!$AW:$AW,0)),"")</f>
        <v/>
      </c>
      <c r="AH114" s="19" t="str">
        <f>IFERROR(INDEX([1]DATA!$AH:$AH,MATCH('[1]BC_ ĐG LX'!$C114&amp;'[1]BC_ ĐG LX'!AH$3,[1]DATA!$AW:$AW,0)),"")</f>
        <v/>
      </c>
      <c r="AI114" s="19" t="str">
        <f>IFERROR(INDEX([1]DATA!$AH:$AH,MATCH('[1]BC_ ĐG LX'!$C114&amp;'[1]BC_ ĐG LX'!AI$3,[1]DATA!$AW:$AW,0)),"")</f>
        <v/>
      </c>
      <c r="AJ114" s="19" t="str">
        <f>IFERROR(INDEX([1]DATA!$AH:$AH,MATCH('[1]BC_ ĐG LX'!$C114&amp;'[1]BC_ ĐG LX'!AJ$3,[1]DATA!$AW:$AW,0)),"")</f>
        <v/>
      </c>
      <c r="AK114" s="26">
        <f t="shared" si="5"/>
        <v>9.2999999999999989</v>
      </c>
      <c r="AL114" s="21"/>
      <c r="AM114" s="22">
        <f t="shared" si="6"/>
        <v>25</v>
      </c>
      <c r="AN114" s="22" t="str">
        <f>_xlfn.XLOOKUP(B114,[1]DATA!AF:AF,[1]DATA!AX:AX)</f>
        <v>Hằng</v>
      </c>
      <c r="AO114"/>
    </row>
    <row r="115" spans="1:41" s="22" customFormat="1" ht="14.25" customHeight="1">
      <c r="A115" s="16">
        <v>28</v>
      </c>
      <c r="B115" s="16" t="str">
        <f>_xlfn.XLOOKUP(C115,[1]DATA!D:D,[1]DATA!AF:AF)</f>
        <v>XE01704</v>
      </c>
      <c r="C115" s="18" t="s">
        <v>138</v>
      </c>
      <c r="D115" s="16" t="s">
        <v>21</v>
      </c>
      <c r="E115" s="18" t="s">
        <v>17</v>
      </c>
      <c r="F115" s="18" t="s">
        <v>108</v>
      </c>
      <c r="G115" s="19">
        <f>IFERROR(INDEX([1]DATA!$AH:$AH,MATCH('[1]BC_ ĐG LX'!$C115&amp;'[1]BC_ ĐG LX'!G$3,[1]DATA!$AW:$AW,0)),"")</f>
        <v>10</v>
      </c>
      <c r="H115" s="19">
        <f>IFERROR(INDEX([1]DATA!$AH:$AH,MATCH('[1]BC_ ĐG LX'!$C115&amp;'[1]BC_ ĐG LX'!H$3,[1]DATA!$AW:$AW,0)),"")</f>
        <v>10</v>
      </c>
      <c r="I115" s="19">
        <f>IFERROR(INDEX([1]DATA!$AH:$AH,MATCH('[1]BC_ ĐG LX'!$C115&amp;'[1]BC_ ĐG LX'!I$3,[1]DATA!$AW:$AW,0)),"")</f>
        <v>9.02</v>
      </c>
      <c r="J115" s="19">
        <f>IFERROR(INDEX([1]DATA!$AH:$AH,MATCH('[1]BC_ ĐG LX'!$C115&amp;'[1]BC_ ĐG LX'!J$3,[1]DATA!$AW:$AW,0)),"")</f>
        <v>9.42</v>
      </c>
      <c r="K115" s="19">
        <f>IFERROR(INDEX([1]DATA!$AH:$AH,MATCH('[1]BC_ ĐG LX'!$C115&amp;'[1]BC_ ĐG LX'!K$3,[1]DATA!$AW:$AW,0)),"")</f>
        <v>10</v>
      </c>
      <c r="L115" s="33">
        <f>IFERROR(INDEX([1]DATA!$AH:$AH,MATCH('[1]BC_ ĐG LX'!$C115&amp;'[1]BC_ ĐG LX'!L$3,[1]DATA!$AW:$AW,0)),"")</f>
        <v>9.82</v>
      </c>
      <c r="M115" s="33">
        <f>IFERROR(INDEX([1]DATA!$AH:$AH,MATCH('[1]BC_ ĐG LX'!$C115&amp;'[1]BC_ ĐG LX'!M$3,[1]DATA!$AW:$AW,0)),"")</f>
        <v>9.42</v>
      </c>
      <c r="N115" s="33">
        <f>IFERROR(INDEX([1]DATA!$AH:$AH,MATCH('[1]BC_ ĐG LX'!$C115&amp;'[1]BC_ ĐG LX'!N$3,[1]DATA!$AW:$AW,0)),"")</f>
        <v>7.6400000000000006</v>
      </c>
      <c r="O115" s="33">
        <f>IFERROR(INDEX([1]DATA!$AH:$AH,MATCH('[1]BC_ ĐG LX'!$C115&amp;'[1]BC_ ĐG LX'!O$3,[1]DATA!$AW:$AW,0)),"")</f>
        <v>9.82</v>
      </c>
      <c r="P115" s="33">
        <f>IFERROR(INDEX([1]DATA!$AH:$AH,MATCH('[1]BC_ ĐG LX'!$C115&amp;'[1]BC_ ĐG LX'!P$3,[1]DATA!$AW:$AW,0)),"")</f>
        <v>9.82</v>
      </c>
      <c r="Q115" s="33">
        <f>IFERROR(INDEX([1]DATA!$AH:$AH,MATCH('[1]BC_ ĐG LX'!$C115&amp;'[1]BC_ ĐG LX'!Q$3,[1]DATA!$AW:$AW,0)),"")</f>
        <v>9.82</v>
      </c>
      <c r="R115" s="33">
        <f>IFERROR(INDEX([1]DATA!$AH:$AH,MATCH('[1]BC_ ĐG LX'!$C115&amp;'[1]BC_ ĐG LX'!R$3,[1]DATA!$AW:$AW,0)),"")</f>
        <v>9.82</v>
      </c>
      <c r="S115" s="33">
        <f>IFERROR(INDEX([1]DATA!$AH:$AH,MATCH('[1]BC_ ĐG LX'!$C115&amp;'[1]BC_ ĐG LX'!S$3,[1]DATA!$AW:$AW,0)),"")</f>
        <v>9.42</v>
      </c>
      <c r="T115" s="33">
        <f>IFERROR(INDEX([1]DATA!$AH:$AH,MATCH('[1]BC_ ĐG LX'!$C115&amp;'[1]BC_ ĐG LX'!T$3,[1]DATA!$AW:$AW,0)),"")</f>
        <v>9.42</v>
      </c>
      <c r="U115" s="33">
        <f>IFERROR(INDEX([1]DATA!$AH:$AH,MATCH('[1]BC_ ĐG LX'!$C115&amp;'[1]BC_ ĐG LX'!U$3,[1]DATA!$AW:$AW,0)),"")</f>
        <v>8.6199999999999992</v>
      </c>
      <c r="V115" s="33">
        <f>IFERROR(INDEX([1]DATA!$AH:$AH,MATCH('[1]BC_ ĐG LX'!$C115&amp;'[1]BC_ ĐG LX'!V$3,[1]DATA!$AW:$AW,0)),"")</f>
        <v>9.82</v>
      </c>
      <c r="W115" s="33">
        <f>IFERROR(INDEX([1]DATA!$AH:$AH,MATCH('[1]BC_ ĐG LX'!$C115&amp;'[1]BC_ ĐG LX'!W$3,[1]DATA!$AW:$AW,0)),"")</f>
        <v>9.42</v>
      </c>
      <c r="X115" s="33">
        <f>IFERROR(INDEX([1]DATA!$AH:$AH,MATCH('[1]BC_ ĐG LX'!$C115&amp;'[1]BC_ ĐG LX'!X$3,[1]DATA!$AW:$AW,0)),"")</f>
        <v>9.42</v>
      </c>
      <c r="Y115" s="33">
        <f>IFERROR(INDEX([1]DATA!$AH:$AH,MATCH('[1]BC_ ĐG LX'!$C115&amp;'[1]BC_ ĐG LX'!Y$3,[1]DATA!$AW:$AW,0)),"")</f>
        <v>8.620000000000001</v>
      </c>
      <c r="Z115" s="33">
        <f>IFERROR(INDEX([1]DATA!$AH:$AH,MATCH('[1]BC_ ĐG LX'!$C115&amp;'[1]BC_ ĐG LX'!Z$3,[1]DATA!$AW:$AW,0)),"")</f>
        <v>9.82</v>
      </c>
      <c r="AA115" s="33">
        <f>IFERROR(INDEX([1]DATA!$AH:$AH,MATCH('[1]BC_ ĐG LX'!$C115&amp;'[1]BC_ ĐG LX'!AA$3,[1]DATA!$AW:$AW,0)),"")</f>
        <v>9.6199999999999992</v>
      </c>
      <c r="AB115" s="33">
        <f>IFERROR(INDEX([1]DATA!$AH:$AH,MATCH('[1]BC_ ĐG LX'!$C115&amp;'[1]BC_ ĐG LX'!AB$3,[1]DATA!$AW:$AW,0)),"")</f>
        <v>8.02</v>
      </c>
      <c r="AC115" s="33">
        <f>IFERROR(INDEX([1]DATA!$AH:$AH,MATCH('[1]BC_ ĐG LX'!$C115&amp;'[1]BC_ ĐG LX'!AC$3,[1]DATA!$AW:$AW,0)),"")</f>
        <v>7.82</v>
      </c>
      <c r="AD115" s="19">
        <f>IFERROR(INDEX([1]DATA!$AH:$AH,MATCH('[1]BC_ ĐG LX'!$C115&amp;'[1]BC_ ĐG LX'!AD$3,[1]DATA!$AW:$AW,0)),"")</f>
        <v>9.42</v>
      </c>
      <c r="AE115" s="19">
        <f>IFERROR(INDEX([1]DATA!$AH:$AH,MATCH('[1]BC_ ĐG LX'!$C115&amp;'[1]BC_ ĐG LX'!AE$3,[1]DATA!$AW:$AW,0)),"")</f>
        <v>8.2200000000000006</v>
      </c>
      <c r="AF115" s="19" t="str">
        <f>IFERROR(INDEX([1]DATA!$AH:$AH,MATCH('[1]BC_ ĐG LX'!$C115&amp;'[1]BC_ ĐG LX'!AF$3,[1]DATA!$AW:$AW,0)),"")</f>
        <v/>
      </c>
      <c r="AG115" s="19" t="str">
        <f>IFERROR(INDEX([1]DATA!$AH:$AH,MATCH('[1]BC_ ĐG LX'!$C115&amp;'[1]BC_ ĐG LX'!AG$3,[1]DATA!$AW:$AW,0)),"")</f>
        <v/>
      </c>
      <c r="AH115" s="19" t="str">
        <f>IFERROR(INDEX([1]DATA!$AH:$AH,MATCH('[1]BC_ ĐG LX'!$C115&amp;'[1]BC_ ĐG LX'!AH$3,[1]DATA!$AW:$AW,0)),"")</f>
        <v/>
      </c>
      <c r="AI115" s="19" t="str">
        <f>IFERROR(INDEX([1]DATA!$AH:$AH,MATCH('[1]BC_ ĐG LX'!$C115&amp;'[1]BC_ ĐG LX'!AI$3,[1]DATA!$AW:$AW,0)),"")</f>
        <v/>
      </c>
      <c r="AJ115" s="19" t="str">
        <f>IFERROR(INDEX([1]DATA!$AH:$AH,MATCH('[1]BC_ ĐG LX'!$C115&amp;'[1]BC_ ĐG LX'!AJ$3,[1]DATA!$AW:$AW,0)),"")</f>
        <v/>
      </c>
      <c r="AK115" s="26">
        <f t="shared" si="5"/>
        <v>9.2999999999999989</v>
      </c>
      <c r="AL115" s="21" t="s">
        <v>139</v>
      </c>
      <c r="AM115" s="22">
        <f t="shared" si="6"/>
        <v>25</v>
      </c>
      <c r="AN115" s="22" t="str">
        <f>_xlfn.XLOOKUP(B115,[1]DATA!AF:AF,[1]DATA!AX:AX)</f>
        <v>Hằng</v>
      </c>
      <c r="AO115"/>
    </row>
    <row r="116" spans="1:41" s="22" customFormat="1" ht="14.25" customHeight="1">
      <c r="A116" s="16"/>
      <c r="B116" s="16"/>
      <c r="C116" s="31"/>
      <c r="D116" s="28"/>
      <c r="E116" s="31"/>
      <c r="F116" s="18"/>
      <c r="G116" s="19" t="str">
        <f>IFERROR(INDEX([1]DATA!$AH:$AH,MATCH('[1]BC_ ĐG LX'!$C116&amp;'[1]BC_ ĐG LX'!G$3,[1]DATA!$AW:$AW,0)),"")</f>
        <v/>
      </c>
      <c r="H116" s="19" t="str">
        <f>IFERROR(INDEX([1]DATA!$AH:$AH,MATCH('[1]BC_ ĐG LX'!$C116&amp;'[1]BC_ ĐG LX'!H$3,[1]DATA!$AW:$AW,0)),"")</f>
        <v/>
      </c>
      <c r="I116" s="19" t="str">
        <f>IFERROR(INDEX([1]DATA!$AH:$AH,MATCH('[1]BC_ ĐG LX'!$C116&amp;'[1]BC_ ĐG LX'!I$3,[1]DATA!$AW:$AW,0)),"")</f>
        <v/>
      </c>
      <c r="J116" s="19" t="str">
        <f>IFERROR(INDEX([1]DATA!$AH:$AH,MATCH('[1]BC_ ĐG LX'!$C116&amp;'[1]BC_ ĐG LX'!J$3,[1]DATA!$AW:$AW,0)),"")</f>
        <v/>
      </c>
      <c r="K116" s="19" t="str">
        <f>IFERROR(INDEX([1]DATA!$AH:$AH,MATCH('[1]BC_ ĐG LX'!$C116&amp;'[1]BC_ ĐG LX'!K$3,[1]DATA!$AW:$AW,0)),"")</f>
        <v/>
      </c>
      <c r="L116" s="19" t="str">
        <f>IFERROR(INDEX([1]DATA!$AH:$AH,MATCH('[1]BC_ ĐG LX'!$C116&amp;'[1]BC_ ĐG LX'!L$3,[1]DATA!$AW:$AW,0)),"")</f>
        <v/>
      </c>
      <c r="M116" s="19" t="str">
        <f>IFERROR(INDEX([1]DATA!$AH:$AH,MATCH('[1]BC_ ĐG LX'!$C116&amp;'[1]BC_ ĐG LX'!M$3,[1]DATA!$AW:$AW,0)),"")</f>
        <v/>
      </c>
      <c r="N116" s="19" t="str">
        <f>IFERROR(INDEX([1]DATA!$AH:$AH,MATCH('[1]BC_ ĐG LX'!$C116&amp;'[1]BC_ ĐG LX'!N$3,[1]DATA!$AW:$AW,0)),"")</f>
        <v/>
      </c>
      <c r="O116" s="19" t="str">
        <f>IFERROR(INDEX([1]DATA!$AH:$AH,MATCH('[1]BC_ ĐG LX'!$C116&amp;'[1]BC_ ĐG LX'!O$3,[1]DATA!$AW:$AW,0)),"")</f>
        <v/>
      </c>
      <c r="P116" s="19" t="str">
        <f>IFERROR(INDEX([1]DATA!$AH:$AH,MATCH('[1]BC_ ĐG LX'!$C116&amp;'[1]BC_ ĐG LX'!P$3,[1]DATA!$AW:$AW,0)),"")</f>
        <v/>
      </c>
      <c r="Q116" s="19" t="str">
        <f>IFERROR(INDEX([1]DATA!$AH:$AH,MATCH('[1]BC_ ĐG LX'!$C116&amp;'[1]BC_ ĐG LX'!Q$3,[1]DATA!$AW:$AW,0)),"")</f>
        <v/>
      </c>
      <c r="R116" s="19" t="str">
        <f>IFERROR(INDEX([1]DATA!$AH:$AH,MATCH('[1]BC_ ĐG LX'!$C116&amp;'[1]BC_ ĐG LX'!R$3,[1]DATA!$AW:$AW,0)),"")</f>
        <v/>
      </c>
      <c r="S116" s="19" t="str">
        <f>IFERROR(INDEX([1]DATA!$AH:$AH,MATCH('[1]BC_ ĐG LX'!$C116&amp;'[1]BC_ ĐG LX'!S$3,[1]DATA!$AW:$AW,0)),"")</f>
        <v/>
      </c>
      <c r="T116" s="19" t="str">
        <f>IFERROR(INDEX([1]DATA!$AH:$AH,MATCH('[1]BC_ ĐG LX'!$C116&amp;'[1]BC_ ĐG LX'!T$3,[1]DATA!$AW:$AW,0)),"")</f>
        <v/>
      </c>
      <c r="U116" s="19" t="str">
        <f>IFERROR(INDEX([1]DATA!$AH:$AH,MATCH('[1]BC_ ĐG LX'!$C116&amp;'[1]BC_ ĐG LX'!U$3,[1]DATA!$AW:$AW,0)),"")</f>
        <v/>
      </c>
      <c r="V116" s="19" t="str">
        <f>IFERROR(INDEX([1]DATA!$AH:$AH,MATCH('[1]BC_ ĐG LX'!$C116&amp;'[1]BC_ ĐG LX'!V$3,[1]DATA!$AW:$AW,0)),"")</f>
        <v/>
      </c>
      <c r="W116" s="19" t="str">
        <f>IFERROR(INDEX([1]DATA!$AH:$AH,MATCH('[1]BC_ ĐG LX'!$C116&amp;'[1]BC_ ĐG LX'!W$3,[1]DATA!$AW:$AW,0)),"")</f>
        <v/>
      </c>
      <c r="X116" s="19" t="str">
        <f>IFERROR(INDEX([1]DATA!$AH:$AH,MATCH('[1]BC_ ĐG LX'!$C116&amp;'[1]BC_ ĐG LX'!X$3,[1]DATA!$AW:$AW,0)),"")</f>
        <v/>
      </c>
      <c r="Y116" s="19" t="str">
        <f>IFERROR(INDEX([1]DATA!$AH:$AH,MATCH('[1]BC_ ĐG LX'!$C116&amp;'[1]BC_ ĐG LX'!Y$3,[1]DATA!$AW:$AW,0)),"")</f>
        <v/>
      </c>
      <c r="Z116" s="19" t="str">
        <f>IFERROR(INDEX([1]DATA!$AH:$AH,MATCH('[1]BC_ ĐG LX'!$C116&amp;'[1]BC_ ĐG LX'!Z$3,[1]DATA!$AW:$AW,0)),"")</f>
        <v/>
      </c>
      <c r="AA116" s="19" t="str">
        <f>IFERROR(INDEX([1]DATA!$AH:$AH,MATCH('[1]BC_ ĐG LX'!$C116&amp;'[1]BC_ ĐG LX'!AA$3,[1]DATA!$AW:$AW,0)),"")</f>
        <v/>
      </c>
      <c r="AB116" s="19" t="str">
        <f>IFERROR(INDEX([1]DATA!$AH:$AH,MATCH('[1]BC_ ĐG LX'!$C116&amp;'[1]BC_ ĐG LX'!AB$3,[1]DATA!$AW:$AW,0)),"")</f>
        <v/>
      </c>
      <c r="AC116" s="19" t="str">
        <f>IFERROR(INDEX([1]DATA!$AH:$AH,MATCH('[1]BC_ ĐG LX'!$C116&amp;'[1]BC_ ĐG LX'!AC$3,[1]DATA!$AW:$AW,0)),"")</f>
        <v/>
      </c>
      <c r="AD116" s="19" t="str">
        <f>IFERROR(INDEX([1]DATA!$AH:$AH,MATCH('[1]BC_ ĐG LX'!$C116&amp;'[1]BC_ ĐG LX'!AD$3,[1]DATA!$AW:$AW,0)),"")</f>
        <v/>
      </c>
      <c r="AE116" s="19" t="str">
        <f>IFERROR(INDEX([1]DATA!$AH:$AH,MATCH('[1]BC_ ĐG LX'!$C116&amp;'[1]BC_ ĐG LX'!AE$3,[1]DATA!$AW:$AW,0)),"")</f>
        <v/>
      </c>
      <c r="AF116" s="19" t="str">
        <f>IFERROR(INDEX([1]DATA!$AH:$AH,MATCH('[1]BC_ ĐG LX'!$C116&amp;'[1]BC_ ĐG LX'!AF$3,[1]DATA!$AW:$AW,0)),"")</f>
        <v/>
      </c>
      <c r="AG116" s="19" t="str">
        <f>IFERROR(INDEX([1]DATA!$AH:$AH,MATCH('[1]BC_ ĐG LX'!$C116&amp;'[1]BC_ ĐG LX'!AG$3,[1]DATA!$AW:$AW,0)),"")</f>
        <v/>
      </c>
      <c r="AH116" s="19" t="str">
        <f>IFERROR(INDEX([1]DATA!$AH:$AH,MATCH('[1]BC_ ĐG LX'!$C116&amp;'[1]BC_ ĐG LX'!AH$3,[1]DATA!$AW:$AW,0)),"")</f>
        <v/>
      </c>
      <c r="AI116" s="19" t="str">
        <f>IFERROR(INDEX([1]DATA!$AH:$AH,MATCH('[1]BC_ ĐG LX'!$C116&amp;'[1]BC_ ĐG LX'!AI$3,[1]DATA!$AW:$AW,0)),"")</f>
        <v/>
      </c>
      <c r="AJ116" s="19" t="str">
        <f>IFERROR(INDEX([1]DATA!$AH:$AH,MATCH('[1]BC_ ĐG LX'!$C116&amp;'[1]BC_ ĐG LX'!AJ$3,[1]DATA!$AW:$AW,0)),"")</f>
        <v/>
      </c>
      <c r="AK116" s="26" t="str">
        <f t="shared" si="5"/>
        <v/>
      </c>
      <c r="AL116" s="21"/>
      <c r="AM116" s="22">
        <f t="shared" si="6"/>
        <v>0</v>
      </c>
      <c r="AN116" s="22" t="str">
        <f>_xlfn.XLOOKUP(B116,[1]DATA!AF:AF,[1]DATA!AX:AX)</f>
        <v>Lương</v>
      </c>
      <c r="AO116"/>
    </row>
    <row r="117" spans="1:41" s="22" customFormat="1" ht="14.25" customHeight="1">
      <c r="A117" s="16"/>
      <c r="B117" s="16"/>
      <c r="C117" s="39" t="s">
        <v>140</v>
      </c>
      <c r="D117" s="16"/>
      <c r="E117" s="18"/>
      <c r="F117" s="18"/>
      <c r="G117" s="19" t="str">
        <f>IFERROR(INDEX([1]DATA!$AH:$AH,MATCH('[1]BC_ ĐG LX'!$C117&amp;'[1]BC_ ĐG LX'!G$3,[1]DATA!$AW:$AW,0)),"")</f>
        <v/>
      </c>
      <c r="H117" s="19" t="str">
        <f>IFERROR(INDEX([1]DATA!$AH:$AH,MATCH('[1]BC_ ĐG LX'!$C117&amp;'[1]BC_ ĐG LX'!H$3,[1]DATA!$AW:$AW,0)),"")</f>
        <v/>
      </c>
      <c r="I117" s="19" t="str">
        <f>IFERROR(INDEX([1]DATA!$AH:$AH,MATCH('[1]BC_ ĐG LX'!$C117&amp;'[1]BC_ ĐG LX'!I$3,[1]DATA!$AW:$AW,0)),"")</f>
        <v/>
      </c>
      <c r="J117" s="19" t="str">
        <f>IFERROR(INDEX([1]DATA!$AH:$AH,MATCH('[1]BC_ ĐG LX'!$C117&amp;'[1]BC_ ĐG LX'!J$3,[1]DATA!$AW:$AW,0)),"")</f>
        <v/>
      </c>
      <c r="K117" s="19" t="str">
        <f>IFERROR(INDEX([1]DATA!$AH:$AH,MATCH('[1]BC_ ĐG LX'!$C117&amp;'[1]BC_ ĐG LX'!K$3,[1]DATA!$AW:$AW,0)),"")</f>
        <v/>
      </c>
      <c r="L117" s="19" t="str">
        <f>IFERROR(INDEX([1]DATA!$AH:$AH,MATCH('[1]BC_ ĐG LX'!$C117&amp;'[1]BC_ ĐG LX'!L$3,[1]DATA!$AW:$AW,0)),"")</f>
        <v/>
      </c>
      <c r="M117" s="19" t="str">
        <f>IFERROR(INDEX([1]DATA!$AH:$AH,MATCH('[1]BC_ ĐG LX'!$C117&amp;'[1]BC_ ĐG LX'!M$3,[1]DATA!$AW:$AW,0)),"")</f>
        <v/>
      </c>
      <c r="N117" s="19" t="str">
        <f>IFERROR(INDEX([1]DATA!$AH:$AH,MATCH('[1]BC_ ĐG LX'!$C117&amp;'[1]BC_ ĐG LX'!N$3,[1]DATA!$AW:$AW,0)),"")</f>
        <v/>
      </c>
      <c r="O117" s="19" t="str">
        <f>IFERROR(INDEX([1]DATA!$AH:$AH,MATCH('[1]BC_ ĐG LX'!$C117&amp;'[1]BC_ ĐG LX'!O$3,[1]DATA!$AW:$AW,0)),"")</f>
        <v/>
      </c>
      <c r="P117" s="19" t="str">
        <f>IFERROR(INDEX([1]DATA!$AH:$AH,MATCH('[1]BC_ ĐG LX'!$C117&amp;'[1]BC_ ĐG LX'!P$3,[1]DATA!$AW:$AW,0)),"")</f>
        <v/>
      </c>
      <c r="Q117" s="19" t="str">
        <f>IFERROR(INDEX([1]DATA!$AH:$AH,MATCH('[1]BC_ ĐG LX'!$C117&amp;'[1]BC_ ĐG LX'!Q$3,[1]DATA!$AW:$AW,0)),"")</f>
        <v/>
      </c>
      <c r="R117" s="19" t="str">
        <f>IFERROR(INDEX([1]DATA!$AH:$AH,MATCH('[1]BC_ ĐG LX'!$C117&amp;'[1]BC_ ĐG LX'!R$3,[1]DATA!$AW:$AW,0)),"")</f>
        <v/>
      </c>
      <c r="S117" s="19" t="str">
        <f>IFERROR(INDEX([1]DATA!$AH:$AH,MATCH('[1]BC_ ĐG LX'!$C117&amp;'[1]BC_ ĐG LX'!S$3,[1]DATA!$AW:$AW,0)),"")</f>
        <v/>
      </c>
      <c r="T117" s="19" t="str">
        <f>IFERROR(INDEX([1]DATA!$AH:$AH,MATCH('[1]BC_ ĐG LX'!$C117&amp;'[1]BC_ ĐG LX'!T$3,[1]DATA!$AW:$AW,0)),"")</f>
        <v/>
      </c>
      <c r="U117" s="19" t="str">
        <f>IFERROR(INDEX([1]DATA!$AH:$AH,MATCH('[1]BC_ ĐG LX'!$C117&amp;'[1]BC_ ĐG LX'!U$3,[1]DATA!$AW:$AW,0)),"")</f>
        <v/>
      </c>
      <c r="V117" s="19" t="str">
        <f>IFERROR(INDEX([1]DATA!$AH:$AH,MATCH('[1]BC_ ĐG LX'!$C117&amp;'[1]BC_ ĐG LX'!V$3,[1]DATA!$AW:$AW,0)),"")</f>
        <v/>
      </c>
      <c r="W117" s="19" t="str">
        <f>IFERROR(INDEX([1]DATA!$AH:$AH,MATCH('[1]BC_ ĐG LX'!$C117&amp;'[1]BC_ ĐG LX'!W$3,[1]DATA!$AW:$AW,0)),"")</f>
        <v/>
      </c>
      <c r="X117" s="19" t="str">
        <f>IFERROR(INDEX([1]DATA!$AH:$AH,MATCH('[1]BC_ ĐG LX'!$C117&amp;'[1]BC_ ĐG LX'!X$3,[1]DATA!$AW:$AW,0)),"")</f>
        <v/>
      </c>
      <c r="Y117" s="19" t="str">
        <f>IFERROR(INDEX([1]DATA!$AH:$AH,MATCH('[1]BC_ ĐG LX'!$C117&amp;'[1]BC_ ĐG LX'!Y$3,[1]DATA!$AW:$AW,0)),"")</f>
        <v/>
      </c>
      <c r="Z117" s="19" t="str">
        <f>IFERROR(INDEX([1]DATA!$AH:$AH,MATCH('[1]BC_ ĐG LX'!$C117&amp;'[1]BC_ ĐG LX'!Z$3,[1]DATA!$AW:$AW,0)),"")</f>
        <v/>
      </c>
      <c r="AA117" s="19" t="str">
        <f>IFERROR(INDEX([1]DATA!$AH:$AH,MATCH('[1]BC_ ĐG LX'!$C117&amp;'[1]BC_ ĐG LX'!AA$3,[1]DATA!$AW:$AW,0)),"")</f>
        <v/>
      </c>
      <c r="AB117" s="19" t="str">
        <f>IFERROR(INDEX([1]DATA!$AH:$AH,MATCH('[1]BC_ ĐG LX'!$C117&amp;'[1]BC_ ĐG LX'!AB$3,[1]DATA!$AW:$AW,0)),"")</f>
        <v/>
      </c>
      <c r="AC117" s="19" t="str">
        <f>IFERROR(INDEX([1]DATA!$AH:$AH,MATCH('[1]BC_ ĐG LX'!$C117&amp;'[1]BC_ ĐG LX'!AC$3,[1]DATA!$AW:$AW,0)),"")</f>
        <v/>
      </c>
      <c r="AD117" s="19" t="str">
        <f>IFERROR(INDEX([1]DATA!$AH:$AH,MATCH('[1]BC_ ĐG LX'!$C117&amp;'[1]BC_ ĐG LX'!AD$3,[1]DATA!$AW:$AW,0)),"")</f>
        <v/>
      </c>
      <c r="AE117" s="19" t="str">
        <f>IFERROR(INDEX([1]DATA!$AH:$AH,MATCH('[1]BC_ ĐG LX'!$C117&amp;'[1]BC_ ĐG LX'!AE$3,[1]DATA!$AW:$AW,0)),"")</f>
        <v/>
      </c>
      <c r="AF117" s="19" t="str">
        <f>IFERROR(INDEX([1]DATA!$AH:$AH,MATCH('[1]BC_ ĐG LX'!$C117&amp;'[1]BC_ ĐG LX'!AF$3,[1]DATA!$AW:$AW,0)),"")</f>
        <v/>
      </c>
      <c r="AG117" s="19" t="str">
        <f>IFERROR(INDEX([1]DATA!$AH:$AH,MATCH('[1]BC_ ĐG LX'!$C117&amp;'[1]BC_ ĐG LX'!AG$3,[1]DATA!$AW:$AW,0)),"")</f>
        <v/>
      </c>
      <c r="AH117" s="19" t="str">
        <f>IFERROR(INDEX([1]DATA!$AH:$AH,MATCH('[1]BC_ ĐG LX'!$C117&amp;'[1]BC_ ĐG LX'!AH$3,[1]DATA!$AW:$AW,0)),"")</f>
        <v/>
      </c>
      <c r="AI117" s="19" t="str">
        <f>IFERROR(INDEX([1]DATA!$AH:$AH,MATCH('[1]BC_ ĐG LX'!$C117&amp;'[1]BC_ ĐG LX'!AI$3,[1]DATA!$AW:$AW,0)),"")</f>
        <v/>
      </c>
      <c r="AJ117" s="19" t="str">
        <f>IFERROR(INDEX([1]DATA!$AH:$AH,MATCH('[1]BC_ ĐG LX'!$C117&amp;'[1]BC_ ĐG LX'!AJ$3,[1]DATA!$AW:$AW,0)),"")</f>
        <v/>
      </c>
      <c r="AK117" s="38">
        <f>SUM(AK118:AK132)/COUNTIF(AK118:AK132,"&gt;0")</f>
        <v>9.4333333333333336</v>
      </c>
      <c r="AL117" s="21"/>
      <c r="AM117" s="22">
        <f t="shared" si="6"/>
        <v>0</v>
      </c>
      <c r="AN117" s="22" t="str">
        <f>_xlfn.XLOOKUP(B117,[1]DATA!AF:AF,[1]DATA!AX:AX)</f>
        <v>Lương</v>
      </c>
      <c r="AO117"/>
    </row>
    <row r="118" spans="1:41" s="22" customFormat="1" ht="14.25" customHeight="1">
      <c r="A118" s="16">
        <f>SUBTOTAL(3,$D$118:D118)</f>
        <v>1</v>
      </c>
      <c r="B118" s="16" t="str">
        <f>_xlfn.XLOOKUP(C118,[1]DATA!D:D,[1]DATA!AF:AF)</f>
        <v>XE00160</v>
      </c>
      <c r="C118" s="18" t="s">
        <v>141</v>
      </c>
      <c r="D118" s="16" t="s">
        <v>142</v>
      </c>
      <c r="E118" s="18" t="s">
        <v>17</v>
      </c>
      <c r="F118" s="18" t="s">
        <v>18</v>
      </c>
      <c r="G118" s="19">
        <f>IFERROR(INDEX([1]DATA!$AH:$AH,MATCH('[1]BC_ ĐG LX'!$C118&amp;'[1]BC_ ĐG LX'!G$3,[1]DATA!$AW:$AW,0)),"")</f>
        <v>9.82</v>
      </c>
      <c r="H118" s="19">
        <f>IFERROR(INDEX([1]DATA!$AH:$AH,MATCH('[1]BC_ ĐG LX'!$C118&amp;'[1]BC_ ĐG LX'!H$3,[1]DATA!$AW:$AW,0)),"")</f>
        <v>8.6199999999999992</v>
      </c>
      <c r="I118" s="19">
        <f>IFERROR(INDEX([1]DATA!$AH:$AH,MATCH('[1]BC_ ĐG LX'!$C118&amp;'[1]BC_ ĐG LX'!I$3,[1]DATA!$AW:$AW,0)),"")</f>
        <v>9.42</v>
      </c>
      <c r="J118" s="19">
        <f>IFERROR(INDEX([1]DATA!$AH:$AH,MATCH('[1]BC_ ĐG LX'!$C118&amp;'[1]BC_ ĐG LX'!J$3,[1]DATA!$AW:$AW,0)),"")</f>
        <v>9.82</v>
      </c>
      <c r="K118" s="33">
        <f>IFERROR(INDEX([1]DATA!$AH:$AH,MATCH('[1]BC_ ĐG LX'!$C118&amp;'[1]BC_ ĐG LX'!K$3,[1]DATA!$AW:$AW,0)),"")</f>
        <v>8.84</v>
      </c>
      <c r="L118" s="33">
        <f>IFERROR(INDEX([1]DATA!$AH:$AH,MATCH('[1]BC_ ĐG LX'!$C118&amp;'[1]BC_ ĐG LX'!L$3,[1]DATA!$AW:$AW,0)),"")</f>
        <v>9.42</v>
      </c>
      <c r="M118" s="33">
        <f>IFERROR(INDEX([1]DATA!$AH:$AH,MATCH('[1]BC_ ĐG LX'!$C118&amp;'[1]BC_ ĐG LX'!M$3,[1]DATA!$AW:$AW,0)),"")</f>
        <v>8.84</v>
      </c>
      <c r="N118" s="33">
        <f>IFERROR(INDEX([1]DATA!$AH:$AH,MATCH('[1]BC_ ĐG LX'!$C118&amp;'[1]BC_ ĐG LX'!N$3,[1]DATA!$AW:$AW,0)),"")</f>
        <v>9.42</v>
      </c>
      <c r="O118" s="33">
        <f>IFERROR(INDEX([1]DATA!$AH:$AH,MATCH('[1]BC_ ĐG LX'!$C118&amp;'[1]BC_ ĐG LX'!O$3,[1]DATA!$AW:$AW,0)),"")</f>
        <v>9.82</v>
      </c>
      <c r="P118" s="33">
        <f>IFERROR(INDEX([1]DATA!$AH:$AH,MATCH('[1]BC_ ĐG LX'!$C118&amp;'[1]BC_ ĐG LX'!P$3,[1]DATA!$AW:$AW,0)),"")</f>
        <v>9.82</v>
      </c>
      <c r="Q118" s="33">
        <f>IFERROR(INDEX([1]DATA!$AH:$AH,MATCH('[1]BC_ ĐG LX'!$C118&amp;'[1]BC_ ĐG LX'!Q$3,[1]DATA!$AW:$AW,0)),"")</f>
        <v>9.82</v>
      </c>
      <c r="R118" s="33">
        <f>IFERROR(INDEX([1]DATA!$AH:$AH,MATCH('[1]BC_ ĐG LX'!$C118&amp;'[1]BC_ ĐG LX'!R$3,[1]DATA!$AW:$AW,0)),"")</f>
        <v>9.42</v>
      </c>
      <c r="S118" s="33">
        <f>IFERROR(INDEX([1]DATA!$AH:$AH,MATCH('[1]BC_ ĐG LX'!$C118&amp;'[1]BC_ ĐG LX'!S$3,[1]DATA!$AW:$AW,0)),"")</f>
        <v>9.42</v>
      </c>
      <c r="T118" s="33">
        <f>IFERROR(INDEX([1]DATA!$AH:$AH,MATCH('[1]BC_ ĐG LX'!$C118&amp;'[1]BC_ ĐG LX'!T$3,[1]DATA!$AW:$AW,0)),"")</f>
        <v>9.42</v>
      </c>
      <c r="U118" s="33">
        <f>IFERROR(INDEX([1]DATA!$AH:$AH,MATCH('[1]BC_ ĐG LX'!$C118&amp;'[1]BC_ ĐG LX'!U$3,[1]DATA!$AW:$AW,0)),"")</f>
        <v>8.84</v>
      </c>
      <c r="V118" s="33">
        <f>IFERROR(INDEX([1]DATA!$AH:$AH,MATCH('[1]BC_ ĐG LX'!$C118&amp;'[1]BC_ ĐG LX'!V$3,[1]DATA!$AW:$AW,0)),"")</f>
        <v>9.42</v>
      </c>
      <c r="W118" s="33">
        <f>IFERROR(INDEX([1]DATA!$AH:$AH,MATCH('[1]BC_ ĐG LX'!$C118&amp;'[1]BC_ ĐG LX'!W$3,[1]DATA!$AW:$AW,0)),"")</f>
        <v>9.42</v>
      </c>
      <c r="X118" s="33">
        <f>IFERROR(INDEX([1]DATA!$AH:$AH,MATCH('[1]BC_ ĐG LX'!$C118&amp;'[1]BC_ ĐG LX'!X$3,[1]DATA!$AW:$AW,0)),"")</f>
        <v>9.82</v>
      </c>
      <c r="Y118" s="33">
        <f>IFERROR(INDEX([1]DATA!$AH:$AH,MATCH('[1]BC_ ĐG LX'!$C118&amp;'[1]BC_ ĐG LX'!Y$3,[1]DATA!$AW:$AW,0)),"")</f>
        <v>9.42</v>
      </c>
      <c r="Z118" s="33">
        <f>IFERROR(INDEX([1]DATA!$AH:$AH,MATCH('[1]BC_ ĐG LX'!$C118&amp;'[1]BC_ ĐG LX'!Z$3,[1]DATA!$AW:$AW,0)),"")</f>
        <v>9.82</v>
      </c>
      <c r="AA118" s="33">
        <f>IFERROR(INDEX([1]DATA!$AH:$AH,MATCH('[1]BC_ ĐG LX'!$C118&amp;'[1]BC_ ĐG LX'!AA$3,[1]DATA!$AW:$AW,0)),"")</f>
        <v>8.2200000000000006</v>
      </c>
      <c r="AB118" s="33">
        <f>IFERROR(INDEX([1]DATA!$AH:$AH,MATCH('[1]BC_ ĐG LX'!$C118&amp;'[1]BC_ ĐG LX'!AB$3,[1]DATA!$AW:$AW,0)),"")</f>
        <v>9.02</v>
      </c>
      <c r="AC118" s="33">
        <f>IFERROR(INDEX([1]DATA!$AH:$AH,MATCH('[1]BC_ ĐG LX'!$C118&amp;'[1]BC_ ĐG LX'!AC$3,[1]DATA!$AW:$AW,0)),"")</f>
        <v>9.82</v>
      </c>
      <c r="AD118" s="19">
        <f>IFERROR(INDEX([1]DATA!$AH:$AH,MATCH('[1]BC_ ĐG LX'!$C118&amp;'[1]BC_ ĐG LX'!AD$3,[1]DATA!$AW:$AW,0)),"")</f>
        <v>9.82</v>
      </c>
      <c r="AE118" s="19">
        <f>IFERROR(INDEX([1]DATA!$AH:$AH,MATCH('[1]BC_ ĐG LX'!$C118&amp;'[1]BC_ ĐG LX'!AE$3,[1]DATA!$AW:$AW,0)),"")</f>
        <v>9.02</v>
      </c>
      <c r="AF118" s="19" t="str">
        <f>IFERROR(INDEX([1]DATA!$AH:$AH,MATCH('[1]BC_ ĐG LX'!$C118&amp;'[1]BC_ ĐG LX'!AF$3,[1]DATA!$AW:$AW,0)),"")</f>
        <v/>
      </c>
      <c r="AG118" s="19" t="str">
        <f>IFERROR(INDEX([1]DATA!$AH:$AH,MATCH('[1]BC_ ĐG LX'!$C118&amp;'[1]BC_ ĐG LX'!AG$3,[1]DATA!$AW:$AW,0)),"")</f>
        <v/>
      </c>
      <c r="AH118" s="19" t="str">
        <f>IFERROR(INDEX([1]DATA!$AH:$AH,MATCH('[1]BC_ ĐG LX'!$C118&amp;'[1]BC_ ĐG LX'!AH$3,[1]DATA!$AW:$AW,0)),"")</f>
        <v/>
      </c>
      <c r="AI118" s="19" t="str">
        <f>IFERROR(INDEX([1]DATA!$AH:$AH,MATCH('[1]BC_ ĐG LX'!$C118&amp;'[1]BC_ ĐG LX'!AI$3,[1]DATA!$AW:$AW,0)),"")</f>
        <v/>
      </c>
      <c r="AJ118" s="19" t="str">
        <f>IFERROR(INDEX([1]DATA!$AH:$AH,MATCH('[1]BC_ ĐG LX'!$C118&amp;'[1]BC_ ĐG LX'!AJ$3,[1]DATA!$AW:$AW,0)),"")</f>
        <v/>
      </c>
      <c r="AK118" s="26">
        <f t="shared" ref="AK118:AK133" si="7">IFERROR(ROUNDUP(+SUM(G118:AJ118)/COUNTIF(G118:AJ118,"&gt;"&amp;0),1),"")</f>
        <v>9.4</v>
      </c>
      <c r="AL118" s="40" t="s">
        <v>143</v>
      </c>
      <c r="AM118" s="22">
        <f t="shared" si="6"/>
        <v>25</v>
      </c>
      <c r="AN118" s="22" t="str">
        <f>_xlfn.XLOOKUP(B118,[1]DATA!AF:AF,[1]DATA!AX:AX)</f>
        <v>Nga</v>
      </c>
      <c r="AO118"/>
    </row>
    <row r="119" spans="1:41" s="22" customFormat="1" ht="14.25" customHeight="1">
      <c r="A119" s="16">
        <f>SUBTOTAL(3,$D$118:D119)</f>
        <v>2</v>
      </c>
      <c r="B119" s="16" t="str">
        <f>_xlfn.XLOOKUP(C119,[1]DATA!D:D,[1]DATA!AF:AF)</f>
        <v>XE00161</v>
      </c>
      <c r="C119" s="18" t="s">
        <v>144</v>
      </c>
      <c r="D119" s="16" t="s">
        <v>142</v>
      </c>
      <c r="E119" s="18" t="s">
        <v>17</v>
      </c>
      <c r="F119" s="18" t="s">
        <v>18</v>
      </c>
      <c r="G119" s="19">
        <f>IFERROR(INDEX([1]DATA!$AH:$AH,MATCH('[1]BC_ ĐG LX'!$C119&amp;'[1]BC_ ĐG LX'!G$3,[1]DATA!$AW:$AW,0)),"")</f>
        <v>9.02</v>
      </c>
      <c r="H119" s="19">
        <f>IFERROR(INDEX([1]DATA!$AH:$AH,MATCH('[1]BC_ ĐG LX'!$C119&amp;'[1]BC_ ĐG LX'!H$3,[1]DATA!$AW:$AW,0)),"")</f>
        <v>8.84</v>
      </c>
      <c r="I119" s="19">
        <f>IFERROR(INDEX([1]DATA!$AH:$AH,MATCH('[1]BC_ ĐG LX'!$C119&amp;'[1]BC_ ĐG LX'!I$3,[1]DATA!$AW:$AW,0)),"")</f>
        <v>9.82</v>
      </c>
      <c r="J119" s="19">
        <f>IFERROR(INDEX([1]DATA!$AH:$AH,MATCH('[1]BC_ ĐG LX'!$C119&amp;'[1]BC_ ĐG LX'!J$3,[1]DATA!$AW:$AW,0)),"")</f>
        <v>9.42</v>
      </c>
      <c r="K119" s="19">
        <f>IFERROR(INDEX([1]DATA!$AH:$AH,MATCH('[1]BC_ ĐG LX'!$C119&amp;'[1]BC_ ĐG LX'!K$3,[1]DATA!$AW:$AW,0)),"")</f>
        <v>9.82</v>
      </c>
      <c r="L119" s="19">
        <f>IFERROR(INDEX([1]DATA!$AH:$AH,MATCH('[1]BC_ ĐG LX'!$C119&amp;'[1]BC_ ĐG LX'!L$3,[1]DATA!$AW:$AW,0)),"")</f>
        <v>9.42</v>
      </c>
      <c r="M119" s="19">
        <f>IFERROR(INDEX([1]DATA!$AH:$AH,MATCH('[1]BC_ ĐG LX'!$C119&amp;'[1]BC_ ĐG LX'!M$3,[1]DATA!$AW:$AW,0)),"")</f>
        <v>10</v>
      </c>
      <c r="N119" s="19">
        <f>IFERROR(INDEX([1]DATA!$AH:$AH,MATCH('[1]BC_ ĐG LX'!$C119&amp;'[1]BC_ ĐG LX'!N$3,[1]DATA!$AW:$AW,0)),"")</f>
        <v>9.42</v>
      </c>
      <c r="O119" s="19">
        <f>IFERROR(INDEX([1]DATA!$AH:$AH,MATCH('[1]BC_ ĐG LX'!$C119&amp;'[1]BC_ ĐG LX'!O$3,[1]DATA!$AW:$AW,0)),"")</f>
        <v>9.82</v>
      </c>
      <c r="P119" s="19">
        <f>IFERROR(INDEX([1]DATA!$AH:$AH,MATCH('[1]BC_ ĐG LX'!$C119&amp;'[1]BC_ ĐG LX'!P$3,[1]DATA!$AW:$AW,0)),"")</f>
        <v>9.82</v>
      </c>
      <c r="Q119" s="19">
        <f>IFERROR(INDEX([1]DATA!$AH:$AH,MATCH('[1]BC_ ĐG LX'!$C119&amp;'[1]BC_ ĐG LX'!Q$3,[1]DATA!$AW:$AW,0)),"")</f>
        <v>9.82</v>
      </c>
      <c r="R119" s="19">
        <f>IFERROR(INDEX([1]DATA!$AH:$AH,MATCH('[1]BC_ ĐG LX'!$C119&amp;'[1]BC_ ĐG LX'!R$3,[1]DATA!$AW:$AW,0)),"")</f>
        <v>9.02</v>
      </c>
      <c r="S119" s="19">
        <f>IFERROR(INDEX([1]DATA!$AH:$AH,MATCH('[1]BC_ ĐG LX'!$C119&amp;'[1]BC_ ĐG LX'!S$3,[1]DATA!$AW:$AW,0)),"")</f>
        <v>9.42</v>
      </c>
      <c r="T119" s="19">
        <f>IFERROR(INDEX([1]DATA!$AH:$AH,MATCH('[1]BC_ ĐG LX'!$C119&amp;'[1]BC_ ĐG LX'!T$3,[1]DATA!$AW:$AW,0)),"")</f>
        <v>9.82</v>
      </c>
      <c r="U119" s="19">
        <f>IFERROR(INDEX([1]DATA!$AH:$AH,MATCH('[1]BC_ ĐG LX'!$C119&amp;'[1]BC_ ĐG LX'!U$3,[1]DATA!$AW:$AW,0)),"")</f>
        <v>9.42</v>
      </c>
      <c r="V119" s="19">
        <f>IFERROR(INDEX([1]DATA!$AH:$AH,MATCH('[1]BC_ ĐG LX'!$C119&amp;'[1]BC_ ĐG LX'!V$3,[1]DATA!$AW:$AW,0)),"")</f>
        <v>9.82</v>
      </c>
      <c r="W119" s="19">
        <f>IFERROR(INDEX([1]DATA!$AH:$AH,MATCH('[1]BC_ ĐG LX'!$C119&amp;'[1]BC_ ĐG LX'!W$3,[1]DATA!$AW:$AW,0)),"")</f>
        <v>9.42</v>
      </c>
      <c r="X119" s="19">
        <f>IFERROR(INDEX([1]DATA!$AH:$AH,MATCH('[1]BC_ ĐG LX'!$C119&amp;'[1]BC_ ĐG LX'!X$3,[1]DATA!$AW:$AW,0)),"")</f>
        <v>9.82</v>
      </c>
      <c r="Y119" s="19">
        <f>IFERROR(INDEX([1]DATA!$AH:$AH,MATCH('[1]BC_ ĐG LX'!$C119&amp;'[1]BC_ ĐG LX'!Y$3,[1]DATA!$AW:$AW,0)),"")</f>
        <v>9.82</v>
      </c>
      <c r="Z119" s="19">
        <f>IFERROR(INDEX([1]DATA!$AH:$AH,MATCH('[1]BC_ ĐG LX'!$C119&amp;'[1]BC_ ĐG LX'!Z$3,[1]DATA!$AW:$AW,0)),"")</f>
        <v>9.42</v>
      </c>
      <c r="AA119" s="19">
        <f>IFERROR(INDEX([1]DATA!$AH:$AH,MATCH('[1]BC_ ĐG LX'!$C119&amp;'[1]BC_ ĐG LX'!AA$3,[1]DATA!$AW:$AW,0)),"")</f>
        <v>9.82</v>
      </c>
      <c r="AB119" s="19">
        <f>IFERROR(INDEX([1]DATA!$AH:$AH,MATCH('[1]BC_ ĐG LX'!$C119&amp;'[1]BC_ ĐG LX'!AB$3,[1]DATA!$AW:$AW,0)),"")</f>
        <v>9.82</v>
      </c>
      <c r="AC119" s="19">
        <f>IFERROR(INDEX([1]DATA!$AH:$AH,MATCH('[1]BC_ ĐG LX'!$C119&amp;'[1]BC_ ĐG LX'!AC$3,[1]DATA!$AW:$AW,0)),"")</f>
        <v>9.82</v>
      </c>
      <c r="AD119" s="19">
        <f>IFERROR(INDEX([1]DATA!$AH:$AH,MATCH('[1]BC_ ĐG LX'!$C119&amp;'[1]BC_ ĐG LX'!AD$3,[1]DATA!$AW:$AW,0)),"")</f>
        <v>9.82</v>
      </c>
      <c r="AE119" s="19">
        <f>IFERROR(INDEX([1]DATA!$AH:$AH,MATCH('[1]BC_ ĐG LX'!$C119&amp;'[1]BC_ ĐG LX'!AE$3,[1]DATA!$AW:$AW,0)),"")</f>
        <v>9.42</v>
      </c>
      <c r="AF119" s="19" t="str">
        <f>IFERROR(INDEX([1]DATA!$AH:$AH,MATCH('[1]BC_ ĐG LX'!$C119&amp;'[1]BC_ ĐG LX'!AF$3,[1]DATA!$AW:$AW,0)),"")</f>
        <v/>
      </c>
      <c r="AG119" s="19" t="str">
        <f>IFERROR(INDEX([1]DATA!$AH:$AH,MATCH('[1]BC_ ĐG LX'!$C119&amp;'[1]BC_ ĐG LX'!AG$3,[1]DATA!$AW:$AW,0)),"")</f>
        <v/>
      </c>
      <c r="AH119" s="19" t="str">
        <f>IFERROR(INDEX([1]DATA!$AH:$AH,MATCH('[1]BC_ ĐG LX'!$C119&amp;'[1]BC_ ĐG LX'!AH$3,[1]DATA!$AW:$AW,0)),"")</f>
        <v/>
      </c>
      <c r="AI119" s="19" t="str">
        <f>IFERROR(INDEX([1]DATA!$AH:$AH,MATCH('[1]BC_ ĐG LX'!$C119&amp;'[1]BC_ ĐG LX'!AI$3,[1]DATA!$AW:$AW,0)),"")</f>
        <v/>
      </c>
      <c r="AJ119" s="19" t="str">
        <f>IFERROR(INDEX([1]DATA!$AH:$AH,MATCH('[1]BC_ ĐG LX'!$C119&amp;'[1]BC_ ĐG LX'!AJ$3,[1]DATA!$AW:$AW,0)),"")</f>
        <v/>
      </c>
      <c r="AK119" s="26">
        <f t="shared" si="7"/>
        <v>9.6</v>
      </c>
      <c r="AL119" s="41"/>
      <c r="AM119" s="22">
        <f t="shared" si="6"/>
        <v>25</v>
      </c>
      <c r="AN119" s="22" t="str">
        <f>_xlfn.XLOOKUP(B119,[1]DATA!AF:AF,[1]DATA!AX:AX)</f>
        <v>Hằng</v>
      </c>
      <c r="AO119"/>
    </row>
    <row r="120" spans="1:41" s="22" customFormat="1" ht="14.25" customHeight="1">
      <c r="A120" s="16">
        <f>SUBTOTAL(3,$D$118:D120)</f>
        <v>3</v>
      </c>
      <c r="B120" s="16" t="str">
        <f>_xlfn.XLOOKUP(C120,[1]DATA!D:D,[1]DATA!AF:AF)</f>
        <v>XE00212</v>
      </c>
      <c r="C120" s="18" t="s">
        <v>145</v>
      </c>
      <c r="D120" s="16" t="s">
        <v>142</v>
      </c>
      <c r="E120" s="18" t="s">
        <v>17</v>
      </c>
      <c r="F120" s="18" t="s">
        <v>18</v>
      </c>
      <c r="G120" s="19">
        <f>IFERROR(INDEX([1]DATA!$AH:$AH,MATCH('[1]BC_ ĐG LX'!$C120&amp;'[1]BC_ ĐG LX'!G$3,[1]DATA!$AW:$AW,0)),"")</f>
        <v>10</v>
      </c>
      <c r="H120" s="19">
        <f>IFERROR(INDEX([1]DATA!$AH:$AH,MATCH('[1]BC_ ĐG LX'!$C120&amp;'[1]BC_ ĐG LX'!H$3,[1]DATA!$AW:$AW,0)),"")</f>
        <v>9.82</v>
      </c>
      <c r="I120" s="19">
        <f>IFERROR(INDEX([1]DATA!$AH:$AH,MATCH('[1]BC_ ĐG LX'!$C120&amp;'[1]BC_ ĐG LX'!I$3,[1]DATA!$AW:$AW,0)),"")</f>
        <v>9.42</v>
      </c>
      <c r="J120" s="19">
        <f>IFERROR(INDEX([1]DATA!$AH:$AH,MATCH('[1]BC_ ĐG LX'!$C120&amp;'[1]BC_ ĐG LX'!J$3,[1]DATA!$AW:$AW,0)),"")</f>
        <v>9.6</v>
      </c>
      <c r="K120" s="19">
        <f>IFERROR(INDEX([1]DATA!$AH:$AH,MATCH('[1]BC_ ĐG LX'!$C120&amp;'[1]BC_ ĐG LX'!K$3,[1]DATA!$AW:$AW,0)),"")</f>
        <v>9.02</v>
      </c>
      <c r="L120" s="19">
        <f>IFERROR(INDEX([1]DATA!$AH:$AH,MATCH('[1]BC_ ĐG LX'!$C120&amp;'[1]BC_ ĐG LX'!L$3,[1]DATA!$AW:$AW,0)),"")</f>
        <v>9.82</v>
      </c>
      <c r="M120" s="19">
        <f>IFERROR(INDEX([1]DATA!$AH:$AH,MATCH('[1]BC_ ĐG LX'!$C120&amp;'[1]BC_ ĐG LX'!M$3,[1]DATA!$AW:$AW,0)),"")</f>
        <v>9.02</v>
      </c>
      <c r="N120" s="19">
        <f>IFERROR(INDEX([1]DATA!$AH:$AH,MATCH('[1]BC_ ĐG LX'!$C120&amp;'[1]BC_ ĐG LX'!N$3,[1]DATA!$AW:$AW,0)),"")</f>
        <v>9.42</v>
      </c>
      <c r="O120" s="19">
        <f>IFERROR(INDEX([1]DATA!$AH:$AH,MATCH('[1]BC_ ĐG LX'!$C120&amp;'[1]BC_ ĐG LX'!O$3,[1]DATA!$AW:$AW,0)),"")</f>
        <v>7.42</v>
      </c>
      <c r="P120" s="19">
        <f>IFERROR(INDEX([1]DATA!$AH:$AH,MATCH('[1]BC_ ĐG LX'!$C120&amp;'[1]BC_ ĐG LX'!P$3,[1]DATA!$AW:$AW,0)),"")</f>
        <v>8.44</v>
      </c>
      <c r="Q120" s="19">
        <f>IFERROR(INDEX([1]DATA!$AH:$AH,MATCH('[1]BC_ ĐG LX'!$C120&amp;'[1]BC_ ĐG LX'!Q$3,[1]DATA!$AW:$AW,0)),"")</f>
        <v>9.82</v>
      </c>
      <c r="R120" s="19">
        <f>IFERROR(INDEX([1]DATA!$AH:$AH,MATCH('[1]BC_ ĐG LX'!$C120&amp;'[1]BC_ ĐG LX'!R$3,[1]DATA!$AW:$AW,0)),"")</f>
        <v>9.42</v>
      </c>
      <c r="S120" s="19">
        <f>IFERROR(INDEX([1]DATA!$AH:$AH,MATCH('[1]BC_ ĐG LX'!$C120&amp;'[1]BC_ ĐG LX'!S$3,[1]DATA!$AW:$AW,0)),"")</f>
        <v>9.02</v>
      </c>
      <c r="T120" s="19">
        <f>IFERROR(INDEX([1]DATA!$AH:$AH,MATCH('[1]BC_ ĐG LX'!$C120&amp;'[1]BC_ ĐG LX'!T$3,[1]DATA!$AW:$AW,0)),"")</f>
        <v>9.42</v>
      </c>
      <c r="U120" s="19">
        <f>IFERROR(INDEX([1]DATA!$AH:$AH,MATCH('[1]BC_ ĐG LX'!$C120&amp;'[1]BC_ ĐG LX'!U$3,[1]DATA!$AW:$AW,0)),"")</f>
        <v>9.02</v>
      </c>
      <c r="V120" s="19">
        <f>IFERROR(INDEX([1]DATA!$AH:$AH,MATCH('[1]BC_ ĐG LX'!$C120&amp;'[1]BC_ ĐG LX'!V$3,[1]DATA!$AW:$AW,0)),"")</f>
        <v>9.02</v>
      </c>
      <c r="W120" s="19">
        <f>IFERROR(INDEX([1]DATA!$AH:$AH,MATCH('[1]BC_ ĐG LX'!$C120&amp;'[1]BC_ ĐG LX'!W$3,[1]DATA!$AW:$AW,0)),"")</f>
        <v>9.82</v>
      </c>
      <c r="X120" s="19">
        <f>IFERROR(INDEX([1]DATA!$AH:$AH,MATCH('[1]BC_ ĐG LX'!$C120&amp;'[1]BC_ ĐG LX'!X$3,[1]DATA!$AW:$AW,0)),"")</f>
        <v>9.42</v>
      </c>
      <c r="Y120" s="19">
        <f>IFERROR(INDEX([1]DATA!$AH:$AH,MATCH('[1]BC_ ĐG LX'!$C120&amp;'[1]BC_ ĐG LX'!Y$3,[1]DATA!$AW:$AW,0)),"")</f>
        <v>9.42</v>
      </c>
      <c r="Z120" s="19">
        <f>IFERROR(INDEX([1]DATA!$AH:$AH,MATCH('[1]BC_ ĐG LX'!$C120&amp;'[1]BC_ ĐG LX'!Z$3,[1]DATA!$AW:$AW,0)),"")</f>
        <v>9.42</v>
      </c>
      <c r="AA120" s="19">
        <f>IFERROR(INDEX([1]DATA!$AH:$AH,MATCH('[1]BC_ ĐG LX'!$C120&amp;'[1]BC_ ĐG LX'!AA$3,[1]DATA!$AW:$AW,0)),"")</f>
        <v>9.42</v>
      </c>
      <c r="AB120" s="19">
        <f>IFERROR(INDEX([1]DATA!$AH:$AH,MATCH('[1]BC_ ĐG LX'!$C120&amp;'[1]BC_ ĐG LX'!AB$3,[1]DATA!$AW:$AW,0)),"")</f>
        <v>8.2200000000000006</v>
      </c>
      <c r="AC120" s="19">
        <f>IFERROR(INDEX([1]DATA!$AH:$AH,MATCH('[1]BC_ ĐG LX'!$C120&amp;'[1]BC_ ĐG LX'!AC$3,[1]DATA!$AW:$AW,0)),"")</f>
        <v>9.6199999999999992</v>
      </c>
      <c r="AD120" s="19">
        <f>IFERROR(INDEX([1]DATA!$AH:$AH,MATCH('[1]BC_ ĐG LX'!$C120&amp;'[1]BC_ ĐG LX'!AD$3,[1]DATA!$AW:$AW,0)),"")</f>
        <v>9.42</v>
      </c>
      <c r="AE120" s="19">
        <f>IFERROR(INDEX([1]DATA!$AH:$AH,MATCH('[1]BC_ ĐG LX'!$C120&amp;'[1]BC_ ĐG LX'!AE$3,[1]DATA!$AW:$AW,0)),"")</f>
        <v>8.44</v>
      </c>
      <c r="AF120" s="19" t="str">
        <f>IFERROR(INDEX([1]DATA!$AH:$AH,MATCH('[1]BC_ ĐG LX'!$C120&amp;'[1]BC_ ĐG LX'!AF$3,[1]DATA!$AW:$AW,0)),"")</f>
        <v/>
      </c>
      <c r="AG120" s="19" t="str">
        <f>IFERROR(INDEX([1]DATA!$AH:$AH,MATCH('[1]BC_ ĐG LX'!$C120&amp;'[1]BC_ ĐG LX'!AG$3,[1]DATA!$AW:$AW,0)),"")</f>
        <v/>
      </c>
      <c r="AH120" s="19" t="str">
        <f>IFERROR(INDEX([1]DATA!$AH:$AH,MATCH('[1]BC_ ĐG LX'!$C120&amp;'[1]BC_ ĐG LX'!AH$3,[1]DATA!$AW:$AW,0)),"")</f>
        <v/>
      </c>
      <c r="AI120" s="19" t="str">
        <f>IFERROR(INDEX([1]DATA!$AH:$AH,MATCH('[1]BC_ ĐG LX'!$C120&amp;'[1]BC_ ĐG LX'!AI$3,[1]DATA!$AW:$AW,0)),"")</f>
        <v/>
      </c>
      <c r="AJ120" s="19" t="str">
        <f>IFERROR(INDEX([1]DATA!$AH:$AH,MATCH('[1]BC_ ĐG LX'!$C120&amp;'[1]BC_ ĐG LX'!AJ$3,[1]DATA!$AW:$AW,0)),"")</f>
        <v/>
      </c>
      <c r="AK120" s="26">
        <f t="shared" si="7"/>
        <v>9.2999999999999989</v>
      </c>
      <c r="AL120" s="21"/>
      <c r="AM120" s="22">
        <f t="shared" si="6"/>
        <v>25</v>
      </c>
      <c r="AN120" s="22" t="str">
        <f>_xlfn.XLOOKUP(B120,[1]DATA!AF:AF,[1]DATA!AX:AX)</f>
        <v>Hằng</v>
      </c>
      <c r="AO120"/>
    </row>
    <row r="121" spans="1:41" s="22" customFormat="1" ht="14.25" customHeight="1">
      <c r="A121" s="16">
        <f>SUBTOTAL(3,$D$118:D121)</f>
        <v>4</v>
      </c>
      <c r="B121" s="16" t="str">
        <f>_xlfn.XLOOKUP(C121,[1]DATA!D:D,[1]DATA!AF:AF)</f>
        <v>XE00242</v>
      </c>
      <c r="C121" s="18" t="s">
        <v>146</v>
      </c>
      <c r="D121" s="16" t="s">
        <v>142</v>
      </c>
      <c r="E121" s="18" t="s">
        <v>17</v>
      </c>
      <c r="F121" s="18" t="s">
        <v>18</v>
      </c>
      <c r="G121" s="19">
        <f>IFERROR(INDEX([1]DATA!$AH:$AH,MATCH('[1]BC_ ĐG LX'!$C121&amp;'[1]BC_ ĐG LX'!G$3,[1]DATA!$AW:$AW,0)),"")</f>
        <v>9.82</v>
      </c>
      <c r="H121" s="19">
        <f>IFERROR(INDEX([1]DATA!$AH:$AH,MATCH('[1]BC_ ĐG LX'!$C121&amp;'[1]BC_ ĐG LX'!H$3,[1]DATA!$AW:$AW,0)),"")</f>
        <v>9.82</v>
      </c>
      <c r="I121" s="19">
        <f>IFERROR(INDEX([1]DATA!$AH:$AH,MATCH('[1]BC_ ĐG LX'!$C121&amp;'[1]BC_ ĐG LX'!I$3,[1]DATA!$AW:$AW,0)),"")</f>
        <v>9.42</v>
      </c>
      <c r="J121" s="19">
        <f>IFERROR(INDEX([1]DATA!$AH:$AH,MATCH('[1]BC_ ĐG LX'!$C121&amp;'[1]BC_ ĐG LX'!J$3,[1]DATA!$AW:$AW,0)),"")</f>
        <v>7.6400000000000006</v>
      </c>
      <c r="K121" s="19">
        <f>IFERROR(INDEX([1]DATA!$AH:$AH,MATCH('[1]BC_ ĐG LX'!$C121&amp;'[1]BC_ ĐG LX'!K$3,[1]DATA!$AW:$AW,0)),"")</f>
        <v>9.82</v>
      </c>
      <c r="L121" s="19">
        <f>IFERROR(INDEX([1]DATA!$AH:$AH,MATCH('[1]BC_ ĐG LX'!$C121&amp;'[1]BC_ ĐG LX'!L$3,[1]DATA!$AW:$AW,0)),"")</f>
        <v>8.84</v>
      </c>
      <c r="M121" s="19">
        <f>IFERROR(INDEX([1]DATA!$AH:$AH,MATCH('[1]BC_ ĐG LX'!$C121&amp;'[1]BC_ ĐG LX'!M$3,[1]DATA!$AW:$AW,0)),"")</f>
        <v>9.82</v>
      </c>
      <c r="N121" s="19">
        <f>IFERROR(INDEX([1]DATA!$AH:$AH,MATCH('[1]BC_ ĐG LX'!$C121&amp;'[1]BC_ ĐG LX'!N$3,[1]DATA!$AW:$AW,0)),"")</f>
        <v>8.2200000000000006</v>
      </c>
      <c r="O121" s="19">
        <f>IFERROR(INDEX([1]DATA!$AH:$AH,MATCH('[1]BC_ ĐG LX'!$C121&amp;'[1]BC_ ĐG LX'!O$3,[1]DATA!$AW:$AW,0)),"")</f>
        <v>7.6400000000000006</v>
      </c>
      <c r="P121" s="19">
        <f>IFERROR(INDEX([1]DATA!$AH:$AH,MATCH('[1]BC_ ĐG LX'!$C121&amp;'[1]BC_ ĐG LX'!P$3,[1]DATA!$AW:$AW,0)),"")</f>
        <v>9.42</v>
      </c>
      <c r="Q121" s="19">
        <f>IFERROR(INDEX([1]DATA!$AH:$AH,MATCH('[1]BC_ ĐG LX'!$C121&amp;'[1]BC_ ĐG LX'!Q$3,[1]DATA!$AW:$AW,0)),"")</f>
        <v>9.42</v>
      </c>
      <c r="R121" s="19">
        <f>IFERROR(INDEX([1]DATA!$AH:$AH,MATCH('[1]BC_ ĐG LX'!$C121&amp;'[1]BC_ ĐG LX'!R$3,[1]DATA!$AW:$AW,0)),"")</f>
        <v>9.82</v>
      </c>
      <c r="S121" s="19">
        <f>IFERROR(INDEX([1]DATA!$AH:$AH,MATCH('[1]BC_ ĐG LX'!$C121&amp;'[1]BC_ ĐG LX'!S$3,[1]DATA!$AW:$AW,0)),"")</f>
        <v>8.44</v>
      </c>
      <c r="T121" s="19">
        <f>IFERROR(INDEX([1]DATA!$AH:$AH,MATCH('[1]BC_ ĐG LX'!$C121&amp;'[1]BC_ ĐG LX'!T$3,[1]DATA!$AW:$AW,0)),"")</f>
        <v>9.42</v>
      </c>
      <c r="U121" s="19">
        <f>IFERROR(INDEX([1]DATA!$AH:$AH,MATCH('[1]BC_ ĐG LX'!$C121&amp;'[1]BC_ ĐG LX'!U$3,[1]DATA!$AW:$AW,0)),"")</f>
        <v>9.02</v>
      </c>
      <c r="V121" s="19">
        <f>IFERROR(INDEX([1]DATA!$AH:$AH,MATCH('[1]BC_ ĐG LX'!$C121&amp;'[1]BC_ ĐG LX'!V$3,[1]DATA!$AW:$AW,0)),"")</f>
        <v>9.82</v>
      </c>
      <c r="W121" s="19">
        <f>IFERROR(INDEX([1]DATA!$AH:$AH,MATCH('[1]BC_ ĐG LX'!$C121&amp;'[1]BC_ ĐG LX'!W$3,[1]DATA!$AW:$AW,0)),"")</f>
        <v>9.82</v>
      </c>
      <c r="X121" s="19">
        <f>IFERROR(INDEX([1]DATA!$AH:$AH,MATCH('[1]BC_ ĐG LX'!$C121&amp;'[1]BC_ ĐG LX'!X$3,[1]DATA!$AW:$AW,0)),"")</f>
        <v>9.82</v>
      </c>
      <c r="Y121" s="19">
        <f>IFERROR(INDEX([1]DATA!$AH:$AH,MATCH('[1]BC_ ĐG LX'!$C121&amp;'[1]BC_ ĐG LX'!Y$3,[1]DATA!$AW:$AW,0)),"")</f>
        <v>9.82</v>
      </c>
      <c r="Z121" s="19">
        <f>IFERROR(INDEX([1]DATA!$AH:$AH,MATCH('[1]BC_ ĐG LX'!$C121&amp;'[1]BC_ ĐG LX'!Z$3,[1]DATA!$AW:$AW,0)),"")</f>
        <v>9.82</v>
      </c>
      <c r="AA121" s="19">
        <f>IFERROR(INDEX([1]DATA!$AH:$AH,MATCH('[1]BC_ ĐG LX'!$C121&amp;'[1]BC_ ĐG LX'!AA$3,[1]DATA!$AW:$AW,0)),"")</f>
        <v>9.42</v>
      </c>
      <c r="AB121" s="19">
        <f>IFERROR(INDEX([1]DATA!$AH:$AH,MATCH('[1]BC_ ĐG LX'!$C121&amp;'[1]BC_ ĐG LX'!AB$3,[1]DATA!$AW:$AW,0)),"")</f>
        <v>9.42</v>
      </c>
      <c r="AC121" s="19">
        <f>IFERROR(INDEX([1]DATA!$AH:$AH,MATCH('[1]BC_ ĐG LX'!$C121&amp;'[1]BC_ ĐG LX'!AC$3,[1]DATA!$AW:$AW,0)),"")</f>
        <v>9.82</v>
      </c>
      <c r="AD121" s="19">
        <f>IFERROR(INDEX([1]DATA!$AH:$AH,MATCH('[1]BC_ ĐG LX'!$C121&amp;'[1]BC_ ĐG LX'!AD$3,[1]DATA!$AW:$AW,0)),"")</f>
        <v>9.42</v>
      </c>
      <c r="AE121" s="19">
        <f>IFERROR(INDEX([1]DATA!$AH:$AH,MATCH('[1]BC_ ĐG LX'!$C121&amp;'[1]BC_ ĐG LX'!AE$3,[1]DATA!$AW:$AW,0)),"")</f>
        <v>9.82</v>
      </c>
      <c r="AF121" s="19" t="str">
        <f>IFERROR(INDEX([1]DATA!$AH:$AH,MATCH('[1]BC_ ĐG LX'!$C121&amp;'[1]BC_ ĐG LX'!AF$3,[1]DATA!$AW:$AW,0)),"")</f>
        <v/>
      </c>
      <c r="AG121" s="19" t="str">
        <f>IFERROR(INDEX([1]DATA!$AH:$AH,MATCH('[1]BC_ ĐG LX'!$C121&amp;'[1]BC_ ĐG LX'!AG$3,[1]DATA!$AW:$AW,0)),"")</f>
        <v/>
      </c>
      <c r="AH121" s="19" t="str">
        <f>IFERROR(INDEX([1]DATA!$AH:$AH,MATCH('[1]BC_ ĐG LX'!$C121&amp;'[1]BC_ ĐG LX'!AH$3,[1]DATA!$AW:$AW,0)),"")</f>
        <v/>
      </c>
      <c r="AI121" s="19" t="str">
        <f>IFERROR(INDEX([1]DATA!$AH:$AH,MATCH('[1]BC_ ĐG LX'!$C121&amp;'[1]BC_ ĐG LX'!AI$3,[1]DATA!$AW:$AW,0)),"")</f>
        <v/>
      </c>
      <c r="AJ121" s="19" t="str">
        <f>IFERROR(INDEX([1]DATA!$AH:$AH,MATCH('[1]BC_ ĐG LX'!$C121&amp;'[1]BC_ ĐG LX'!AJ$3,[1]DATA!$AW:$AW,0)),"")</f>
        <v/>
      </c>
      <c r="AK121" s="26">
        <f t="shared" si="7"/>
        <v>9.4</v>
      </c>
      <c r="AL121" s="21"/>
      <c r="AM121" s="22">
        <f t="shared" si="6"/>
        <v>25</v>
      </c>
      <c r="AN121" s="22" t="str">
        <f>_xlfn.XLOOKUP(B121,[1]DATA!AF:AF,[1]DATA!AX:AX)</f>
        <v>Nga</v>
      </c>
      <c r="AO121"/>
    </row>
    <row r="122" spans="1:41" s="22" customFormat="1" ht="14.25" customHeight="1">
      <c r="A122" s="16">
        <f>SUBTOTAL(3,$D$118:D122)</f>
        <v>5</v>
      </c>
      <c r="B122" s="16" t="str">
        <f>_xlfn.XLOOKUP(C122,[1]DATA!D:D,[1]DATA!AF:AF)</f>
        <v>XE00274</v>
      </c>
      <c r="C122" s="18" t="s">
        <v>147</v>
      </c>
      <c r="D122" s="16" t="s">
        <v>142</v>
      </c>
      <c r="E122" s="18" t="s">
        <v>17</v>
      </c>
      <c r="F122" s="18" t="s">
        <v>18</v>
      </c>
      <c r="G122" s="19">
        <f>IFERROR(INDEX([1]DATA!$AH:$AH,MATCH('[1]BC_ ĐG LX'!$C122&amp;'[1]BC_ ĐG LX'!G$3,[1]DATA!$AW:$AW,0)),"")</f>
        <v>9.82</v>
      </c>
      <c r="H122" s="19">
        <f>IFERROR(INDEX([1]DATA!$AH:$AH,MATCH('[1]BC_ ĐG LX'!$C122&amp;'[1]BC_ ĐG LX'!H$3,[1]DATA!$AW:$AW,0)),"")</f>
        <v>9.82</v>
      </c>
      <c r="I122" s="19">
        <f>IFERROR(INDEX([1]DATA!$AH:$AH,MATCH('[1]BC_ ĐG LX'!$C122&amp;'[1]BC_ ĐG LX'!I$3,[1]DATA!$AW:$AW,0)),"")</f>
        <v>9.82</v>
      </c>
      <c r="J122" s="19">
        <f>IFERROR(INDEX([1]DATA!$AH:$AH,MATCH('[1]BC_ ĐG LX'!$C122&amp;'[1]BC_ ĐG LX'!J$3,[1]DATA!$AW:$AW,0)),"")</f>
        <v>9.82</v>
      </c>
      <c r="K122" s="19">
        <f>IFERROR(INDEX([1]DATA!$AH:$AH,MATCH('[1]BC_ ĐG LX'!$C122&amp;'[1]BC_ ĐG LX'!K$3,[1]DATA!$AW:$AW,0)),"")</f>
        <v>9.82</v>
      </c>
      <c r="L122" s="19">
        <f>IFERROR(INDEX([1]DATA!$AH:$AH,MATCH('[1]BC_ ĐG LX'!$C122&amp;'[1]BC_ ĐG LX'!L$3,[1]DATA!$AW:$AW,0)),"")</f>
        <v>9.42</v>
      </c>
      <c r="M122" s="19">
        <f>IFERROR(INDEX([1]DATA!$AH:$AH,MATCH('[1]BC_ ĐG LX'!$C122&amp;'[1]BC_ ĐG LX'!M$3,[1]DATA!$AW:$AW,0)),"")</f>
        <v>9.42</v>
      </c>
      <c r="N122" s="19">
        <f>IFERROR(INDEX([1]DATA!$AH:$AH,MATCH('[1]BC_ ĐG LX'!$C122&amp;'[1]BC_ ĐG LX'!N$3,[1]DATA!$AW:$AW,0)),"")</f>
        <v>9.42</v>
      </c>
      <c r="O122" s="19">
        <f>IFERROR(INDEX([1]DATA!$AH:$AH,MATCH('[1]BC_ ĐG LX'!$C122&amp;'[1]BC_ ĐG LX'!O$3,[1]DATA!$AW:$AW,0)),"")</f>
        <v>9.42</v>
      </c>
      <c r="P122" s="19">
        <f>IFERROR(INDEX([1]DATA!$AH:$AH,MATCH('[1]BC_ ĐG LX'!$C122&amp;'[1]BC_ ĐG LX'!P$3,[1]DATA!$AW:$AW,0)),"")</f>
        <v>9.42</v>
      </c>
      <c r="Q122" s="19">
        <f>IFERROR(INDEX([1]DATA!$AH:$AH,MATCH('[1]BC_ ĐG LX'!$C122&amp;'[1]BC_ ĐG LX'!Q$3,[1]DATA!$AW:$AW,0)),"")</f>
        <v>9.42</v>
      </c>
      <c r="R122" s="19">
        <f>IFERROR(INDEX([1]DATA!$AH:$AH,MATCH('[1]BC_ ĐG LX'!$C122&amp;'[1]BC_ ĐG LX'!R$3,[1]DATA!$AW:$AW,0)),"")</f>
        <v>9.82</v>
      </c>
      <c r="S122" s="19">
        <f>IFERROR(INDEX([1]DATA!$AH:$AH,MATCH('[1]BC_ ĐG LX'!$C122&amp;'[1]BC_ ĐG LX'!S$3,[1]DATA!$AW:$AW,0)),"")</f>
        <v>9.82</v>
      </c>
      <c r="T122" s="19">
        <f>IFERROR(INDEX([1]DATA!$AH:$AH,MATCH('[1]BC_ ĐG LX'!$C122&amp;'[1]BC_ ĐG LX'!T$3,[1]DATA!$AW:$AW,0)),"")</f>
        <v>9.24</v>
      </c>
      <c r="U122" s="19">
        <f>IFERROR(INDEX([1]DATA!$AH:$AH,MATCH('[1]BC_ ĐG LX'!$C122&amp;'[1]BC_ ĐG LX'!U$3,[1]DATA!$AW:$AW,0)),"")</f>
        <v>9.24</v>
      </c>
      <c r="V122" s="19">
        <f>IFERROR(INDEX([1]DATA!$AH:$AH,MATCH('[1]BC_ ĐG LX'!$C122&amp;'[1]BC_ ĐG LX'!V$3,[1]DATA!$AW:$AW,0)),"")</f>
        <v>9.42</v>
      </c>
      <c r="W122" s="19">
        <f>IFERROR(INDEX([1]DATA!$AH:$AH,MATCH('[1]BC_ ĐG LX'!$C122&amp;'[1]BC_ ĐG LX'!W$3,[1]DATA!$AW:$AW,0)),"")</f>
        <v>9.82</v>
      </c>
      <c r="X122" s="19">
        <f>IFERROR(INDEX([1]DATA!$AH:$AH,MATCH('[1]BC_ ĐG LX'!$C122&amp;'[1]BC_ ĐG LX'!X$3,[1]DATA!$AW:$AW,0)),"")</f>
        <v>9.42</v>
      </c>
      <c r="Y122" s="19">
        <f>IFERROR(INDEX([1]DATA!$AH:$AH,MATCH('[1]BC_ ĐG LX'!$C122&amp;'[1]BC_ ĐG LX'!Y$3,[1]DATA!$AW:$AW,0)),"")</f>
        <v>9.42</v>
      </c>
      <c r="Z122" s="19">
        <f>IFERROR(INDEX([1]DATA!$AH:$AH,MATCH('[1]BC_ ĐG LX'!$C122&amp;'[1]BC_ ĐG LX'!Z$3,[1]DATA!$AW:$AW,0)),"")</f>
        <v>9.42</v>
      </c>
      <c r="AA122" s="19">
        <f>IFERROR(INDEX([1]DATA!$AH:$AH,MATCH('[1]BC_ ĐG LX'!$C122&amp;'[1]BC_ ĐG LX'!AA$3,[1]DATA!$AW:$AW,0)),"")</f>
        <v>9.82</v>
      </c>
      <c r="AB122" s="19">
        <f>IFERROR(INDEX([1]DATA!$AH:$AH,MATCH('[1]BC_ ĐG LX'!$C122&amp;'[1]BC_ ĐG LX'!AB$3,[1]DATA!$AW:$AW,0)),"")</f>
        <v>9.42</v>
      </c>
      <c r="AC122" s="19">
        <f>IFERROR(INDEX([1]DATA!$AH:$AH,MATCH('[1]BC_ ĐG LX'!$C122&amp;'[1]BC_ ĐG LX'!AC$3,[1]DATA!$AW:$AW,0)),"")</f>
        <v>9.42</v>
      </c>
      <c r="AD122" s="19">
        <f>IFERROR(INDEX([1]DATA!$AH:$AH,MATCH('[1]BC_ ĐG LX'!$C122&amp;'[1]BC_ ĐG LX'!AD$3,[1]DATA!$AW:$AW,0)),"")</f>
        <v>9.82</v>
      </c>
      <c r="AE122" s="19">
        <f>IFERROR(INDEX([1]DATA!$AH:$AH,MATCH('[1]BC_ ĐG LX'!$C122&amp;'[1]BC_ ĐG LX'!AE$3,[1]DATA!$AW:$AW,0)),"")</f>
        <v>9.42</v>
      </c>
      <c r="AF122" s="19" t="str">
        <f>IFERROR(INDEX([1]DATA!$AH:$AH,MATCH('[1]BC_ ĐG LX'!$C122&amp;'[1]BC_ ĐG LX'!AF$3,[1]DATA!$AW:$AW,0)),"")</f>
        <v/>
      </c>
      <c r="AG122" s="19" t="str">
        <f>IFERROR(INDEX([1]DATA!$AH:$AH,MATCH('[1]BC_ ĐG LX'!$C122&amp;'[1]BC_ ĐG LX'!AG$3,[1]DATA!$AW:$AW,0)),"")</f>
        <v/>
      </c>
      <c r="AH122" s="19" t="str">
        <f>IFERROR(INDEX([1]DATA!$AH:$AH,MATCH('[1]BC_ ĐG LX'!$C122&amp;'[1]BC_ ĐG LX'!AH$3,[1]DATA!$AW:$AW,0)),"")</f>
        <v/>
      </c>
      <c r="AI122" s="19" t="str">
        <f>IFERROR(INDEX([1]DATA!$AH:$AH,MATCH('[1]BC_ ĐG LX'!$C122&amp;'[1]BC_ ĐG LX'!AI$3,[1]DATA!$AW:$AW,0)),"")</f>
        <v/>
      </c>
      <c r="AJ122" s="19" t="str">
        <f>IFERROR(INDEX([1]DATA!$AH:$AH,MATCH('[1]BC_ ĐG LX'!$C122&amp;'[1]BC_ ĐG LX'!AJ$3,[1]DATA!$AW:$AW,0)),"")</f>
        <v/>
      </c>
      <c r="AK122" s="26">
        <f t="shared" si="7"/>
        <v>9.6</v>
      </c>
      <c r="AL122" s="21"/>
      <c r="AM122" s="22">
        <f t="shared" si="6"/>
        <v>25</v>
      </c>
      <c r="AN122" s="22" t="str">
        <f>_xlfn.XLOOKUP(B122,[1]DATA!AF:AF,[1]DATA!AX:AX)</f>
        <v>Nga</v>
      </c>
      <c r="AO122"/>
    </row>
    <row r="123" spans="1:41" s="22" customFormat="1" ht="14.25" customHeight="1">
      <c r="A123" s="16">
        <f>SUBTOTAL(3,$D$118:D123)</f>
        <v>6</v>
      </c>
      <c r="B123" s="16" t="str">
        <f>_xlfn.XLOOKUP(C123,[1]DATA!D:D,[1]DATA!AF:AF)</f>
        <v>XE00285</v>
      </c>
      <c r="C123" s="18" t="s">
        <v>148</v>
      </c>
      <c r="D123" s="16" t="s">
        <v>142</v>
      </c>
      <c r="E123" s="18" t="s">
        <v>17</v>
      </c>
      <c r="F123" s="18" t="s">
        <v>18</v>
      </c>
      <c r="G123" s="19">
        <f>IFERROR(INDEX([1]DATA!$AH:$AH,MATCH('[1]BC_ ĐG LX'!$C123&amp;'[1]BC_ ĐG LX'!G$3,[1]DATA!$AW:$AW,0)),"")</f>
        <v>9.6199999999999992</v>
      </c>
      <c r="H123" s="19">
        <f>IFERROR(INDEX([1]DATA!$AH:$AH,MATCH('[1]BC_ ĐG LX'!$C123&amp;'[1]BC_ ĐG LX'!H$3,[1]DATA!$AW:$AW,0)),"")</f>
        <v>9.42</v>
      </c>
      <c r="I123" s="19">
        <f>IFERROR(INDEX([1]DATA!$AH:$AH,MATCH('[1]BC_ ĐG LX'!$C123&amp;'[1]BC_ ĐG LX'!I$3,[1]DATA!$AW:$AW,0)),"")</f>
        <v>9.24</v>
      </c>
      <c r="J123" s="19">
        <f>IFERROR(INDEX([1]DATA!$AH:$AH,MATCH('[1]BC_ ĐG LX'!$C123&amp;'[1]BC_ ĐG LX'!J$3,[1]DATA!$AW:$AW,0)),"")</f>
        <v>9.42</v>
      </c>
      <c r="K123" s="19">
        <f>IFERROR(INDEX([1]DATA!$AH:$AH,MATCH('[1]BC_ ĐG LX'!$C123&amp;'[1]BC_ ĐG LX'!K$3,[1]DATA!$AW:$AW,0)),"")</f>
        <v>9.82</v>
      </c>
      <c r="L123" s="19">
        <f>IFERROR(INDEX([1]DATA!$AH:$AH,MATCH('[1]BC_ ĐG LX'!$C123&amp;'[1]BC_ ĐG LX'!L$3,[1]DATA!$AW:$AW,0)),"")</f>
        <v>8.2200000000000006</v>
      </c>
      <c r="M123" s="19">
        <f>IFERROR(INDEX([1]DATA!$AH:$AH,MATCH('[1]BC_ ĐG LX'!$C123&amp;'[1]BC_ ĐG LX'!M$3,[1]DATA!$AW:$AW,0)),"")</f>
        <v>9.42</v>
      </c>
      <c r="N123" s="19">
        <f>IFERROR(INDEX([1]DATA!$AH:$AH,MATCH('[1]BC_ ĐG LX'!$C123&amp;'[1]BC_ ĐG LX'!N$3,[1]DATA!$AW:$AW,0)),"")</f>
        <v>9.42</v>
      </c>
      <c r="O123" s="19">
        <f>IFERROR(INDEX([1]DATA!$AH:$AH,MATCH('[1]BC_ ĐG LX'!$C123&amp;'[1]BC_ ĐG LX'!O$3,[1]DATA!$AW:$AW,0)),"")</f>
        <v>9.02</v>
      </c>
      <c r="P123" s="19">
        <f>IFERROR(INDEX([1]DATA!$AH:$AH,MATCH('[1]BC_ ĐG LX'!$C123&amp;'[1]BC_ ĐG LX'!P$3,[1]DATA!$AW:$AW,0)),"")</f>
        <v>7.24</v>
      </c>
      <c r="Q123" s="19">
        <f>IFERROR(INDEX([1]DATA!$AH:$AH,MATCH('[1]BC_ ĐG LX'!$C123&amp;'[1]BC_ ĐG LX'!Q$3,[1]DATA!$AW:$AW,0)),"")</f>
        <v>8.84</v>
      </c>
      <c r="R123" s="19">
        <f>IFERROR(INDEX([1]DATA!$AH:$AH,MATCH('[1]BC_ ĐG LX'!$C123&amp;'[1]BC_ ĐG LX'!R$3,[1]DATA!$AW:$AW,0)),"")</f>
        <v>9.82</v>
      </c>
      <c r="S123" s="19">
        <f>IFERROR(INDEX([1]DATA!$AH:$AH,MATCH('[1]BC_ ĐG LX'!$C123&amp;'[1]BC_ ĐG LX'!S$3,[1]DATA!$AW:$AW,0)),"")</f>
        <v>9.82</v>
      </c>
      <c r="T123" s="19">
        <f>IFERROR(INDEX([1]DATA!$AH:$AH,MATCH('[1]BC_ ĐG LX'!$C123&amp;'[1]BC_ ĐG LX'!T$3,[1]DATA!$AW:$AW,0)),"")</f>
        <v>9.82</v>
      </c>
      <c r="U123" s="19">
        <f>IFERROR(INDEX([1]DATA!$AH:$AH,MATCH('[1]BC_ ĐG LX'!$C123&amp;'[1]BC_ ĐG LX'!U$3,[1]DATA!$AW:$AW,0)),"")</f>
        <v>9.82</v>
      </c>
      <c r="V123" s="19">
        <f>IFERROR(INDEX([1]DATA!$AH:$AH,MATCH('[1]BC_ ĐG LX'!$C123&amp;'[1]BC_ ĐG LX'!V$3,[1]DATA!$AW:$AW,0)),"")</f>
        <v>9.42</v>
      </c>
      <c r="W123" s="19">
        <f>IFERROR(INDEX([1]DATA!$AH:$AH,MATCH('[1]BC_ ĐG LX'!$C123&amp;'[1]BC_ ĐG LX'!W$3,[1]DATA!$AW:$AW,0)),"")</f>
        <v>9.42</v>
      </c>
      <c r="X123" s="19">
        <f>IFERROR(INDEX([1]DATA!$AH:$AH,MATCH('[1]BC_ ĐG LX'!$C123&amp;'[1]BC_ ĐG LX'!X$3,[1]DATA!$AW:$AW,0)),"")</f>
        <v>9.42</v>
      </c>
      <c r="Y123" s="19">
        <f>IFERROR(INDEX([1]DATA!$AH:$AH,MATCH('[1]BC_ ĐG LX'!$C123&amp;'[1]BC_ ĐG LX'!Y$3,[1]DATA!$AW:$AW,0)),"")</f>
        <v>9.02</v>
      </c>
      <c r="Z123" s="19">
        <f>IFERROR(INDEX([1]DATA!$AH:$AH,MATCH('[1]BC_ ĐG LX'!$C123&amp;'[1]BC_ ĐG LX'!Z$3,[1]DATA!$AW:$AW,0)),"")</f>
        <v>9.02</v>
      </c>
      <c r="AA123" s="19">
        <f>IFERROR(INDEX([1]DATA!$AH:$AH,MATCH('[1]BC_ ĐG LX'!$C123&amp;'[1]BC_ ĐG LX'!AA$3,[1]DATA!$AW:$AW,0)),"")</f>
        <v>9.82</v>
      </c>
      <c r="AB123" s="19">
        <f>IFERROR(INDEX([1]DATA!$AH:$AH,MATCH('[1]BC_ ĐG LX'!$C123&amp;'[1]BC_ ĐG LX'!AB$3,[1]DATA!$AW:$AW,0)),"")</f>
        <v>9.42</v>
      </c>
      <c r="AC123" s="19">
        <f>IFERROR(INDEX([1]DATA!$AH:$AH,MATCH('[1]BC_ ĐG LX'!$C123&amp;'[1]BC_ ĐG LX'!AC$3,[1]DATA!$AW:$AW,0)),"")</f>
        <v>7.42</v>
      </c>
      <c r="AD123" s="19">
        <f>IFERROR(INDEX([1]DATA!$AH:$AH,MATCH('[1]BC_ ĐG LX'!$C123&amp;'[1]BC_ ĐG LX'!AD$3,[1]DATA!$AW:$AW,0)),"")</f>
        <v>8.2200000000000006</v>
      </c>
      <c r="AE123" s="19">
        <f>IFERROR(INDEX([1]DATA!$AH:$AH,MATCH('[1]BC_ ĐG LX'!$C123&amp;'[1]BC_ ĐG LX'!AE$3,[1]DATA!$AW:$AW,0)),"")</f>
        <v>9.24</v>
      </c>
      <c r="AF123" s="19" t="str">
        <f>IFERROR(INDEX([1]DATA!$AH:$AH,MATCH('[1]BC_ ĐG LX'!$C123&amp;'[1]BC_ ĐG LX'!AF$3,[1]DATA!$AW:$AW,0)),"")</f>
        <v/>
      </c>
      <c r="AG123" s="19" t="str">
        <f>IFERROR(INDEX([1]DATA!$AH:$AH,MATCH('[1]BC_ ĐG LX'!$C123&amp;'[1]BC_ ĐG LX'!AG$3,[1]DATA!$AW:$AW,0)),"")</f>
        <v/>
      </c>
      <c r="AH123" s="19" t="str">
        <f>IFERROR(INDEX([1]DATA!$AH:$AH,MATCH('[1]BC_ ĐG LX'!$C123&amp;'[1]BC_ ĐG LX'!AH$3,[1]DATA!$AW:$AW,0)),"")</f>
        <v/>
      </c>
      <c r="AI123" s="19" t="str">
        <f>IFERROR(INDEX([1]DATA!$AH:$AH,MATCH('[1]BC_ ĐG LX'!$C123&amp;'[1]BC_ ĐG LX'!AI$3,[1]DATA!$AW:$AW,0)),"")</f>
        <v/>
      </c>
      <c r="AJ123" s="19" t="str">
        <f>IFERROR(INDEX([1]DATA!$AH:$AH,MATCH('[1]BC_ ĐG LX'!$C123&amp;'[1]BC_ ĐG LX'!AJ$3,[1]DATA!$AW:$AW,0)),"")</f>
        <v/>
      </c>
      <c r="AK123" s="26">
        <f t="shared" si="7"/>
        <v>9.1999999999999993</v>
      </c>
      <c r="AL123" s="21"/>
      <c r="AM123" s="22">
        <f t="shared" si="6"/>
        <v>25</v>
      </c>
      <c r="AN123" s="22" t="str">
        <f>_xlfn.XLOOKUP(B123,[1]DATA!AF:AF,[1]DATA!AX:AX)</f>
        <v>Nga</v>
      </c>
      <c r="AO123"/>
    </row>
    <row r="124" spans="1:41" s="22" customFormat="1" ht="15" customHeight="1">
      <c r="A124" s="16">
        <f>SUBTOTAL(3,$D$118:D124)</f>
        <v>7</v>
      </c>
      <c r="B124" s="16" t="str">
        <f>_xlfn.XLOOKUP(C124,[1]DATA!D:D,[1]DATA!AF:AF)</f>
        <v>XE00365</v>
      </c>
      <c r="C124" s="18" t="s">
        <v>149</v>
      </c>
      <c r="D124" s="16" t="s">
        <v>142</v>
      </c>
      <c r="E124" s="18" t="s">
        <v>17</v>
      </c>
      <c r="F124" s="18" t="s">
        <v>18</v>
      </c>
      <c r="G124" s="19">
        <f>IFERROR(INDEX([1]DATA!$AH:$AH,MATCH('[1]BC_ ĐG LX'!$C124&amp;'[1]BC_ ĐG LX'!G$3,[1]DATA!$AW:$AW,0)),"")</f>
        <v>8.44</v>
      </c>
      <c r="H124" s="19">
        <f>IFERROR(INDEX([1]DATA!$AH:$AH,MATCH('[1]BC_ ĐG LX'!$C124&amp;'[1]BC_ ĐG LX'!H$3,[1]DATA!$AW:$AW,0)),"")</f>
        <v>9.6199999999999992</v>
      </c>
      <c r="I124" s="19">
        <f>IFERROR(INDEX([1]DATA!$AH:$AH,MATCH('[1]BC_ ĐG LX'!$C124&amp;'[1]BC_ ĐG LX'!I$3,[1]DATA!$AW:$AW,0)),"")</f>
        <v>9.42</v>
      </c>
      <c r="J124" s="19">
        <f>IFERROR(INDEX([1]DATA!$AH:$AH,MATCH('[1]BC_ ĐG LX'!$C124&amp;'[1]BC_ ĐG LX'!J$3,[1]DATA!$AW:$AW,0)),"")</f>
        <v>9.82</v>
      </c>
      <c r="K124" s="19">
        <f>IFERROR(INDEX([1]DATA!$AH:$AH,MATCH('[1]BC_ ĐG LX'!$C124&amp;'[1]BC_ ĐG LX'!K$3,[1]DATA!$AW:$AW,0)),"")</f>
        <v>9.82</v>
      </c>
      <c r="L124" s="19">
        <f>IFERROR(INDEX([1]DATA!$AH:$AH,MATCH('[1]BC_ ĐG LX'!$C124&amp;'[1]BC_ ĐG LX'!L$3,[1]DATA!$AW:$AW,0)),"")</f>
        <v>9.82</v>
      </c>
      <c r="M124" s="19">
        <f>IFERROR(INDEX([1]DATA!$AH:$AH,MATCH('[1]BC_ ĐG LX'!$C124&amp;'[1]BC_ ĐG LX'!M$3,[1]DATA!$AW:$AW,0)),"")</f>
        <v>9.42</v>
      </c>
      <c r="N124" s="19">
        <f>IFERROR(INDEX([1]DATA!$AH:$AH,MATCH('[1]BC_ ĐG LX'!$C124&amp;'[1]BC_ ĐG LX'!N$3,[1]DATA!$AW:$AW,0)),"")</f>
        <v>9.82</v>
      </c>
      <c r="O124" s="19">
        <f>IFERROR(INDEX([1]DATA!$AH:$AH,MATCH('[1]BC_ ĐG LX'!$C124&amp;'[1]BC_ ĐG LX'!O$3,[1]DATA!$AW:$AW,0)),"")</f>
        <v>9.42</v>
      </c>
      <c r="P124" s="19">
        <f>IFERROR(INDEX([1]DATA!$AH:$AH,MATCH('[1]BC_ ĐG LX'!$C124&amp;'[1]BC_ ĐG LX'!P$3,[1]DATA!$AW:$AW,0)),"")</f>
        <v>9.02</v>
      </c>
      <c r="Q124" s="19">
        <f>IFERROR(INDEX([1]DATA!$AH:$AH,MATCH('[1]BC_ ĐG LX'!$C124&amp;'[1]BC_ ĐG LX'!Q$3,[1]DATA!$AW:$AW,0)),"")</f>
        <v>9.24</v>
      </c>
      <c r="R124" s="19">
        <f>IFERROR(INDEX([1]DATA!$AH:$AH,MATCH('[1]BC_ ĐG LX'!$C124&amp;'[1]BC_ ĐG LX'!R$3,[1]DATA!$AW:$AW,0)),"")</f>
        <v>9.82</v>
      </c>
      <c r="S124" s="19">
        <f>IFERROR(INDEX([1]DATA!$AH:$AH,MATCH('[1]BC_ ĐG LX'!$C124&amp;'[1]BC_ ĐG LX'!S$3,[1]DATA!$AW:$AW,0)),"")</f>
        <v>9.42</v>
      </c>
      <c r="T124" s="19">
        <f>IFERROR(INDEX([1]DATA!$AH:$AH,MATCH('[1]BC_ ĐG LX'!$C124&amp;'[1]BC_ ĐG LX'!T$3,[1]DATA!$AW:$AW,0)),"")</f>
        <v>9.82</v>
      </c>
      <c r="U124" s="19">
        <f>IFERROR(INDEX([1]DATA!$AH:$AH,MATCH('[1]BC_ ĐG LX'!$C124&amp;'[1]BC_ ĐG LX'!U$3,[1]DATA!$AW:$AW,0)),"")</f>
        <v>9.82</v>
      </c>
      <c r="V124" s="19">
        <f>IFERROR(INDEX([1]DATA!$AH:$AH,MATCH('[1]BC_ ĐG LX'!$C124&amp;'[1]BC_ ĐG LX'!V$3,[1]DATA!$AW:$AW,0)),"")</f>
        <v>9.42</v>
      </c>
      <c r="W124" s="19">
        <f>IFERROR(INDEX([1]DATA!$AH:$AH,MATCH('[1]BC_ ĐG LX'!$C124&amp;'[1]BC_ ĐG LX'!W$3,[1]DATA!$AW:$AW,0)),"")</f>
        <v>9.82</v>
      </c>
      <c r="X124" s="19">
        <f>IFERROR(INDEX([1]DATA!$AH:$AH,MATCH('[1]BC_ ĐG LX'!$C124&amp;'[1]BC_ ĐG LX'!X$3,[1]DATA!$AW:$AW,0)),"")</f>
        <v>9.42</v>
      </c>
      <c r="Y124" s="19">
        <f>IFERROR(INDEX([1]DATA!$AH:$AH,MATCH('[1]BC_ ĐG LX'!$C124&amp;'[1]BC_ ĐG LX'!Y$3,[1]DATA!$AW:$AW,0)),"")</f>
        <v>9.82</v>
      </c>
      <c r="Z124" s="19">
        <f>IFERROR(INDEX([1]DATA!$AH:$AH,MATCH('[1]BC_ ĐG LX'!$C124&amp;'[1]BC_ ĐG LX'!Z$3,[1]DATA!$AW:$AW,0)),"")</f>
        <v>9.42</v>
      </c>
      <c r="AA124" s="19">
        <f>IFERROR(INDEX([1]DATA!$AH:$AH,MATCH('[1]BC_ ĐG LX'!$C124&amp;'[1]BC_ ĐG LX'!AA$3,[1]DATA!$AW:$AW,0)),"")</f>
        <v>9.82</v>
      </c>
      <c r="AB124" s="19">
        <f>IFERROR(INDEX([1]DATA!$AH:$AH,MATCH('[1]BC_ ĐG LX'!$C124&amp;'[1]BC_ ĐG LX'!AB$3,[1]DATA!$AW:$AW,0)),"")</f>
        <v>9.82</v>
      </c>
      <c r="AC124" s="19">
        <f>IFERROR(INDEX([1]DATA!$AH:$AH,MATCH('[1]BC_ ĐG LX'!$C124&amp;'[1]BC_ ĐG LX'!AC$3,[1]DATA!$AW:$AW,0)),"")</f>
        <v>9.6199999999999992</v>
      </c>
      <c r="AD124" s="19">
        <f>IFERROR(INDEX([1]DATA!$AH:$AH,MATCH('[1]BC_ ĐG LX'!$C124&amp;'[1]BC_ ĐG LX'!AD$3,[1]DATA!$AW:$AW,0)),"")</f>
        <v>9.42</v>
      </c>
      <c r="AE124" s="19">
        <f>IFERROR(INDEX([1]DATA!$AH:$AH,MATCH('[1]BC_ ĐG LX'!$C124&amp;'[1]BC_ ĐG LX'!AE$3,[1]DATA!$AW:$AW,0)),"")</f>
        <v>9.24</v>
      </c>
      <c r="AF124" s="19" t="str">
        <f>IFERROR(INDEX([1]DATA!$AH:$AH,MATCH('[1]BC_ ĐG LX'!$C124&amp;'[1]BC_ ĐG LX'!AF$3,[1]DATA!$AW:$AW,0)),"")</f>
        <v/>
      </c>
      <c r="AG124" s="19" t="str">
        <f>IFERROR(INDEX([1]DATA!$AH:$AH,MATCH('[1]BC_ ĐG LX'!$C124&amp;'[1]BC_ ĐG LX'!AG$3,[1]DATA!$AW:$AW,0)),"")</f>
        <v/>
      </c>
      <c r="AH124" s="19" t="str">
        <f>IFERROR(INDEX([1]DATA!$AH:$AH,MATCH('[1]BC_ ĐG LX'!$C124&amp;'[1]BC_ ĐG LX'!AH$3,[1]DATA!$AW:$AW,0)),"")</f>
        <v/>
      </c>
      <c r="AI124" s="19" t="str">
        <f>IFERROR(INDEX([1]DATA!$AH:$AH,MATCH('[1]BC_ ĐG LX'!$C124&amp;'[1]BC_ ĐG LX'!AI$3,[1]DATA!$AW:$AW,0)),"")</f>
        <v/>
      </c>
      <c r="AJ124" s="19" t="str">
        <f>IFERROR(INDEX([1]DATA!$AH:$AH,MATCH('[1]BC_ ĐG LX'!$C124&amp;'[1]BC_ ĐG LX'!AJ$3,[1]DATA!$AW:$AW,0)),"")</f>
        <v/>
      </c>
      <c r="AK124" s="26">
        <f t="shared" si="7"/>
        <v>9.6</v>
      </c>
      <c r="AL124" s="21"/>
      <c r="AM124" s="22">
        <f t="shared" si="6"/>
        <v>25</v>
      </c>
      <c r="AN124" s="22" t="str">
        <f>_xlfn.XLOOKUP(B124,[1]DATA!AF:AF,[1]DATA!AX:AX)</f>
        <v>Nga</v>
      </c>
      <c r="AO124"/>
    </row>
    <row r="125" spans="1:41" s="22" customFormat="1" ht="14.25" customHeight="1">
      <c r="A125" s="16">
        <f>SUBTOTAL(3,$D$118:D125)</f>
        <v>8</v>
      </c>
      <c r="B125" s="16" t="str">
        <f>_xlfn.XLOOKUP(C125,[1]DATA!D:D,[1]DATA!AF:AF)</f>
        <v>XE00441</v>
      </c>
      <c r="C125" s="18" t="s">
        <v>150</v>
      </c>
      <c r="D125" s="16" t="s">
        <v>142</v>
      </c>
      <c r="E125" s="18" t="s">
        <v>17</v>
      </c>
      <c r="F125" s="18" t="s">
        <v>18</v>
      </c>
      <c r="G125" s="19">
        <f>IFERROR(INDEX([1]DATA!$AH:$AH,MATCH('[1]BC_ ĐG LX'!$C125&amp;'[1]BC_ ĐG LX'!G$3,[1]DATA!$AW:$AW,0)),"")</f>
        <v>9.82</v>
      </c>
      <c r="H125" s="19">
        <f>IFERROR(INDEX([1]DATA!$AH:$AH,MATCH('[1]BC_ ĐG LX'!$C125&amp;'[1]BC_ ĐG LX'!H$3,[1]DATA!$AW:$AW,0)),"")</f>
        <v>9.82</v>
      </c>
      <c r="I125" s="19">
        <f>IFERROR(INDEX([1]DATA!$AH:$AH,MATCH('[1]BC_ ĐG LX'!$C125&amp;'[1]BC_ ĐG LX'!I$3,[1]DATA!$AW:$AW,0)),"")</f>
        <v>8.84</v>
      </c>
      <c r="J125" s="19">
        <f>IFERROR(INDEX([1]DATA!$AH:$AH,MATCH('[1]BC_ ĐG LX'!$C125&amp;'[1]BC_ ĐG LX'!J$3,[1]DATA!$AW:$AW,0)),"")</f>
        <v>9.2199999999999989</v>
      </c>
      <c r="K125" s="19">
        <f>IFERROR(INDEX([1]DATA!$AH:$AH,MATCH('[1]BC_ ĐG LX'!$C125&amp;'[1]BC_ ĐG LX'!K$3,[1]DATA!$AW:$AW,0)),"")</f>
        <v>8.44</v>
      </c>
      <c r="L125" s="19">
        <f>IFERROR(INDEX([1]DATA!$AH:$AH,MATCH('[1]BC_ ĐG LX'!$C125&amp;'[1]BC_ ĐG LX'!L$3,[1]DATA!$AW:$AW,0)),"")</f>
        <v>9.82</v>
      </c>
      <c r="M125" s="19">
        <f>IFERROR(INDEX([1]DATA!$AH:$AH,MATCH('[1]BC_ ĐG LX'!$C125&amp;'[1]BC_ ĐG LX'!M$3,[1]DATA!$AW:$AW,0)),"")</f>
        <v>9.42</v>
      </c>
      <c r="N125" s="19">
        <f>IFERROR(INDEX([1]DATA!$AH:$AH,MATCH('[1]BC_ ĐG LX'!$C125&amp;'[1]BC_ ĐG LX'!N$3,[1]DATA!$AW:$AW,0)),"")</f>
        <v>9.82</v>
      </c>
      <c r="O125" s="19">
        <f>IFERROR(INDEX([1]DATA!$AH:$AH,MATCH('[1]BC_ ĐG LX'!$C125&amp;'[1]BC_ ĐG LX'!O$3,[1]DATA!$AW:$AW,0)),"")</f>
        <v>9.82</v>
      </c>
      <c r="P125" s="19">
        <f>IFERROR(INDEX([1]DATA!$AH:$AH,MATCH('[1]BC_ ĐG LX'!$C125&amp;'[1]BC_ ĐG LX'!P$3,[1]DATA!$AW:$AW,0)),"")</f>
        <v>9.42</v>
      </c>
      <c r="Q125" s="19">
        <f>IFERROR(INDEX([1]DATA!$AH:$AH,MATCH('[1]BC_ ĐG LX'!$C125&amp;'[1]BC_ ĐG LX'!Q$3,[1]DATA!$AW:$AW,0)),"")</f>
        <v>9.42</v>
      </c>
      <c r="R125" s="19">
        <f>IFERROR(INDEX([1]DATA!$AH:$AH,MATCH('[1]BC_ ĐG LX'!$C125&amp;'[1]BC_ ĐG LX'!R$3,[1]DATA!$AW:$AW,0)),"")</f>
        <v>9.42</v>
      </c>
      <c r="S125" s="19">
        <f>IFERROR(INDEX([1]DATA!$AH:$AH,MATCH('[1]BC_ ĐG LX'!$C125&amp;'[1]BC_ ĐG LX'!S$3,[1]DATA!$AW:$AW,0)),"")</f>
        <v>9.82</v>
      </c>
      <c r="T125" s="19">
        <f>IFERROR(INDEX([1]DATA!$AH:$AH,MATCH('[1]BC_ ĐG LX'!$C125&amp;'[1]BC_ ĐG LX'!T$3,[1]DATA!$AW:$AW,0)),"")</f>
        <v>9.02</v>
      </c>
      <c r="U125" s="19">
        <f>IFERROR(INDEX([1]DATA!$AH:$AH,MATCH('[1]BC_ ĐG LX'!$C125&amp;'[1]BC_ ĐG LX'!U$3,[1]DATA!$AW:$AW,0)),"")</f>
        <v>9.42</v>
      </c>
      <c r="V125" s="19">
        <f>IFERROR(INDEX([1]DATA!$AH:$AH,MATCH('[1]BC_ ĐG LX'!$C125&amp;'[1]BC_ ĐG LX'!V$3,[1]DATA!$AW:$AW,0)),"")</f>
        <v>9.82</v>
      </c>
      <c r="W125" s="19">
        <f>IFERROR(INDEX([1]DATA!$AH:$AH,MATCH('[1]BC_ ĐG LX'!$C125&amp;'[1]BC_ ĐG LX'!W$3,[1]DATA!$AW:$AW,0)),"")</f>
        <v>8.84</v>
      </c>
      <c r="X125" s="19">
        <f>IFERROR(INDEX([1]DATA!$AH:$AH,MATCH('[1]BC_ ĐG LX'!$C125&amp;'[1]BC_ ĐG LX'!X$3,[1]DATA!$AW:$AW,0)),"")</f>
        <v>8.2200000000000006</v>
      </c>
      <c r="Y125" s="19">
        <f>IFERROR(INDEX([1]DATA!$AH:$AH,MATCH('[1]BC_ ĐG LX'!$C125&amp;'[1]BC_ ĐG LX'!Y$3,[1]DATA!$AW:$AW,0)),"")</f>
        <v>9.82</v>
      </c>
      <c r="Z125" s="19">
        <f>IFERROR(INDEX([1]DATA!$AH:$AH,MATCH('[1]BC_ ĐG LX'!$C125&amp;'[1]BC_ ĐG LX'!Z$3,[1]DATA!$AW:$AW,0)),"")</f>
        <v>9.42</v>
      </c>
      <c r="AA125" s="19">
        <f>IFERROR(INDEX([1]DATA!$AH:$AH,MATCH('[1]BC_ ĐG LX'!$C125&amp;'[1]BC_ ĐG LX'!AA$3,[1]DATA!$AW:$AW,0)),"")</f>
        <v>9.82</v>
      </c>
      <c r="AB125" s="19">
        <f>IFERROR(INDEX([1]DATA!$AH:$AH,MATCH('[1]BC_ ĐG LX'!$C125&amp;'[1]BC_ ĐG LX'!AB$3,[1]DATA!$AW:$AW,0)),"")</f>
        <v>7.82</v>
      </c>
      <c r="AC125" s="19">
        <f>IFERROR(INDEX([1]DATA!$AH:$AH,MATCH('[1]BC_ ĐG LX'!$C125&amp;'[1]BC_ ĐG LX'!AC$3,[1]DATA!$AW:$AW,0)),"")</f>
        <v>9.82</v>
      </c>
      <c r="AD125" s="19">
        <f>IFERROR(INDEX([1]DATA!$AH:$AH,MATCH('[1]BC_ ĐG LX'!$C125&amp;'[1]BC_ ĐG LX'!AD$3,[1]DATA!$AW:$AW,0)),"")</f>
        <v>8.84</v>
      </c>
      <c r="AE125" s="19">
        <f>IFERROR(INDEX([1]DATA!$AH:$AH,MATCH('[1]BC_ ĐG LX'!$C125&amp;'[1]BC_ ĐG LX'!AE$3,[1]DATA!$AW:$AW,0)),"")</f>
        <v>9.42</v>
      </c>
      <c r="AF125" s="19" t="str">
        <f>IFERROR(INDEX([1]DATA!$AH:$AH,MATCH('[1]BC_ ĐG LX'!$C125&amp;'[1]BC_ ĐG LX'!AF$3,[1]DATA!$AW:$AW,0)),"")</f>
        <v/>
      </c>
      <c r="AG125" s="19" t="str">
        <f>IFERROR(INDEX([1]DATA!$AH:$AH,MATCH('[1]BC_ ĐG LX'!$C125&amp;'[1]BC_ ĐG LX'!AG$3,[1]DATA!$AW:$AW,0)),"")</f>
        <v/>
      </c>
      <c r="AH125" s="19" t="str">
        <f>IFERROR(INDEX([1]DATA!$AH:$AH,MATCH('[1]BC_ ĐG LX'!$C125&amp;'[1]BC_ ĐG LX'!AH$3,[1]DATA!$AW:$AW,0)),"")</f>
        <v/>
      </c>
      <c r="AI125" s="19" t="str">
        <f>IFERROR(INDEX([1]DATA!$AH:$AH,MATCH('[1]BC_ ĐG LX'!$C125&amp;'[1]BC_ ĐG LX'!AI$3,[1]DATA!$AW:$AW,0)),"")</f>
        <v/>
      </c>
      <c r="AJ125" s="19" t="str">
        <f>IFERROR(INDEX([1]DATA!$AH:$AH,MATCH('[1]BC_ ĐG LX'!$C125&amp;'[1]BC_ ĐG LX'!AJ$3,[1]DATA!$AW:$AW,0)),"")</f>
        <v/>
      </c>
      <c r="AK125" s="26">
        <f t="shared" si="7"/>
        <v>9.4</v>
      </c>
      <c r="AL125" s="21"/>
      <c r="AM125" s="22">
        <f t="shared" si="6"/>
        <v>25</v>
      </c>
      <c r="AN125" s="22" t="str">
        <f>_xlfn.XLOOKUP(B125,[1]DATA!AF:AF,[1]DATA!AX:AX)</f>
        <v>Nga</v>
      </c>
      <c r="AO125"/>
    </row>
    <row r="126" spans="1:41" s="22" customFormat="1" ht="14.25" customHeight="1">
      <c r="A126" s="16">
        <f>SUBTOTAL(3,$D$118:D126)</f>
        <v>9</v>
      </c>
      <c r="B126" s="16" t="str">
        <f>_xlfn.XLOOKUP(C126,[1]DATA!D:D,[1]DATA!AF:AF)</f>
        <v>XE00674</v>
      </c>
      <c r="C126" s="18" t="s">
        <v>151</v>
      </c>
      <c r="D126" s="16" t="s">
        <v>142</v>
      </c>
      <c r="E126" s="18" t="s">
        <v>17</v>
      </c>
      <c r="F126" s="18" t="s">
        <v>18</v>
      </c>
      <c r="G126" s="19">
        <f>IFERROR(INDEX([1]DATA!$AH:$AH,MATCH('[1]BC_ ĐG LX'!$C126&amp;'[1]BC_ ĐG LX'!G$3,[1]DATA!$AW:$AW,0)),"")</f>
        <v>9.02</v>
      </c>
      <c r="H126" s="19">
        <f>IFERROR(INDEX([1]DATA!$AH:$AH,MATCH('[1]BC_ ĐG LX'!$C126&amp;'[1]BC_ ĐG LX'!H$3,[1]DATA!$AW:$AW,0)),"")</f>
        <v>8.84</v>
      </c>
      <c r="I126" s="19">
        <f>IFERROR(INDEX([1]DATA!$AH:$AH,MATCH('[1]BC_ ĐG LX'!$C126&amp;'[1]BC_ ĐG LX'!I$3,[1]DATA!$AW:$AW,0)),"")</f>
        <v>9.82</v>
      </c>
      <c r="J126" s="19">
        <f>IFERROR(INDEX([1]DATA!$AH:$AH,MATCH('[1]BC_ ĐG LX'!$C126&amp;'[1]BC_ ĐG LX'!J$3,[1]DATA!$AW:$AW,0)),"")</f>
        <v>8.620000000000001</v>
      </c>
      <c r="K126" s="19">
        <f>IFERROR(INDEX([1]DATA!$AH:$AH,MATCH('[1]BC_ ĐG LX'!$C126&amp;'[1]BC_ ĐG LX'!K$3,[1]DATA!$AW:$AW,0)),"")</f>
        <v>9.82</v>
      </c>
      <c r="L126" s="19">
        <f>IFERROR(INDEX([1]DATA!$AH:$AH,MATCH('[1]BC_ ĐG LX'!$C126&amp;'[1]BC_ ĐG LX'!L$3,[1]DATA!$AW:$AW,0)),"")</f>
        <v>9.2199999999999989</v>
      </c>
      <c r="M126" s="19">
        <f>IFERROR(INDEX([1]DATA!$AH:$AH,MATCH('[1]BC_ ĐG LX'!$C126&amp;'[1]BC_ ĐG LX'!M$3,[1]DATA!$AW:$AW,0)),"")</f>
        <v>9.02</v>
      </c>
      <c r="N126" s="19">
        <f>IFERROR(INDEX([1]DATA!$AH:$AH,MATCH('[1]BC_ ĐG LX'!$C126&amp;'[1]BC_ ĐG LX'!N$3,[1]DATA!$AW:$AW,0)),"")</f>
        <v>9.42</v>
      </c>
      <c r="O126" s="19">
        <f>IFERROR(INDEX([1]DATA!$AH:$AH,MATCH('[1]BC_ ĐG LX'!$C126&amp;'[1]BC_ ĐG LX'!O$3,[1]DATA!$AW:$AW,0)),"")</f>
        <v>9.02</v>
      </c>
      <c r="P126" s="19">
        <f>IFERROR(INDEX([1]DATA!$AH:$AH,MATCH('[1]BC_ ĐG LX'!$C126&amp;'[1]BC_ ĐG LX'!P$3,[1]DATA!$AW:$AW,0)),"")</f>
        <v>9.82</v>
      </c>
      <c r="Q126" s="19">
        <f>IFERROR(INDEX([1]DATA!$AH:$AH,MATCH('[1]BC_ ĐG LX'!$C126&amp;'[1]BC_ ĐG LX'!Q$3,[1]DATA!$AW:$AW,0)),"")</f>
        <v>9.82</v>
      </c>
      <c r="R126" s="19">
        <f>IFERROR(INDEX([1]DATA!$AH:$AH,MATCH('[1]BC_ ĐG LX'!$C126&amp;'[1]BC_ ĐG LX'!R$3,[1]DATA!$AW:$AW,0)),"")</f>
        <v>9.42</v>
      </c>
      <c r="S126" s="19">
        <f>IFERROR(INDEX([1]DATA!$AH:$AH,MATCH('[1]BC_ ĐG LX'!$C126&amp;'[1]BC_ ĐG LX'!S$3,[1]DATA!$AW:$AW,0)),"")</f>
        <v>9.02</v>
      </c>
      <c r="T126" s="19">
        <f>IFERROR(INDEX([1]DATA!$AH:$AH,MATCH('[1]BC_ ĐG LX'!$C126&amp;'[1]BC_ ĐG LX'!T$3,[1]DATA!$AW:$AW,0)),"")</f>
        <v>9.82</v>
      </c>
      <c r="U126" s="19">
        <f>IFERROR(INDEX([1]DATA!$AH:$AH,MATCH('[1]BC_ ĐG LX'!$C126&amp;'[1]BC_ ĐG LX'!U$3,[1]DATA!$AW:$AW,0)),"")</f>
        <v>9.82</v>
      </c>
      <c r="V126" s="19">
        <f>IFERROR(INDEX([1]DATA!$AH:$AH,MATCH('[1]BC_ ĐG LX'!$C126&amp;'[1]BC_ ĐG LX'!V$3,[1]DATA!$AW:$AW,0)),"")</f>
        <v>9.42</v>
      </c>
      <c r="W126" s="19">
        <f>IFERROR(INDEX([1]DATA!$AH:$AH,MATCH('[1]BC_ ĐG LX'!$C126&amp;'[1]BC_ ĐG LX'!W$3,[1]DATA!$AW:$AW,0)),"")</f>
        <v>9.82</v>
      </c>
      <c r="X126" s="19">
        <f>IFERROR(INDEX([1]DATA!$AH:$AH,MATCH('[1]BC_ ĐG LX'!$C126&amp;'[1]BC_ ĐG LX'!X$3,[1]DATA!$AW:$AW,0)),"")</f>
        <v>9.82</v>
      </c>
      <c r="Y126" s="19">
        <f>IFERROR(INDEX([1]DATA!$AH:$AH,MATCH('[1]BC_ ĐG LX'!$C126&amp;'[1]BC_ ĐG LX'!Y$3,[1]DATA!$AW:$AW,0)),"")</f>
        <v>9.82</v>
      </c>
      <c r="Z126" s="19">
        <f>IFERROR(INDEX([1]DATA!$AH:$AH,MATCH('[1]BC_ ĐG LX'!$C126&amp;'[1]BC_ ĐG LX'!Z$3,[1]DATA!$AW:$AW,0)),"")</f>
        <v>8.2200000000000006</v>
      </c>
      <c r="AA126" s="19">
        <f>IFERROR(INDEX([1]DATA!$AH:$AH,MATCH('[1]BC_ ĐG LX'!$C126&amp;'[1]BC_ ĐG LX'!AA$3,[1]DATA!$AW:$AW,0)),"")</f>
        <v>8.2200000000000006</v>
      </c>
      <c r="AB126" s="19">
        <f>IFERROR(INDEX([1]DATA!$AH:$AH,MATCH('[1]BC_ ĐG LX'!$C126&amp;'[1]BC_ ĐG LX'!AB$3,[1]DATA!$AW:$AW,0)),"")</f>
        <v>9.7199999999999989</v>
      </c>
      <c r="AC126" s="19">
        <f>IFERROR(INDEX([1]DATA!$AH:$AH,MATCH('[1]BC_ ĐG LX'!$C126&amp;'[1]BC_ ĐG LX'!AC$3,[1]DATA!$AW:$AW,0)),"")</f>
        <v>9.82</v>
      </c>
      <c r="AD126" s="19">
        <f>IFERROR(INDEX([1]DATA!$AH:$AH,MATCH('[1]BC_ ĐG LX'!$C126&amp;'[1]BC_ ĐG LX'!AD$3,[1]DATA!$AW:$AW,0)),"")</f>
        <v>8.84</v>
      </c>
      <c r="AE126" s="19">
        <f>IFERROR(INDEX([1]DATA!$AH:$AH,MATCH('[1]BC_ ĐG LX'!$C126&amp;'[1]BC_ ĐG LX'!AE$3,[1]DATA!$AW:$AW,0)),"")</f>
        <v>9.82</v>
      </c>
      <c r="AF126" s="19" t="str">
        <f>IFERROR(INDEX([1]DATA!$AH:$AH,MATCH('[1]BC_ ĐG LX'!$C126&amp;'[1]BC_ ĐG LX'!AF$3,[1]DATA!$AW:$AW,0)),"")</f>
        <v/>
      </c>
      <c r="AG126" s="19" t="str">
        <f>IFERROR(INDEX([1]DATA!$AH:$AH,MATCH('[1]BC_ ĐG LX'!$C126&amp;'[1]BC_ ĐG LX'!AG$3,[1]DATA!$AW:$AW,0)),"")</f>
        <v/>
      </c>
      <c r="AH126" s="19" t="str">
        <f>IFERROR(INDEX([1]DATA!$AH:$AH,MATCH('[1]BC_ ĐG LX'!$C126&amp;'[1]BC_ ĐG LX'!AH$3,[1]DATA!$AW:$AW,0)),"")</f>
        <v/>
      </c>
      <c r="AI126" s="19" t="str">
        <f>IFERROR(INDEX([1]DATA!$AH:$AH,MATCH('[1]BC_ ĐG LX'!$C126&amp;'[1]BC_ ĐG LX'!AI$3,[1]DATA!$AW:$AW,0)),"")</f>
        <v/>
      </c>
      <c r="AJ126" s="19" t="str">
        <f>IFERROR(INDEX([1]DATA!$AH:$AH,MATCH('[1]BC_ ĐG LX'!$C126&amp;'[1]BC_ ĐG LX'!AJ$3,[1]DATA!$AW:$AW,0)),"")</f>
        <v/>
      </c>
      <c r="AK126" s="26">
        <f t="shared" si="7"/>
        <v>9.4</v>
      </c>
      <c r="AL126" s="21"/>
      <c r="AM126" s="22">
        <f t="shared" si="6"/>
        <v>25</v>
      </c>
      <c r="AN126" s="22" t="str">
        <f>_xlfn.XLOOKUP(B126,[1]DATA!AF:AF,[1]DATA!AX:AX)</f>
        <v>Nga</v>
      </c>
      <c r="AO126"/>
    </row>
    <row r="127" spans="1:41" s="22" customFormat="1" ht="14.25" customHeight="1">
      <c r="A127" s="16">
        <f>SUBTOTAL(3,$D$118:D127)</f>
        <v>10</v>
      </c>
      <c r="B127" s="16" t="str">
        <f>_xlfn.XLOOKUP(C127,[1]DATA!D:D,[1]DATA!AF:AF)</f>
        <v>XE00714</v>
      </c>
      <c r="C127" s="18" t="s">
        <v>152</v>
      </c>
      <c r="D127" s="16" t="s">
        <v>142</v>
      </c>
      <c r="E127" s="18" t="s">
        <v>17</v>
      </c>
      <c r="F127" s="18" t="s">
        <v>18</v>
      </c>
      <c r="G127" s="19">
        <f>IFERROR(INDEX([1]DATA!$AH:$AH,MATCH('[1]BC_ ĐG LX'!$C127&amp;'[1]BC_ ĐG LX'!G$3,[1]DATA!$AW:$AW,0)),"")</f>
        <v>9.42</v>
      </c>
      <c r="H127" s="19">
        <f>IFERROR(INDEX([1]DATA!$AH:$AH,MATCH('[1]BC_ ĐG LX'!$C127&amp;'[1]BC_ ĐG LX'!H$3,[1]DATA!$AW:$AW,0)),"")</f>
        <v>9.42</v>
      </c>
      <c r="I127" s="19">
        <f>IFERROR(INDEX([1]DATA!$AH:$AH,MATCH('[1]BC_ ĐG LX'!$C127&amp;'[1]BC_ ĐG LX'!I$3,[1]DATA!$AW:$AW,0)),"")</f>
        <v>9.02</v>
      </c>
      <c r="J127" s="19">
        <f>IFERROR(INDEX([1]DATA!$AH:$AH,MATCH('[1]BC_ ĐG LX'!$C127&amp;'[1]BC_ ĐG LX'!J$3,[1]DATA!$AW:$AW,0)),"")</f>
        <v>9.42</v>
      </c>
      <c r="K127" s="19">
        <f>IFERROR(INDEX([1]DATA!$AH:$AH,MATCH('[1]BC_ ĐG LX'!$C127&amp;'[1]BC_ ĐG LX'!K$3,[1]DATA!$AW:$AW,0)),"")</f>
        <v>8.620000000000001</v>
      </c>
      <c r="L127" s="19">
        <f>IFERROR(INDEX([1]DATA!$AH:$AH,MATCH('[1]BC_ ĐG LX'!$C127&amp;'[1]BC_ ĐG LX'!L$3,[1]DATA!$AW:$AW,0)),"")</f>
        <v>9.42</v>
      </c>
      <c r="M127" s="19">
        <f>IFERROR(INDEX([1]DATA!$AH:$AH,MATCH('[1]BC_ ĐG LX'!$C127&amp;'[1]BC_ ĐG LX'!M$3,[1]DATA!$AW:$AW,0)),"")</f>
        <v>9.82</v>
      </c>
      <c r="N127" s="19">
        <f>IFERROR(INDEX([1]DATA!$AH:$AH,MATCH('[1]BC_ ĐG LX'!$C127&amp;'[1]BC_ ĐG LX'!N$3,[1]DATA!$AW:$AW,0)),"")</f>
        <v>9.82</v>
      </c>
      <c r="O127" s="19">
        <f>IFERROR(INDEX([1]DATA!$AH:$AH,MATCH('[1]BC_ ĐG LX'!$C127&amp;'[1]BC_ ĐG LX'!O$3,[1]DATA!$AW:$AW,0)),"")</f>
        <v>9.82</v>
      </c>
      <c r="P127" s="19">
        <f>IFERROR(INDEX([1]DATA!$AH:$AH,MATCH('[1]BC_ ĐG LX'!$C127&amp;'[1]BC_ ĐG LX'!P$3,[1]DATA!$AW:$AW,0)),"")</f>
        <v>8.620000000000001</v>
      </c>
      <c r="Q127" s="19">
        <f>IFERROR(INDEX([1]DATA!$AH:$AH,MATCH('[1]BC_ ĐG LX'!$C127&amp;'[1]BC_ ĐG LX'!Q$3,[1]DATA!$AW:$AW,0)),"")</f>
        <v>9.82</v>
      </c>
      <c r="R127" s="19">
        <f>IFERROR(INDEX([1]DATA!$AH:$AH,MATCH('[1]BC_ ĐG LX'!$C127&amp;'[1]BC_ ĐG LX'!R$3,[1]DATA!$AW:$AW,0)),"")</f>
        <v>9.42</v>
      </c>
      <c r="S127" s="19">
        <f>IFERROR(INDEX([1]DATA!$AH:$AH,MATCH('[1]BC_ ĐG LX'!$C127&amp;'[1]BC_ ĐG LX'!S$3,[1]DATA!$AW:$AW,0)),"")</f>
        <v>8.44</v>
      </c>
      <c r="T127" s="19">
        <f>IFERROR(INDEX([1]DATA!$AH:$AH,MATCH('[1]BC_ ĐG LX'!$C127&amp;'[1]BC_ ĐG LX'!T$3,[1]DATA!$AW:$AW,0)),"")</f>
        <v>9.82</v>
      </c>
      <c r="U127" s="19">
        <f>IFERROR(INDEX([1]DATA!$AH:$AH,MATCH('[1]BC_ ĐG LX'!$C127&amp;'[1]BC_ ĐG LX'!U$3,[1]DATA!$AW:$AW,0)),"")</f>
        <v>8.2200000000000006</v>
      </c>
      <c r="V127" s="19">
        <f>IFERROR(INDEX([1]DATA!$AH:$AH,MATCH('[1]BC_ ĐG LX'!$C127&amp;'[1]BC_ ĐG LX'!V$3,[1]DATA!$AW:$AW,0)),"")</f>
        <v>9.42</v>
      </c>
      <c r="W127" s="19">
        <f>IFERROR(INDEX([1]DATA!$AH:$AH,MATCH('[1]BC_ ĐG LX'!$C127&amp;'[1]BC_ ĐG LX'!W$3,[1]DATA!$AW:$AW,0)),"")</f>
        <v>9.02</v>
      </c>
      <c r="X127" s="19">
        <f>IFERROR(INDEX([1]DATA!$AH:$AH,MATCH('[1]BC_ ĐG LX'!$C127&amp;'[1]BC_ ĐG LX'!X$3,[1]DATA!$AW:$AW,0)),"")</f>
        <v>9.42</v>
      </c>
      <c r="Y127" s="19">
        <f>IFERROR(INDEX([1]DATA!$AH:$AH,MATCH('[1]BC_ ĐG LX'!$C127&amp;'[1]BC_ ĐG LX'!Y$3,[1]DATA!$AW:$AW,0)),"")</f>
        <v>9.82</v>
      </c>
      <c r="Z127" s="19">
        <f>IFERROR(INDEX([1]DATA!$AH:$AH,MATCH('[1]BC_ ĐG LX'!$C127&amp;'[1]BC_ ĐG LX'!Z$3,[1]DATA!$AW:$AW,0)),"")</f>
        <v>8.02</v>
      </c>
      <c r="AA127" s="19">
        <f>IFERROR(INDEX([1]DATA!$AH:$AH,MATCH('[1]BC_ ĐG LX'!$C127&amp;'[1]BC_ ĐG LX'!AA$3,[1]DATA!$AW:$AW,0)),"")</f>
        <v>9.42</v>
      </c>
      <c r="AB127" s="19">
        <f>IFERROR(INDEX([1]DATA!$AH:$AH,MATCH('[1]BC_ ĐG LX'!$C127&amp;'[1]BC_ ĐG LX'!AB$3,[1]DATA!$AW:$AW,0)),"")</f>
        <v>9.42</v>
      </c>
      <c r="AC127" s="19">
        <f>IFERROR(INDEX([1]DATA!$AH:$AH,MATCH('[1]BC_ ĐG LX'!$C127&amp;'[1]BC_ ĐG LX'!AC$3,[1]DATA!$AW:$AW,0)),"")</f>
        <v>9.02</v>
      </c>
      <c r="AD127" s="19">
        <f>IFERROR(INDEX([1]DATA!$AH:$AH,MATCH('[1]BC_ ĐG LX'!$C127&amp;'[1]BC_ ĐG LX'!AD$3,[1]DATA!$AW:$AW,0)),"")</f>
        <v>9.82</v>
      </c>
      <c r="AE127" s="19">
        <f>IFERROR(INDEX([1]DATA!$AH:$AH,MATCH('[1]BC_ ĐG LX'!$C127&amp;'[1]BC_ ĐG LX'!AE$3,[1]DATA!$AW:$AW,0)),"")</f>
        <v>9.82</v>
      </c>
      <c r="AF127" s="19" t="str">
        <f>IFERROR(INDEX([1]DATA!$AH:$AH,MATCH('[1]BC_ ĐG LX'!$C127&amp;'[1]BC_ ĐG LX'!AF$3,[1]DATA!$AW:$AW,0)),"")</f>
        <v/>
      </c>
      <c r="AG127" s="19" t="str">
        <f>IFERROR(INDEX([1]DATA!$AH:$AH,MATCH('[1]BC_ ĐG LX'!$C127&amp;'[1]BC_ ĐG LX'!AG$3,[1]DATA!$AW:$AW,0)),"")</f>
        <v/>
      </c>
      <c r="AH127" s="19" t="str">
        <f>IFERROR(INDEX([1]DATA!$AH:$AH,MATCH('[1]BC_ ĐG LX'!$C127&amp;'[1]BC_ ĐG LX'!AH$3,[1]DATA!$AW:$AW,0)),"")</f>
        <v/>
      </c>
      <c r="AI127" s="19" t="str">
        <f>IFERROR(INDEX([1]DATA!$AH:$AH,MATCH('[1]BC_ ĐG LX'!$C127&amp;'[1]BC_ ĐG LX'!AI$3,[1]DATA!$AW:$AW,0)),"")</f>
        <v/>
      </c>
      <c r="AJ127" s="19" t="str">
        <f>IFERROR(INDEX([1]DATA!$AH:$AH,MATCH('[1]BC_ ĐG LX'!$C127&amp;'[1]BC_ ĐG LX'!AJ$3,[1]DATA!$AW:$AW,0)),"")</f>
        <v/>
      </c>
      <c r="AK127" s="26">
        <f t="shared" si="7"/>
        <v>9.2999999999999989</v>
      </c>
      <c r="AL127" s="21"/>
      <c r="AM127" s="22">
        <f t="shared" si="6"/>
        <v>25</v>
      </c>
      <c r="AN127" s="22" t="str">
        <f>_xlfn.XLOOKUP(B127,[1]DATA!AF:AF,[1]DATA!AX:AX)</f>
        <v>Nga</v>
      </c>
      <c r="AO127"/>
    </row>
    <row r="128" spans="1:41" s="22" customFormat="1" ht="14.25" customHeight="1">
      <c r="A128" s="16">
        <f>SUBTOTAL(3,$D$118:D128)</f>
        <v>11</v>
      </c>
      <c r="B128" s="16" t="str">
        <f>_xlfn.XLOOKUP(C128,[1]DATA!D:D,[1]DATA!AF:AF)</f>
        <v>XE00791</v>
      </c>
      <c r="C128" s="18" t="s">
        <v>153</v>
      </c>
      <c r="D128" s="16" t="s">
        <v>142</v>
      </c>
      <c r="E128" s="18" t="s">
        <v>17</v>
      </c>
      <c r="F128" s="18" t="s">
        <v>18</v>
      </c>
      <c r="G128" s="19">
        <f>IFERROR(INDEX([1]DATA!$AH:$AH,MATCH('[1]BC_ ĐG LX'!$C128&amp;'[1]BC_ ĐG LX'!G$3,[1]DATA!$AW:$AW,0)),"")</f>
        <v>8.2200000000000006</v>
      </c>
      <c r="H128" s="19">
        <f>IFERROR(INDEX([1]DATA!$AH:$AH,MATCH('[1]BC_ ĐG LX'!$C128&amp;'[1]BC_ ĐG LX'!H$3,[1]DATA!$AW:$AW,0)),"")</f>
        <v>9.6</v>
      </c>
      <c r="I128" s="19">
        <f>IFERROR(INDEX([1]DATA!$AH:$AH,MATCH('[1]BC_ ĐG LX'!$C128&amp;'[1]BC_ ĐG LX'!I$3,[1]DATA!$AW:$AW,0)),"")</f>
        <v>9.42</v>
      </c>
      <c r="J128" s="19">
        <f>IFERROR(INDEX([1]DATA!$AH:$AH,MATCH('[1]BC_ ĐG LX'!$C128&amp;'[1]BC_ ĐG LX'!J$3,[1]DATA!$AW:$AW,0)),"")</f>
        <v>9.82</v>
      </c>
      <c r="K128" s="19">
        <f>IFERROR(INDEX([1]DATA!$AH:$AH,MATCH('[1]BC_ ĐG LX'!$C128&amp;'[1]BC_ ĐG LX'!K$3,[1]DATA!$AW:$AW,0)),"")</f>
        <v>9.42</v>
      </c>
      <c r="L128" s="19">
        <f>IFERROR(INDEX([1]DATA!$AH:$AH,MATCH('[1]BC_ ĐG LX'!$C128&amp;'[1]BC_ ĐG LX'!L$3,[1]DATA!$AW:$AW,0)),"")</f>
        <v>9.82</v>
      </c>
      <c r="M128" s="19">
        <f>IFERROR(INDEX([1]DATA!$AH:$AH,MATCH('[1]BC_ ĐG LX'!$C128&amp;'[1]BC_ ĐG LX'!M$3,[1]DATA!$AW:$AW,0)),"")</f>
        <v>9.42</v>
      </c>
      <c r="N128" s="19">
        <f>IFERROR(INDEX([1]DATA!$AH:$AH,MATCH('[1]BC_ ĐG LX'!$C128&amp;'[1]BC_ ĐG LX'!N$3,[1]DATA!$AW:$AW,0)),"")</f>
        <v>9.02</v>
      </c>
      <c r="O128" s="19">
        <f>IFERROR(INDEX([1]DATA!$AH:$AH,MATCH('[1]BC_ ĐG LX'!$C128&amp;'[1]BC_ ĐG LX'!O$3,[1]DATA!$AW:$AW,0)),"")</f>
        <v>9.2199999999999989</v>
      </c>
      <c r="P128" s="19">
        <f>IFERROR(INDEX([1]DATA!$AH:$AH,MATCH('[1]BC_ ĐG LX'!$C128&amp;'[1]BC_ ĐG LX'!P$3,[1]DATA!$AW:$AW,0)),"")</f>
        <v>9.82</v>
      </c>
      <c r="Q128" s="19">
        <f>IFERROR(INDEX([1]DATA!$AH:$AH,MATCH('[1]BC_ ĐG LX'!$C128&amp;'[1]BC_ ĐG LX'!Q$3,[1]DATA!$AW:$AW,0)),"")</f>
        <v>8.84</v>
      </c>
      <c r="R128" s="19">
        <f>IFERROR(INDEX([1]DATA!$AH:$AH,MATCH('[1]BC_ ĐG LX'!$C128&amp;'[1]BC_ ĐG LX'!R$3,[1]DATA!$AW:$AW,0)),"")</f>
        <v>9.82</v>
      </c>
      <c r="S128" s="19">
        <f>IFERROR(INDEX([1]DATA!$AH:$AH,MATCH('[1]BC_ ĐG LX'!$C128&amp;'[1]BC_ ĐG LX'!S$3,[1]DATA!$AW:$AW,0)),"")</f>
        <v>9.2199999999999989</v>
      </c>
      <c r="T128" s="19">
        <f>IFERROR(INDEX([1]DATA!$AH:$AH,MATCH('[1]BC_ ĐG LX'!$C128&amp;'[1]BC_ ĐG LX'!T$3,[1]DATA!$AW:$AW,0)),"")</f>
        <v>9.42</v>
      </c>
      <c r="U128" s="19">
        <f>IFERROR(INDEX([1]DATA!$AH:$AH,MATCH('[1]BC_ ĐG LX'!$C128&amp;'[1]BC_ ĐG LX'!U$3,[1]DATA!$AW:$AW,0)),"")</f>
        <v>9.02</v>
      </c>
      <c r="V128" s="19">
        <f>IFERROR(INDEX([1]DATA!$AH:$AH,MATCH('[1]BC_ ĐG LX'!$C128&amp;'[1]BC_ ĐG LX'!V$3,[1]DATA!$AW:$AW,0)),"")</f>
        <v>9.82</v>
      </c>
      <c r="W128" s="19">
        <f>IFERROR(INDEX([1]DATA!$AH:$AH,MATCH('[1]BC_ ĐG LX'!$C128&amp;'[1]BC_ ĐG LX'!W$3,[1]DATA!$AW:$AW,0)),"")</f>
        <v>9.82</v>
      </c>
      <c r="X128" s="19">
        <f>IFERROR(INDEX([1]DATA!$AH:$AH,MATCH('[1]BC_ ĐG LX'!$C128&amp;'[1]BC_ ĐG LX'!X$3,[1]DATA!$AW:$AW,0)),"")</f>
        <v>9.42</v>
      </c>
      <c r="Y128" s="19">
        <f>IFERROR(INDEX([1]DATA!$AH:$AH,MATCH('[1]BC_ ĐG LX'!$C128&amp;'[1]BC_ ĐG LX'!Y$3,[1]DATA!$AW:$AW,0)),"")</f>
        <v>9.82</v>
      </c>
      <c r="Z128" s="19">
        <f>IFERROR(INDEX([1]DATA!$AH:$AH,MATCH('[1]BC_ ĐG LX'!$C128&amp;'[1]BC_ ĐG LX'!Z$3,[1]DATA!$AW:$AW,0)),"")</f>
        <v>9.42</v>
      </c>
      <c r="AA128" s="19">
        <f>IFERROR(INDEX([1]DATA!$AH:$AH,MATCH('[1]BC_ ĐG LX'!$C128&amp;'[1]BC_ ĐG LX'!AA$3,[1]DATA!$AW:$AW,0)),"")</f>
        <v>9.82</v>
      </c>
      <c r="AB128" s="19">
        <f>IFERROR(INDEX([1]DATA!$AH:$AH,MATCH('[1]BC_ ĐG LX'!$C128&amp;'[1]BC_ ĐG LX'!AB$3,[1]DATA!$AW:$AW,0)),"")</f>
        <v>9.82</v>
      </c>
      <c r="AC128" s="19">
        <f>IFERROR(INDEX([1]DATA!$AH:$AH,MATCH('[1]BC_ ĐG LX'!$C128&amp;'[1]BC_ ĐG LX'!AC$3,[1]DATA!$AW:$AW,0)),"")</f>
        <v>9.82</v>
      </c>
      <c r="AD128" s="19">
        <f>IFERROR(INDEX([1]DATA!$AH:$AH,MATCH('[1]BC_ ĐG LX'!$C128&amp;'[1]BC_ ĐG LX'!AD$3,[1]DATA!$AW:$AW,0)),"")</f>
        <v>9.42</v>
      </c>
      <c r="AE128" s="19">
        <f>IFERROR(INDEX([1]DATA!$AH:$AH,MATCH('[1]BC_ ĐG LX'!$C128&amp;'[1]BC_ ĐG LX'!AE$3,[1]DATA!$AW:$AW,0)),"")</f>
        <v>9.82</v>
      </c>
      <c r="AF128" s="19" t="str">
        <f>IFERROR(INDEX([1]DATA!$AH:$AH,MATCH('[1]BC_ ĐG LX'!$C128&amp;'[1]BC_ ĐG LX'!AF$3,[1]DATA!$AW:$AW,0)),"")</f>
        <v/>
      </c>
      <c r="AG128" s="19" t="str">
        <f>IFERROR(INDEX([1]DATA!$AH:$AH,MATCH('[1]BC_ ĐG LX'!$C128&amp;'[1]BC_ ĐG LX'!AG$3,[1]DATA!$AW:$AW,0)),"")</f>
        <v/>
      </c>
      <c r="AH128" s="19" t="str">
        <f>IFERROR(INDEX([1]DATA!$AH:$AH,MATCH('[1]BC_ ĐG LX'!$C128&amp;'[1]BC_ ĐG LX'!AH$3,[1]DATA!$AW:$AW,0)),"")</f>
        <v/>
      </c>
      <c r="AI128" s="19" t="str">
        <f>IFERROR(INDEX([1]DATA!$AH:$AH,MATCH('[1]BC_ ĐG LX'!$C128&amp;'[1]BC_ ĐG LX'!AI$3,[1]DATA!$AW:$AW,0)),"")</f>
        <v/>
      </c>
      <c r="AJ128" s="19" t="str">
        <f>IFERROR(INDEX([1]DATA!$AH:$AH,MATCH('[1]BC_ ĐG LX'!$C128&amp;'[1]BC_ ĐG LX'!AJ$3,[1]DATA!$AW:$AW,0)),"")</f>
        <v/>
      </c>
      <c r="AK128" s="26">
        <f t="shared" si="7"/>
        <v>9.5</v>
      </c>
      <c r="AL128" s="21"/>
      <c r="AM128" s="22">
        <f t="shared" si="6"/>
        <v>25</v>
      </c>
      <c r="AN128" s="22" t="str">
        <f>_xlfn.XLOOKUP(B128,[1]DATA!AF:AF,[1]DATA!AX:AX)</f>
        <v>Nga</v>
      </c>
      <c r="AO128"/>
    </row>
    <row r="129" spans="1:41" s="22" customFormat="1" ht="14.25" customHeight="1">
      <c r="A129" s="16">
        <f>SUBTOTAL(3,$D$118:D129)</f>
        <v>12</v>
      </c>
      <c r="B129" s="16" t="str">
        <f>_xlfn.XLOOKUP(C129,[1]DATA!D:D,[1]DATA!AF:AF)</f>
        <v>XE00971</v>
      </c>
      <c r="C129" s="18" t="s">
        <v>154</v>
      </c>
      <c r="D129" s="16" t="s">
        <v>142</v>
      </c>
      <c r="E129" s="18" t="s">
        <v>17</v>
      </c>
      <c r="F129" s="18" t="s">
        <v>18</v>
      </c>
      <c r="G129" s="19">
        <f>IFERROR(INDEX([1]DATA!$AH:$AH,MATCH('[1]BC_ ĐG LX'!$C129&amp;'[1]BC_ ĐG LX'!G$3,[1]DATA!$AW:$AW,0)),"")</f>
        <v>9.64</v>
      </c>
      <c r="H129" s="19">
        <f>IFERROR(INDEX([1]DATA!$AH:$AH,MATCH('[1]BC_ ĐG LX'!$C129&amp;'[1]BC_ ĐG LX'!H$3,[1]DATA!$AW:$AW,0)),"")</f>
        <v>9.82</v>
      </c>
      <c r="I129" s="19">
        <f>IFERROR(INDEX([1]DATA!$AH:$AH,MATCH('[1]BC_ ĐG LX'!$C129&amp;'[1]BC_ ĐG LX'!I$3,[1]DATA!$AW:$AW,0)),"")</f>
        <v>9.42</v>
      </c>
      <c r="J129" s="19">
        <f>IFERROR(INDEX([1]DATA!$AH:$AH,MATCH('[1]BC_ ĐG LX'!$C129&amp;'[1]BC_ ĐG LX'!J$3,[1]DATA!$AW:$AW,0)),"")</f>
        <v>9.42</v>
      </c>
      <c r="K129" s="19">
        <f>IFERROR(INDEX([1]DATA!$AH:$AH,MATCH('[1]BC_ ĐG LX'!$C129&amp;'[1]BC_ ĐG LX'!K$3,[1]DATA!$AW:$AW,0)),"")</f>
        <v>9.42</v>
      </c>
      <c r="L129" s="19">
        <f>IFERROR(INDEX([1]DATA!$AH:$AH,MATCH('[1]BC_ ĐG LX'!$C129&amp;'[1]BC_ ĐG LX'!L$3,[1]DATA!$AW:$AW,0)),"")</f>
        <v>9.82</v>
      </c>
      <c r="M129" s="19">
        <f>IFERROR(INDEX([1]DATA!$AH:$AH,MATCH('[1]BC_ ĐG LX'!$C129&amp;'[1]BC_ ĐG LX'!M$3,[1]DATA!$AW:$AW,0)),"")</f>
        <v>9.42</v>
      </c>
      <c r="N129" s="19">
        <f>IFERROR(INDEX([1]DATA!$AH:$AH,MATCH('[1]BC_ ĐG LX'!$C129&amp;'[1]BC_ ĐG LX'!N$3,[1]DATA!$AW:$AW,0)),"")</f>
        <v>9.82</v>
      </c>
      <c r="O129" s="19">
        <f>IFERROR(INDEX([1]DATA!$AH:$AH,MATCH('[1]BC_ ĐG LX'!$C129&amp;'[1]BC_ ĐG LX'!O$3,[1]DATA!$AW:$AW,0)),"")</f>
        <v>9.42</v>
      </c>
      <c r="P129" s="19">
        <f>IFERROR(INDEX([1]DATA!$AH:$AH,MATCH('[1]BC_ ĐG LX'!$C129&amp;'[1]BC_ ĐG LX'!P$3,[1]DATA!$AW:$AW,0)),"")</f>
        <v>9.42</v>
      </c>
      <c r="Q129" s="19">
        <f>IFERROR(INDEX([1]DATA!$AH:$AH,MATCH('[1]BC_ ĐG LX'!$C129&amp;'[1]BC_ ĐG LX'!Q$3,[1]DATA!$AW:$AW,0)),"")</f>
        <v>8.84</v>
      </c>
      <c r="R129" s="19">
        <f>IFERROR(INDEX([1]DATA!$AH:$AH,MATCH('[1]BC_ ĐG LX'!$C129&amp;'[1]BC_ ĐG LX'!R$3,[1]DATA!$AW:$AW,0)),"")</f>
        <v>9.42</v>
      </c>
      <c r="S129" s="19">
        <f>IFERROR(INDEX([1]DATA!$AH:$AH,MATCH('[1]BC_ ĐG LX'!$C129&amp;'[1]BC_ ĐG LX'!S$3,[1]DATA!$AW:$AW,0)),"")</f>
        <v>8.84</v>
      </c>
      <c r="T129" s="19">
        <f>IFERROR(INDEX([1]DATA!$AH:$AH,MATCH('[1]BC_ ĐG LX'!$C129&amp;'[1]BC_ ĐG LX'!T$3,[1]DATA!$AW:$AW,0)),"")</f>
        <v>9.82</v>
      </c>
      <c r="U129" s="19">
        <f>IFERROR(INDEX([1]DATA!$AH:$AH,MATCH('[1]BC_ ĐG LX'!$C129&amp;'[1]BC_ ĐG LX'!U$3,[1]DATA!$AW:$AW,0)),"")</f>
        <v>9.42</v>
      </c>
      <c r="V129" s="19">
        <f>IFERROR(INDEX([1]DATA!$AH:$AH,MATCH('[1]BC_ ĐG LX'!$C129&amp;'[1]BC_ ĐG LX'!V$3,[1]DATA!$AW:$AW,0)),"")</f>
        <v>8.0399999999999991</v>
      </c>
      <c r="W129" s="19">
        <f>IFERROR(INDEX([1]DATA!$AH:$AH,MATCH('[1]BC_ ĐG LX'!$C129&amp;'[1]BC_ ĐG LX'!W$3,[1]DATA!$AW:$AW,0)),"")</f>
        <v>9.42</v>
      </c>
      <c r="X129" s="19">
        <f>IFERROR(INDEX([1]DATA!$AH:$AH,MATCH('[1]BC_ ĐG LX'!$C129&amp;'[1]BC_ ĐG LX'!X$3,[1]DATA!$AW:$AW,0)),"")</f>
        <v>9.42</v>
      </c>
      <c r="Y129" s="19">
        <f>IFERROR(INDEX([1]DATA!$AH:$AH,MATCH('[1]BC_ ĐG LX'!$C129&amp;'[1]BC_ ĐG LX'!Y$3,[1]DATA!$AW:$AW,0)),"")</f>
        <v>9.82</v>
      </c>
      <c r="Z129" s="19">
        <f>IFERROR(INDEX([1]DATA!$AH:$AH,MATCH('[1]BC_ ĐG LX'!$C129&amp;'[1]BC_ ĐG LX'!Z$3,[1]DATA!$AW:$AW,0)),"")</f>
        <v>9.82</v>
      </c>
      <c r="AA129" s="19">
        <f>IFERROR(INDEX([1]DATA!$AH:$AH,MATCH('[1]BC_ ĐG LX'!$C129&amp;'[1]BC_ ĐG LX'!AA$3,[1]DATA!$AW:$AW,0)),"")</f>
        <v>9.42</v>
      </c>
      <c r="AB129" s="19">
        <f>IFERROR(INDEX([1]DATA!$AH:$AH,MATCH('[1]BC_ ĐG LX'!$C129&amp;'[1]BC_ ĐG LX'!AB$3,[1]DATA!$AW:$AW,0)),"")</f>
        <v>5.8199999999999994</v>
      </c>
      <c r="AC129" s="19">
        <f>IFERROR(INDEX([1]DATA!$AH:$AH,MATCH('[1]BC_ ĐG LX'!$C129&amp;'[1]BC_ ĐG LX'!AC$3,[1]DATA!$AW:$AW,0)),"")</f>
        <v>9.82</v>
      </c>
      <c r="AD129" s="19">
        <f>IFERROR(INDEX([1]DATA!$AH:$AH,MATCH('[1]BC_ ĐG LX'!$C129&amp;'[1]BC_ ĐG LX'!AD$3,[1]DATA!$AW:$AW,0)),"")</f>
        <v>8.84</v>
      </c>
      <c r="AE129" s="19">
        <f>IFERROR(INDEX([1]DATA!$AH:$AH,MATCH('[1]BC_ ĐG LX'!$C129&amp;'[1]BC_ ĐG LX'!AE$3,[1]DATA!$AW:$AW,0)),"")</f>
        <v>9.42</v>
      </c>
      <c r="AF129" s="19" t="str">
        <f>IFERROR(INDEX([1]DATA!$AH:$AH,MATCH('[1]BC_ ĐG LX'!$C129&amp;'[1]BC_ ĐG LX'!AF$3,[1]DATA!$AW:$AW,0)),"")</f>
        <v/>
      </c>
      <c r="AG129" s="19" t="str">
        <f>IFERROR(INDEX([1]DATA!$AH:$AH,MATCH('[1]BC_ ĐG LX'!$C129&amp;'[1]BC_ ĐG LX'!AG$3,[1]DATA!$AW:$AW,0)),"")</f>
        <v/>
      </c>
      <c r="AH129" s="19" t="str">
        <f>IFERROR(INDEX([1]DATA!$AH:$AH,MATCH('[1]BC_ ĐG LX'!$C129&amp;'[1]BC_ ĐG LX'!AH$3,[1]DATA!$AW:$AW,0)),"")</f>
        <v/>
      </c>
      <c r="AI129" s="19" t="str">
        <f>IFERROR(INDEX([1]DATA!$AH:$AH,MATCH('[1]BC_ ĐG LX'!$C129&amp;'[1]BC_ ĐG LX'!AI$3,[1]DATA!$AW:$AW,0)),"")</f>
        <v/>
      </c>
      <c r="AJ129" s="19" t="str">
        <f>IFERROR(INDEX([1]DATA!$AH:$AH,MATCH('[1]BC_ ĐG LX'!$C129&amp;'[1]BC_ ĐG LX'!AJ$3,[1]DATA!$AW:$AW,0)),"")</f>
        <v/>
      </c>
      <c r="AK129" s="26">
        <f t="shared" si="7"/>
        <v>9.2999999999999989</v>
      </c>
      <c r="AL129" s="21"/>
      <c r="AM129" s="22">
        <f t="shared" si="6"/>
        <v>25</v>
      </c>
      <c r="AN129" s="22" t="str">
        <f>_xlfn.XLOOKUP(B129,[1]DATA!AF:AF,[1]DATA!AX:AX)</f>
        <v>Nga</v>
      </c>
      <c r="AO129"/>
    </row>
    <row r="130" spans="1:41" s="22" customFormat="1" ht="14.25" customHeight="1">
      <c r="A130" s="16">
        <f>SUBTOTAL(3,$D$118:D130)</f>
        <v>13</v>
      </c>
      <c r="B130" s="16" t="str">
        <f>_xlfn.XLOOKUP(C130,[1]DATA!D:D,[1]DATA!AF:AF)</f>
        <v>XE01036</v>
      </c>
      <c r="C130" s="18" t="s">
        <v>155</v>
      </c>
      <c r="D130" s="16" t="s">
        <v>142</v>
      </c>
      <c r="E130" s="18" t="s">
        <v>17</v>
      </c>
      <c r="F130" s="18" t="s">
        <v>18</v>
      </c>
      <c r="G130" s="19">
        <f>IFERROR(INDEX([1]DATA!$AH:$AH,MATCH('[1]BC_ ĐG LX'!$C130&amp;'[1]BC_ ĐG LX'!G$3,[1]DATA!$AW:$AW,0)),"")</f>
        <v>9.82</v>
      </c>
      <c r="H130" s="19">
        <f>IFERROR(INDEX([1]DATA!$AH:$AH,MATCH('[1]BC_ ĐG LX'!$C130&amp;'[1]BC_ ĐG LX'!H$3,[1]DATA!$AW:$AW,0)),"")</f>
        <v>9.82</v>
      </c>
      <c r="I130" s="19">
        <f>IFERROR(INDEX([1]DATA!$AH:$AH,MATCH('[1]BC_ ĐG LX'!$C130&amp;'[1]BC_ ĐG LX'!I$3,[1]DATA!$AW:$AW,0)),"")</f>
        <v>9.42</v>
      </c>
      <c r="J130" s="19">
        <f>IFERROR(INDEX([1]DATA!$AH:$AH,MATCH('[1]BC_ ĐG LX'!$C130&amp;'[1]BC_ ĐG LX'!J$3,[1]DATA!$AW:$AW,0)),"")</f>
        <v>9.82</v>
      </c>
      <c r="K130" s="19">
        <f>IFERROR(INDEX([1]DATA!$AH:$AH,MATCH('[1]BC_ ĐG LX'!$C130&amp;'[1]BC_ ĐG LX'!K$3,[1]DATA!$AW:$AW,0)),"")</f>
        <v>9.82</v>
      </c>
      <c r="L130" s="19">
        <f>IFERROR(INDEX([1]DATA!$AH:$AH,MATCH('[1]BC_ ĐG LX'!$C130&amp;'[1]BC_ ĐG LX'!L$3,[1]DATA!$AW:$AW,0)),"")</f>
        <v>9.82</v>
      </c>
      <c r="M130" s="19">
        <f>IFERROR(INDEX([1]DATA!$AH:$AH,MATCH('[1]BC_ ĐG LX'!$C130&amp;'[1]BC_ ĐG LX'!M$3,[1]DATA!$AW:$AW,0)),"")</f>
        <v>9.42</v>
      </c>
      <c r="N130" s="19">
        <f>IFERROR(INDEX([1]DATA!$AH:$AH,MATCH('[1]BC_ ĐG LX'!$C130&amp;'[1]BC_ ĐG LX'!N$3,[1]DATA!$AW:$AW,0)),"")</f>
        <v>8.6199999999999992</v>
      </c>
      <c r="O130" s="19">
        <f>IFERROR(INDEX([1]DATA!$AH:$AH,MATCH('[1]BC_ ĐG LX'!$C130&amp;'[1]BC_ ĐG LX'!O$3,[1]DATA!$AW:$AW,0)),"")</f>
        <v>9.82</v>
      </c>
      <c r="P130" s="19">
        <f>IFERROR(INDEX([1]DATA!$AH:$AH,MATCH('[1]BC_ ĐG LX'!$C130&amp;'[1]BC_ ĐG LX'!P$3,[1]DATA!$AW:$AW,0)),"")</f>
        <v>8.84</v>
      </c>
      <c r="Q130" s="19">
        <f>IFERROR(INDEX([1]DATA!$AH:$AH,MATCH('[1]BC_ ĐG LX'!$C130&amp;'[1]BC_ ĐG LX'!Q$3,[1]DATA!$AW:$AW,0)),"")</f>
        <v>8.2200000000000006</v>
      </c>
      <c r="R130" s="19">
        <f>IFERROR(INDEX([1]DATA!$AH:$AH,MATCH('[1]BC_ ĐG LX'!$C130&amp;'[1]BC_ ĐG LX'!R$3,[1]DATA!$AW:$AW,0)),"")</f>
        <v>9.82</v>
      </c>
      <c r="S130" s="19">
        <f>IFERROR(INDEX([1]DATA!$AH:$AH,MATCH('[1]BC_ ĐG LX'!$C130&amp;'[1]BC_ ĐG LX'!S$3,[1]DATA!$AW:$AW,0)),"")</f>
        <v>9.02</v>
      </c>
      <c r="T130" s="19">
        <f>IFERROR(INDEX([1]DATA!$AH:$AH,MATCH('[1]BC_ ĐG LX'!$C130&amp;'[1]BC_ ĐG LX'!T$3,[1]DATA!$AW:$AW,0)),"")</f>
        <v>9.82</v>
      </c>
      <c r="U130" s="19">
        <f>IFERROR(INDEX([1]DATA!$AH:$AH,MATCH('[1]BC_ ĐG LX'!$C130&amp;'[1]BC_ ĐG LX'!U$3,[1]DATA!$AW:$AW,0)),"")</f>
        <v>9.82</v>
      </c>
      <c r="V130" s="19">
        <f>IFERROR(INDEX([1]DATA!$AH:$AH,MATCH('[1]BC_ ĐG LX'!$C130&amp;'[1]BC_ ĐG LX'!V$3,[1]DATA!$AW:$AW,0)),"")</f>
        <v>9.42</v>
      </c>
      <c r="W130" s="19">
        <f>IFERROR(INDEX([1]DATA!$AH:$AH,MATCH('[1]BC_ ĐG LX'!$C130&amp;'[1]BC_ ĐG LX'!W$3,[1]DATA!$AW:$AW,0)),"")</f>
        <v>9.82</v>
      </c>
      <c r="X130" s="19">
        <f>IFERROR(INDEX([1]DATA!$AH:$AH,MATCH('[1]BC_ ĐG LX'!$C130&amp;'[1]BC_ ĐG LX'!X$3,[1]DATA!$AW:$AW,0)),"")</f>
        <v>9.42</v>
      </c>
      <c r="Y130" s="19">
        <f>IFERROR(INDEX([1]DATA!$AH:$AH,MATCH('[1]BC_ ĐG LX'!$C130&amp;'[1]BC_ ĐG LX'!Y$3,[1]DATA!$AW:$AW,0)),"")</f>
        <v>9.24</v>
      </c>
      <c r="Z130" s="19">
        <f>IFERROR(INDEX([1]DATA!$AH:$AH,MATCH('[1]BC_ ĐG LX'!$C130&amp;'[1]BC_ ĐG LX'!Z$3,[1]DATA!$AW:$AW,0)),"")</f>
        <v>9.6199999999999992</v>
      </c>
      <c r="AA130" s="19">
        <f>IFERROR(INDEX([1]DATA!$AH:$AH,MATCH('[1]BC_ ĐG LX'!$C130&amp;'[1]BC_ ĐG LX'!AA$3,[1]DATA!$AW:$AW,0)),"")</f>
        <v>9.42</v>
      </c>
      <c r="AB130" s="19">
        <f>IFERROR(INDEX([1]DATA!$AH:$AH,MATCH('[1]BC_ ĐG LX'!$C130&amp;'[1]BC_ ĐG LX'!AB$3,[1]DATA!$AW:$AW,0)),"")</f>
        <v>9.42</v>
      </c>
      <c r="AC130" s="19">
        <f>IFERROR(INDEX([1]DATA!$AH:$AH,MATCH('[1]BC_ ĐG LX'!$C130&amp;'[1]BC_ ĐG LX'!AC$3,[1]DATA!$AW:$AW,0)),"")</f>
        <v>9.6199999999999992</v>
      </c>
      <c r="AD130" s="19">
        <f>IFERROR(INDEX([1]DATA!$AH:$AH,MATCH('[1]BC_ ĐG LX'!$C130&amp;'[1]BC_ ĐG LX'!AD$3,[1]DATA!$AW:$AW,0)),"")</f>
        <v>9.02</v>
      </c>
      <c r="AE130" s="19">
        <f>IFERROR(INDEX([1]DATA!$AH:$AH,MATCH('[1]BC_ ĐG LX'!$C130&amp;'[1]BC_ ĐG LX'!AE$3,[1]DATA!$AW:$AW,0)),"")</f>
        <v>9.82</v>
      </c>
      <c r="AF130" s="19" t="str">
        <f>IFERROR(INDEX([1]DATA!$AH:$AH,MATCH('[1]BC_ ĐG LX'!$C130&amp;'[1]BC_ ĐG LX'!AF$3,[1]DATA!$AW:$AW,0)),"")</f>
        <v/>
      </c>
      <c r="AG130" s="19" t="str">
        <f>IFERROR(INDEX([1]DATA!$AH:$AH,MATCH('[1]BC_ ĐG LX'!$C130&amp;'[1]BC_ ĐG LX'!AG$3,[1]DATA!$AW:$AW,0)),"")</f>
        <v/>
      </c>
      <c r="AH130" s="19" t="str">
        <f>IFERROR(INDEX([1]DATA!$AH:$AH,MATCH('[1]BC_ ĐG LX'!$C130&amp;'[1]BC_ ĐG LX'!AH$3,[1]DATA!$AW:$AW,0)),"")</f>
        <v/>
      </c>
      <c r="AI130" s="19" t="str">
        <f>IFERROR(INDEX([1]DATA!$AH:$AH,MATCH('[1]BC_ ĐG LX'!$C130&amp;'[1]BC_ ĐG LX'!AI$3,[1]DATA!$AW:$AW,0)),"")</f>
        <v/>
      </c>
      <c r="AJ130" s="19" t="str">
        <f>IFERROR(INDEX([1]DATA!$AH:$AH,MATCH('[1]BC_ ĐG LX'!$C130&amp;'[1]BC_ ĐG LX'!AJ$3,[1]DATA!$AW:$AW,0)),"")</f>
        <v/>
      </c>
      <c r="AK130" s="26">
        <f t="shared" si="7"/>
        <v>9.5</v>
      </c>
      <c r="AL130" s="21"/>
      <c r="AM130" s="22">
        <f t="shared" si="6"/>
        <v>25</v>
      </c>
      <c r="AN130" s="22" t="str">
        <f>_xlfn.XLOOKUP(B130,[1]DATA!AF:AF,[1]DATA!AX:AX)</f>
        <v>Nga</v>
      </c>
      <c r="AO130"/>
    </row>
    <row r="131" spans="1:41" s="22" customFormat="1" ht="14.25" customHeight="1">
      <c r="A131" s="16">
        <f>SUBTOTAL(3,$D$118:D131)</f>
        <v>14</v>
      </c>
      <c r="B131" s="16" t="str">
        <f>_xlfn.XLOOKUP(C131,[1]DATA!D:D,[1]DATA!AF:AF)</f>
        <v>XE01168</v>
      </c>
      <c r="C131" s="18" t="s">
        <v>156</v>
      </c>
      <c r="D131" s="16" t="s">
        <v>142</v>
      </c>
      <c r="E131" s="18" t="s">
        <v>17</v>
      </c>
      <c r="F131" s="18" t="s">
        <v>18</v>
      </c>
      <c r="G131" s="19">
        <f>IFERROR(INDEX([1]DATA!$AH:$AH,MATCH('[1]BC_ ĐG LX'!$C131&amp;'[1]BC_ ĐG LX'!G$3,[1]DATA!$AW:$AW,0)),"")</f>
        <v>9.42</v>
      </c>
      <c r="H131" s="19">
        <f>IFERROR(INDEX([1]DATA!$AH:$AH,MATCH('[1]BC_ ĐG LX'!$C131&amp;'[1]BC_ ĐG LX'!H$3,[1]DATA!$AW:$AW,0)),"")</f>
        <v>9.82</v>
      </c>
      <c r="I131" s="19">
        <f>IFERROR(INDEX([1]DATA!$AH:$AH,MATCH('[1]BC_ ĐG LX'!$C131&amp;'[1]BC_ ĐG LX'!I$3,[1]DATA!$AW:$AW,0)),"")</f>
        <v>9.82</v>
      </c>
      <c r="J131" s="19">
        <f>IFERROR(INDEX([1]DATA!$AH:$AH,MATCH('[1]BC_ ĐG LX'!$C131&amp;'[1]BC_ ĐG LX'!J$3,[1]DATA!$AW:$AW,0)),"")</f>
        <v>9.82</v>
      </c>
      <c r="K131" s="19">
        <f>IFERROR(INDEX([1]DATA!$AH:$AH,MATCH('[1]BC_ ĐG LX'!$C131&amp;'[1]BC_ ĐG LX'!K$3,[1]DATA!$AW:$AW,0)),"")</f>
        <v>9.82</v>
      </c>
      <c r="L131" s="19">
        <f>IFERROR(INDEX([1]DATA!$AH:$AH,MATCH('[1]BC_ ĐG LX'!$C131&amp;'[1]BC_ ĐG LX'!L$3,[1]DATA!$AW:$AW,0)),"")</f>
        <v>9.82</v>
      </c>
      <c r="M131" s="19">
        <f>IFERROR(INDEX([1]DATA!$AH:$AH,MATCH('[1]BC_ ĐG LX'!$C131&amp;'[1]BC_ ĐG LX'!M$3,[1]DATA!$AW:$AW,0)),"")</f>
        <v>9.42</v>
      </c>
      <c r="N131" s="19">
        <f>IFERROR(INDEX([1]DATA!$AH:$AH,MATCH('[1]BC_ ĐG LX'!$C131&amp;'[1]BC_ ĐG LX'!N$3,[1]DATA!$AW:$AW,0)),"")</f>
        <v>9.82</v>
      </c>
      <c r="O131" s="19">
        <f>IFERROR(INDEX([1]DATA!$AH:$AH,MATCH('[1]BC_ ĐG LX'!$C131&amp;'[1]BC_ ĐG LX'!O$3,[1]DATA!$AW:$AW,0)),"")</f>
        <v>9.42</v>
      </c>
      <c r="P131" s="19">
        <f>IFERROR(INDEX([1]DATA!$AH:$AH,MATCH('[1]BC_ ĐG LX'!$C131&amp;'[1]BC_ ĐG LX'!P$3,[1]DATA!$AW:$AW,0)),"")</f>
        <v>9.42</v>
      </c>
      <c r="Q131" s="19">
        <f>IFERROR(INDEX([1]DATA!$AH:$AH,MATCH('[1]BC_ ĐG LX'!$C131&amp;'[1]BC_ ĐG LX'!Q$3,[1]DATA!$AW:$AW,0)),"")</f>
        <v>9.42</v>
      </c>
      <c r="R131" s="19">
        <f>IFERROR(INDEX([1]DATA!$AH:$AH,MATCH('[1]BC_ ĐG LX'!$C131&amp;'[1]BC_ ĐG LX'!R$3,[1]DATA!$AW:$AW,0)),"")</f>
        <v>9.42</v>
      </c>
      <c r="S131" s="19">
        <f>IFERROR(INDEX([1]DATA!$AH:$AH,MATCH('[1]BC_ ĐG LX'!$C131&amp;'[1]BC_ ĐG LX'!S$3,[1]DATA!$AW:$AW,0)),"")</f>
        <v>9.82</v>
      </c>
      <c r="T131" s="19">
        <f>IFERROR(INDEX([1]DATA!$AH:$AH,MATCH('[1]BC_ ĐG LX'!$C131&amp;'[1]BC_ ĐG LX'!T$3,[1]DATA!$AW:$AW,0)),"")</f>
        <v>9.6199999999999992</v>
      </c>
      <c r="U131" s="19">
        <f>IFERROR(INDEX([1]DATA!$AH:$AH,MATCH('[1]BC_ ĐG LX'!$C131&amp;'[1]BC_ ĐG LX'!U$3,[1]DATA!$AW:$AW,0)),"")</f>
        <v>9.82</v>
      </c>
      <c r="V131" s="19">
        <f>IFERROR(INDEX([1]DATA!$AH:$AH,MATCH('[1]BC_ ĐG LX'!$C131&amp;'[1]BC_ ĐG LX'!V$3,[1]DATA!$AW:$AW,0)),"")</f>
        <v>9.82</v>
      </c>
      <c r="W131" s="19">
        <f>IFERROR(INDEX([1]DATA!$AH:$AH,MATCH('[1]BC_ ĐG LX'!$C131&amp;'[1]BC_ ĐG LX'!W$3,[1]DATA!$AW:$AW,0)),"")</f>
        <v>9.42</v>
      </c>
      <c r="X131" s="19">
        <f>IFERROR(INDEX([1]DATA!$AH:$AH,MATCH('[1]BC_ ĐG LX'!$C131&amp;'[1]BC_ ĐG LX'!X$3,[1]DATA!$AW:$AW,0)),"")</f>
        <v>9.42</v>
      </c>
      <c r="Y131" s="19">
        <f>IFERROR(INDEX([1]DATA!$AH:$AH,MATCH('[1]BC_ ĐG LX'!$C131&amp;'[1]BC_ ĐG LX'!Y$3,[1]DATA!$AW:$AW,0)),"")</f>
        <v>8.84</v>
      </c>
      <c r="Z131" s="19">
        <f>IFERROR(INDEX([1]DATA!$AH:$AH,MATCH('[1]BC_ ĐG LX'!$C131&amp;'[1]BC_ ĐG LX'!Z$3,[1]DATA!$AW:$AW,0)),"")</f>
        <v>9.82</v>
      </c>
      <c r="AA131" s="19">
        <f>IFERROR(INDEX([1]DATA!$AH:$AH,MATCH('[1]BC_ ĐG LX'!$C131&amp;'[1]BC_ ĐG LX'!AA$3,[1]DATA!$AW:$AW,0)),"")</f>
        <v>9.82</v>
      </c>
      <c r="AB131" s="19">
        <f>IFERROR(INDEX([1]DATA!$AH:$AH,MATCH('[1]BC_ ĐG LX'!$C131&amp;'[1]BC_ ĐG LX'!AB$3,[1]DATA!$AW:$AW,0)),"")</f>
        <v>9.42</v>
      </c>
      <c r="AC131" s="19">
        <f>IFERROR(INDEX([1]DATA!$AH:$AH,MATCH('[1]BC_ ĐG LX'!$C131&amp;'[1]BC_ ĐG LX'!AC$3,[1]DATA!$AW:$AW,0)),"")</f>
        <v>8.2200000000000006</v>
      </c>
      <c r="AD131" s="19">
        <f>IFERROR(INDEX([1]DATA!$AH:$AH,MATCH('[1]BC_ ĐG LX'!$C131&amp;'[1]BC_ ĐG LX'!AD$3,[1]DATA!$AW:$AW,0)),"")</f>
        <v>9.82</v>
      </c>
      <c r="AE131" s="19">
        <f>IFERROR(INDEX([1]DATA!$AH:$AH,MATCH('[1]BC_ ĐG LX'!$C131&amp;'[1]BC_ ĐG LX'!AE$3,[1]DATA!$AW:$AW,0)),"")</f>
        <v>9.6199999999999992</v>
      </c>
      <c r="AF131" s="19" t="str">
        <f>IFERROR(INDEX([1]DATA!$AH:$AH,MATCH('[1]BC_ ĐG LX'!$C131&amp;'[1]BC_ ĐG LX'!AF$3,[1]DATA!$AW:$AW,0)),"")</f>
        <v/>
      </c>
      <c r="AG131" s="19" t="str">
        <f>IFERROR(INDEX([1]DATA!$AH:$AH,MATCH('[1]BC_ ĐG LX'!$C131&amp;'[1]BC_ ĐG LX'!AG$3,[1]DATA!$AW:$AW,0)),"")</f>
        <v/>
      </c>
      <c r="AH131" s="19" t="str">
        <f>IFERROR(INDEX([1]DATA!$AH:$AH,MATCH('[1]BC_ ĐG LX'!$C131&amp;'[1]BC_ ĐG LX'!AH$3,[1]DATA!$AW:$AW,0)),"")</f>
        <v/>
      </c>
      <c r="AI131" s="19" t="str">
        <f>IFERROR(INDEX([1]DATA!$AH:$AH,MATCH('[1]BC_ ĐG LX'!$C131&amp;'[1]BC_ ĐG LX'!AI$3,[1]DATA!$AW:$AW,0)),"")</f>
        <v/>
      </c>
      <c r="AJ131" s="19" t="str">
        <f>IFERROR(INDEX([1]DATA!$AH:$AH,MATCH('[1]BC_ ĐG LX'!$C131&amp;'[1]BC_ ĐG LX'!AJ$3,[1]DATA!$AW:$AW,0)),"")</f>
        <v/>
      </c>
      <c r="AK131" s="26">
        <f t="shared" si="7"/>
        <v>9.6</v>
      </c>
      <c r="AL131" s="21"/>
      <c r="AM131" s="22">
        <f t="shared" si="6"/>
        <v>25</v>
      </c>
      <c r="AN131" s="22" t="str">
        <f>_xlfn.XLOOKUP(B131,[1]DATA!AF:AF,[1]DATA!AX:AX)</f>
        <v>Nga</v>
      </c>
      <c r="AO131"/>
    </row>
    <row r="132" spans="1:41" s="22" customFormat="1" ht="14.25" customHeight="1">
      <c r="A132" s="16">
        <f>SUBTOTAL(3,$D$118:D132)</f>
        <v>15</v>
      </c>
      <c r="B132" s="16" t="str">
        <f>_xlfn.XLOOKUP(C132,[1]DATA!D:D,[1]DATA!AF:AF)</f>
        <v>XE01188</v>
      </c>
      <c r="C132" s="18" t="s">
        <v>157</v>
      </c>
      <c r="D132" s="16" t="s">
        <v>142</v>
      </c>
      <c r="E132" s="18" t="s">
        <v>17</v>
      </c>
      <c r="F132" s="18" t="s">
        <v>18</v>
      </c>
      <c r="G132" s="19">
        <f>IFERROR(INDEX([1]DATA!$AH:$AH,MATCH('[1]BC_ ĐG LX'!$C132&amp;'[1]BC_ ĐG LX'!G$3,[1]DATA!$AW:$AW,0)),"")</f>
        <v>9.82</v>
      </c>
      <c r="H132" s="19">
        <f>IFERROR(INDEX([1]DATA!$AH:$AH,MATCH('[1]BC_ ĐG LX'!$C132&amp;'[1]BC_ ĐG LX'!H$3,[1]DATA!$AW:$AW,0)),"")</f>
        <v>9.82</v>
      </c>
      <c r="I132" s="19">
        <f>IFERROR(INDEX([1]DATA!$AH:$AH,MATCH('[1]BC_ ĐG LX'!$C132&amp;'[1]BC_ ĐG LX'!I$3,[1]DATA!$AW:$AW,0)),"")</f>
        <v>9.42</v>
      </c>
      <c r="J132" s="19">
        <f>IFERROR(INDEX([1]DATA!$AH:$AH,MATCH('[1]BC_ ĐG LX'!$C132&amp;'[1]BC_ ĐG LX'!J$3,[1]DATA!$AW:$AW,0)),"")</f>
        <v>9.42</v>
      </c>
      <c r="K132" s="19">
        <f>IFERROR(INDEX([1]DATA!$AH:$AH,MATCH('[1]BC_ ĐG LX'!$C132&amp;'[1]BC_ ĐG LX'!K$3,[1]DATA!$AW:$AW,0)),"")</f>
        <v>8.84</v>
      </c>
      <c r="L132" s="19">
        <f>IFERROR(INDEX([1]DATA!$AH:$AH,MATCH('[1]BC_ ĐG LX'!$C132&amp;'[1]BC_ ĐG LX'!L$3,[1]DATA!$AW:$AW,0)),"")</f>
        <v>9.7799999999999994</v>
      </c>
      <c r="M132" s="19">
        <f>IFERROR(INDEX([1]DATA!$AH:$AH,MATCH('[1]BC_ ĐG LX'!$C132&amp;'[1]BC_ ĐG LX'!M$3,[1]DATA!$AW:$AW,0)),"")</f>
        <v>8.6199999999999992</v>
      </c>
      <c r="N132" s="19">
        <f>IFERROR(INDEX([1]DATA!$AH:$AH,MATCH('[1]BC_ ĐG LX'!$C132&amp;'[1]BC_ ĐG LX'!N$3,[1]DATA!$AW:$AW,0)),"")</f>
        <v>9.42</v>
      </c>
      <c r="O132" s="19">
        <f>IFERROR(INDEX([1]DATA!$AH:$AH,MATCH('[1]BC_ ĐG LX'!$C132&amp;'[1]BC_ ĐG LX'!O$3,[1]DATA!$AW:$AW,0)),"")</f>
        <v>8.2200000000000006</v>
      </c>
      <c r="P132" s="19">
        <f>IFERROR(INDEX([1]DATA!$AH:$AH,MATCH('[1]BC_ ĐG LX'!$C132&amp;'[1]BC_ ĐG LX'!P$3,[1]DATA!$AW:$AW,0)),"")</f>
        <v>9.82</v>
      </c>
      <c r="Q132" s="19">
        <f>IFERROR(INDEX([1]DATA!$AH:$AH,MATCH('[1]BC_ ĐG LX'!$C132&amp;'[1]BC_ ĐG LX'!Q$3,[1]DATA!$AW:$AW,0)),"")</f>
        <v>9.82</v>
      </c>
      <c r="R132" s="19">
        <f>IFERROR(INDEX([1]DATA!$AH:$AH,MATCH('[1]BC_ ĐG LX'!$C132&amp;'[1]BC_ ĐG LX'!R$3,[1]DATA!$AW:$AW,0)),"")</f>
        <v>9.42</v>
      </c>
      <c r="S132" s="19">
        <f>IFERROR(INDEX([1]DATA!$AH:$AH,MATCH('[1]BC_ ĐG LX'!$C132&amp;'[1]BC_ ĐG LX'!S$3,[1]DATA!$AW:$AW,0)),"")</f>
        <v>7.24</v>
      </c>
      <c r="T132" s="19">
        <f>IFERROR(INDEX([1]DATA!$AH:$AH,MATCH('[1]BC_ ĐG LX'!$C132&amp;'[1]BC_ ĐG LX'!T$3,[1]DATA!$AW:$AW,0)),"")</f>
        <v>9.82</v>
      </c>
      <c r="U132" s="19">
        <f>IFERROR(INDEX([1]DATA!$AH:$AH,MATCH('[1]BC_ ĐG LX'!$C132&amp;'[1]BC_ ĐG LX'!U$3,[1]DATA!$AW:$AW,0)),"")</f>
        <v>9.42</v>
      </c>
      <c r="V132" s="19">
        <f>IFERROR(INDEX([1]DATA!$AH:$AH,MATCH('[1]BC_ ĐG LX'!$C132&amp;'[1]BC_ ĐG LX'!V$3,[1]DATA!$AW:$AW,0)),"")</f>
        <v>9.02</v>
      </c>
      <c r="W132" s="19">
        <f>IFERROR(INDEX([1]DATA!$AH:$AH,MATCH('[1]BC_ ĐG LX'!$C132&amp;'[1]BC_ ĐG LX'!W$3,[1]DATA!$AW:$AW,0)),"")</f>
        <v>9.02</v>
      </c>
      <c r="X132" s="19">
        <f>IFERROR(INDEX([1]DATA!$AH:$AH,MATCH('[1]BC_ ĐG LX'!$C132&amp;'[1]BC_ ĐG LX'!X$3,[1]DATA!$AW:$AW,0)),"")</f>
        <v>8.84</v>
      </c>
      <c r="Y132" s="19">
        <f>IFERROR(INDEX([1]DATA!$AH:$AH,MATCH('[1]BC_ ĐG LX'!$C132&amp;'[1]BC_ ĐG LX'!Y$3,[1]DATA!$AW:$AW,0)),"")</f>
        <v>9.2199999999999989</v>
      </c>
      <c r="Z132" s="19">
        <f>IFERROR(INDEX([1]DATA!$AH:$AH,MATCH('[1]BC_ ĐG LX'!$C132&amp;'[1]BC_ ĐG LX'!Z$3,[1]DATA!$AW:$AW,0)),"")</f>
        <v>9.82</v>
      </c>
      <c r="AA132" s="19">
        <f>IFERROR(INDEX([1]DATA!$AH:$AH,MATCH('[1]BC_ ĐG LX'!$C132&amp;'[1]BC_ ĐG LX'!AA$3,[1]DATA!$AW:$AW,0)),"")</f>
        <v>9.82</v>
      </c>
      <c r="AB132" s="19">
        <f>IFERROR(INDEX([1]DATA!$AH:$AH,MATCH('[1]BC_ ĐG LX'!$C132&amp;'[1]BC_ ĐG LX'!AB$3,[1]DATA!$AW:$AW,0)),"")</f>
        <v>9.82</v>
      </c>
      <c r="AC132" s="19">
        <f>IFERROR(INDEX([1]DATA!$AH:$AH,MATCH('[1]BC_ ĐG LX'!$C132&amp;'[1]BC_ ĐG LX'!AC$3,[1]DATA!$AW:$AW,0)),"")</f>
        <v>9.82</v>
      </c>
      <c r="AD132" s="19">
        <f>IFERROR(INDEX([1]DATA!$AH:$AH,MATCH('[1]BC_ ĐG LX'!$C132&amp;'[1]BC_ ĐG LX'!AD$3,[1]DATA!$AW:$AW,0)),"")</f>
        <v>9.82</v>
      </c>
      <c r="AE132" s="19">
        <f>IFERROR(INDEX([1]DATA!$AH:$AH,MATCH('[1]BC_ ĐG LX'!$C132&amp;'[1]BC_ ĐG LX'!AE$3,[1]DATA!$AW:$AW,0)),"")</f>
        <v>8.84</v>
      </c>
      <c r="AF132" s="19" t="str">
        <f>IFERROR(INDEX([1]DATA!$AH:$AH,MATCH('[1]BC_ ĐG LX'!$C132&amp;'[1]BC_ ĐG LX'!AF$3,[1]DATA!$AW:$AW,0)),"")</f>
        <v/>
      </c>
      <c r="AG132" s="19" t="str">
        <f>IFERROR(INDEX([1]DATA!$AH:$AH,MATCH('[1]BC_ ĐG LX'!$C132&amp;'[1]BC_ ĐG LX'!AG$3,[1]DATA!$AW:$AW,0)),"")</f>
        <v/>
      </c>
      <c r="AH132" s="19" t="str">
        <f>IFERROR(INDEX([1]DATA!$AH:$AH,MATCH('[1]BC_ ĐG LX'!$C132&amp;'[1]BC_ ĐG LX'!AH$3,[1]DATA!$AW:$AW,0)),"")</f>
        <v/>
      </c>
      <c r="AI132" s="19" t="str">
        <f>IFERROR(INDEX([1]DATA!$AH:$AH,MATCH('[1]BC_ ĐG LX'!$C132&amp;'[1]BC_ ĐG LX'!AI$3,[1]DATA!$AW:$AW,0)),"")</f>
        <v/>
      </c>
      <c r="AJ132" s="19" t="str">
        <f>IFERROR(INDEX([1]DATA!$AH:$AH,MATCH('[1]BC_ ĐG LX'!$C132&amp;'[1]BC_ ĐG LX'!AJ$3,[1]DATA!$AW:$AW,0)),"")</f>
        <v/>
      </c>
      <c r="AK132" s="26">
        <f t="shared" si="7"/>
        <v>9.4</v>
      </c>
      <c r="AL132" s="21"/>
      <c r="AN132" s="22" t="str">
        <f>_xlfn.XLOOKUP(B132,[1]DATA!AF:AF,[1]DATA!AX:AX)</f>
        <v>Nga</v>
      </c>
      <c r="AO132"/>
    </row>
    <row r="133" spans="1:41" s="22" customFormat="1" ht="14.25" customHeight="1">
      <c r="A133" s="16"/>
      <c r="B133" s="16"/>
      <c r="C133" s="18"/>
      <c r="D133" s="16"/>
      <c r="E133" s="18"/>
      <c r="F133" s="18"/>
      <c r="G133" s="19" t="str">
        <f>IFERROR(INDEX([1]DATA!$AH:$AH,MATCH('[1]BC_ ĐG LX'!$C133&amp;'[1]BC_ ĐG LX'!G$3,[1]DATA!$AW:$AW,0)),"")</f>
        <v/>
      </c>
      <c r="H133" s="19" t="str">
        <f>IFERROR(INDEX([1]DATA!$AH:$AH,MATCH('[1]BC_ ĐG LX'!$C133&amp;'[1]BC_ ĐG LX'!H$3,[1]DATA!$AW:$AW,0)),"")</f>
        <v/>
      </c>
      <c r="I133" s="19" t="str">
        <f>IFERROR(INDEX([1]DATA!$AH:$AH,MATCH('[1]BC_ ĐG LX'!$C133&amp;'[1]BC_ ĐG LX'!I$3,[1]DATA!$AW:$AW,0)),"")</f>
        <v/>
      </c>
      <c r="J133" s="19" t="str">
        <f>IFERROR(INDEX([1]DATA!$AH:$AH,MATCH('[1]BC_ ĐG LX'!$C133&amp;'[1]BC_ ĐG LX'!J$3,[1]DATA!$AW:$AW,0)),"")</f>
        <v/>
      </c>
      <c r="K133" s="19" t="str">
        <f>IFERROR(INDEX([1]DATA!$AH:$AH,MATCH('[1]BC_ ĐG LX'!$C133&amp;'[1]BC_ ĐG LX'!K$3,[1]DATA!$AW:$AW,0)),"")</f>
        <v/>
      </c>
      <c r="L133" s="19" t="str">
        <f>IFERROR(INDEX([1]DATA!$AH:$AH,MATCH('[1]BC_ ĐG LX'!$C133&amp;'[1]BC_ ĐG LX'!L$3,[1]DATA!$AW:$AW,0)),"")</f>
        <v/>
      </c>
      <c r="M133" s="19" t="str">
        <f>IFERROR(INDEX([1]DATA!$AH:$AH,MATCH('[1]BC_ ĐG LX'!$C133&amp;'[1]BC_ ĐG LX'!M$3,[1]DATA!$AW:$AW,0)),"")</f>
        <v/>
      </c>
      <c r="N133" s="19" t="str">
        <f>IFERROR(INDEX([1]DATA!$AH:$AH,MATCH('[1]BC_ ĐG LX'!$C133&amp;'[1]BC_ ĐG LX'!N$3,[1]DATA!$AW:$AW,0)),"")</f>
        <v/>
      </c>
      <c r="O133" s="19" t="str">
        <f>IFERROR(INDEX([1]DATA!$AH:$AH,MATCH('[1]BC_ ĐG LX'!$C133&amp;'[1]BC_ ĐG LX'!O$3,[1]DATA!$AW:$AW,0)),"")</f>
        <v/>
      </c>
      <c r="P133" s="19" t="str">
        <f>IFERROR(INDEX([1]DATA!$AH:$AH,MATCH('[1]BC_ ĐG LX'!$C133&amp;'[1]BC_ ĐG LX'!P$3,[1]DATA!$AW:$AW,0)),"")</f>
        <v/>
      </c>
      <c r="Q133" s="19" t="str">
        <f>IFERROR(INDEX([1]DATA!$AH:$AH,MATCH('[1]BC_ ĐG LX'!$C133&amp;'[1]BC_ ĐG LX'!Q$3,[1]DATA!$AW:$AW,0)),"")</f>
        <v/>
      </c>
      <c r="R133" s="19" t="str">
        <f>IFERROR(INDEX([1]DATA!$AH:$AH,MATCH('[1]BC_ ĐG LX'!$C133&amp;'[1]BC_ ĐG LX'!R$3,[1]DATA!$AW:$AW,0)),"")</f>
        <v/>
      </c>
      <c r="S133" s="19" t="str">
        <f>IFERROR(INDEX([1]DATA!$AH:$AH,MATCH('[1]BC_ ĐG LX'!$C133&amp;'[1]BC_ ĐG LX'!S$3,[1]DATA!$AW:$AW,0)),"")</f>
        <v/>
      </c>
      <c r="T133" s="19" t="str">
        <f>IFERROR(INDEX([1]DATA!$AH:$AH,MATCH('[1]BC_ ĐG LX'!$C133&amp;'[1]BC_ ĐG LX'!T$3,[1]DATA!$AW:$AW,0)),"")</f>
        <v/>
      </c>
      <c r="U133" s="19" t="str">
        <f>IFERROR(INDEX([1]DATA!$AH:$AH,MATCH('[1]BC_ ĐG LX'!$C133&amp;'[1]BC_ ĐG LX'!U$3,[1]DATA!$AW:$AW,0)),"")</f>
        <v/>
      </c>
      <c r="V133" s="19" t="str">
        <f>IFERROR(INDEX([1]DATA!$AH:$AH,MATCH('[1]BC_ ĐG LX'!$C133&amp;'[1]BC_ ĐG LX'!V$3,[1]DATA!$AW:$AW,0)),"")</f>
        <v/>
      </c>
      <c r="W133" s="19" t="str">
        <f>IFERROR(INDEX([1]DATA!$AH:$AH,MATCH('[1]BC_ ĐG LX'!$C133&amp;'[1]BC_ ĐG LX'!W$3,[1]DATA!$AW:$AW,0)),"")</f>
        <v/>
      </c>
      <c r="X133" s="19" t="str">
        <f>IFERROR(INDEX([1]DATA!$AH:$AH,MATCH('[1]BC_ ĐG LX'!$C133&amp;'[1]BC_ ĐG LX'!X$3,[1]DATA!$AW:$AW,0)),"")</f>
        <v/>
      </c>
      <c r="Y133" s="19" t="str">
        <f>IFERROR(INDEX([1]DATA!$AH:$AH,MATCH('[1]BC_ ĐG LX'!$C133&amp;'[1]BC_ ĐG LX'!Y$3,[1]DATA!$AW:$AW,0)),"")</f>
        <v/>
      </c>
      <c r="Z133" s="19" t="str">
        <f>IFERROR(INDEX([1]DATA!$AH:$AH,MATCH('[1]BC_ ĐG LX'!$C133&amp;'[1]BC_ ĐG LX'!Z$3,[1]DATA!$AW:$AW,0)),"")</f>
        <v/>
      </c>
      <c r="AA133" s="19" t="str">
        <f>IFERROR(INDEX([1]DATA!$AH:$AH,MATCH('[1]BC_ ĐG LX'!$C133&amp;'[1]BC_ ĐG LX'!AA$3,[1]DATA!$AW:$AW,0)),"")</f>
        <v/>
      </c>
      <c r="AB133" s="19" t="str">
        <f>IFERROR(INDEX([1]DATA!$AH:$AH,MATCH('[1]BC_ ĐG LX'!$C133&amp;'[1]BC_ ĐG LX'!AB$3,[1]DATA!$AW:$AW,0)),"")</f>
        <v/>
      </c>
      <c r="AC133" s="19" t="str">
        <f>IFERROR(INDEX([1]DATA!$AH:$AH,MATCH('[1]BC_ ĐG LX'!$C133&amp;'[1]BC_ ĐG LX'!AC$3,[1]DATA!$AW:$AW,0)),"")</f>
        <v/>
      </c>
      <c r="AD133" s="19" t="str">
        <f>IFERROR(INDEX([1]DATA!$AH:$AH,MATCH('[1]BC_ ĐG LX'!$C133&amp;'[1]BC_ ĐG LX'!AD$3,[1]DATA!$AW:$AW,0)),"")</f>
        <v/>
      </c>
      <c r="AE133" s="19" t="str">
        <f>IFERROR(INDEX([1]DATA!$AH:$AH,MATCH('[1]BC_ ĐG LX'!$C133&amp;'[1]BC_ ĐG LX'!AE$3,[1]DATA!$AW:$AW,0)),"")</f>
        <v/>
      </c>
      <c r="AF133" s="19" t="str">
        <f>IFERROR(INDEX([1]DATA!$AH:$AH,MATCH('[1]BC_ ĐG LX'!$C133&amp;'[1]BC_ ĐG LX'!AF$3,[1]DATA!$AW:$AW,0)),"")</f>
        <v/>
      </c>
      <c r="AG133" s="19" t="str">
        <f>IFERROR(INDEX([1]DATA!$AH:$AH,MATCH('[1]BC_ ĐG LX'!$C133&amp;'[1]BC_ ĐG LX'!AG$3,[1]DATA!$AW:$AW,0)),"")</f>
        <v/>
      </c>
      <c r="AH133" s="19" t="str">
        <f>IFERROR(INDEX([1]DATA!$AH:$AH,MATCH('[1]BC_ ĐG LX'!$C133&amp;'[1]BC_ ĐG LX'!AH$3,[1]DATA!$AW:$AW,0)),"")</f>
        <v/>
      </c>
      <c r="AI133" s="19" t="str">
        <f>IFERROR(INDEX([1]DATA!$AH:$AH,MATCH('[1]BC_ ĐG LX'!$C133&amp;'[1]BC_ ĐG LX'!AI$3,[1]DATA!$AW:$AW,0)),"")</f>
        <v/>
      </c>
      <c r="AJ133" s="19" t="str">
        <f>IFERROR(INDEX([1]DATA!$AH:$AH,MATCH('[1]BC_ ĐG LX'!$C133&amp;'[1]BC_ ĐG LX'!AJ$3,[1]DATA!$AW:$AW,0)),"")</f>
        <v/>
      </c>
      <c r="AK133" s="26" t="str">
        <f t="shared" si="7"/>
        <v/>
      </c>
      <c r="AL133" s="21"/>
      <c r="AM133" s="22">
        <f t="shared" ref="AM133:AM169" si="8">COUNTIF((G133:AJ133),"&gt;"&amp;0)</f>
        <v>0</v>
      </c>
      <c r="AN133" s="22" t="str">
        <f>_xlfn.XLOOKUP(B133,[1]DATA!AF:AF,[1]DATA!AX:AX)</f>
        <v>Lương</v>
      </c>
      <c r="AO133"/>
    </row>
    <row r="134" spans="1:41" s="22" customFormat="1" ht="14.25" customHeight="1">
      <c r="A134" s="18"/>
      <c r="B134" s="16"/>
      <c r="C134" s="17" t="s">
        <v>158</v>
      </c>
      <c r="D134" s="16"/>
      <c r="E134" s="18"/>
      <c r="F134" s="18"/>
      <c r="G134" s="19" t="str">
        <f>IFERROR(INDEX([1]DATA!$AH:$AH,MATCH('[1]BC_ ĐG LX'!$C134&amp;'[1]BC_ ĐG LX'!G$3,[1]DATA!$AW:$AW,0)),"")</f>
        <v/>
      </c>
      <c r="H134" s="19" t="str">
        <f>IFERROR(INDEX([1]DATA!$AH:$AH,MATCH('[1]BC_ ĐG LX'!$C134&amp;'[1]BC_ ĐG LX'!H$3,[1]DATA!$AW:$AW,0)),"")</f>
        <v/>
      </c>
      <c r="I134" s="19" t="str">
        <f>IFERROR(INDEX([1]DATA!$AH:$AH,MATCH('[1]BC_ ĐG LX'!$C134&amp;'[1]BC_ ĐG LX'!I$3,[1]DATA!$AW:$AW,0)),"")</f>
        <v/>
      </c>
      <c r="J134" s="19" t="str">
        <f>IFERROR(INDEX([1]DATA!$AH:$AH,MATCH('[1]BC_ ĐG LX'!$C134&amp;'[1]BC_ ĐG LX'!J$3,[1]DATA!$AW:$AW,0)),"")</f>
        <v/>
      </c>
      <c r="K134" s="19" t="str">
        <f>IFERROR(INDEX([1]DATA!$AH:$AH,MATCH('[1]BC_ ĐG LX'!$C134&amp;'[1]BC_ ĐG LX'!K$3,[1]DATA!$AW:$AW,0)),"")</f>
        <v/>
      </c>
      <c r="L134" s="19" t="str">
        <f>IFERROR(INDEX([1]DATA!$AH:$AH,MATCH('[1]BC_ ĐG LX'!$C134&amp;'[1]BC_ ĐG LX'!L$3,[1]DATA!$AW:$AW,0)),"")</f>
        <v/>
      </c>
      <c r="M134" s="19" t="str">
        <f>IFERROR(INDEX([1]DATA!$AH:$AH,MATCH('[1]BC_ ĐG LX'!$C134&amp;'[1]BC_ ĐG LX'!M$3,[1]DATA!$AW:$AW,0)),"")</f>
        <v/>
      </c>
      <c r="N134" s="19" t="str">
        <f>IFERROR(INDEX([1]DATA!$AH:$AH,MATCH('[1]BC_ ĐG LX'!$C134&amp;'[1]BC_ ĐG LX'!N$3,[1]DATA!$AW:$AW,0)),"")</f>
        <v/>
      </c>
      <c r="O134" s="19" t="str">
        <f>IFERROR(INDEX([1]DATA!$AH:$AH,MATCH('[1]BC_ ĐG LX'!$C134&amp;'[1]BC_ ĐG LX'!O$3,[1]DATA!$AW:$AW,0)),"")</f>
        <v/>
      </c>
      <c r="P134" s="19" t="str">
        <f>IFERROR(INDEX([1]DATA!$AH:$AH,MATCH('[1]BC_ ĐG LX'!$C134&amp;'[1]BC_ ĐG LX'!P$3,[1]DATA!$AW:$AW,0)),"")</f>
        <v/>
      </c>
      <c r="Q134" s="19" t="str">
        <f>IFERROR(INDEX([1]DATA!$AH:$AH,MATCH('[1]BC_ ĐG LX'!$C134&amp;'[1]BC_ ĐG LX'!Q$3,[1]DATA!$AW:$AW,0)),"")</f>
        <v/>
      </c>
      <c r="R134" s="19" t="str">
        <f>IFERROR(INDEX([1]DATA!$AH:$AH,MATCH('[1]BC_ ĐG LX'!$C134&amp;'[1]BC_ ĐG LX'!R$3,[1]DATA!$AW:$AW,0)),"")</f>
        <v/>
      </c>
      <c r="S134" s="19" t="str">
        <f>IFERROR(INDEX([1]DATA!$AH:$AH,MATCH('[1]BC_ ĐG LX'!$C134&amp;'[1]BC_ ĐG LX'!S$3,[1]DATA!$AW:$AW,0)),"")</f>
        <v/>
      </c>
      <c r="T134" s="19" t="str">
        <f>IFERROR(INDEX([1]DATA!$AH:$AH,MATCH('[1]BC_ ĐG LX'!$C134&amp;'[1]BC_ ĐG LX'!T$3,[1]DATA!$AW:$AW,0)),"")</f>
        <v/>
      </c>
      <c r="U134" s="19" t="str">
        <f>IFERROR(INDEX([1]DATA!$AH:$AH,MATCH('[1]BC_ ĐG LX'!$C134&amp;'[1]BC_ ĐG LX'!U$3,[1]DATA!$AW:$AW,0)),"")</f>
        <v/>
      </c>
      <c r="V134" s="19" t="str">
        <f>IFERROR(INDEX([1]DATA!$AH:$AH,MATCH('[1]BC_ ĐG LX'!$C134&amp;'[1]BC_ ĐG LX'!V$3,[1]DATA!$AW:$AW,0)),"")</f>
        <v/>
      </c>
      <c r="W134" s="19" t="str">
        <f>IFERROR(INDEX([1]DATA!$AH:$AH,MATCH('[1]BC_ ĐG LX'!$C134&amp;'[1]BC_ ĐG LX'!W$3,[1]DATA!$AW:$AW,0)),"")</f>
        <v/>
      </c>
      <c r="X134" s="19" t="str">
        <f>IFERROR(INDEX([1]DATA!$AH:$AH,MATCH('[1]BC_ ĐG LX'!$C134&amp;'[1]BC_ ĐG LX'!X$3,[1]DATA!$AW:$AW,0)),"")</f>
        <v/>
      </c>
      <c r="Y134" s="19" t="str">
        <f>IFERROR(INDEX([1]DATA!$AH:$AH,MATCH('[1]BC_ ĐG LX'!$C134&amp;'[1]BC_ ĐG LX'!Y$3,[1]DATA!$AW:$AW,0)),"")</f>
        <v/>
      </c>
      <c r="Z134" s="19" t="str">
        <f>IFERROR(INDEX([1]DATA!$AH:$AH,MATCH('[1]BC_ ĐG LX'!$C134&amp;'[1]BC_ ĐG LX'!Z$3,[1]DATA!$AW:$AW,0)),"")</f>
        <v/>
      </c>
      <c r="AA134" s="19" t="str">
        <f>IFERROR(INDEX([1]DATA!$AH:$AH,MATCH('[1]BC_ ĐG LX'!$C134&amp;'[1]BC_ ĐG LX'!AA$3,[1]DATA!$AW:$AW,0)),"")</f>
        <v/>
      </c>
      <c r="AB134" s="19" t="str">
        <f>IFERROR(INDEX([1]DATA!$AH:$AH,MATCH('[1]BC_ ĐG LX'!$C134&amp;'[1]BC_ ĐG LX'!AB$3,[1]DATA!$AW:$AW,0)),"")</f>
        <v/>
      </c>
      <c r="AC134" s="19" t="str">
        <f>IFERROR(INDEX([1]DATA!$AH:$AH,MATCH('[1]BC_ ĐG LX'!$C134&amp;'[1]BC_ ĐG LX'!AC$3,[1]DATA!$AW:$AW,0)),"")</f>
        <v/>
      </c>
      <c r="AD134" s="19" t="str">
        <f>IFERROR(INDEX([1]DATA!$AH:$AH,MATCH('[1]BC_ ĐG LX'!$C134&amp;'[1]BC_ ĐG LX'!AD$3,[1]DATA!$AW:$AW,0)),"")</f>
        <v/>
      </c>
      <c r="AE134" s="19" t="str">
        <f>IFERROR(INDEX([1]DATA!$AH:$AH,MATCH('[1]BC_ ĐG LX'!$C134&amp;'[1]BC_ ĐG LX'!AE$3,[1]DATA!$AW:$AW,0)),"")</f>
        <v/>
      </c>
      <c r="AF134" s="19" t="str">
        <f>IFERROR(INDEX([1]DATA!$AH:$AH,MATCH('[1]BC_ ĐG LX'!$C134&amp;'[1]BC_ ĐG LX'!AF$3,[1]DATA!$AW:$AW,0)),"")</f>
        <v/>
      </c>
      <c r="AG134" s="19" t="str">
        <f>IFERROR(INDEX([1]DATA!$AH:$AH,MATCH('[1]BC_ ĐG LX'!$C134&amp;'[1]BC_ ĐG LX'!AG$3,[1]DATA!$AW:$AW,0)),"")</f>
        <v/>
      </c>
      <c r="AH134" s="19" t="str">
        <f>IFERROR(INDEX([1]DATA!$AH:$AH,MATCH('[1]BC_ ĐG LX'!$C134&amp;'[1]BC_ ĐG LX'!AH$3,[1]DATA!$AW:$AW,0)),"")</f>
        <v/>
      </c>
      <c r="AI134" s="19" t="str">
        <f>IFERROR(INDEX([1]DATA!$AH:$AH,MATCH('[1]BC_ ĐG LX'!$C134&amp;'[1]BC_ ĐG LX'!AI$3,[1]DATA!$AW:$AW,0)),"")</f>
        <v/>
      </c>
      <c r="AJ134" s="19" t="str">
        <f>IFERROR(INDEX([1]DATA!$AH:$AH,MATCH('[1]BC_ ĐG LX'!$C134&amp;'[1]BC_ ĐG LX'!AJ$3,[1]DATA!$AW:$AW,0)),"")</f>
        <v/>
      </c>
      <c r="AK134" s="38">
        <f>SUM(AK135:AK153)/COUNTIF(AK135:AK153,"&gt;0")</f>
        <v>9.473684210526315</v>
      </c>
      <c r="AL134" s="21"/>
      <c r="AM134" s="22">
        <f t="shared" si="8"/>
        <v>0</v>
      </c>
      <c r="AN134" s="22" t="str">
        <f>_xlfn.XLOOKUP(B134,[1]DATA!AF:AF,[1]DATA!AX:AX)</f>
        <v>Lương</v>
      </c>
      <c r="AO134"/>
    </row>
    <row r="135" spans="1:41" s="22" customFormat="1" ht="14.25" customHeight="1">
      <c r="A135" s="16">
        <f>SUBTOTAL(3,$D$135:D135)</f>
        <v>1</v>
      </c>
      <c r="B135" s="16" t="str">
        <f>_xlfn.XLOOKUP(C135,[1]DATA!D:D,[1]DATA!AF:AF)</f>
        <v>XE00046</v>
      </c>
      <c r="C135" s="18" t="s">
        <v>159</v>
      </c>
      <c r="D135" s="16" t="s">
        <v>23</v>
      </c>
      <c r="E135" s="18" t="s">
        <v>17</v>
      </c>
      <c r="F135" s="18" t="s">
        <v>18</v>
      </c>
      <c r="G135" s="19">
        <f>IFERROR(INDEX([1]DATA!$AH:$AH,MATCH('[1]BC_ ĐG LX'!$C135&amp;'[1]BC_ ĐG LX'!G$3,[1]DATA!$AW:$AW,0)),"")</f>
        <v>8.84</v>
      </c>
      <c r="H135" s="19">
        <f>IFERROR(INDEX([1]DATA!$AH:$AH,MATCH('[1]BC_ ĐG LX'!$C135&amp;'[1]BC_ ĐG LX'!H$3,[1]DATA!$AW:$AW,0)),"")</f>
        <v>7.82</v>
      </c>
      <c r="I135" s="19">
        <f>IFERROR(INDEX([1]DATA!$AH:$AH,MATCH('[1]BC_ ĐG LX'!$C135&amp;'[1]BC_ ĐG LX'!I$3,[1]DATA!$AW:$AW,0)),"")</f>
        <v>9.82</v>
      </c>
      <c r="J135" s="19">
        <f>IFERROR(INDEX([1]DATA!$AH:$AH,MATCH('[1]BC_ ĐG LX'!$C135&amp;'[1]BC_ ĐG LX'!J$3,[1]DATA!$AW:$AW,0)),"")</f>
        <v>9.42</v>
      </c>
      <c r="K135" s="19">
        <f>IFERROR(INDEX([1]DATA!$AH:$AH,MATCH('[1]BC_ ĐG LX'!$C135&amp;'[1]BC_ ĐG LX'!K$3,[1]DATA!$AW:$AW,0)),"")</f>
        <v>9.42</v>
      </c>
      <c r="L135" s="19">
        <f>IFERROR(INDEX([1]DATA!$AH:$AH,MATCH('[1]BC_ ĐG LX'!$C135&amp;'[1]BC_ ĐG LX'!L$3,[1]DATA!$AW:$AW,0)),"")</f>
        <v>8.44</v>
      </c>
      <c r="M135" s="19">
        <f>IFERROR(INDEX([1]DATA!$AH:$AH,MATCH('[1]BC_ ĐG LX'!$C135&amp;'[1]BC_ ĐG LX'!M$3,[1]DATA!$AW:$AW,0)),"")</f>
        <v>9.82</v>
      </c>
      <c r="N135" s="19">
        <f>IFERROR(INDEX([1]DATA!$AH:$AH,MATCH('[1]BC_ ĐG LX'!$C135&amp;'[1]BC_ ĐG LX'!N$3,[1]DATA!$AW:$AW,0)),"")</f>
        <v>9.24</v>
      </c>
      <c r="O135" s="19">
        <f>IFERROR(INDEX([1]DATA!$AH:$AH,MATCH('[1]BC_ ĐG LX'!$C135&amp;'[1]BC_ ĐG LX'!O$3,[1]DATA!$AW:$AW,0)),"")</f>
        <v>9.42</v>
      </c>
      <c r="P135" s="19">
        <f>IFERROR(INDEX([1]DATA!$AH:$AH,MATCH('[1]BC_ ĐG LX'!$C135&amp;'[1]BC_ ĐG LX'!P$3,[1]DATA!$AW:$AW,0)),"")</f>
        <v>9.6</v>
      </c>
      <c r="Q135" s="19">
        <f>IFERROR(INDEX([1]DATA!$AH:$AH,MATCH('[1]BC_ ĐG LX'!$C135&amp;'[1]BC_ ĐG LX'!Q$3,[1]DATA!$AW:$AW,0)),"")</f>
        <v>9.42</v>
      </c>
      <c r="R135" s="19">
        <f>IFERROR(INDEX([1]DATA!$AH:$AH,MATCH('[1]BC_ ĐG LX'!$C135&amp;'[1]BC_ ĐG LX'!R$3,[1]DATA!$AW:$AW,0)),"")</f>
        <v>9.82</v>
      </c>
      <c r="S135" s="19">
        <f>IFERROR(INDEX([1]DATA!$AH:$AH,MATCH('[1]BC_ ĐG LX'!$C135&amp;'[1]BC_ ĐG LX'!S$3,[1]DATA!$AW:$AW,0)),"")</f>
        <v>9.82</v>
      </c>
      <c r="T135" s="19">
        <f>IFERROR(INDEX([1]DATA!$AH:$AH,MATCH('[1]BC_ ĐG LX'!$C135&amp;'[1]BC_ ĐG LX'!T$3,[1]DATA!$AW:$AW,0)),"")</f>
        <v>9.82</v>
      </c>
      <c r="U135" s="19">
        <f>IFERROR(INDEX([1]DATA!$AH:$AH,MATCH('[1]BC_ ĐG LX'!$C135&amp;'[1]BC_ ĐG LX'!U$3,[1]DATA!$AW:$AW,0)),"")</f>
        <v>8.2200000000000006</v>
      </c>
      <c r="V135" s="19">
        <f>IFERROR(INDEX([1]DATA!$AH:$AH,MATCH('[1]BC_ ĐG LX'!$C135&amp;'[1]BC_ ĐG LX'!V$3,[1]DATA!$AW:$AW,0)),"")</f>
        <v>9.02</v>
      </c>
      <c r="W135" s="19">
        <f>IFERROR(INDEX([1]DATA!$AH:$AH,MATCH('[1]BC_ ĐG LX'!$C135&amp;'[1]BC_ ĐG LX'!W$3,[1]DATA!$AW:$AW,0)),"")</f>
        <v>9.82</v>
      </c>
      <c r="X135" s="19">
        <f>IFERROR(INDEX([1]DATA!$AH:$AH,MATCH('[1]BC_ ĐG LX'!$C135&amp;'[1]BC_ ĐG LX'!X$3,[1]DATA!$AW:$AW,0)),"")</f>
        <v>9.82</v>
      </c>
      <c r="Y135" s="19">
        <f>IFERROR(INDEX([1]DATA!$AH:$AH,MATCH('[1]BC_ ĐG LX'!$C135&amp;'[1]BC_ ĐG LX'!Y$3,[1]DATA!$AW:$AW,0)),"")</f>
        <v>9.42</v>
      </c>
      <c r="Z135" s="19">
        <f>IFERROR(INDEX([1]DATA!$AH:$AH,MATCH('[1]BC_ ĐG LX'!$C135&amp;'[1]BC_ ĐG LX'!Z$3,[1]DATA!$AW:$AW,0)),"")</f>
        <v>9.42</v>
      </c>
      <c r="AA135" s="19">
        <f>IFERROR(INDEX([1]DATA!$AH:$AH,MATCH('[1]BC_ ĐG LX'!$C135&amp;'[1]BC_ ĐG LX'!AA$3,[1]DATA!$AW:$AW,0)),"")</f>
        <v>9.82</v>
      </c>
      <c r="AB135" s="19">
        <f>IFERROR(INDEX([1]DATA!$AH:$AH,MATCH('[1]BC_ ĐG LX'!$C135&amp;'[1]BC_ ĐG LX'!AB$3,[1]DATA!$AW:$AW,0)),"")</f>
        <v>9.42</v>
      </c>
      <c r="AC135" s="19">
        <f>IFERROR(INDEX([1]DATA!$AH:$AH,MATCH('[1]BC_ ĐG LX'!$C135&amp;'[1]BC_ ĐG LX'!AC$3,[1]DATA!$AW:$AW,0)),"")</f>
        <v>8.84</v>
      </c>
      <c r="AD135" s="19">
        <f>IFERROR(INDEX([1]DATA!$AH:$AH,MATCH('[1]BC_ ĐG LX'!$C135&amp;'[1]BC_ ĐG LX'!AD$3,[1]DATA!$AW:$AW,0)),"")</f>
        <v>8.84</v>
      </c>
      <c r="AE135" s="19">
        <f>IFERROR(INDEX([1]DATA!$AH:$AH,MATCH('[1]BC_ ĐG LX'!$C135&amp;'[1]BC_ ĐG LX'!AE$3,[1]DATA!$AW:$AW,0)),"")</f>
        <v>8.84</v>
      </c>
      <c r="AF135" s="19" t="str">
        <f>IFERROR(INDEX([1]DATA!$AH:$AH,MATCH('[1]BC_ ĐG LX'!$C135&amp;'[1]BC_ ĐG LX'!AF$3,[1]DATA!$AW:$AW,0)),"")</f>
        <v/>
      </c>
      <c r="AG135" s="19" t="str">
        <f>IFERROR(INDEX([1]DATA!$AH:$AH,MATCH('[1]BC_ ĐG LX'!$C135&amp;'[1]BC_ ĐG LX'!AG$3,[1]DATA!$AW:$AW,0)),"")</f>
        <v/>
      </c>
      <c r="AH135" s="19" t="str">
        <f>IFERROR(INDEX([1]DATA!$AH:$AH,MATCH('[1]BC_ ĐG LX'!$C135&amp;'[1]BC_ ĐG LX'!AH$3,[1]DATA!$AW:$AW,0)),"")</f>
        <v/>
      </c>
      <c r="AI135" s="19" t="str">
        <f>IFERROR(INDEX([1]DATA!$AH:$AH,MATCH('[1]BC_ ĐG LX'!$C135&amp;'[1]BC_ ĐG LX'!AI$3,[1]DATA!$AW:$AW,0)),"")</f>
        <v/>
      </c>
      <c r="AJ135" s="19" t="str">
        <f>IFERROR(INDEX([1]DATA!$AH:$AH,MATCH('[1]BC_ ĐG LX'!$C135&amp;'[1]BC_ ĐG LX'!AJ$3,[1]DATA!$AW:$AW,0)),"")</f>
        <v/>
      </c>
      <c r="AK135" s="26">
        <f t="shared" ref="AK135:AK155" si="9">IFERROR(ROUNDUP(+SUM(G135:AJ135)/COUNTIF(G135:AJ135,"&gt;"&amp;0),1),"")</f>
        <v>9.2999999999999989</v>
      </c>
      <c r="AL135" s="21"/>
      <c r="AM135" s="22">
        <f t="shared" si="8"/>
        <v>25</v>
      </c>
      <c r="AN135" s="22" t="str">
        <f>_xlfn.XLOOKUP(B135,[1]DATA!AF:AF,[1]DATA!AX:AX)</f>
        <v>Lương</v>
      </c>
      <c r="AO135"/>
    </row>
    <row r="136" spans="1:41" s="22" customFormat="1" ht="14.25" customHeight="1">
      <c r="A136" s="16">
        <f>SUBTOTAL(3,$D$135:D136)</f>
        <v>2</v>
      </c>
      <c r="B136" s="16" t="str">
        <f>_xlfn.XLOOKUP(C136,[1]DATA!D:D,[1]DATA!AF:AF)</f>
        <v>XE00248</v>
      </c>
      <c r="C136" s="18" t="s">
        <v>160</v>
      </c>
      <c r="D136" s="16" t="s">
        <v>23</v>
      </c>
      <c r="E136" s="18" t="s">
        <v>17</v>
      </c>
      <c r="F136" s="18" t="s">
        <v>18</v>
      </c>
      <c r="G136" s="19">
        <f>IFERROR(INDEX([1]DATA!$AH:$AH,MATCH('[1]BC_ ĐG LX'!$C136&amp;'[1]BC_ ĐG LX'!G$3,[1]DATA!$AW:$AW,0)),"")</f>
        <v>9.02</v>
      </c>
      <c r="H136" s="19">
        <f>IFERROR(INDEX([1]DATA!$AH:$AH,MATCH('[1]BC_ ĐG LX'!$C136&amp;'[1]BC_ ĐG LX'!H$3,[1]DATA!$AW:$AW,0)),"")</f>
        <v>9.82</v>
      </c>
      <c r="I136" s="19">
        <f>IFERROR(INDEX([1]DATA!$AH:$AH,MATCH('[1]BC_ ĐG LX'!$C136&amp;'[1]BC_ ĐG LX'!I$3,[1]DATA!$AW:$AW,0)),"")</f>
        <v>9.42</v>
      </c>
      <c r="J136" s="19">
        <f>IFERROR(INDEX([1]DATA!$AH:$AH,MATCH('[1]BC_ ĐG LX'!$C136&amp;'[1]BC_ ĐG LX'!J$3,[1]DATA!$AW:$AW,0)),"")</f>
        <v>9.42</v>
      </c>
      <c r="K136" s="19">
        <f>IFERROR(INDEX([1]DATA!$AH:$AH,MATCH('[1]BC_ ĐG LX'!$C136&amp;'[1]BC_ ĐG LX'!K$3,[1]DATA!$AW:$AW,0)),"")</f>
        <v>8.44</v>
      </c>
      <c r="L136" s="19">
        <f>IFERROR(INDEX([1]DATA!$AH:$AH,MATCH('[1]BC_ ĐG LX'!$C136&amp;'[1]BC_ ĐG LX'!L$3,[1]DATA!$AW:$AW,0)),"")</f>
        <v>9.82</v>
      </c>
      <c r="M136" s="19">
        <f>IFERROR(INDEX([1]DATA!$AH:$AH,MATCH('[1]BC_ ĐG LX'!$C136&amp;'[1]BC_ ĐG LX'!M$3,[1]DATA!$AW:$AW,0)),"")</f>
        <v>9.42</v>
      </c>
      <c r="N136" s="19">
        <f>IFERROR(INDEX([1]DATA!$AH:$AH,MATCH('[1]BC_ ĐG LX'!$C136&amp;'[1]BC_ ĐG LX'!N$3,[1]DATA!$AW:$AW,0)),"")</f>
        <v>9.42</v>
      </c>
      <c r="O136" s="19">
        <f>IFERROR(INDEX([1]DATA!$AH:$AH,MATCH('[1]BC_ ĐG LX'!$C136&amp;'[1]BC_ ĐG LX'!O$3,[1]DATA!$AW:$AW,0)),"")</f>
        <v>9.42</v>
      </c>
      <c r="P136" s="19">
        <f>IFERROR(INDEX([1]DATA!$AH:$AH,MATCH('[1]BC_ ĐG LX'!$C136&amp;'[1]BC_ ĐG LX'!P$3,[1]DATA!$AW:$AW,0)),"")</f>
        <v>9.82</v>
      </c>
      <c r="Q136" s="19">
        <f>IFERROR(INDEX([1]DATA!$AH:$AH,MATCH('[1]BC_ ĐG LX'!$C136&amp;'[1]BC_ ĐG LX'!Q$3,[1]DATA!$AW:$AW,0)),"")</f>
        <v>9.42</v>
      </c>
      <c r="R136" s="19">
        <f>IFERROR(INDEX([1]DATA!$AH:$AH,MATCH('[1]BC_ ĐG LX'!$C136&amp;'[1]BC_ ĐG LX'!R$3,[1]DATA!$AW:$AW,0)),"")</f>
        <v>9.82</v>
      </c>
      <c r="S136" s="19">
        <f>IFERROR(INDEX([1]DATA!$AH:$AH,MATCH('[1]BC_ ĐG LX'!$C136&amp;'[1]BC_ ĐG LX'!S$3,[1]DATA!$AW:$AW,0)),"")</f>
        <v>9.82</v>
      </c>
      <c r="T136" s="19">
        <f>IFERROR(INDEX([1]DATA!$AH:$AH,MATCH('[1]BC_ ĐG LX'!$C136&amp;'[1]BC_ ĐG LX'!T$3,[1]DATA!$AW:$AW,0)),"")</f>
        <v>9.42</v>
      </c>
      <c r="U136" s="19">
        <f>IFERROR(INDEX([1]DATA!$AH:$AH,MATCH('[1]BC_ ĐG LX'!$C136&amp;'[1]BC_ ĐG LX'!U$3,[1]DATA!$AW:$AW,0)),"")</f>
        <v>9.82</v>
      </c>
      <c r="V136" s="19">
        <f>IFERROR(INDEX([1]DATA!$AH:$AH,MATCH('[1]BC_ ĐG LX'!$C136&amp;'[1]BC_ ĐG LX'!V$3,[1]DATA!$AW:$AW,0)),"")</f>
        <v>9.42</v>
      </c>
      <c r="W136" s="19">
        <f>IFERROR(INDEX([1]DATA!$AH:$AH,MATCH('[1]BC_ ĐG LX'!$C136&amp;'[1]BC_ ĐG LX'!W$3,[1]DATA!$AW:$AW,0)),"")</f>
        <v>9.02</v>
      </c>
      <c r="X136" s="19">
        <f>IFERROR(INDEX([1]DATA!$AH:$AH,MATCH('[1]BC_ ĐG LX'!$C136&amp;'[1]BC_ ĐG LX'!X$3,[1]DATA!$AW:$AW,0)),"")</f>
        <v>9.82</v>
      </c>
      <c r="Y136" s="19">
        <f>IFERROR(INDEX([1]DATA!$AH:$AH,MATCH('[1]BC_ ĐG LX'!$C136&amp;'[1]BC_ ĐG LX'!Y$3,[1]DATA!$AW:$AW,0)),"")</f>
        <v>9.82</v>
      </c>
      <c r="Z136" s="19">
        <f>IFERROR(INDEX([1]DATA!$AH:$AH,MATCH('[1]BC_ ĐG LX'!$C136&amp;'[1]BC_ ĐG LX'!Z$3,[1]DATA!$AW:$AW,0)),"")</f>
        <v>9.42</v>
      </c>
      <c r="AA136" s="19">
        <f>IFERROR(INDEX([1]DATA!$AH:$AH,MATCH('[1]BC_ ĐG LX'!$C136&amp;'[1]BC_ ĐG LX'!AA$3,[1]DATA!$AW:$AW,0)),"")</f>
        <v>9.82</v>
      </c>
      <c r="AB136" s="19">
        <f>IFERROR(INDEX([1]DATA!$AH:$AH,MATCH('[1]BC_ ĐG LX'!$C136&amp;'[1]BC_ ĐG LX'!AB$3,[1]DATA!$AW:$AW,0)),"")</f>
        <v>9.42</v>
      </c>
      <c r="AC136" s="19">
        <f>IFERROR(INDEX([1]DATA!$AH:$AH,MATCH('[1]BC_ ĐG LX'!$C136&amp;'[1]BC_ ĐG LX'!AC$3,[1]DATA!$AW:$AW,0)),"")</f>
        <v>9.42</v>
      </c>
      <c r="AD136" s="19">
        <f>IFERROR(INDEX([1]DATA!$AH:$AH,MATCH('[1]BC_ ĐG LX'!$C136&amp;'[1]BC_ ĐG LX'!AD$3,[1]DATA!$AW:$AW,0)),"")</f>
        <v>9.42</v>
      </c>
      <c r="AE136" s="19">
        <f>IFERROR(INDEX([1]DATA!$AH:$AH,MATCH('[1]BC_ ĐG LX'!$C136&amp;'[1]BC_ ĐG LX'!AE$3,[1]DATA!$AW:$AW,0)),"")</f>
        <v>7.82</v>
      </c>
      <c r="AF136" s="19" t="str">
        <f>IFERROR(INDEX([1]DATA!$AH:$AH,MATCH('[1]BC_ ĐG LX'!$C136&amp;'[1]BC_ ĐG LX'!AF$3,[1]DATA!$AW:$AW,0)),"")</f>
        <v/>
      </c>
      <c r="AG136" s="19" t="str">
        <f>IFERROR(INDEX([1]DATA!$AH:$AH,MATCH('[1]BC_ ĐG LX'!$C136&amp;'[1]BC_ ĐG LX'!AG$3,[1]DATA!$AW:$AW,0)),"")</f>
        <v/>
      </c>
      <c r="AH136" s="19" t="str">
        <f>IFERROR(INDEX([1]DATA!$AH:$AH,MATCH('[1]BC_ ĐG LX'!$C136&amp;'[1]BC_ ĐG LX'!AH$3,[1]DATA!$AW:$AW,0)),"")</f>
        <v/>
      </c>
      <c r="AI136" s="19" t="str">
        <f>IFERROR(INDEX([1]DATA!$AH:$AH,MATCH('[1]BC_ ĐG LX'!$C136&amp;'[1]BC_ ĐG LX'!AI$3,[1]DATA!$AW:$AW,0)),"")</f>
        <v/>
      </c>
      <c r="AJ136" s="19" t="str">
        <f>IFERROR(INDEX([1]DATA!$AH:$AH,MATCH('[1]BC_ ĐG LX'!$C136&amp;'[1]BC_ ĐG LX'!AJ$3,[1]DATA!$AW:$AW,0)),"")</f>
        <v/>
      </c>
      <c r="AK136" s="26">
        <f t="shared" si="9"/>
        <v>9.5</v>
      </c>
      <c r="AL136" s="21"/>
      <c r="AM136" s="22">
        <f t="shared" si="8"/>
        <v>25</v>
      </c>
      <c r="AN136" s="22" t="str">
        <f>_xlfn.XLOOKUP(B136,[1]DATA!AF:AF,[1]DATA!AX:AX)</f>
        <v>Nga</v>
      </c>
      <c r="AO136"/>
    </row>
    <row r="137" spans="1:41" s="22" customFormat="1" ht="14.25" customHeight="1">
      <c r="A137" s="16">
        <f>SUBTOTAL(3,$D$135:D137)</f>
        <v>3</v>
      </c>
      <c r="B137" s="16" t="str">
        <f>_xlfn.XLOOKUP(C137,[1]DATA!D:D,[1]DATA!AF:AF)</f>
        <v>XE00721</v>
      </c>
      <c r="C137" s="18" t="s">
        <v>161</v>
      </c>
      <c r="D137" s="16" t="s">
        <v>23</v>
      </c>
      <c r="E137" s="18" t="s">
        <v>17</v>
      </c>
      <c r="F137" s="18" t="s">
        <v>18</v>
      </c>
      <c r="G137" s="19">
        <f>IFERROR(INDEX([1]DATA!$AH:$AH,MATCH('[1]BC_ ĐG LX'!$C137&amp;'[1]BC_ ĐG LX'!G$3,[1]DATA!$AW:$AW,0)),"")</f>
        <v>9.82</v>
      </c>
      <c r="H137" s="19">
        <f>IFERROR(INDEX([1]DATA!$AH:$AH,MATCH('[1]BC_ ĐG LX'!$C137&amp;'[1]BC_ ĐG LX'!H$3,[1]DATA!$AW:$AW,0)),"")</f>
        <v>9.82</v>
      </c>
      <c r="I137" s="19">
        <f>IFERROR(INDEX([1]DATA!$AH:$AH,MATCH('[1]BC_ ĐG LX'!$C137&amp;'[1]BC_ ĐG LX'!I$3,[1]DATA!$AW:$AW,0)),"")</f>
        <v>9.64</v>
      </c>
      <c r="J137" s="19">
        <f>IFERROR(INDEX([1]DATA!$AH:$AH,MATCH('[1]BC_ ĐG LX'!$C137&amp;'[1]BC_ ĐG LX'!J$3,[1]DATA!$AW:$AW,0)),"")</f>
        <v>9.02</v>
      </c>
      <c r="K137" s="19">
        <f>IFERROR(INDEX([1]DATA!$AH:$AH,MATCH('[1]BC_ ĐG LX'!$C137&amp;'[1]BC_ ĐG LX'!K$3,[1]DATA!$AW:$AW,0)),"")</f>
        <v>8.84</v>
      </c>
      <c r="L137" s="19">
        <f>IFERROR(INDEX([1]DATA!$AH:$AH,MATCH('[1]BC_ ĐG LX'!$C137&amp;'[1]BC_ ĐG LX'!L$3,[1]DATA!$AW:$AW,0)),"")</f>
        <v>9.42</v>
      </c>
      <c r="M137" s="19">
        <f>IFERROR(INDEX([1]DATA!$AH:$AH,MATCH('[1]BC_ ĐG LX'!$C137&amp;'[1]BC_ ĐG LX'!M$3,[1]DATA!$AW:$AW,0)),"")</f>
        <v>9.42</v>
      </c>
      <c r="N137" s="19">
        <f>IFERROR(INDEX([1]DATA!$AH:$AH,MATCH('[1]BC_ ĐG LX'!$C137&amp;'[1]BC_ ĐG LX'!N$3,[1]DATA!$AW:$AW,0)),"")</f>
        <v>9.82</v>
      </c>
      <c r="O137" s="19">
        <f>IFERROR(INDEX([1]DATA!$AH:$AH,MATCH('[1]BC_ ĐG LX'!$C137&amp;'[1]BC_ ĐG LX'!O$3,[1]DATA!$AW:$AW,0)),"")</f>
        <v>9.42</v>
      </c>
      <c r="P137" s="19">
        <f>IFERROR(INDEX([1]DATA!$AH:$AH,MATCH('[1]BC_ ĐG LX'!$C137&amp;'[1]BC_ ĐG LX'!P$3,[1]DATA!$AW:$AW,0)),"")</f>
        <v>9.24</v>
      </c>
      <c r="Q137" s="19">
        <f>IFERROR(INDEX([1]DATA!$AH:$AH,MATCH('[1]BC_ ĐG LX'!$C137&amp;'[1]BC_ ĐG LX'!Q$3,[1]DATA!$AW:$AW,0)),"")</f>
        <v>9.42</v>
      </c>
      <c r="R137" s="19">
        <f>IFERROR(INDEX([1]DATA!$AH:$AH,MATCH('[1]BC_ ĐG LX'!$C137&amp;'[1]BC_ ĐG LX'!R$3,[1]DATA!$AW:$AW,0)),"")</f>
        <v>9.82</v>
      </c>
      <c r="S137" s="19">
        <f>IFERROR(INDEX([1]DATA!$AH:$AH,MATCH('[1]BC_ ĐG LX'!$C137&amp;'[1]BC_ ĐG LX'!S$3,[1]DATA!$AW:$AW,0)),"")</f>
        <v>9.02</v>
      </c>
      <c r="T137" s="19">
        <f>IFERROR(INDEX([1]DATA!$AH:$AH,MATCH('[1]BC_ ĐG LX'!$C137&amp;'[1]BC_ ĐG LX'!T$3,[1]DATA!$AW:$AW,0)),"")</f>
        <v>9.82</v>
      </c>
      <c r="U137" s="19">
        <f>IFERROR(INDEX([1]DATA!$AH:$AH,MATCH('[1]BC_ ĐG LX'!$C137&amp;'[1]BC_ ĐG LX'!U$3,[1]DATA!$AW:$AW,0)),"")</f>
        <v>9.24</v>
      </c>
      <c r="V137" s="19">
        <f>IFERROR(INDEX([1]DATA!$AH:$AH,MATCH('[1]BC_ ĐG LX'!$C137&amp;'[1]BC_ ĐG LX'!V$3,[1]DATA!$AW:$AW,0)),"")</f>
        <v>9.42</v>
      </c>
      <c r="W137" s="19">
        <f>IFERROR(INDEX([1]DATA!$AH:$AH,MATCH('[1]BC_ ĐG LX'!$C137&amp;'[1]BC_ ĐG LX'!W$3,[1]DATA!$AW:$AW,0)),"")</f>
        <v>9.02</v>
      </c>
      <c r="X137" s="19">
        <f>IFERROR(INDEX([1]DATA!$AH:$AH,MATCH('[1]BC_ ĐG LX'!$C137&amp;'[1]BC_ ĐG LX'!X$3,[1]DATA!$AW:$AW,0)),"")</f>
        <v>9.82</v>
      </c>
      <c r="Y137" s="19">
        <f>IFERROR(INDEX([1]DATA!$AH:$AH,MATCH('[1]BC_ ĐG LX'!$C137&amp;'[1]BC_ ĐG LX'!Y$3,[1]DATA!$AW:$AW,0)),"")</f>
        <v>9.42</v>
      </c>
      <c r="Z137" s="19">
        <f>IFERROR(INDEX([1]DATA!$AH:$AH,MATCH('[1]BC_ ĐG LX'!$C137&amp;'[1]BC_ ĐG LX'!Z$3,[1]DATA!$AW:$AW,0)),"")</f>
        <v>8.84</v>
      </c>
      <c r="AA137" s="19">
        <f>IFERROR(INDEX([1]DATA!$AH:$AH,MATCH('[1]BC_ ĐG LX'!$C137&amp;'[1]BC_ ĐG LX'!AA$3,[1]DATA!$AW:$AW,0)),"")</f>
        <v>9.82</v>
      </c>
      <c r="AB137" s="19">
        <f>IFERROR(INDEX([1]DATA!$AH:$AH,MATCH('[1]BC_ ĐG LX'!$C137&amp;'[1]BC_ ĐG LX'!AB$3,[1]DATA!$AW:$AW,0)),"")</f>
        <v>9.42</v>
      </c>
      <c r="AC137" s="19">
        <f>IFERROR(INDEX([1]DATA!$AH:$AH,MATCH('[1]BC_ ĐG LX'!$C137&amp;'[1]BC_ ĐG LX'!AC$3,[1]DATA!$AW:$AW,0)),"")</f>
        <v>9.42</v>
      </c>
      <c r="AD137" s="19">
        <f>IFERROR(INDEX([1]DATA!$AH:$AH,MATCH('[1]BC_ ĐG LX'!$C137&amp;'[1]BC_ ĐG LX'!AD$3,[1]DATA!$AW:$AW,0)),"")</f>
        <v>9.42</v>
      </c>
      <c r="AE137" s="19">
        <f>IFERROR(INDEX([1]DATA!$AH:$AH,MATCH('[1]BC_ ĐG LX'!$C137&amp;'[1]BC_ ĐG LX'!AE$3,[1]DATA!$AW:$AW,0)),"")</f>
        <v>9.82</v>
      </c>
      <c r="AF137" s="19" t="str">
        <f>IFERROR(INDEX([1]DATA!$AH:$AH,MATCH('[1]BC_ ĐG LX'!$C137&amp;'[1]BC_ ĐG LX'!AF$3,[1]DATA!$AW:$AW,0)),"")</f>
        <v/>
      </c>
      <c r="AG137" s="19" t="str">
        <f>IFERROR(INDEX([1]DATA!$AH:$AH,MATCH('[1]BC_ ĐG LX'!$C137&amp;'[1]BC_ ĐG LX'!AG$3,[1]DATA!$AW:$AW,0)),"")</f>
        <v/>
      </c>
      <c r="AH137" s="19" t="str">
        <f>IFERROR(INDEX([1]DATA!$AH:$AH,MATCH('[1]BC_ ĐG LX'!$C137&amp;'[1]BC_ ĐG LX'!AH$3,[1]DATA!$AW:$AW,0)),"")</f>
        <v/>
      </c>
      <c r="AI137" s="19" t="str">
        <f>IFERROR(INDEX([1]DATA!$AH:$AH,MATCH('[1]BC_ ĐG LX'!$C137&amp;'[1]BC_ ĐG LX'!AI$3,[1]DATA!$AW:$AW,0)),"")</f>
        <v/>
      </c>
      <c r="AJ137" s="19" t="str">
        <f>IFERROR(INDEX([1]DATA!$AH:$AH,MATCH('[1]BC_ ĐG LX'!$C137&amp;'[1]BC_ ĐG LX'!AJ$3,[1]DATA!$AW:$AW,0)),"")</f>
        <v/>
      </c>
      <c r="AK137" s="26">
        <f t="shared" si="9"/>
        <v>9.5</v>
      </c>
      <c r="AL137" s="21"/>
      <c r="AM137" s="22">
        <f t="shared" si="8"/>
        <v>25</v>
      </c>
      <c r="AN137" s="22" t="str">
        <f>_xlfn.XLOOKUP(B137,[1]DATA!AF:AF,[1]DATA!AX:AX)</f>
        <v>Nga</v>
      </c>
      <c r="AO137"/>
    </row>
    <row r="138" spans="1:41" s="22" customFormat="1" ht="14.25" customHeight="1">
      <c r="A138" s="16">
        <f>SUBTOTAL(3,$D$135:D138)</f>
        <v>4</v>
      </c>
      <c r="B138" s="16" t="str">
        <f>_xlfn.XLOOKUP(C138,[1]DATA!D:D,[1]DATA!AF:AF)</f>
        <v>XE00295</v>
      </c>
      <c r="C138" s="18" t="s">
        <v>162</v>
      </c>
      <c r="D138" s="16" t="s">
        <v>23</v>
      </c>
      <c r="E138" s="18" t="s">
        <v>17</v>
      </c>
      <c r="F138" s="18" t="s">
        <v>18</v>
      </c>
      <c r="G138" s="19">
        <f>IFERROR(INDEX([1]DATA!$AH:$AH,MATCH('[1]BC_ ĐG LX'!$C138&amp;'[1]BC_ ĐG LX'!G$3,[1]DATA!$AW:$AW,0)),"")</f>
        <v>9.82</v>
      </c>
      <c r="H138" s="19">
        <f>IFERROR(INDEX([1]DATA!$AH:$AH,MATCH('[1]BC_ ĐG LX'!$C138&amp;'[1]BC_ ĐG LX'!H$3,[1]DATA!$AW:$AW,0)),"")</f>
        <v>10</v>
      </c>
      <c r="I138" s="19">
        <f>IFERROR(INDEX([1]DATA!$AH:$AH,MATCH('[1]BC_ ĐG LX'!$C138&amp;'[1]BC_ ĐG LX'!I$3,[1]DATA!$AW:$AW,0)),"")</f>
        <v>9.42</v>
      </c>
      <c r="J138" s="19">
        <f>IFERROR(INDEX([1]DATA!$AH:$AH,MATCH('[1]BC_ ĐG LX'!$C138&amp;'[1]BC_ ĐG LX'!J$3,[1]DATA!$AW:$AW,0)),"")</f>
        <v>9.02</v>
      </c>
      <c r="K138" s="19">
        <f>IFERROR(INDEX([1]DATA!$AH:$AH,MATCH('[1]BC_ ĐG LX'!$C138&amp;'[1]BC_ ĐG LX'!K$3,[1]DATA!$AW:$AW,0)),"")</f>
        <v>9.42</v>
      </c>
      <c r="L138" s="19">
        <f>IFERROR(INDEX([1]DATA!$AH:$AH,MATCH('[1]BC_ ĐG LX'!$C138&amp;'[1]BC_ ĐG LX'!L$3,[1]DATA!$AW:$AW,0)),"")</f>
        <v>9.02</v>
      </c>
      <c r="M138" s="19">
        <f>IFERROR(INDEX([1]DATA!$AH:$AH,MATCH('[1]BC_ ĐG LX'!$C138&amp;'[1]BC_ ĐG LX'!M$3,[1]DATA!$AW:$AW,0)),"")</f>
        <v>9.42</v>
      </c>
      <c r="N138" s="19">
        <f>IFERROR(INDEX([1]DATA!$AH:$AH,MATCH('[1]BC_ ĐG LX'!$C138&amp;'[1]BC_ ĐG LX'!N$3,[1]DATA!$AW:$AW,0)),"")</f>
        <v>9.42</v>
      </c>
      <c r="O138" s="19">
        <f>IFERROR(INDEX([1]DATA!$AH:$AH,MATCH('[1]BC_ ĐG LX'!$C138&amp;'[1]BC_ ĐG LX'!O$3,[1]DATA!$AW:$AW,0)),"")</f>
        <v>9.42</v>
      </c>
      <c r="P138" s="19">
        <f>IFERROR(INDEX([1]DATA!$AH:$AH,MATCH('[1]BC_ ĐG LX'!$C138&amp;'[1]BC_ ĐG LX'!P$3,[1]DATA!$AW:$AW,0)),"")</f>
        <v>9.42</v>
      </c>
      <c r="Q138" s="19">
        <f>IFERROR(INDEX([1]DATA!$AH:$AH,MATCH('[1]BC_ ĐG LX'!$C138&amp;'[1]BC_ ĐG LX'!Q$3,[1]DATA!$AW:$AW,0)),"")</f>
        <v>8.84</v>
      </c>
      <c r="R138" s="19">
        <f>IFERROR(INDEX([1]DATA!$AH:$AH,MATCH('[1]BC_ ĐG LX'!$C138&amp;'[1]BC_ ĐG LX'!R$3,[1]DATA!$AW:$AW,0)),"")</f>
        <v>9.82</v>
      </c>
      <c r="S138" s="19">
        <f>IFERROR(INDEX([1]DATA!$AH:$AH,MATCH('[1]BC_ ĐG LX'!$C138&amp;'[1]BC_ ĐG LX'!S$3,[1]DATA!$AW:$AW,0)),"")</f>
        <v>9.82</v>
      </c>
      <c r="T138" s="19">
        <f>IFERROR(INDEX([1]DATA!$AH:$AH,MATCH('[1]BC_ ĐG LX'!$C138&amp;'[1]BC_ ĐG LX'!T$3,[1]DATA!$AW:$AW,0)),"")</f>
        <v>9.82</v>
      </c>
      <c r="U138" s="19">
        <f>IFERROR(INDEX([1]DATA!$AH:$AH,MATCH('[1]BC_ ĐG LX'!$C138&amp;'[1]BC_ ĐG LX'!U$3,[1]DATA!$AW:$AW,0)),"")</f>
        <v>9.42</v>
      </c>
      <c r="V138" s="19">
        <f>IFERROR(INDEX([1]DATA!$AH:$AH,MATCH('[1]BC_ ĐG LX'!$C138&amp;'[1]BC_ ĐG LX'!V$3,[1]DATA!$AW:$AW,0)),"")</f>
        <v>9.02</v>
      </c>
      <c r="W138" s="19">
        <f>IFERROR(INDEX([1]DATA!$AH:$AH,MATCH('[1]BC_ ĐG LX'!$C138&amp;'[1]BC_ ĐG LX'!W$3,[1]DATA!$AW:$AW,0)),"")</f>
        <v>9.42</v>
      </c>
      <c r="X138" s="19">
        <f>IFERROR(INDEX([1]DATA!$AH:$AH,MATCH('[1]BC_ ĐG LX'!$C138&amp;'[1]BC_ ĐG LX'!X$3,[1]DATA!$AW:$AW,0)),"")</f>
        <v>9.2199999999999989</v>
      </c>
      <c r="Y138" s="19">
        <f>IFERROR(INDEX([1]DATA!$AH:$AH,MATCH('[1]BC_ ĐG LX'!$C138&amp;'[1]BC_ ĐG LX'!Y$3,[1]DATA!$AW:$AW,0)),"")</f>
        <v>9.6199999999999992</v>
      </c>
      <c r="Z138" s="19">
        <f>IFERROR(INDEX([1]DATA!$AH:$AH,MATCH('[1]BC_ ĐG LX'!$C138&amp;'[1]BC_ ĐG LX'!Z$3,[1]DATA!$AW:$AW,0)),"")</f>
        <v>9.82</v>
      </c>
      <c r="AA138" s="19">
        <f>IFERROR(INDEX([1]DATA!$AH:$AH,MATCH('[1]BC_ ĐG LX'!$C138&amp;'[1]BC_ ĐG LX'!AA$3,[1]DATA!$AW:$AW,0)),"")</f>
        <v>8.84</v>
      </c>
      <c r="AB138" s="19">
        <f>IFERROR(INDEX([1]DATA!$AH:$AH,MATCH('[1]BC_ ĐG LX'!$C138&amp;'[1]BC_ ĐG LX'!AB$3,[1]DATA!$AW:$AW,0)),"")</f>
        <v>8.84</v>
      </c>
      <c r="AC138" s="19">
        <f>IFERROR(INDEX([1]DATA!$AH:$AH,MATCH('[1]BC_ ĐG LX'!$C138&amp;'[1]BC_ ĐG LX'!AC$3,[1]DATA!$AW:$AW,0)),"")</f>
        <v>9.82</v>
      </c>
      <c r="AD138" s="19">
        <f>IFERROR(INDEX([1]DATA!$AH:$AH,MATCH('[1]BC_ ĐG LX'!$C138&amp;'[1]BC_ ĐG LX'!AD$3,[1]DATA!$AW:$AW,0)),"")</f>
        <v>9.02</v>
      </c>
      <c r="AE138" s="19">
        <f>IFERROR(INDEX([1]DATA!$AH:$AH,MATCH('[1]BC_ ĐG LX'!$C138&amp;'[1]BC_ ĐG LX'!AE$3,[1]DATA!$AW:$AW,0)),"")</f>
        <v>9.82</v>
      </c>
      <c r="AF138" s="19" t="str">
        <f>IFERROR(INDEX([1]DATA!$AH:$AH,MATCH('[1]BC_ ĐG LX'!$C138&amp;'[1]BC_ ĐG LX'!AF$3,[1]DATA!$AW:$AW,0)),"")</f>
        <v/>
      </c>
      <c r="AG138" s="19" t="str">
        <f>IFERROR(INDEX([1]DATA!$AH:$AH,MATCH('[1]BC_ ĐG LX'!$C138&amp;'[1]BC_ ĐG LX'!AG$3,[1]DATA!$AW:$AW,0)),"")</f>
        <v/>
      </c>
      <c r="AH138" s="19" t="str">
        <f>IFERROR(INDEX([1]DATA!$AH:$AH,MATCH('[1]BC_ ĐG LX'!$C138&amp;'[1]BC_ ĐG LX'!AH$3,[1]DATA!$AW:$AW,0)),"")</f>
        <v/>
      </c>
      <c r="AI138" s="19" t="str">
        <f>IFERROR(INDEX([1]DATA!$AH:$AH,MATCH('[1]BC_ ĐG LX'!$C138&amp;'[1]BC_ ĐG LX'!AI$3,[1]DATA!$AW:$AW,0)),"")</f>
        <v/>
      </c>
      <c r="AJ138" s="19" t="str">
        <f>IFERROR(INDEX([1]DATA!$AH:$AH,MATCH('[1]BC_ ĐG LX'!$C138&amp;'[1]BC_ ĐG LX'!AJ$3,[1]DATA!$AW:$AW,0)),"")</f>
        <v/>
      </c>
      <c r="AK138" s="26">
        <f t="shared" si="9"/>
        <v>9.5</v>
      </c>
      <c r="AL138" s="21"/>
      <c r="AM138" s="22">
        <f t="shared" si="8"/>
        <v>25</v>
      </c>
      <c r="AN138" s="22" t="str">
        <f>_xlfn.XLOOKUP(B138,[1]DATA!AF:AF,[1]DATA!AX:AX)</f>
        <v>Nga</v>
      </c>
      <c r="AO138"/>
    </row>
    <row r="139" spans="1:41" s="22" customFormat="1" ht="14.25" customHeight="1">
      <c r="A139" s="16">
        <f>SUBTOTAL(3,$D$135:D139)</f>
        <v>5</v>
      </c>
      <c r="B139" s="16" t="str">
        <f>_xlfn.XLOOKUP(C139,[1]DATA!D:D,[1]DATA!AF:AF)</f>
        <v>XE00309</v>
      </c>
      <c r="C139" s="18" t="s">
        <v>163</v>
      </c>
      <c r="D139" s="16" t="s">
        <v>23</v>
      </c>
      <c r="E139" s="18" t="s">
        <v>17</v>
      </c>
      <c r="F139" s="18" t="s">
        <v>18</v>
      </c>
      <c r="G139" s="19">
        <f>IFERROR(INDEX([1]DATA!$AH:$AH,MATCH('[1]BC_ ĐG LX'!$C139&amp;'[1]BC_ ĐG LX'!G$3,[1]DATA!$AW:$AW,0)),"")</f>
        <v>9.82</v>
      </c>
      <c r="H139" s="19">
        <f>IFERROR(INDEX([1]DATA!$AH:$AH,MATCH('[1]BC_ ĐG LX'!$C139&amp;'[1]BC_ ĐG LX'!H$3,[1]DATA!$AW:$AW,0)),"")</f>
        <v>9.82</v>
      </c>
      <c r="I139" s="19">
        <f>IFERROR(INDEX([1]DATA!$AH:$AH,MATCH('[1]BC_ ĐG LX'!$C139&amp;'[1]BC_ ĐG LX'!I$3,[1]DATA!$AW:$AW,0)),"")</f>
        <v>9.42</v>
      </c>
      <c r="J139" s="19">
        <f>IFERROR(INDEX([1]DATA!$AH:$AH,MATCH('[1]BC_ ĐG LX'!$C139&amp;'[1]BC_ ĐG LX'!J$3,[1]DATA!$AW:$AW,0)),"")</f>
        <v>9.82</v>
      </c>
      <c r="K139" s="19">
        <f>IFERROR(INDEX([1]DATA!$AH:$AH,MATCH('[1]BC_ ĐG LX'!$C139&amp;'[1]BC_ ĐG LX'!K$3,[1]DATA!$AW:$AW,0)),"")</f>
        <v>9.82</v>
      </c>
      <c r="L139" s="19">
        <f>IFERROR(INDEX([1]DATA!$AH:$AH,MATCH('[1]BC_ ĐG LX'!$C139&amp;'[1]BC_ ĐG LX'!L$3,[1]DATA!$AW:$AW,0)),"")</f>
        <v>9.42</v>
      </c>
      <c r="M139" s="19">
        <f>IFERROR(INDEX([1]DATA!$AH:$AH,MATCH('[1]BC_ ĐG LX'!$C139&amp;'[1]BC_ ĐG LX'!M$3,[1]DATA!$AW:$AW,0)),"")</f>
        <v>9.82</v>
      </c>
      <c r="N139" s="19">
        <f>IFERROR(INDEX([1]DATA!$AH:$AH,MATCH('[1]BC_ ĐG LX'!$C139&amp;'[1]BC_ ĐG LX'!N$3,[1]DATA!$AW:$AW,0)),"")</f>
        <v>9.42</v>
      </c>
      <c r="O139" s="19">
        <f>IFERROR(INDEX([1]DATA!$AH:$AH,MATCH('[1]BC_ ĐG LX'!$C139&amp;'[1]BC_ ĐG LX'!O$3,[1]DATA!$AW:$AW,0)),"")</f>
        <v>8.84</v>
      </c>
      <c r="P139" s="19">
        <f>IFERROR(INDEX([1]DATA!$AH:$AH,MATCH('[1]BC_ ĐG LX'!$C139&amp;'[1]BC_ ĐG LX'!P$3,[1]DATA!$AW:$AW,0)),"")</f>
        <v>8.6199999999999992</v>
      </c>
      <c r="Q139" s="19">
        <f>IFERROR(INDEX([1]DATA!$AH:$AH,MATCH('[1]BC_ ĐG LX'!$C139&amp;'[1]BC_ ĐG LX'!Q$3,[1]DATA!$AW:$AW,0)),"")</f>
        <v>9.42</v>
      </c>
      <c r="R139" s="19">
        <f>IFERROR(INDEX([1]DATA!$AH:$AH,MATCH('[1]BC_ ĐG LX'!$C139&amp;'[1]BC_ ĐG LX'!R$3,[1]DATA!$AW:$AW,0)),"")</f>
        <v>8.84</v>
      </c>
      <c r="S139" s="19">
        <f>IFERROR(INDEX([1]DATA!$AH:$AH,MATCH('[1]BC_ ĐG LX'!$C139&amp;'[1]BC_ ĐG LX'!S$3,[1]DATA!$AW:$AW,0)),"")</f>
        <v>9.24</v>
      </c>
      <c r="T139" s="19">
        <f>IFERROR(INDEX([1]DATA!$AH:$AH,MATCH('[1]BC_ ĐG LX'!$C139&amp;'[1]BC_ ĐG LX'!T$3,[1]DATA!$AW:$AW,0)),"")</f>
        <v>9.42</v>
      </c>
      <c r="U139" s="19">
        <f>IFERROR(INDEX([1]DATA!$AH:$AH,MATCH('[1]BC_ ĐG LX'!$C139&amp;'[1]BC_ ĐG LX'!U$3,[1]DATA!$AW:$AW,0)),"")</f>
        <v>9.82</v>
      </c>
      <c r="V139" s="19">
        <f>IFERROR(INDEX([1]DATA!$AH:$AH,MATCH('[1]BC_ ĐG LX'!$C139&amp;'[1]BC_ ĐG LX'!V$3,[1]DATA!$AW:$AW,0)),"")</f>
        <v>9.82</v>
      </c>
      <c r="W139" s="19">
        <f>IFERROR(INDEX([1]DATA!$AH:$AH,MATCH('[1]BC_ ĐG LX'!$C139&amp;'[1]BC_ ĐG LX'!W$3,[1]DATA!$AW:$AW,0)),"")</f>
        <v>9.02</v>
      </c>
      <c r="X139" s="19">
        <f>IFERROR(INDEX([1]DATA!$AH:$AH,MATCH('[1]BC_ ĐG LX'!$C139&amp;'[1]BC_ ĐG LX'!X$3,[1]DATA!$AW:$AW,0)),"")</f>
        <v>9.24</v>
      </c>
      <c r="Y139" s="19">
        <f>IFERROR(INDEX([1]DATA!$AH:$AH,MATCH('[1]BC_ ĐG LX'!$C139&amp;'[1]BC_ ĐG LX'!Y$3,[1]DATA!$AW:$AW,0)),"")</f>
        <v>9.6199999999999992</v>
      </c>
      <c r="Z139" s="19">
        <f>IFERROR(INDEX([1]DATA!$AH:$AH,MATCH('[1]BC_ ĐG LX'!$C139&amp;'[1]BC_ ĐG LX'!Z$3,[1]DATA!$AW:$AW,0)),"")</f>
        <v>9.82</v>
      </c>
      <c r="AA139" s="19">
        <f>IFERROR(INDEX([1]DATA!$AH:$AH,MATCH('[1]BC_ ĐG LX'!$C139&amp;'[1]BC_ ĐG LX'!AA$3,[1]DATA!$AW:$AW,0)),"")</f>
        <v>8.84</v>
      </c>
      <c r="AB139" s="19">
        <f>IFERROR(INDEX([1]DATA!$AH:$AH,MATCH('[1]BC_ ĐG LX'!$C139&amp;'[1]BC_ ĐG LX'!AB$3,[1]DATA!$AW:$AW,0)),"")</f>
        <v>9.82</v>
      </c>
      <c r="AC139" s="19">
        <f>IFERROR(INDEX([1]DATA!$AH:$AH,MATCH('[1]BC_ ĐG LX'!$C139&amp;'[1]BC_ ĐG LX'!AC$3,[1]DATA!$AW:$AW,0)),"")</f>
        <v>7.82</v>
      </c>
      <c r="AD139" s="19">
        <f>IFERROR(INDEX([1]DATA!$AH:$AH,MATCH('[1]BC_ ĐG LX'!$C139&amp;'[1]BC_ ĐG LX'!AD$3,[1]DATA!$AW:$AW,0)),"")</f>
        <v>8.84</v>
      </c>
      <c r="AE139" s="19">
        <f>IFERROR(INDEX([1]DATA!$AH:$AH,MATCH('[1]BC_ ĐG LX'!$C139&amp;'[1]BC_ ĐG LX'!AE$3,[1]DATA!$AW:$AW,0)),"")</f>
        <v>9.2199999999999989</v>
      </c>
      <c r="AF139" s="19" t="str">
        <f>IFERROR(INDEX([1]DATA!$AH:$AH,MATCH('[1]BC_ ĐG LX'!$C139&amp;'[1]BC_ ĐG LX'!AF$3,[1]DATA!$AW:$AW,0)),"")</f>
        <v/>
      </c>
      <c r="AG139" s="19" t="str">
        <f>IFERROR(INDEX([1]DATA!$AH:$AH,MATCH('[1]BC_ ĐG LX'!$C139&amp;'[1]BC_ ĐG LX'!AG$3,[1]DATA!$AW:$AW,0)),"")</f>
        <v/>
      </c>
      <c r="AH139" s="19" t="str">
        <f>IFERROR(INDEX([1]DATA!$AH:$AH,MATCH('[1]BC_ ĐG LX'!$C139&amp;'[1]BC_ ĐG LX'!AH$3,[1]DATA!$AW:$AW,0)),"")</f>
        <v/>
      </c>
      <c r="AI139" s="19" t="str">
        <f>IFERROR(INDEX([1]DATA!$AH:$AH,MATCH('[1]BC_ ĐG LX'!$C139&amp;'[1]BC_ ĐG LX'!AI$3,[1]DATA!$AW:$AW,0)),"")</f>
        <v/>
      </c>
      <c r="AJ139" s="19" t="str">
        <f>IFERROR(INDEX([1]DATA!$AH:$AH,MATCH('[1]BC_ ĐG LX'!$C139&amp;'[1]BC_ ĐG LX'!AJ$3,[1]DATA!$AW:$AW,0)),"")</f>
        <v/>
      </c>
      <c r="AK139" s="26">
        <f t="shared" si="9"/>
        <v>9.4</v>
      </c>
      <c r="AL139" s="21"/>
      <c r="AM139" s="22">
        <f t="shared" si="8"/>
        <v>25</v>
      </c>
      <c r="AN139" s="22" t="str">
        <f>_xlfn.XLOOKUP(B139,[1]DATA!AF:AF,[1]DATA!AX:AX)</f>
        <v>Nga</v>
      </c>
      <c r="AO139"/>
    </row>
    <row r="140" spans="1:41" s="22" customFormat="1" ht="14.25" customHeight="1">
      <c r="A140" s="16">
        <f>SUBTOTAL(3,$D$135:D140)</f>
        <v>6</v>
      </c>
      <c r="B140" s="16" t="str">
        <f>_xlfn.XLOOKUP(C140,[1]DATA!D:D,[1]DATA!AF:AF)</f>
        <v>XE00320</v>
      </c>
      <c r="C140" s="18" t="s">
        <v>164</v>
      </c>
      <c r="D140" s="16" t="s">
        <v>23</v>
      </c>
      <c r="E140" s="18" t="s">
        <v>17</v>
      </c>
      <c r="F140" s="18" t="s">
        <v>18</v>
      </c>
      <c r="G140" s="19">
        <f>IFERROR(INDEX([1]DATA!$AH:$AH,MATCH('[1]BC_ ĐG LX'!$C140&amp;'[1]BC_ ĐG LX'!G$3,[1]DATA!$AW:$AW,0)),"")</f>
        <v>9.42</v>
      </c>
      <c r="H140" s="19">
        <f>IFERROR(INDEX([1]DATA!$AH:$AH,MATCH('[1]BC_ ĐG LX'!$C140&amp;'[1]BC_ ĐG LX'!H$3,[1]DATA!$AW:$AW,0)),"")</f>
        <v>9.42</v>
      </c>
      <c r="I140" s="19">
        <f>IFERROR(INDEX([1]DATA!$AH:$AH,MATCH('[1]BC_ ĐG LX'!$C140&amp;'[1]BC_ ĐG LX'!I$3,[1]DATA!$AW:$AW,0)),"")</f>
        <v>9.42</v>
      </c>
      <c r="J140" s="19">
        <f>IFERROR(INDEX([1]DATA!$AH:$AH,MATCH('[1]BC_ ĐG LX'!$C140&amp;'[1]BC_ ĐG LX'!J$3,[1]DATA!$AW:$AW,0)),"")</f>
        <v>9.42</v>
      </c>
      <c r="K140" s="19">
        <f>IFERROR(INDEX([1]DATA!$AH:$AH,MATCH('[1]BC_ ĐG LX'!$C140&amp;'[1]BC_ ĐG LX'!K$3,[1]DATA!$AW:$AW,0)),"")</f>
        <v>8.84</v>
      </c>
      <c r="L140" s="19">
        <f>IFERROR(INDEX([1]DATA!$AH:$AH,MATCH('[1]BC_ ĐG LX'!$C140&amp;'[1]BC_ ĐG LX'!L$3,[1]DATA!$AW:$AW,0)),"")</f>
        <v>9.82</v>
      </c>
      <c r="M140" s="19">
        <f>IFERROR(INDEX([1]DATA!$AH:$AH,MATCH('[1]BC_ ĐG LX'!$C140&amp;'[1]BC_ ĐG LX'!M$3,[1]DATA!$AW:$AW,0)),"")</f>
        <v>9.02</v>
      </c>
      <c r="N140" s="19">
        <f>IFERROR(INDEX([1]DATA!$AH:$AH,MATCH('[1]BC_ ĐG LX'!$C140&amp;'[1]BC_ ĐG LX'!N$3,[1]DATA!$AW:$AW,0)),"")</f>
        <v>9.42</v>
      </c>
      <c r="O140" s="19">
        <f>IFERROR(INDEX([1]DATA!$AH:$AH,MATCH('[1]BC_ ĐG LX'!$C140&amp;'[1]BC_ ĐG LX'!O$3,[1]DATA!$AW:$AW,0)),"")</f>
        <v>9.42</v>
      </c>
      <c r="P140" s="19">
        <f>IFERROR(INDEX([1]DATA!$AH:$AH,MATCH('[1]BC_ ĐG LX'!$C140&amp;'[1]BC_ ĐG LX'!P$3,[1]DATA!$AW:$AW,0)),"")</f>
        <v>9.02</v>
      </c>
      <c r="Q140" s="19">
        <f>IFERROR(INDEX([1]DATA!$AH:$AH,MATCH('[1]BC_ ĐG LX'!$C140&amp;'[1]BC_ ĐG LX'!Q$3,[1]DATA!$AW:$AW,0)),"")</f>
        <v>9.82</v>
      </c>
      <c r="R140" s="19">
        <f>IFERROR(INDEX([1]DATA!$AH:$AH,MATCH('[1]BC_ ĐG LX'!$C140&amp;'[1]BC_ ĐG LX'!R$3,[1]DATA!$AW:$AW,0)),"")</f>
        <v>9.82</v>
      </c>
      <c r="S140" s="19">
        <f>IFERROR(INDEX([1]DATA!$AH:$AH,MATCH('[1]BC_ ĐG LX'!$C140&amp;'[1]BC_ ĐG LX'!S$3,[1]DATA!$AW:$AW,0)),"")</f>
        <v>8.84</v>
      </c>
      <c r="T140" s="19">
        <f>IFERROR(INDEX([1]DATA!$AH:$AH,MATCH('[1]BC_ ĐG LX'!$C140&amp;'[1]BC_ ĐG LX'!T$3,[1]DATA!$AW:$AW,0)),"")</f>
        <v>8.84</v>
      </c>
      <c r="U140" s="19">
        <f>IFERROR(INDEX([1]DATA!$AH:$AH,MATCH('[1]BC_ ĐG LX'!$C140&amp;'[1]BC_ ĐG LX'!U$3,[1]DATA!$AW:$AW,0)),"")</f>
        <v>9.82</v>
      </c>
      <c r="V140" s="19">
        <f>IFERROR(INDEX([1]DATA!$AH:$AH,MATCH('[1]BC_ ĐG LX'!$C140&amp;'[1]BC_ ĐG LX'!V$3,[1]DATA!$AW:$AW,0)),"")</f>
        <v>9.82</v>
      </c>
      <c r="W140" s="19">
        <f>IFERROR(INDEX([1]DATA!$AH:$AH,MATCH('[1]BC_ ĐG LX'!$C140&amp;'[1]BC_ ĐG LX'!W$3,[1]DATA!$AW:$AW,0)),"")</f>
        <v>9.82</v>
      </c>
      <c r="X140" s="19">
        <f>IFERROR(INDEX([1]DATA!$AH:$AH,MATCH('[1]BC_ ĐG LX'!$C140&amp;'[1]BC_ ĐG LX'!X$3,[1]DATA!$AW:$AW,0)),"")</f>
        <v>7.82</v>
      </c>
      <c r="Y140" s="19">
        <f>IFERROR(INDEX([1]DATA!$AH:$AH,MATCH('[1]BC_ ĐG LX'!$C140&amp;'[1]BC_ ĐG LX'!Y$3,[1]DATA!$AW:$AW,0)),"")</f>
        <v>9.2199999999999989</v>
      </c>
      <c r="Z140" s="19">
        <f>IFERROR(INDEX([1]DATA!$AH:$AH,MATCH('[1]BC_ ĐG LX'!$C140&amp;'[1]BC_ ĐG LX'!Z$3,[1]DATA!$AW:$AW,0)),"")</f>
        <v>9.02</v>
      </c>
      <c r="AA140" s="19">
        <f>IFERROR(INDEX([1]DATA!$AH:$AH,MATCH('[1]BC_ ĐG LX'!$C140&amp;'[1]BC_ ĐG LX'!AA$3,[1]DATA!$AW:$AW,0)),"")</f>
        <v>9.02</v>
      </c>
      <c r="AB140" s="19">
        <f>IFERROR(INDEX([1]DATA!$AH:$AH,MATCH('[1]BC_ ĐG LX'!$C140&amp;'[1]BC_ ĐG LX'!AB$3,[1]DATA!$AW:$AW,0)),"")</f>
        <v>9.6199999999999992</v>
      </c>
      <c r="AC140" s="19">
        <f>IFERROR(INDEX([1]DATA!$AH:$AH,MATCH('[1]BC_ ĐG LX'!$C140&amp;'[1]BC_ ĐG LX'!AC$3,[1]DATA!$AW:$AW,0)),"")</f>
        <v>8.84</v>
      </c>
      <c r="AD140" s="19">
        <f>IFERROR(INDEX([1]DATA!$AH:$AH,MATCH('[1]BC_ ĐG LX'!$C140&amp;'[1]BC_ ĐG LX'!AD$3,[1]DATA!$AW:$AW,0)),"")</f>
        <v>8.84</v>
      </c>
      <c r="AE140" s="19">
        <f>IFERROR(INDEX([1]DATA!$AH:$AH,MATCH('[1]BC_ ĐG LX'!$C140&amp;'[1]BC_ ĐG LX'!AE$3,[1]DATA!$AW:$AW,0)),"")</f>
        <v>9.42</v>
      </c>
      <c r="AF140" s="19" t="str">
        <f>IFERROR(INDEX([1]DATA!$AH:$AH,MATCH('[1]BC_ ĐG LX'!$C140&amp;'[1]BC_ ĐG LX'!AF$3,[1]DATA!$AW:$AW,0)),"")</f>
        <v/>
      </c>
      <c r="AG140" s="19" t="str">
        <f>IFERROR(INDEX([1]DATA!$AH:$AH,MATCH('[1]BC_ ĐG LX'!$C140&amp;'[1]BC_ ĐG LX'!AG$3,[1]DATA!$AW:$AW,0)),"")</f>
        <v/>
      </c>
      <c r="AH140" s="19" t="str">
        <f>IFERROR(INDEX([1]DATA!$AH:$AH,MATCH('[1]BC_ ĐG LX'!$C140&amp;'[1]BC_ ĐG LX'!AH$3,[1]DATA!$AW:$AW,0)),"")</f>
        <v/>
      </c>
      <c r="AI140" s="19" t="str">
        <f>IFERROR(INDEX([1]DATA!$AH:$AH,MATCH('[1]BC_ ĐG LX'!$C140&amp;'[1]BC_ ĐG LX'!AI$3,[1]DATA!$AW:$AW,0)),"")</f>
        <v/>
      </c>
      <c r="AJ140" s="19" t="str">
        <f>IFERROR(INDEX([1]DATA!$AH:$AH,MATCH('[1]BC_ ĐG LX'!$C140&amp;'[1]BC_ ĐG LX'!AJ$3,[1]DATA!$AW:$AW,0)),"")</f>
        <v/>
      </c>
      <c r="AK140" s="26">
        <f t="shared" si="9"/>
        <v>9.2999999999999989</v>
      </c>
      <c r="AL140" s="21"/>
      <c r="AM140" s="22">
        <f t="shared" si="8"/>
        <v>25</v>
      </c>
      <c r="AN140" s="22" t="str">
        <f>_xlfn.XLOOKUP(B140,[1]DATA!AF:AF,[1]DATA!AX:AX)</f>
        <v>Nga</v>
      </c>
      <c r="AO140"/>
    </row>
    <row r="141" spans="1:41" s="22" customFormat="1" ht="14.25" customHeight="1">
      <c r="A141" s="16">
        <f>SUBTOTAL(3,$D$135:D141)</f>
        <v>7</v>
      </c>
      <c r="B141" s="16" t="str">
        <f>_xlfn.XLOOKUP(C141,[1]DATA!D:D,[1]DATA!AF:AF)</f>
        <v>XE00326</v>
      </c>
      <c r="C141" s="18" t="s">
        <v>165</v>
      </c>
      <c r="D141" s="16" t="s">
        <v>23</v>
      </c>
      <c r="E141" s="18" t="s">
        <v>17</v>
      </c>
      <c r="F141" s="18" t="s">
        <v>18</v>
      </c>
      <c r="G141" s="19">
        <f>IFERROR(INDEX([1]DATA!$AH:$AH,MATCH('[1]BC_ ĐG LX'!$C141&amp;'[1]BC_ ĐG LX'!G$3,[1]DATA!$AW:$AW,0)),"")</f>
        <v>9.02</v>
      </c>
      <c r="H141" s="19">
        <f>IFERROR(INDEX([1]DATA!$AH:$AH,MATCH('[1]BC_ ĐG LX'!$C141&amp;'[1]BC_ ĐG LX'!H$3,[1]DATA!$AW:$AW,0)),"")</f>
        <v>10</v>
      </c>
      <c r="I141" s="19">
        <f>IFERROR(INDEX([1]DATA!$AH:$AH,MATCH('[1]BC_ ĐG LX'!$C141&amp;'[1]BC_ ĐG LX'!I$3,[1]DATA!$AW:$AW,0)),"")</f>
        <v>9.42</v>
      </c>
      <c r="J141" s="19">
        <f>IFERROR(INDEX([1]DATA!$AH:$AH,MATCH('[1]BC_ ĐG LX'!$C141&amp;'[1]BC_ ĐG LX'!J$3,[1]DATA!$AW:$AW,0)),"")</f>
        <v>9.82</v>
      </c>
      <c r="K141" s="19">
        <f>IFERROR(INDEX([1]DATA!$AH:$AH,MATCH('[1]BC_ ĐG LX'!$C141&amp;'[1]BC_ ĐG LX'!K$3,[1]DATA!$AW:$AW,0)),"")</f>
        <v>9.42</v>
      </c>
      <c r="L141" s="19">
        <f>IFERROR(INDEX([1]DATA!$AH:$AH,MATCH('[1]BC_ ĐG LX'!$C141&amp;'[1]BC_ ĐG LX'!L$3,[1]DATA!$AW:$AW,0)),"")</f>
        <v>8.44</v>
      </c>
      <c r="M141" s="19">
        <f>IFERROR(INDEX([1]DATA!$AH:$AH,MATCH('[1]BC_ ĐG LX'!$C141&amp;'[1]BC_ ĐG LX'!M$3,[1]DATA!$AW:$AW,0)),"")</f>
        <v>9.02</v>
      </c>
      <c r="N141" s="19">
        <f>IFERROR(INDEX([1]DATA!$AH:$AH,MATCH('[1]BC_ ĐG LX'!$C141&amp;'[1]BC_ ĐG LX'!N$3,[1]DATA!$AW:$AW,0)),"")</f>
        <v>9.6199999999999992</v>
      </c>
      <c r="O141" s="19">
        <f>IFERROR(INDEX([1]DATA!$AH:$AH,MATCH('[1]BC_ ĐG LX'!$C141&amp;'[1]BC_ ĐG LX'!O$3,[1]DATA!$AW:$AW,0)),"")</f>
        <v>9.24</v>
      </c>
      <c r="P141" s="19">
        <f>IFERROR(INDEX([1]DATA!$AH:$AH,MATCH('[1]BC_ ĐG LX'!$C141&amp;'[1]BC_ ĐG LX'!P$3,[1]DATA!$AW:$AW,0)),"")</f>
        <v>9.82</v>
      </c>
      <c r="Q141" s="19">
        <f>IFERROR(INDEX([1]DATA!$AH:$AH,MATCH('[1]BC_ ĐG LX'!$C141&amp;'[1]BC_ ĐG LX'!Q$3,[1]DATA!$AW:$AW,0)),"")</f>
        <v>9.82</v>
      </c>
      <c r="R141" s="19">
        <f>IFERROR(INDEX([1]DATA!$AH:$AH,MATCH('[1]BC_ ĐG LX'!$C141&amp;'[1]BC_ ĐG LX'!R$3,[1]DATA!$AW:$AW,0)),"")</f>
        <v>9.82</v>
      </c>
      <c r="S141" s="19">
        <f>IFERROR(INDEX([1]DATA!$AH:$AH,MATCH('[1]BC_ ĐG LX'!$C141&amp;'[1]BC_ ĐG LX'!S$3,[1]DATA!$AW:$AW,0)),"")</f>
        <v>9.42</v>
      </c>
      <c r="T141" s="19">
        <f>IFERROR(INDEX([1]DATA!$AH:$AH,MATCH('[1]BC_ ĐG LX'!$C141&amp;'[1]BC_ ĐG LX'!T$3,[1]DATA!$AW:$AW,0)),"")</f>
        <v>9.42</v>
      </c>
      <c r="U141" s="19">
        <f>IFERROR(INDEX([1]DATA!$AH:$AH,MATCH('[1]BC_ ĐG LX'!$C141&amp;'[1]BC_ ĐG LX'!U$3,[1]DATA!$AW:$AW,0)),"")</f>
        <v>9.82</v>
      </c>
      <c r="V141" s="19">
        <f>IFERROR(INDEX([1]DATA!$AH:$AH,MATCH('[1]BC_ ĐG LX'!$C141&amp;'[1]BC_ ĐG LX'!V$3,[1]DATA!$AW:$AW,0)),"")</f>
        <v>9.42</v>
      </c>
      <c r="W141" s="19">
        <f>IFERROR(INDEX([1]DATA!$AH:$AH,MATCH('[1]BC_ ĐG LX'!$C141&amp;'[1]BC_ ĐG LX'!W$3,[1]DATA!$AW:$AW,0)),"")</f>
        <v>8.44</v>
      </c>
      <c r="X141" s="19">
        <f>IFERROR(INDEX([1]DATA!$AH:$AH,MATCH('[1]BC_ ĐG LX'!$C141&amp;'[1]BC_ ĐG LX'!X$3,[1]DATA!$AW:$AW,0)),"")</f>
        <v>9.02</v>
      </c>
      <c r="Y141" s="19">
        <f>IFERROR(INDEX([1]DATA!$AH:$AH,MATCH('[1]BC_ ĐG LX'!$C141&amp;'[1]BC_ ĐG LX'!Y$3,[1]DATA!$AW:$AW,0)),"")</f>
        <v>9.82</v>
      </c>
      <c r="Z141" s="19">
        <f>IFERROR(INDEX([1]DATA!$AH:$AH,MATCH('[1]BC_ ĐG LX'!$C141&amp;'[1]BC_ ĐG LX'!Z$3,[1]DATA!$AW:$AW,0)),"")</f>
        <v>9.82</v>
      </c>
      <c r="AA141" s="19">
        <f>IFERROR(INDEX([1]DATA!$AH:$AH,MATCH('[1]BC_ ĐG LX'!$C141&amp;'[1]BC_ ĐG LX'!AA$3,[1]DATA!$AW:$AW,0)),"")</f>
        <v>9.82</v>
      </c>
      <c r="AB141" s="19">
        <f>IFERROR(INDEX([1]DATA!$AH:$AH,MATCH('[1]BC_ ĐG LX'!$C141&amp;'[1]BC_ ĐG LX'!AB$3,[1]DATA!$AW:$AW,0)),"")</f>
        <v>9.42</v>
      </c>
      <c r="AC141" s="19">
        <f>IFERROR(INDEX([1]DATA!$AH:$AH,MATCH('[1]BC_ ĐG LX'!$C141&amp;'[1]BC_ ĐG LX'!AC$3,[1]DATA!$AW:$AW,0)),"")</f>
        <v>8.2200000000000006</v>
      </c>
      <c r="AD141" s="19">
        <f>IFERROR(INDEX([1]DATA!$AH:$AH,MATCH('[1]BC_ ĐG LX'!$C141&amp;'[1]BC_ ĐG LX'!AD$3,[1]DATA!$AW:$AW,0)),"")</f>
        <v>9.42</v>
      </c>
      <c r="AE141" s="19">
        <f>IFERROR(INDEX([1]DATA!$AH:$AH,MATCH('[1]BC_ ĐG LX'!$C141&amp;'[1]BC_ ĐG LX'!AE$3,[1]DATA!$AW:$AW,0)),"")</f>
        <v>9.82</v>
      </c>
      <c r="AF141" s="19" t="str">
        <f>IFERROR(INDEX([1]DATA!$AH:$AH,MATCH('[1]BC_ ĐG LX'!$C141&amp;'[1]BC_ ĐG LX'!AF$3,[1]DATA!$AW:$AW,0)),"")</f>
        <v/>
      </c>
      <c r="AG141" s="19" t="str">
        <f>IFERROR(INDEX([1]DATA!$AH:$AH,MATCH('[1]BC_ ĐG LX'!$C141&amp;'[1]BC_ ĐG LX'!AG$3,[1]DATA!$AW:$AW,0)),"")</f>
        <v/>
      </c>
      <c r="AH141" s="19" t="str">
        <f>IFERROR(INDEX([1]DATA!$AH:$AH,MATCH('[1]BC_ ĐG LX'!$C141&amp;'[1]BC_ ĐG LX'!AH$3,[1]DATA!$AW:$AW,0)),"")</f>
        <v/>
      </c>
      <c r="AI141" s="19" t="str">
        <f>IFERROR(INDEX([1]DATA!$AH:$AH,MATCH('[1]BC_ ĐG LX'!$C141&amp;'[1]BC_ ĐG LX'!AI$3,[1]DATA!$AW:$AW,0)),"")</f>
        <v/>
      </c>
      <c r="AJ141" s="19" t="str">
        <f>IFERROR(INDEX([1]DATA!$AH:$AH,MATCH('[1]BC_ ĐG LX'!$C141&amp;'[1]BC_ ĐG LX'!AJ$3,[1]DATA!$AW:$AW,0)),"")</f>
        <v/>
      </c>
      <c r="AK141" s="26">
        <f t="shared" si="9"/>
        <v>9.5</v>
      </c>
      <c r="AL141" s="21"/>
      <c r="AM141" s="22">
        <f t="shared" si="8"/>
        <v>25</v>
      </c>
      <c r="AN141" s="22" t="str">
        <f>_xlfn.XLOOKUP(B141,[1]DATA!AF:AF,[1]DATA!AX:AX)</f>
        <v>Nga</v>
      </c>
      <c r="AO141"/>
    </row>
    <row r="142" spans="1:41" s="22" customFormat="1" ht="14.25" customHeight="1">
      <c r="A142" s="16">
        <f>SUBTOTAL(3,$D$135:D142)</f>
        <v>8</v>
      </c>
      <c r="B142" s="16" t="str">
        <f>_xlfn.XLOOKUP(C142,[1]DATA!D:D,[1]DATA!AF:AF)</f>
        <v>XE00366</v>
      </c>
      <c r="C142" s="18" t="s">
        <v>166</v>
      </c>
      <c r="D142" s="16" t="s">
        <v>23</v>
      </c>
      <c r="E142" s="18" t="s">
        <v>17</v>
      </c>
      <c r="F142" s="18" t="s">
        <v>18</v>
      </c>
      <c r="G142" s="19">
        <f>IFERROR(INDEX([1]DATA!$AH:$AH,MATCH('[1]BC_ ĐG LX'!$C142&amp;'[1]BC_ ĐG LX'!G$3,[1]DATA!$AW:$AW,0)),"")</f>
        <v>9.82</v>
      </c>
      <c r="H142" s="19">
        <f>IFERROR(INDEX([1]DATA!$AH:$AH,MATCH('[1]BC_ ĐG LX'!$C142&amp;'[1]BC_ ĐG LX'!H$3,[1]DATA!$AW:$AW,0)),"")</f>
        <v>9.42</v>
      </c>
      <c r="I142" s="19">
        <f>IFERROR(INDEX([1]DATA!$AH:$AH,MATCH('[1]BC_ ĐG LX'!$C142&amp;'[1]BC_ ĐG LX'!I$3,[1]DATA!$AW:$AW,0)),"")</f>
        <v>9.02</v>
      </c>
      <c r="J142" s="19">
        <f>IFERROR(INDEX([1]DATA!$AH:$AH,MATCH('[1]BC_ ĐG LX'!$C142&amp;'[1]BC_ ĐG LX'!J$3,[1]DATA!$AW:$AW,0)),"")</f>
        <v>9.42</v>
      </c>
      <c r="K142" s="19">
        <f>IFERROR(INDEX([1]DATA!$AH:$AH,MATCH('[1]BC_ ĐG LX'!$C142&amp;'[1]BC_ ĐG LX'!K$3,[1]DATA!$AW:$AW,0)),"")</f>
        <v>9.42</v>
      </c>
      <c r="L142" s="19">
        <f>IFERROR(INDEX([1]DATA!$AH:$AH,MATCH('[1]BC_ ĐG LX'!$C142&amp;'[1]BC_ ĐG LX'!L$3,[1]DATA!$AW:$AW,0)),"")</f>
        <v>9.6</v>
      </c>
      <c r="M142" s="19">
        <f>IFERROR(INDEX([1]DATA!$AH:$AH,MATCH('[1]BC_ ĐG LX'!$C142&amp;'[1]BC_ ĐG LX'!M$3,[1]DATA!$AW:$AW,0)),"")</f>
        <v>9.82</v>
      </c>
      <c r="N142" s="19">
        <f>IFERROR(INDEX([1]DATA!$AH:$AH,MATCH('[1]BC_ ĐG LX'!$C142&amp;'[1]BC_ ĐG LX'!N$3,[1]DATA!$AW:$AW,0)),"")</f>
        <v>9.6199999999999992</v>
      </c>
      <c r="O142" s="19">
        <f>IFERROR(INDEX([1]DATA!$AH:$AH,MATCH('[1]BC_ ĐG LX'!$C142&amp;'[1]BC_ ĐG LX'!O$3,[1]DATA!$AW:$AW,0)),"")</f>
        <v>9.02</v>
      </c>
      <c r="P142" s="19">
        <f>IFERROR(INDEX([1]DATA!$AH:$AH,MATCH('[1]BC_ ĐG LX'!$C142&amp;'[1]BC_ ĐG LX'!P$3,[1]DATA!$AW:$AW,0)),"")</f>
        <v>9.42</v>
      </c>
      <c r="Q142" s="19">
        <f>IFERROR(INDEX([1]DATA!$AH:$AH,MATCH('[1]BC_ ĐG LX'!$C142&amp;'[1]BC_ ĐG LX'!Q$3,[1]DATA!$AW:$AW,0)),"")</f>
        <v>9.42</v>
      </c>
      <c r="R142" s="19">
        <f>IFERROR(INDEX([1]DATA!$AH:$AH,MATCH('[1]BC_ ĐG LX'!$C142&amp;'[1]BC_ ĐG LX'!R$3,[1]DATA!$AW:$AW,0)),"")</f>
        <v>9.42</v>
      </c>
      <c r="S142" s="19">
        <f>IFERROR(INDEX([1]DATA!$AH:$AH,MATCH('[1]BC_ ĐG LX'!$C142&amp;'[1]BC_ ĐG LX'!S$3,[1]DATA!$AW:$AW,0)),"")</f>
        <v>9.82</v>
      </c>
      <c r="T142" s="19">
        <f>IFERROR(INDEX([1]DATA!$AH:$AH,MATCH('[1]BC_ ĐG LX'!$C142&amp;'[1]BC_ ĐG LX'!T$3,[1]DATA!$AW:$AW,0)),"")</f>
        <v>9.42</v>
      </c>
      <c r="U142" s="19">
        <f>IFERROR(INDEX([1]DATA!$AH:$AH,MATCH('[1]BC_ ĐG LX'!$C142&amp;'[1]BC_ ĐG LX'!U$3,[1]DATA!$AW:$AW,0)),"")</f>
        <v>8.84</v>
      </c>
      <c r="V142" s="19">
        <f>IFERROR(INDEX([1]DATA!$AH:$AH,MATCH('[1]BC_ ĐG LX'!$C142&amp;'[1]BC_ ĐG LX'!V$3,[1]DATA!$AW:$AW,0)),"")</f>
        <v>9.82</v>
      </c>
      <c r="W142" s="19">
        <f>IFERROR(INDEX([1]DATA!$AH:$AH,MATCH('[1]BC_ ĐG LX'!$C142&amp;'[1]BC_ ĐG LX'!W$3,[1]DATA!$AW:$AW,0)),"")</f>
        <v>9.24</v>
      </c>
      <c r="X142" s="19">
        <f>IFERROR(INDEX([1]DATA!$AH:$AH,MATCH('[1]BC_ ĐG LX'!$C142&amp;'[1]BC_ ĐG LX'!X$3,[1]DATA!$AW:$AW,0)),"")</f>
        <v>9.42</v>
      </c>
      <c r="Y142" s="19">
        <f>IFERROR(INDEX([1]DATA!$AH:$AH,MATCH('[1]BC_ ĐG LX'!$C142&amp;'[1]BC_ ĐG LX'!Y$3,[1]DATA!$AW:$AW,0)),"")</f>
        <v>9.42</v>
      </c>
      <c r="Z142" s="19">
        <f>IFERROR(INDEX([1]DATA!$AH:$AH,MATCH('[1]BC_ ĐG LX'!$C142&amp;'[1]BC_ ĐG LX'!Z$3,[1]DATA!$AW:$AW,0)),"")</f>
        <v>9.82</v>
      </c>
      <c r="AA142" s="19">
        <f>IFERROR(INDEX([1]DATA!$AH:$AH,MATCH('[1]BC_ ĐG LX'!$C142&amp;'[1]BC_ ĐG LX'!AA$3,[1]DATA!$AW:$AW,0)),"")</f>
        <v>9.42</v>
      </c>
      <c r="AB142" s="19">
        <f>IFERROR(INDEX([1]DATA!$AH:$AH,MATCH('[1]BC_ ĐG LX'!$C142&amp;'[1]BC_ ĐG LX'!AB$3,[1]DATA!$AW:$AW,0)),"")</f>
        <v>9.42</v>
      </c>
      <c r="AC142" s="19">
        <f>IFERROR(INDEX([1]DATA!$AH:$AH,MATCH('[1]BC_ ĐG LX'!$C142&amp;'[1]BC_ ĐG LX'!AC$3,[1]DATA!$AW:$AW,0)),"")</f>
        <v>9.82</v>
      </c>
      <c r="AD142" s="19">
        <f>IFERROR(INDEX([1]DATA!$AH:$AH,MATCH('[1]BC_ ĐG LX'!$C142&amp;'[1]BC_ ĐG LX'!AD$3,[1]DATA!$AW:$AW,0)),"")</f>
        <v>9.82</v>
      </c>
      <c r="AE142" s="19">
        <f>IFERROR(INDEX([1]DATA!$AH:$AH,MATCH('[1]BC_ ĐG LX'!$C142&amp;'[1]BC_ ĐG LX'!AE$3,[1]DATA!$AW:$AW,0)),"")</f>
        <v>9.82</v>
      </c>
      <c r="AF142" s="19" t="str">
        <f>IFERROR(INDEX([1]DATA!$AH:$AH,MATCH('[1]BC_ ĐG LX'!$C142&amp;'[1]BC_ ĐG LX'!AF$3,[1]DATA!$AW:$AW,0)),"")</f>
        <v/>
      </c>
      <c r="AG142" s="19" t="str">
        <f>IFERROR(INDEX([1]DATA!$AH:$AH,MATCH('[1]BC_ ĐG LX'!$C142&amp;'[1]BC_ ĐG LX'!AG$3,[1]DATA!$AW:$AW,0)),"")</f>
        <v/>
      </c>
      <c r="AH142" s="19" t="str">
        <f>IFERROR(INDEX([1]DATA!$AH:$AH,MATCH('[1]BC_ ĐG LX'!$C142&amp;'[1]BC_ ĐG LX'!AH$3,[1]DATA!$AW:$AW,0)),"")</f>
        <v/>
      </c>
      <c r="AI142" s="19" t="str">
        <f>IFERROR(INDEX([1]DATA!$AH:$AH,MATCH('[1]BC_ ĐG LX'!$C142&amp;'[1]BC_ ĐG LX'!AI$3,[1]DATA!$AW:$AW,0)),"")</f>
        <v/>
      </c>
      <c r="AJ142" s="19" t="str">
        <f>IFERROR(INDEX([1]DATA!$AH:$AH,MATCH('[1]BC_ ĐG LX'!$C142&amp;'[1]BC_ ĐG LX'!AJ$3,[1]DATA!$AW:$AW,0)),"")</f>
        <v/>
      </c>
      <c r="AK142" s="26">
        <f t="shared" si="9"/>
        <v>9.6</v>
      </c>
      <c r="AL142" s="21"/>
      <c r="AM142" s="22">
        <f t="shared" si="8"/>
        <v>25</v>
      </c>
      <c r="AN142" s="22" t="str">
        <f>_xlfn.XLOOKUP(B142,[1]DATA!AF:AF,[1]DATA!AX:AX)</f>
        <v>Nga</v>
      </c>
      <c r="AO142"/>
    </row>
    <row r="143" spans="1:41" s="22" customFormat="1" ht="14.25" customHeight="1">
      <c r="A143" s="16">
        <f>SUBTOTAL(3,$D$135:D143)</f>
        <v>9</v>
      </c>
      <c r="B143" s="16" t="str">
        <f>_xlfn.XLOOKUP(C143,[1]DATA!D:D,[1]DATA!AF:AF)</f>
        <v>XE00524</v>
      </c>
      <c r="C143" s="18" t="s">
        <v>167</v>
      </c>
      <c r="D143" s="16" t="s">
        <v>23</v>
      </c>
      <c r="E143" s="18" t="s">
        <v>17</v>
      </c>
      <c r="F143" s="18" t="s">
        <v>18</v>
      </c>
      <c r="G143" s="19">
        <f>IFERROR(INDEX([1]DATA!$AH:$AH,MATCH('[1]BC_ ĐG LX'!$C143&amp;'[1]BC_ ĐG LX'!G$3,[1]DATA!$AW:$AW,0)),"")</f>
        <v>9.82</v>
      </c>
      <c r="H143" s="19">
        <f>IFERROR(INDEX([1]DATA!$AH:$AH,MATCH('[1]BC_ ĐG LX'!$C143&amp;'[1]BC_ ĐG LX'!H$3,[1]DATA!$AW:$AW,0)),"")</f>
        <v>9.82</v>
      </c>
      <c r="I143" s="19">
        <f>IFERROR(INDEX([1]DATA!$AH:$AH,MATCH('[1]BC_ ĐG LX'!$C143&amp;'[1]BC_ ĐG LX'!I$3,[1]DATA!$AW:$AW,0)),"")</f>
        <v>9.82</v>
      </c>
      <c r="J143" s="19">
        <f>IFERROR(INDEX([1]DATA!$AH:$AH,MATCH('[1]BC_ ĐG LX'!$C143&amp;'[1]BC_ ĐG LX'!J$3,[1]DATA!$AW:$AW,0)),"")</f>
        <v>9.42</v>
      </c>
      <c r="K143" s="19">
        <f>IFERROR(INDEX([1]DATA!$AH:$AH,MATCH('[1]BC_ ĐG LX'!$C143&amp;'[1]BC_ ĐG LX'!K$3,[1]DATA!$AW:$AW,0)),"")</f>
        <v>9.82</v>
      </c>
      <c r="L143" s="19">
        <f>IFERROR(INDEX([1]DATA!$AH:$AH,MATCH('[1]BC_ ĐG LX'!$C143&amp;'[1]BC_ ĐG LX'!L$3,[1]DATA!$AW:$AW,0)),"")</f>
        <v>9.82</v>
      </c>
      <c r="M143" s="19">
        <f>IFERROR(INDEX([1]DATA!$AH:$AH,MATCH('[1]BC_ ĐG LX'!$C143&amp;'[1]BC_ ĐG LX'!M$3,[1]DATA!$AW:$AW,0)),"")</f>
        <v>9.82</v>
      </c>
      <c r="N143" s="19">
        <f>IFERROR(INDEX([1]DATA!$AH:$AH,MATCH('[1]BC_ ĐG LX'!$C143&amp;'[1]BC_ ĐG LX'!N$3,[1]DATA!$AW:$AW,0)),"")</f>
        <v>9.82</v>
      </c>
      <c r="O143" s="19">
        <f>IFERROR(INDEX([1]DATA!$AH:$AH,MATCH('[1]BC_ ĐG LX'!$C143&amp;'[1]BC_ ĐG LX'!O$3,[1]DATA!$AW:$AW,0)),"")</f>
        <v>9.42</v>
      </c>
      <c r="P143" s="19">
        <f>IFERROR(INDEX([1]DATA!$AH:$AH,MATCH('[1]BC_ ĐG LX'!$C143&amp;'[1]BC_ ĐG LX'!P$3,[1]DATA!$AW:$AW,0)),"")</f>
        <v>8.84</v>
      </c>
      <c r="Q143" s="19">
        <f>IFERROR(INDEX([1]DATA!$AH:$AH,MATCH('[1]BC_ ĐG LX'!$C143&amp;'[1]BC_ ĐG LX'!Q$3,[1]DATA!$AW:$AW,0)),"")</f>
        <v>9.42</v>
      </c>
      <c r="R143" s="19">
        <f>IFERROR(INDEX([1]DATA!$AH:$AH,MATCH('[1]BC_ ĐG LX'!$C143&amp;'[1]BC_ ĐG LX'!R$3,[1]DATA!$AW:$AW,0)),"")</f>
        <v>9.82</v>
      </c>
      <c r="S143" s="19">
        <f>IFERROR(INDEX([1]DATA!$AH:$AH,MATCH('[1]BC_ ĐG LX'!$C143&amp;'[1]BC_ ĐG LX'!S$3,[1]DATA!$AW:$AW,0)),"")</f>
        <v>9.42</v>
      </c>
      <c r="T143" s="19">
        <f>IFERROR(INDEX([1]DATA!$AH:$AH,MATCH('[1]BC_ ĐG LX'!$C143&amp;'[1]BC_ ĐG LX'!T$3,[1]DATA!$AW:$AW,0)),"")</f>
        <v>9.82</v>
      </c>
      <c r="U143" s="19">
        <f>IFERROR(INDEX([1]DATA!$AH:$AH,MATCH('[1]BC_ ĐG LX'!$C143&amp;'[1]BC_ ĐG LX'!U$3,[1]DATA!$AW:$AW,0)),"")</f>
        <v>8.84</v>
      </c>
      <c r="V143" s="19">
        <f>IFERROR(INDEX([1]DATA!$AH:$AH,MATCH('[1]BC_ ĐG LX'!$C143&amp;'[1]BC_ ĐG LX'!V$3,[1]DATA!$AW:$AW,0)),"")</f>
        <v>9.82</v>
      </c>
      <c r="W143" s="19">
        <f>IFERROR(INDEX([1]DATA!$AH:$AH,MATCH('[1]BC_ ĐG LX'!$C143&amp;'[1]BC_ ĐG LX'!W$3,[1]DATA!$AW:$AW,0)),"")</f>
        <v>9.42</v>
      </c>
      <c r="X143" s="19">
        <f>IFERROR(INDEX([1]DATA!$AH:$AH,MATCH('[1]BC_ ĐG LX'!$C143&amp;'[1]BC_ ĐG LX'!X$3,[1]DATA!$AW:$AW,0)),"")</f>
        <v>9.42</v>
      </c>
      <c r="Y143" s="19">
        <f>IFERROR(INDEX([1]DATA!$AH:$AH,MATCH('[1]BC_ ĐG LX'!$C143&amp;'[1]BC_ ĐG LX'!Y$3,[1]DATA!$AW:$AW,0)),"")</f>
        <v>9.7799999999999994</v>
      </c>
      <c r="Z143" s="19">
        <f>IFERROR(INDEX([1]DATA!$AH:$AH,MATCH('[1]BC_ ĐG LX'!$C143&amp;'[1]BC_ ĐG LX'!Z$3,[1]DATA!$AW:$AW,0)),"")</f>
        <v>9.82</v>
      </c>
      <c r="AA143" s="19">
        <f>IFERROR(INDEX([1]DATA!$AH:$AH,MATCH('[1]BC_ ĐG LX'!$C143&amp;'[1]BC_ ĐG LX'!AA$3,[1]DATA!$AW:$AW,0)),"")</f>
        <v>9.42</v>
      </c>
      <c r="AB143" s="19">
        <f>IFERROR(INDEX([1]DATA!$AH:$AH,MATCH('[1]BC_ ĐG LX'!$C143&amp;'[1]BC_ ĐG LX'!AB$3,[1]DATA!$AW:$AW,0)),"")</f>
        <v>9.24</v>
      </c>
      <c r="AC143" s="19">
        <f>IFERROR(INDEX([1]DATA!$AH:$AH,MATCH('[1]BC_ ĐG LX'!$C143&amp;'[1]BC_ ĐG LX'!AC$3,[1]DATA!$AW:$AW,0)),"")</f>
        <v>9.82</v>
      </c>
      <c r="AD143" s="19">
        <f>IFERROR(INDEX([1]DATA!$AH:$AH,MATCH('[1]BC_ ĐG LX'!$C143&amp;'[1]BC_ ĐG LX'!AD$3,[1]DATA!$AW:$AW,0)),"")</f>
        <v>9.42</v>
      </c>
      <c r="AE143" s="19">
        <f>IFERROR(INDEX([1]DATA!$AH:$AH,MATCH('[1]BC_ ĐG LX'!$C143&amp;'[1]BC_ ĐG LX'!AE$3,[1]DATA!$AW:$AW,0)),"")</f>
        <v>9.24</v>
      </c>
      <c r="AF143" s="19" t="str">
        <f>IFERROR(INDEX([1]DATA!$AH:$AH,MATCH('[1]BC_ ĐG LX'!$C143&amp;'[1]BC_ ĐG LX'!AF$3,[1]DATA!$AW:$AW,0)),"")</f>
        <v/>
      </c>
      <c r="AG143" s="19" t="str">
        <f>IFERROR(INDEX([1]DATA!$AH:$AH,MATCH('[1]BC_ ĐG LX'!$C143&amp;'[1]BC_ ĐG LX'!AG$3,[1]DATA!$AW:$AW,0)),"")</f>
        <v/>
      </c>
      <c r="AH143" s="19" t="str">
        <f>IFERROR(INDEX([1]DATA!$AH:$AH,MATCH('[1]BC_ ĐG LX'!$C143&amp;'[1]BC_ ĐG LX'!AH$3,[1]DATA!$AW:$AW,0)),"")</f>
        <v/>
      </c>
      <c r="AI143" s="19" t="str">
        <f>IFERROR(INDEX([1]DATA!$AH:$AH,MATCH('[1]BC_ ĐG LX'!$C143&amp;'[1]BC_ ĐG LX'!AI$3,[1]DATA!$AW:$AW,0)),"")</f>
        <v/>
      </c>
      <c r="AJ143" s="19" t="str">
        <f>IFERROR(INDEX([1]DATA!$AH:$AH,MATCH('[1]BC_ ĐG LX'!$C143&amp;'[1]BC_ ĐG LX'!AJ$3,[1]DATA!$AW:$AW,0)),"")</f>
        <v/>
      </c>
      <c r="AK143" s="26">
        <f t="shared" si="9"/>
        <v>9.6</v>
      </c>
      <c r="AL143" s="21"/>
      <c r="AM143" s="22">
        <f t="shared" si="8"/>
        <v>25</v>
      </c>
      <c r="AN143" s="22" t="str">
        <f>_xlfn.XLOOKUP(B143,[1]DATA!AF:AF,[1]DATA!AX:AX)</f>
        <v>Nga</v>
      </c>
      <c r="AO143"/>
    </row>
    <row r="144" spans="1:41" s="22" customFormat="1" ht="14.25" customHeight="1">
      <c r="A144" s="16">
        <f>SUBTOTAL(3,$D$135:D144)</f>
        <v>10</v>
      </c>
      <c r="B144" s="16" t="str">
        <f>_xlfn.XLOOKUP(C144,[1]DATA!D:D,[1]DATA!AF:AF)</f>
        <v>XE00734</v>
      </c>
      <c r="C144" s="18" t="s">
        <v>168</v>
      </c>
      <c r="D144" s="16" t="s">
        <v>23</v>
      </c>
      <c r="E144" s="18" t="s">
        <v>17</v>
      </c>
      <c r="F144" s="18" t="s">
        <v>18</v>
      </c>
      <c r="G144" s="19">
        <f>IFERROR(INDEX([1]DATA!$AH:$AH,MATCH('[1]BC_ ĐG LX'!$C144&amp;'[1]BC_ ĐG LX'!G$3,[1]DATA!$AW:$AW,0)),"")</f>
        <v>9.82</v>
      </c>
      <c r="H144" s="19">
        <f>IFERROR(INDEX([1]DATA!$AH:$AH,MATCH('[1]BC_ ĐG LX'!$C144&amp;'[1]BC_ ĐG LX'!H$3,[1]DATA!$AW:$AW,0)),"")</f>
        <v>10</v>
      </c>
      <c r="I144" s="19">
        <f>IFERROR(INDEX([1]DATA!$AH:$AH,MATCH('[1]BC_ ĐG LX'!$C144&amp;'[1]BC_ ĐG LX'!I$3,[1]DATA!$AW:$AW,0)),"")</f>
        <v>9.42</v>
      </c>
      <c r="J144" s="19">
        <f>IFERROR(INDEX([1]DATA!$AH:$AH,MATCH('[1]BC_ ĐG LX'!$C144&amp;'[1]BC_ ĐG LX'!J$3,[1]DATA!$AW:$AW,0)),"")</f>
        <v>8.44</v>
      </c>
      <c r="K144" s="19">
        <f>IFERROR(INDEX([1]DATA!$AH:$AH,MATCH('[1]BC_ ĐG LX'!$C144&amp;'[1]BC_ ĐG LX'!K$3,[1]DATA!$AW:$AW,0)),"")</f>
        <v>9.42</v>
      </c>
      <c r="L144" s="19">
        <f>IFERROR(INDEX([1]DATA!$AH:$AH,MATCH('[1]BC_ ĐG LX'!$C144&amp;'[1]BC_ ĐG LX'!L$3,[1]DATA!$AW:$AW,0)),"")</f>
        <v>9.6199999999999992</v>
      </c>
      <c r="M144" s="19">
        <f>IFERROR(INDEX([1]DATA!$AH:$AH,MATCH('[1]BC_ ĐG LX'!$C144&amp;'[1]BC_ ĐG LX'!M$3,[1]DATA!$AW:$AW,0)),"")</f>
        <v>9.42</v>
      </c>
      <c r="N144" s="19">
        <f>IFERROR(INDEX([1]DATA!$AH:$AH,MATCH('[1]BC_ ĐG LX'!$C144&amp;'[1]BC_ ĐG LX'!N$3,[1]DATA!$AW:$AW,0)),"")</f>
        <v>9.42</v>
      </c>
      <c r="O144" s="19">
        <f>IFERROR(INDEX([1]DATA!$AH:$AH,MATCH('[1]BC_ ĐG LX'!$C144&amp;'[1]BC_ ĐG LX'!O$3,[1]DATA!$AW:$AW,0)),"")</f>
        <v>8.6199999999999992</v>
      </c>
      <c r="P144" s="19">
        <f>IFERROR(INDEX([1]DATA!$AH:$AH,MATCH('[1]BC_ ĐG LX'!$C144&amp;'[1]BC_ ĐG LX'!P$3,[1]DATA!$AW:$AW,0)),"")</f>
        <v>9.42</v>
      </c>
      <c r="Q144" s="19">
        <f>IFERROR(INDEX([1]DATA!$AH:$AH,MATCH('[1]BC_ ĐG LX'!$C144&amp;'[1]BC_ ĐG LX'!Q$3,[1]DATA!$AW:$AW,0)),"")</f>
        <v>9.42</v>
      </c>
      <c r="R144" s="19">
        <f>IFERROR(INDEX([1]DATA!$AH:$AH,MATCH('[1]BC_ ĐG LX'!$C144&amp;'[1]BC_ ĐG LX'!R$3,[1]DATA!$AW:$AW,0)),"")</f>
        <v>9.82</v>
      </c>
      <c r="S144" s="19">
        <f>IFERROR(INDEX([1]DATA!$AH:$AH,MATCH('[1]BC_ ĐG LX'!$C144&amp;'[1]BC_ ĐG LX'!S$3,[1]DATA!$AW:$AW,0)),"")</f>
        <v>9.82</v>
      </c>
      <c r="T144" s="19">
        <f>IFERROR(INDEX([1]DATA!$AH:$AH,MATCH('[1]BC_ ĐG LX'!$C144&amp;'[1]BC_ ĐG LX'!T$3,[1]DATA!$AW:$AW,0)),"")</f>
        <v>7.82</v>
      </c>
      <c r="U144" s="19">
        <f>IFERROR(INDEX([1]DATA!$AH:$AH,MATCH('[1]BC_ ĐG LX'!$C144&amp;'[1]BC_ ĐG LX'!U$3,[1]DATA!$AW:$AW,0)),"")</f>
        <v>9.82</v>
      </c>
      <c r="V144" s="19">
        <f>IFERROR(INDEX([1]DATA!$AH:$AH,MATCH('[1]BC_ ĐG LX'!$C144&amp;'[1]BC_ ĐG LX'!V$3,[1]DATA!$AW:$AW,0)),"")</f>
        <v>9.42</v>
      </c>
      <c r="W144" s="19">
        <f>IFERROR(INDEX([1]DATA!$AH:$AH,MATCH('[1]BC_ ĐG LX'!$C144&amp;'[1]BC_ ĐG LX'!W$3,[1]DATA!$AW:$AW,0)),"")</f>
        <v>8.84</v>
      </c>
      <c r="X144" s="19">
        <f>IFERROR(INDEX([1]DATA!$AH:$AH,MATCH('[1]BC_ ĐG LX'!$C144&amp;'[1]BC_ ĐG LX'!X$3,[1]DATA!$AW:$AW,0)),"")</f>
        <v>9.42</v>
      </c>
      <c r="Y144" s="19">
        <f>IFERROR(INDEX([1]DATA!$AH:$AH,MATCH('[1]BC_ ĐG LX'!$C144&amp;'[1]BC_ ĐG LX'!Y$3,[1]DATA!$AW:$AW,0)),"")</f>
        <v>9.82</v>
      </c>
      <c r="Z144" s="19">
        <f>IFERROR(INDEX([1]DATA!$AH:$AH,MATCH('[1]BC_ ĐG LX'!$C144&amp;'[1]BC_ ĐG LX'!Z$3,[1]DATA!$AW:$AW,0)),"")</f>
        <v>9.42</v>
      </c>
      <c r="AA144" s="19">
        <f>IFERROR(INDEX([1]DATA!$AH:$AH,MATCH('[1]BC_ ĐG LX'!$C144&amp;'[1]BC_ ĐG LX'!AA$3,[1]DATA!$AW:$AW,0)),"")</f>
        <v>9.82</v>
      </c>
      <c r="AB144" s="19">
        <f>IFERROR(INDEX([1]DATA!$AH:$AH,MATCH('[1]BC_ ĐG LX'!$C144&amp;'[1]BC_ ĐG LX'!AB$3,[1]DATA!$AW:$AW,0)),"")</f>
        <v>9.6199999999999992</v>
      </c>
      <c r="AC144" s="19">
        <f>IFERROR(INDEX([1]DATA!$AH:$AH,MATCH('[1]BC_ ĐG LX'!$C144&amp;'[1]BC_ ĐG LX'!AC$3,[1]DATA!$AW:$AW,0)),"")</f>
        <v>9.02</v>
      </c>
      <c r="AD144" s="19">
        <f>IFERROR(INDEX([1]DATA!$AH:$AH,MATCH('[1]BC_ ĐG LX'!$C144&amp;'[1]BC_ ĐG LX'!AD$3,[1]DATA!$AW:$AW,0)),"")</f>
        <v>9.42</v>
      </c>
      <c r="AE144" s="19">
        <f>IFERROR(INDEX([1]DATA!$AH:$AH,MATCH('[1]BC_ ĐG LX'!$C144&amp;'[1]BC_ ĐG LX'!AE$3,[1]DATA!$AW:$AW,0)),"")</f>
        <v>9.82</v>
      </c>
      <c r="AF144" s="19" t="str">
        <f>IFERROR(INDEX([1]DATA!$AH:$AH,MATCH('[1]BC_ ĐG LX'!$C144&amp;'[1]BC_ ĐG LX'!AF$3,[1]DATA!$AW:$AW,0)),"")</f>
        <v/>
      </c>
      <c r="AG144" s="19" t="str">
        <f>IFERROR(INDEX([1]DATA!$AH:$AH,MATCH('[1]BC_ ĐG LX'!$C144&amp;'[1]BC_ ĐG LX'!AG$3,[1]DATA!$AW:$AW,0)),"")</f>
        <v/>
      </c>
      <c r="AH144" s="19" t="str">
        <f>IFERROR(INDEX([1]DATA!$AH:$AH,MATCH('[1]BC_ ĐG LX'!$C144&amp;'[1]BC_ ĐG LX'!AH$3,[1]DATA!$AW:$AW,0)),"")</f>
        <v/>
      </c>
      <c r="AI144" s="19" t="str">
        <f>IFERROR(INDEX([1]DATA!$AH:$AH,MATCH('[1]BC_ ĐG LX'!$C144&amp;'[1]BC_ ĐG LX'!AI$3,[1]DATA!$AW:$AW,0)),"")</f>
        <v/>
      </c>
      <c r="AJ144" s="19" t="str">
        <f>IFERROR(INDEX([1]DATA!$AH:$AH,MATCH('[1]BC_ ĐG LX'!$C144&amp;'[1]BC_ ĐG LX'!AJ$3,[1]DATA!$AW:$AW,0)),"")</f>
        <v/>
      </c>
      <c r="AK144" s="26">
        <f t="shared" si="9"/>
        <v>9.4</v>
      </c>
      <c r="AL144" s="21"/>
      <c r="AM144" s="22">
        <f t="shared" si="8"/>
        <v>25</v>
      </c>
      <c r="AN144" s="22" t="str">
        <f>_xlfn.XLOOKUP(B144,[1]DATA!AF:AF,[1]DATA!AX:AX)</f>
        <v>Nga</v>
      </c>
      <c r="AO144"/>
    </row>
    <row r="145" spans="1:41" s="22" customFormat="1" ht="14.25" customHeight="1">
      <c r="A145" s="16">
        <f>SUBTOTAL(3,$D$135:D145)</f>
        <v>11</v>
      </c>
      <c r="B145" s="16" t="str">
        <f>_xlfn.XLOOKUP(C145,[1]DATA!D:D,[1]DATA!AF:AF)</f>
        <v>XE00799</v>
      </c>
      <c r="C145" s="18" t="s">
        <v>169</v>
      </c>
      <c r="D145" s="16" t="s">
        <v>23</v>
      </c>
      <c r="E145" s="18" t="s">
        <v>17</v>
      </c>
      <c r="F145" s="18" t="s">
        <v>18</v>
      </c>
      <c r="G145" s="19">
        <f>IFERROR(INDEX([1]DATA!$AH:$AH,MATCH('[1]BC_ ĐG LX'!$C145&amp;'[1]BC_ ĐG LX'!G$3,[1]DATA!$AW:$AW,0)),"")</f>
        <v>9.42</v>
      </c>
      <c r="H145" s="19">
        <f>IFERROR(INDEX([1]DATA!$AH:$AH,MATCH('[1]BC_ ĐG LX'!$C145&amp;'[1]BC_ ĐG LX'!H$3,[1]DATA!$AW:$AW,0)),"")</f>
        <v>9.42</v>
      </c>
      <c r="I145" s="19">
        <f>IFERROR(INDEX([1]DATA!$AH:$AH,MATCH('[1]BC_ ĐG LX'!$C145&amp;'[1]BC_ ĐG LX'!I$3,[1]DATA!$AW:$AW,0)),"")</f>
        <v>8.44</v>
      </c>
      <c r="J145" s="19">
        <f>IFERROR(INDEX([1]DATA!$AH:$AH,MATCH('[1]BC_ ĐG LX'!$C145&amp;'[1]BC_ ĐG LX'!J$3,[1]DATA!$AW:$AW,0)),"")</f>
        <v>9.42</v>
      </c>
      <c r="K145" s="19">
        <f>IFERROR(INDEX([1]DATA!$AH:$AH,MATCH('[1]BC_ ĐG LX'!$C145&amp;'[1]BC_ ĐG LX'!K$3,[1]DATA!$AW:$AW,0)),"")</f>
        <v>9.0399999999999991</v>
      </c>
      <c r="L145" s="19">
        <f>IFERROR(INDEX([1]DATA!$AH:$AH,MATCH('[1]BC_ ĐG LX'!$C145&amp;'[1]BC_ ĐG LX'!L$3,[1]DATA!$AW:$AW,0)),"")</f>
        <v>9.42</v>
      </c>
      <c r="M145" s="19">
        <f>IFERROR(INDEX([1]DATA!$AH:$AH,MATCH('[1]BC_ ĐG LX'!$C145&amp;'[1]BC_ ĐG LX'!M$3,[1]DATA!$AW:$AW,0)),"")</f>
        <v>8.84</v>
      </c>
      <c r="N145" s="19">
        <f>IFERROR(INDEX([1]DATA!$AH:$AH,MATCH('[1]BC_ ĐG LX'!$C145&amp;'[1]BC_ ĐG LX'!N$3,[1]DATA!$AW:$AW,0)),"")</f>
        <v>9.82</v>
      </c>
      <c r="O145" s="19">
        <f>IFERROR(INDEX([1]DATA!$AH:$AH,MATCH('[1]BC_ ĐG LX'!$C145&amp;'[1]BC_ ĐG LX'!O$3,[1]DATA!$AW:$AW,0)),"")</f>
        <v>9.24</v>
      </c>
      <c r="P145" s="19">
        <f>IFERROR(INDEX([1]DATA!$AH:$AH,MATCH('[1]BC_ ĐG LX'!$C145&amp;'[1]BC_ ĐG LX'!P$3,[1]DATA!$AW:$AW,0)),"")</f>
        <v>9.42</v>
      </c>
      <c r="Q145" s="19">
        <f>IFERROR(INDEX([1]DATA!$AH:$AH,MATCH('[1]BC_ ĐG LX'!$C145&amp;'[1]BC_ ĐG LX'!Q$3,[1]DATA!$AW:$AW,0)),"")</f>
        <v>9.02</v>
      </c>
      <c r="R145" s="19">
        <f>IFERROR(INDEX([1]DATA!$AH:$AH,MATCH('[1]BC_ ĐG LX'!$C145&amp;'[1]BC_ ĐG LX'!R$3,[1]DATA!$AW:$AW,0)),"")</f>
        <v>9.6199999999999992</v>
      </c>
      <c r="S145" s="19">
        <f>IFERROR(INDEX([1]DATA!$AH:$AH,MATCH('[1]BC_ ĐG LX'!$C145&amp;'[1]BC_ ĐG LX'!S$3,[1]DATA!$AW:$AW,0)),"")</f>
        <v>9.82</v>
      </c>
      <c r="T145" s="19">
        <f>IFERROR(INDEX([1]DATA!$AH:$AH,MATCH('[1]BC_ ĐG LX'!$C145&amp;'[1]BC_ ĐG LX'!T$3,[1]DATA!$AW:$AW,0)),"")</f>
        <v>8.84</v>
      </c>
      <c r="U145" s="19">
        <f>IFERROR(INDEX([1]DATA!$AH:$AH,MATCH('[1]BC_ ĐG LX'!$C145&amp;'[1]BC_ ĐG LX'!U$3,[1]DATA!$AW:$AW,0)),"")</f>
        <v>9.82</v>
      </c>
      <c r="V145" s="19">
        <f>IFERROR(INDEX([1]DATA!$AH:$AH,MATCH('[1]BC_ ĐG LX'!$C145&amp;'[1]BC_ ĐG LX'!V$3,[1]DATA!$AW:$AW,0)),"")</f>
        <v>8.0399999999999991</v>
      </c>
      <c r="W145" s="19">
        <f>IFERROR(INDEX([1]DATA!$AH:$AH,MATCH('[1]BC_ ĐG LX'!$C145&amp;'[1]BC_ ĐG LX'!W$3,[1]DATA!$AW:$AW,0)),"")</f>
        <v>9.82</v>
      </c>
      <c r="X145" s="19">
        <f>IFERROR(INDEX([1]DATA!$AH:$AH,MATCH('[1]BC_ ĐG LX'!$C145&amp;'[1]BC_ ĐG LX'!X$3,[1]DATA!$AW:$AW,0)),"")</f>
        <v>9.02</v>
      </c>
      <c r="Y145" s="19">
        <f>IFERROR(INDEX([1]DATA!$AH:$AH,MATCH('[1]BC_ ĐG LX'!$C145&amp;'[1]BC_ ĐG LX'!Y$3,[1]DATA!$AW:$AW,0)),"")</f>
        <v>8.6199999999999992</v>
      </c>
      <c r="Z145" s="19">
        <f>IFERROR(INDEX([1]DATA!$AH:$AH,MATCH('[1]BC_ ĐG LX'!$C145&amp;'[1]BC_ ĐG LX'!Z$3,[1]DATA!$AW:$AW,0)),"")</f>
        <v>9.82</v>
      </c>
      <c r="AA145" s="19">
        <f>IFERROR(INDEX([1]DATA!$AH:$AH,MATCH('[1]BC_ ĐG LX'!$C145&amp;'[1]BC_ ĐG LX'!AA$3,[1]DATA!$AW:$AW,0)),"")</f>
        <v>9.02</v>
      </c>
      <c r="AB145" s="19">
        <f>IFERROR(INDEX([1]DATA!$AH:$AH,MATCH('[1]BC_ ĐG LX'!$C145&amp;'[1]BC_ ĐG LX'!AB$3,[1]DATA!$AW:$AW,0)),"")</f>
        <v>9.6199999999999992</v>
      </c>
      <c r="AC145" s="19">
        <f>IFERROR(INDEX([1]DATA!$AH:$AH,MATCH('[1]BC_ ĐG LX'!$C145&amp;'[1]BC_ ĐG LX'!AC$3,[1]DATA!$AW:$AW,0)),"")</f>
        <v>9.82</v>
      </c>
      <c r="AD145" s="19">
        <f>IFERROR(INDEX([1]DATA!$AH:$AH,MATCH('[1]BC_ ĐG LX'!$C145&amp;'[1]BC_ ĐG LX'!AD$3,[1]DATA!$AW:$AW,0)),"")</f>
        <v>9.82</v>
      </c>
      <c r="AE145" s="19">
        <f>IFERROR(INDEX([1]DATA!$AH:$AH,MATCH('[1]BC_ ĐG LX'!$C145&amp;'[1]BC_ ĐG LX'!AE$3,[1]DATA!$AW:$AW,0)),"")</f>
        <v>9.82</v>
      </c>
      <c r="AF145" s="19" t="str">
        <f>IFERROR(INDEX([1]DATA!$AH:$AH,MATCH('[1]BC_ ĐG LX'!$C145&amp;'[1]BC_ ĐG LX'!AF$3,[1]DATA!$AW:$AW,0)),"")</f>
        <v/>
      </c>
      <c r="AG145" s="19" t="str">
        <f>IFERROR(INDEX([1]DATA!$AH:$AH,MATCH('[1]BC_ ĐG LX'!$C145&amp;'[1]BC_ ĐG LX'!AG$3,[1]DATA!$AW:$AW,0)),"")</f>
        <v/>
      </c>
      <c r="AH145" s="19" t="str">
        <f>IFERROR(INDEX([1]DATA!$AH:$AH,MATCH('[1]BC_ ĐG LX'!$C145&amp;'[1]BC_ ĐG LX'!AH$3,[1]DATA!$AW:$AW,0)),"")</f>
        <v/>
      </c>
      <c r="AI145" s="19" t="str">
        <f>IFERROR(INDEX([1]DATA!$AH:$AH,MATCH('[1]BC_ ĐG LX'!$C145&amp;'[1]BC_ ĐG LX'!AI$3,[1]DATA!$AW:$AW,0)),"")</f>
        <v/>
      </c>
      <c r="AJ145" s="19" t="str">
        <f>IFERROR(INDEX([1]DATA!$AH:$AH,MATCH('[1]BC_ ĐG LX'!$C145&amp;'[1]BC_ ĐG LX'!AJ$3,[1]DATA!$AW:$AW,0)),"")</f>
        <v/>
      </c>
      <c r="AK145" s="26">
        <f t="shared" si="9"/>
        <v>9.4</v>
      </c>
      <c r="AL145" s="21"/>
      <c r="AM145" s="22">
        <f t="shared" si="8"/>
        <v>25</v>
      </c>
      <c r="AN145" s="22" t="str">
        <f>_xlfn.XLOOKUP(B145,[1]DATA!AF:AF,[1]DATA!AX:AX)</f>
        <v>Nga</v>
      </c>
      <c r="AO145"/>
    </row>
    <row r="146" spans="1:41" s="22" customFormat="1" ht="14.25" customHeight="1">
      <c r="A146" s="16">
        <f>SUBTOTAL(3,$D$135:D146)</f>
        <v>12</v>
      </c>
      <c r="B146" s="16" t="str">
        <f>_xlfn.XLOOKUP(C146,[1]DATA!D:D,[1]DATA!AF:AF)</f>
        <v>XE00813</v>
      </c>
      <c r="C146" s="18" t="s">
        <v>170</v>
      </c>
      <c r="D146" s="16" t="s">
        <v>23</v>
      </c>
      <c r="E146" s="18" t="s">
        <v>17</v>
      </c>
      <c r="F146" s="18" t="s">
        <v>18</v>
      </c>
      <c r="G146" s="19">
        <f>IFERROR(INDEX([1]DATA!$AH:$AH,MATCH('[1]BC_ ĐG LX'!$C146&amp;'[1]BC_ ĐG LX'!G$3,[1]DATA!$AW:$AW,0)),"")</f>
        <v>8.620000000000001</v>
      </c>
      <c r="H146" s="19">
        <f>IFERROR(INDEX([1]DATA!$AH:$AH,MATCH('[1]BC_ ĐG LX'!$C146&amp;'[1]BC_ ĐG LX'!H$3,[1]DATA!$AW:$AW,0)),"")</f>
        <v>9.42</v>
      </c>
      <c r="I146" s="19">
        <f>IFERROR(INDEX([1]DATA!$AH:$AH,MATCH('[1]BC_ ĐG LX'!$C146&amp;'[1]BC_ ĐG LX'!I$3,[1]DATA!$AW:$AW,0)),"")</f>
        <v>9.82</v>
      </c>
      <c r="J146" s="19">
        <f>IFERROR(INDEX([1]DATA!$AH:$AH,MATCH('[1]BC_ ĐG LX'!$C146&amp;'[1]BC_ ĐG LX'!J$3,[1]DATA!$AW:$AW,0)),"")</f>
        <v>9.42</v>
      </c>
      <c r="K146" s="19">
        <f>IFERROR(INDEX([1]DATA!$AH:$AH,MATCH('[1]BC_ ĐG LX'!$C146&amp;'[1]BC_ ĐG LX'!K$3,[1]DATA!$AW:$AW,0)),"")</f>
        <v>9.82</v>
      </c>
      <c r="L146" s="19">
        <f>IFERROR(INDEX([1]DATA!$AH:$AH,MATCH('[1]BC_ ĐG LX'!$C146&amp;'[1]BC_ ĐG LX'!L$3,[1]DATA!$AW:$AW,0)),"")</f>
        <v>9.6199999999999992</v>
      </c>
      <c r="M146" s="19">
        <f>IFERROR(INDEX([1]DATA!$AH:$AH,MATCH('[1]BC_ ĐG LX'!$C146&amp;'[1]BC_ ĐG LX'!M$3,[1]DATA!$AW:$AW,0)),"")</f>
        <v>9.82</v>
      </c>
      <c r="N146" s="19">
        <f>IFERROR(INDEX([1]DATA!$AH:$AH,MATCH('[1]BC_ ĐG LX'!$C146&amp;'[1]BC_ ĐG LX'!N$3,[1]DATA!$AW:$AW,0)),"")</f>
        <v>9.82</v>
      </c>
      <c r="O146" s="19">
        <f>IFERROR(INDEX([1]DATA!$AH:$AH,MATCH('[1]BC_ ĐG LX'!$C146&amp;'[1]BC_ ĐG LX'!O$3,[1]DATA!$AW:$AW,0)),"")</f>
        <v>9.82</v>
      </c>
      <c r="P146" s="19">
        <f>IFERROR(INDEX([1]DATA!$AH:$AH,MATCH('[1]BC_ ĐG LX'!$C146&amp;'[1]BC_ ĐG LX'!P$3,[1]DATA!$AW:$AW,0)),"")</f>
        <v>9.42</v>
      </c>
      <c r="Q146" s="19">
        <f>IFERROR(INDEX([1]DATA!$AH:$AH,MATCH('[1]BC_ ĐG LX'!$C146&amp;'[1]BC_ ĐG LX'!Q$3,[1]DATA!$AW:$AW,0)),"")</f>
        <v>9.6199999999999992</v>
      </c>
      <c r="R146" s="19">
        <f>IFERROR(INDEX([1]DATA!$AH:$AH,MATCH('[1]BC_ ĐG LX'!$C146&amp;'[1]BC_ ĐG LX'!R$3,[1]DATA!$AW:$AW,0)),"")</f>
        <v>9.82</v>
      </c>
      <c r="S146" s="19">
        <f>IFERROR(INDEX([1]DATA!$AH:$AH,MATCH('[1]BC_ ĐG LX'!$C146&amp;'[1]BC_ ĐG LX'!S$3,[1]DATA!$AW:$AW,0)),"")</f>
        <v>8.84</v>
      </c>
      <c r="T146" s="19">
        <f>IFERROR(INDEX([1]DATA!$AH:$AH,MATCH('[1]BC_ ĐG LX'!$C146&amp;'[1]BC_ ĐG LX'!T$3,[1]DATA!$AW:$AW,0)),"")</f>
        <v>9.42</v>
      </c>
      <c r="U146" s="19">
        <f>IFERROR(INDEX([1]DATA!$AH:$AH,MATCH('[1]BC_ ĐG LX'!$C146&amp;'[1]BC_ ĐG LX'!U$3,[1]DATA!$AW:$AW,0)),"")</f>
        <v>9.42</v>
      </c>
      <c r="V146" s="19">
        <f>IFERROR(INDEX([1]DATA!$AH:$AH,MATCH('[1]BC_ ĐG LX'!$C146&amp;'[1]BC_ ĐG LX'!V$3,[1]DATA!$AW:$AW,0)),"")</f>
        <v>9.82</v>
      </c>
      <c r="W146" s="19">
        <f>IFERROR(INDEX([1]DATA!$AH:$AH,MATCH('[1]BC_ ĐG LX'!$C146&amp;'[1]BC_ ĐG LX'!W$3,[1]DATA!$AW:$AW,0)),"")</f>
        <v>9.42</v>
      </c>
      <c r="X146" s="19">
        <f>IFERROR(INDEX([1]DATA!$AH:$AH,MATCH('[1]BC_ ĐG LX'!$C146&amp;'[1]BC_ ĐG LX'!X$3,[1]DATA!$AW:$AW,0)),"")</f>
        <v>9.82</v>
      </c>
      <c r="Y146" s="19">
        <f>IFERROR(INDEX([1]DATA!$AH:$AH,MATCH('[1]BC_ ĐG LX'!$C146&amp;'[1]BC_ ĐG LX'!Y$3,[1]DATA!$AW:$AW,0)),"")</f>
        <v>9.42</v>
      </c>
      <c r="Z146" s="19">
        <f>IFERROR(INDEX([1]DATA!$AH:$AH,MATCH('[1]BC_ ĐG LX'!$C146&amp;'[1]BC_ ĐG LX'!Z$3,[1]DATA!$AW:$AW,0)),"")</f>
        <v>9.82</v>
      </c>
      <c r="AA146" s="19">
        <f>IFERROR(INDEX([1]DATA!$AH:$AH,MATCH('[1]BC_ ĐG LX'!$C146&amp;'[1]BC_ ĐG LX'!AA$3,[1]DATA!$AW:$AW,0)),"")</f>
        <v>9.82</v>
      </c>
      <c r="AB146" s="19">
        <f>IFERROR(INDEX([1]DATA!$AH:$AH,MATCH('[1]BC_ ĐG LX'!$C146&amp;'[1]BC_ ĐG LX'!AB$3,[1]DATA!$AW:$AW,0)),"")</f>
        <v>9.02</v>
      </c>
      <c r="AC146" s="19">
        <f>IFERROR(INDEX([1]DATA!$AH:$AH,MATCH('[1]BC_ ĐG LX'!$C146&amp;'[1]BC_ ĐG LX'!AC$3,[1]DATA!$AW:$AW,0)),"")</f>
        <v>8.44</v>
      </c>
      <c r="AD146" s="19">
        <f>IFERROR(INDEX([1]DATA!$AH:$AH,MATCH('[1]BC_ ĐG LX'!$C146&amp;'[1]BC_ ĐG LX'!AD$3,[1]DATA!$AW:$AW,0)),"")</f>
        <v>9.5399999999999991</v>
      </c>
      <c r="AE146" s="19">
        <f>IFERROR(INDEX([1]DATA!$AH:$AH,MATCH('[1]BC_ ĐG LX'!$C146&amp;'[1]BC_ ĐG LX'!AE$3,[1]DATA!$AW:$AW,0)),"")</f>
        <v>9.02</v>
      </c>
      <c r="AF146" s="19" t="str">
        <f>IFERROR(INDEX([1]DATA!$AH:$AH,MATCH('[1]BC_ ĐG LX'!$C146&amp;'[1]BC_ ĐG LX'!AF$3,[1]DATA!$AW:$AW,0)),"")</f>
        <v/>
      </c>
      <c r="AG146" s="19" t="str">
        <f>IFERROR(INDEX([1]DATA!$AH:$AH,MATCH('[1]BC_ ĐG LX'!$C146&amp;'[1]BC_ ĐG LX'!AG$3,[1]DATA!$AW:$AW,0)),"")</f>
        <v/>
      </c>
      <c r="AH146" s="19" t="str">
        <f>IFERROR(INDEX([1]DATA!$AH:$AH,MATCH('[1]BC_ ĐG LX'!$C146&amp;'[1]BC_ ĐG LX'!AH$3,[1]DATA!$AW:$AW,0)),"")</f>
        <v/>
      </c>
      <c r="AI146" s="19" t="str">
        <f>IFERROR(INDEX([1]DATA!$AH:$AH,MATCH('[1]BC_ ĐG LX'!$C146&amp;'[1]BC_ ĐG LX'!AI$3,[1]DATA!$AW:$AW,0)),"")</f>
        <v/>
      </c>
      <c r="AJ146" s="19" t="str">
        <f>IFERROR(INDEX([1]DATA!$AH:$AH,MATCH('[1]BC_ ĐG LX'!$C146&amp;'[1]BC_ ĐG LX'!AJ$3,[1]DATA!$AW:$AW,0)),"")</f>
        <v/>
      </c>
      <c r="AK146" s="26">
        <f t="shared" si="9"/>
        <v>9.5</v>
      </c>
      <c r="AL146" s="21"/>
      <c r="AM146" s="22">
        <f t="shared" si="8"/>
        <v>25</v>
      </c>
      <c r="AN146" s="22" t="str">
        <f>_xlfn.XLOOKUP(B146,[1]DATA!AF:AF,[1]DATA!AX:AX)</f>
        <v>Nga</v>
      </c>
      <c r="AO146"/>
    </row>
    <row r="147" spans="1:41" s="22" customFormat="1" ht="14.25" customHeight="1">
      <c r="A147" s="16">
        <f>SUBTOTAL(3,$D$135:D147)</f>
        <v>13</v>
      </c>
      <c r="B147" s="16" t="str">
        <f>_xlfn.XLOOKUP(C147,[1]DATA!D:D,[1]DATA!AF:AF)</f>
        <v>XE00869</v>
      </c>
      <c r="C147" s="18" t="s">
        <v>171</v>
      </c>
      <c r="D147" s="16" t="s">
        <v>23</v>
      </c>
      <c r="E147" s="18" t="s">
        <v>17</v>
      </c>
      <c r="F147" s="18" t="s">
        <v>18</v>
      </c>
      <c r="G147" s="19">
        <f>IFERROR(INDEX([1]DATA!$AH:$AH,MATCH('[1]BC_ ĐG LX'!$C147&amp;'[1]BC_ ĐG LX'!G$3,[1]DATA!$AW:$AW,0)),"")</f>
        <v>9.6</v>
      </c>
      <c r="H147" s="19">
        <f>IFERROR(INDEX([1]DATA!$AH:$AH,MATCH('[1]BC_ ĐG LX'!$C147&amp;'[1]BC_ ĐG LX'!H$3,[1]DATA!$AW:$AW,0)),"")</f>
        <v>9.42</v>
      </c>
      <c r="I147" s="19">
        <f>IFERROR(INDEX([1]DATA!$AH:$AH,MATCH('[1]BC_ ĐG LX'!$C147&amp;'[1]BC_ ĐG LX'!I$3,[1]DATA!$AW:$AW,0)),"")</f>
        <v>9.42</v>
      </c>
      <c r="J147" s="19">
        <f>IFERROR(INDEX([1]DATA!$AH:$AH,MATCH('[1]BC_ ĐG LX'!$C147&amp;'[1]BC_ ĐG LX'!J$3,[1]DATA!$AW:$AW,0)),"")</f>
        <v>9.82</v>
      </c>
      <c r="K147" s="19">
        <f>IFERROR(INDEX([1]DATA!$AH:$AH,MATCH('[1]BC_ ĐG LX'!$C147&amp;'[1]BC_ ĐG LX'!K$3,[1]DATA!$AW:$AW,0)),"")</f>
        <v>9.82</v>
      </c>
      <c r="L147" s="19">
        <f>IFERROR(INDEX([1]DATA!$AH:$AH,MATCH('[1]BC_ ĐG LX'!$C147&amp;'[1]BC_ ĐG LX'!L$3,[1]DATA!$AW:$AW,0)),"")</f>
        <v>9.82</v>
      </c>
      <c r="M147" s="19">
        <f>IFERROR(INDEX([1]DATA!$AH:$AH,MATCH('[1]BC_ ĐG LX'!$C147&amp;'[1]BC_ ĐG LX'!M$3,[1]DATA!$AW:$AW,0)),"")</f>
        <v>8.44</v>
      </c>
      <c r="N147" s="19">
        <f>IFERROR(INDEX([1]DATA!$AH:$AH,MATCH('[1]BC_ ĐG LX'!$C147&amp;'[1]BC_ ĐG LX'!N$3,[1]DATA!$AW:$AW,0)),"")</f>
        <v>9.42</v>
      </c>
      <c r="O147" s="19">
        <f>IFERROR(INDEX([1]DATA!$AH:$AH,MATCH('[1]BC_ ĐG LX'!$C147&amp;'[1]BC_ ĐG LX'!O$3,[1]DATA!$AW:$AW,0)),"")</f>
        <v>8.6199999999999992</v>
      </c>
      <c r="P147" s="19">
        <f>IFERROR(INDEX([1]DATA!$AH:$AH,MATCH('[1]BC_ ĐG LX'!$C147&amp;'[1]BC_ ĐG LX'!P$3,[1]DATA!$AW:$AW,0)),"")</f>
        <v>9.82</v>
      </c>
      <c r="Q147" s="19">
        <f>IFERROR(INDEX([1]DATA!$AH:$AH,MATCH('[1]BC_ ĐG LX'!$C147&amp;'[1]BC_ ĐG LX'!Q$3,[1]DATA!$AW:$AW,0)),"")</f>
        <v>9.02</v>
      </c>
      <c r="R147" s="19">
        <f>IFERROR(INDEX([1]DATA!$AH:$AH,MATCH('[1]BC_ ĐG LX'!$C147&amp;'[1]BC_ ĐG LX'!R$3,[1]DATA!$AW:$AW,0)),"")</f>
        <v>9.42</v>
      </c>
      <c r="S147" s="19">
        <f>IFERROR(INDEX([1]DATA!$AH:$AH,MATCH('[1]BC_ ĐG LX'!$C147&amp;'[1]BC_ ĐG LX'!S$3,[1]DATA!$AW:$AW,0)),"")</f>
        <v>9.42</v>
      </c>
      <c r="T147" s="19">
        <f>IFERROR(INDEX([1]DATA!$AH:$AH,MATCH('[1]BC_ ĐG LX'!$C147&amp;'[1]BC_ ĐG LX'!T$3,[1]DATA!$AW:$AW,0)),"")</f>
        <v>9.42</v>
      </c>
      <c r="U147" s="19">
        <f>IFERROR(INDEX([1]DATA!$AH:$AH,MATCH('[1]BC_ ĐG LX'!$C147&amp;'[1]BC_ ĐG LX'!U$3,[1]DATA!$AW:$AW,0)),"")</f>
        <v>9.82</v>
      </c>
      <c r="V147" s="19">
        <f>IFERROR(INDEX([1]DATA!$AH:$AH,MATCH('[1]BC_ ĐG LX'!$C147&amp;'[1]BC_ ĐG LX'!V$3,[1]DATA!$AW:$AW,0)),"")</f>
        <v>9.42</v>
      </c>
      <c r="W147" s="19">
        <f>IFERROR(INDEX([1]DATA!$AH:$AH,MATCH('[1]BC_ ĐG LX'!$C147&amp;'[1]BC_ ĐG LX'!W$3,[1]DATA!$AW:$AW,0)),"")</f>
        <v>9.24</v>
      </c>
      <c r="X147" s="19">
        <f>IFERROR(INDEX([1]DATA!$AH:$AH,MATCH('[1]BC_ ĐG LX'!$C147&amp;'[1]BC_ ĐG LX'!X$3,[1]DATA!$AW:$AW,0)),"")</f>
        <v>9.42</v>
      </c>
      <c r="Y147" s="19">
        <f>IFERROR(INDEX([1]DATA!$AH:$AH,MATCH('[1]BC_ ĐG LX'!$C147&amp;'[1]BC_ ĐG LX'!Y$3,[1]DATA!$AW:$AW,0)),"")</f>
        <v>9.42</v>
      </c>
      <c r="Z147" s="19">
        <f>IFERROR(INDEX([1]DATA!$AH:$AH,MATCH('[1]BC_ ĐG LX'!$C147&amp;'[1]BC_ ĐG LX'!Z$3,[1]DATA!$AW:$AW,0)),"")</f>
        <v>9.24</v>
      </c>
      <c r="AA147" s="19">
        <f>IFERROR(INDEX([1]DATA!$AH:$AH,MATCH('[1]BC_ ĐG LX'!$C147&amp;'[1]BC_ ĐG LX'!AA$3,[1]DATA!$AW:$AW,0)),"")</f>
        <v>9.82</v>
      </c>
      <c r="AB147" s="19">
        <f>IFERROR(INDEX([1]DATA!$AH:$AH,MATCH('[1]BC_ ĐG LX'!$C147&amp;'[1]BC_ ĐG LX'!AB$3,[1]DATA!$AW:$AW,0)),"")</f>
        <v>8.2200000000000006</v>
      </c>
      <c r="AC147" s="19">
        <f>IFERROR(INDEX([1]DATA!$AH:$AH,MATCH('[1]BC_ ĐG LX'!$C147&amp;'[1]BC_ ĐG LX'!AC$3,[1]DATA!$AW:$AW,0)),"")</f>
        <v>9.32</v>
      </c>
      <c r="AD147" s="19">
        <f>IFERROR(INDEX([1]DATA!$AH:$AH,MATCH('[1]BC_ ĐG LX'!$C147&amp;'[1]BC_ ĐG LX'!AD$3,[1]DATA!$AW:$AW,0)),"")</f>
        <v>9.82</v>
      </c>
      <c r="AE147" s="19">
        <f>IFERROR(INDEX([1]DATA!$AH:$AH,MATCH('[1]BC_ ĐG LX'!$C147&amp;'[1]BC_ ĐG LX'!AE$3,[1]DATA!$AW:$AW,0)),"")</f>
        <v>9.42</v>
      </c>
      <c r="AF147" s="19" t="str">
        <f>IFERROR(INDEX([1]DATA!$AH:$AH,MATCH('[1]BC_ ĐG LX'!$C147&amp;'[1]BC_ ĐG LX'!AF$3,[1]DATA!$AW:$AW,0)),"")</f>
        <v/>
      </c>
      <c r="AG147" s="19" t="str">
        <f>IFERROR(INDEX([1]DATA!$AH:$AH,MATCH('[1]BC_ ĐG LX'!$C147&amp;'[1]BC_ ĐG LX'!AG$3,[1]DATA!$AW:$AW,0)),"")</f>
        <v/>
      </c>
      <c r="AH147" s="19" t="str">
        <f>IFERROR(INDEX([1]DATA!$AH:$AH,MATCH('[1]BC_ ĐG LX'!$C147&amp;'[1]BC_ ĐG LX'!AH$3,[1]DATA!$AW:$AW,0)),"")</f>
        <v/>
      </c>
      <c r="AI147" s="19" t="str">
        <f>IFERROR(INDEX([1]DATA!$AH:$AH,MATCH('[1]BC_ ĐG LX'!$C147&amp;'[1]BC_ ĐG LX'!AI$3,[1]DATA!$AW:$AW,0)),"")</f>
        <v/>
      </c>
      <c r="AJ147" s="19" t="str">
        <f>IFERROR(INDEX([1]DATA!$AH:$AH,MATCH('[1]BC_ ĐG LX'!$C147&amp;'[1]BC_ ĐG LX'!AJ$3,[1]DATA!$AW:$AW,0)),"")</f>
        <v/>
      </c>
      <c r="AK147" s="26">
        <f t="shared" si="9"/>
        <v>9.4</v>
      </c>
      <c r="AL147" s="21"/>
      <c r="AM147" s="22">
        <f t="shared" si="8"/>
        <v>25</v>
      </c>
      <c r="AN147" s="22" t="str">
        <f>_xlfn.XLOOKUP(B147,[1]DATA!AF:AF,[1]DATA!AX:AX)</f>
        <v>Hằng</v>
      </c>
      <c r="AO147"/>
    </row>
    <row r="148" spans="1:41" s="22" customFormat="1" ht="14.25" customHeight="1">
      <c r="A148" s="16">
        <f>SUBTOTAL(3,$D$135:D148)</f>
        <v>14</v>
      </c>
      <c r="B148" s="16" t="str">
        <f>_xlfn.XLOOKUP(C148,[1]DATA!D:D,[1]DATA!AF:AF)</f>
        <v>XE01242</v>
      </c>
      <c r="C148" s="18" t="s">
        <v>172</v>
      </c>
      <c r="D148" s="16" t="s">
        <v>23</v>
      </c>
      <c r="E148" s="18" t="s">
        <v>17</v>
      </c>
      <c r="F148" s="18" t="s">
        <v>18</v>
      </c>
      <c r="G148" s="19">
        <f>IFERROR(INDEX([1]DATA!$AH:$AH,MATCH('[1]BC_ ĐG LX'!$C148&amp;'[1]BC_ ĐG LX'!G$3,[1]DATA!$AW:$AW,0)),"")</f>
        <v>8.6199999999999992</v>
      </c>
      <c r="H148" s="19">
        <f>IFERROR(INDEX([1]DATA!$AH:$AH,MATCH('[1]BC_ ĐG LX'!$C148&amp;'[1]BC_ ĐG LX'!H$3,[1]DATA!$AW:$AW,0)),"")</f>
        <v>9.42</v>
      </c>
      <c r="I148" s="19">
        <f>IFERROR(INDEX([1]DATA!$AH:$AH,MATCH('[1]BC_ ĐG LX'!$C148&amp;'[1]BC_ ĐG LX'!I$3,[1]DATA!$AW:$AW,0)),"")</f>
        <v>9.82</v>
      </c>
      <c r="J148" s="19">
        <f>IFERROR(INDEX([1]DATA!$AH:$AH,MATCH('[1]BC_ ĐG LX'!$C148&amp;'[1]BC_ ĐG LX'!J$3,[1]DATA!$AW:$AW,0)),"")</f>
        <v>9.42</v>
      </c>
      <c r="K148" s="19">
        <f>IFERROR(INDEX([1]DATA!$AH:$AH,MATCH('[1]BC_ ĐG LX'!$C148&amp;'[1]BC_ ĐG LX'!K$3,[1]DATA!$AW:$AW,0)),"")</f>
        <v>9.42</v>
      </c>
      <c r="L148" s="19">
        <f>IFERROR(INDEX([1]DATA!$AH:$AH,MATCH('[1]BC_ ĐG LX'!$C148&amp;'[1]BC_ ĐG LX'!L$3,[1]DATA!$AW:$AW,0)),"")</f>
        <v>9.82</v>
      </c>
      <c r="M148" s="19">
        <f>IFERROR(INDEX([1]DATA!$AH:$AH,MATCH('[1]BC_ ĐG LX'!$C148&amp;'[1]BC_ ĐG LX'!M$3,[1]DATA!$AW:$AW,0)),"")</f>
        <v>9.42</v>
      </c>
      <c r="N148" s="19">
        <f>IFERROR(INDEX([1]DATA!$AH:$AH,MATCH('[1]BC_ ĐG LX'!$C148&amp;'[1]BC_ ĐG LX'!N$3,[1]DATA!$AW:$AW,0)),"")</f>
        <v>9.42</v>
      </c>
      <c r="O148" s="19">
        <f>IFERROR(INDEX([1]DATA!$AH:$AH,MATCH('[1]BC_ ĐG LX'!$C148&amp;'[1]BC_ ĐG LX'!O$3,[1]DATA!$AW:$AW,0)),"")</f>
        <v>9.42</v>
      </c>
      <c r="P148" s="19">
        <f>IFERROR(INDEX([1]DATA!$AH:$AH,MATCH('[1]BC_ ĐG LX'!$C148&amp;'[1]BC_ ĐG LX'!P$3,[1]DATA!$AW:$AW,0)),"")</f>
        <v>9.2199999999999989</v>
      </c>
      <c r="Q148" s="19">
        <f>IFERROR(INDEX([1]DATA!$AH:$AH,MATCH('[1]BC_ ĐG LX'!$C148&amp;'[1]BC_ ĐG LX'!Q$3,[1]DATA!$AW:$AW,0)),"")</f>
        <v>8.4</v>
      </c>
      <c r="R148" s="19">
        <f>IFERROR(INDEX([1]DATA!$AH:$AH,MATCH('[1]BC_ ĐG LX'!$C148&amp;'[1]BC_ ĐG LX'!R$3,[1]DATA!$AW:$AW,0)),"")</f>
        <v>8.84</v>
      </c>
      <c r="S148" s="19">
        <f>IFERROR(INDEX([1]DATA!$AH:$AH,MATCH('[1]BC_ ĐG LX'!$C148&amp;'[1]BC_ ĐG LX'!S$3,[1]DATA!$AW:$AW,0)),"")</f>
        <v>9.42</v>
      </c>
      <c r="T148" s="19">
        <f>IFERROR(INDEX([1]DATA!$AH:$AH,MATCH('[1]BC_ ĐG LX'!$C148&amp;'[1]BC_ ĐG LX'!T$3,[1]DATA!$AW:$AW,0)),"")</f>
        <v>9.42</v>
      </c>
      <c r="U148" s="19">
        <f>IFERROR(INDEX([1]DATA!$AH:$AH,MATCH('[1]BC_ ĐG LX'!$C148&amp;'[1]BC_ ĐG LX'!U$3,[1]DATA!$AW:$AW,0)),"")</f>
        <v>8.84</v>
      </c>
      <c r="V148" s="19">
        <f>IFERROR(INDEX([1]DATA!$AH:$AH,MATCH('[1]BC_ ĐG LX'!$C148&amp;'[1]BC_ ĐG LX'!V$3,[1]DATA!$AW:$AW,0)),"")</f>
        <v>9.6199999999999992</v>
      </c>
      <c r="W148" s="19">
        <f>IFERROR(INDEX([1]DATA!$AH:$AH,MATCH('[1]BC_ ĐG LX'!$C148&amp;'[1]BC_ ĐG LX'!W$3,[1]DATA!$AW:$AW,0)),"")</f>
        <v>9.02</v>
      </c>
      <c r="X148" s="19">
        <f>IFERROR(INDEX([1]DATA!$AH:$AH,MATCH('[1]BC_ ĐG LX'!$C148&amp;'[1]BC_ ĐG LX'!X$3,[1]DATA!$AW:$AW,0)),"")</f>
        <v>9.42</v>
      </c>
      <c r="Y148" s="19">
        <f>IFERROR(INDEX([1]DATA!$AH:$AH,MATCH('[1]BC_ ĐG LX'!$C148&amp;'[1]BC_ ĐG LX'!Y$3,[1]DATA!$AW:$AW,0)),"")</f>
        <v>9.82</v>
      </c>
      <c r="Z148" s="19">
        <f>IFERROR(INDEX([1]DATA!$AH:$AH,MATCH('[1]BC_ ĐG LX'!$C148&amp;'[1]BC_ ĐG LX'!Z$3,[1]DATA!$AW:$AW,0)),"")</f>
        <v>9.02</v>
      </c>
      <c r="AA148" s="19">
        <f>IFERROR(INDEX([1]DATA!$AH:$AH,MATCH('[1]BC_ ĐG LX'!$C148&amp;'[1]BC_ ĐG LX'!AA$3,[1]DATA!$AW:$AW,0)),"")</f>
        <v>9.42</v>
      </c>
      <c r="AB148" s="19">
        <f>IFERROR(INDEX([1]DATA!$AH:$AH,MATCH('[1]BC_ ĐG LX'!$C148&amp;'[1]BC_ ĐG LX'!AB$3,[1]DATA!$AW:$AW,0)),"")</f>
        <v>9.42</v>
      </c>
      <c r="AC148" s="19">
        <f>IFERROR(INDEX([1]DATA!$AH:$AH,MATCH('[1]BC_ ĐG LX'!$C148&amp;'[1]BC_ ĐG LX'!AC$3,[1]DATA!$AW:$AW,0)),"")</f>
        <v>9.42</v>
      </c>
      <c r="AD148" s="19">
        <f>IFERROR(INDEX([1]DATA!$AH:$AH,MATCH('[1]BC_ ĐG LX'!$C148&amp;'[1]BC_ ĐG LX'!AD$3,[1]DATA!$AW:$AW,0)),"")</f>
        <v>9.82</v>
      </c>
      <c r="AE148" s="19">
        <f>IFERROR(INDEX([1]DATA!$AH:$AH,MATCH('[1]BC_ ĐG LX'!$C148&amp;'[1]BC_ ĐG LX'!AE$3,[1]DATA!$AW:$AW,0)),"")</f>
        <v>8.84</v>
      </c>
      <c r="AF148" s="19" t="str">
        <f>IFERROR(INDEX([1]DATA!$AH:$AH,MATCH('[1]BC_ ĐG LX'!$C148&amp;'[1]BC_ ĐG LX'!AF$3,[1]DATA!$AW:$AW,0)),"")</f>
        <v/>
      </c>
      <c r="AG148" s="19" t="str">
        <f>IFERROR(INDEX([1]DATA!$AH:$AH,MATCH('[1]BC_ ĐG LX'!$C148&amp;'[1]BC_ ĐG LX'!AG$3,[1]DATA!$AW:$AW,0)),"")</f>
        <v/>
      </c>
      <c r="AH148" s="19" t="str">
        <f>IFERROR(INDEX([1]DATA!$AH:$AH,MATCH('[1]BC_ ĐG LX'!$C148&amp;'[1]BC_ ĐG LX'!AH$3,[1]DATA!$AW:$AW,0)),"")</f>
        <v/>
      </c>
      <c r="AI148" s="19" t="str">
        <f>IFERROR(INDEX([1]DATA!$AH:$AH,MATCH('[1]BC_ ĐG LX'!$C148&amp;'[1]BC_ ĐG LX'!AI$3,[1]DATA!$AW:$AW,0)),"")</f>
        <v/>
      </c>
      <c r="AJ148" s="19" t="str">
        <f>IFERROR(INDEX([1]DATA!$AH:$AH,MATCH('[1]BC_ ĐG LX'!$C148&amp;'[1]BC_ ĐG LX'!AJ$3,[1]DATA!$AW:$AW,0)),"")</f>
        <v/>
      </c>
      <c r="AK148" s="26">
        <f t="shared" si="9"/>
        <v>9.4</v>
      </c>
      <c r="AL148" s="21"/>
      <c r="AM148" s="22">
        <f t="shared" si="8"/>
        <v>25</v>
      </c>
      <c r="AN148" s="22" t="str">
        <f>_xlfn.XLOOKUP(B148,[1]DATA!AF:AF,[1]DATA!AX:AX)</f>
        <v>Nga</v>
      </c>
      <c r="AO148"/>
    </row>
    <row r="149" spans="1:41" s="22" customFormat="1" ht="14.25" customHeight="1">
      <c r="A149" s="16">
        <f>SUBTOTAL(3,$D$135:D149)</f>
        <v>15</v>
      </c>
      <c r="B149" s="16" t="str">
        <f>_xlfn.XLOOKUP(C149,[1]DATA!D:D,[1]DATA!AF:AF)</f>
        <v>XE00825</v>
      </c>
      <c r="C149" s="18" t="s">
        <v>173</v>
      </c>
      <c r="D149" s="16" t="s">
        <v>23</v>
      </c>
      <c r="E149" s="18" t="s">
        <v>17</v>
      </c>
      <c r="F149" s="18" t="s">
        <v>18</v>
      </c>
      <c r="G149" s="19">
        <f>IFERROR(INDEX([1]DATA!$AH:$AH,MATCH('[1]BC_ ĐG LX'!$C149&amp;'[1]BC_ ĐG LX'!G$3,[1]DATA!$AW:$AW,0)),"")</f>
        <v>9.42</v>
      </c>
      <c r="H149" s="19">
        <f>IFERROR(INDEX([1]DATA!$AH:$AH,MATCH('[1]BC_ ĐG LX'!$C149&amp;'[1]BC_ ĐG LX'!H$3,[1]DATA!$AW:$AW,0)),"")</f>
        <v>9.42</v>
      </c>
      <c r="I149" s="19">
        <f>IFERROR(INDEX([1]DATA!$AH:$AH,MATCH('[1]BC_ ĐG LX'!$C149&amp;'[1]BC_ ĐG LX'!I$3,[1]DATA!$AW:$AW,0)),"")</f>
        <v>9.02</v>
      </c>
      <c r="J149" s="19">
        <f>IFERROR(INDEX([1]DATA!$AH:$AH,MATCH('[1]BC_ ĐG LX'!$C149&amp;'[1]BC_ ĐG LX'!J$3,[1]DATA!$AW:$AW,0)),"")</f>
        <v>9.02</v>
      </c>
      <c r="K149" s="19">
        <f>IFERROR(INDEX([1]DATA!$AH:$AH,MATCH('[1]BC_ ĐG LX'!$C149&amp;'[1]BC_ ĐG LX'!K$3,[1]DATA!$AW:$AW,0)),"")</f>
        <v>9.82</v>
      </c>
      <c r="L149" s="19">
        <f>IFERROR(INDEX([1]DATA!$AH:$AH,MATCH('[1]BC_ ĐG LX'!$C149&amp;'[1]BC_ ĐG LX'!L$3,[1]DATA!$AW:$AW,0)),"")</f>
        <v>9.42</v>
      </c>
      <c r="M149" s="19">
        <f>IFERROR(INDEX([1]DATA!$AH:$AH,MATCH('[1]BC_ ĐG LX'!$C149&amp;'[1]BC_ ĐG LX'!M$3,[1]DATA!$AW:$AW,0)),"")</f>
        <v>9.42</v>
      </c>
      <c r="N149" s="19">
        <f>IFERROR(INDEX([1]DATA!$AH:$AH,MATCH('[1]BC_ ĐG LX'!$C149&amp;'[1]BC_ ĐG LX'!N$3,[1]DATA!$AW:$AW,0)),"")</f>
        <v>9.82</v>
      </c>
      <c r="O149" s="19">
        <f>IFERROR(INDEX([1]DATA!$AH:$AH,MATCH('[1]BC_ ĐG LX'!$C149&amp;'[1]BC_ ĐG LX'!O$3,[1]DATA!$AW:$AW,0)),"")</f>
        <v>9.82</v>
      </c>
      <c r="P149" s="19">
        <f>IFERROR(INDEX([1]DATA!$AH:$AH,MATCH('[1]BC_ ĐG LX'!$C149&amp;'[1]BC_ ĐG LX'!P$3,[1]DATA!$AW:$AW,0)),"")</f>
        <v>9.42</v>
      </c>
      <c r="Q149" s="19">
        <f>IFERROR(INDEX([1]DATA!$AH:$AH,MATCH('[1]BC_ ĐG LX'!$C149&amp;'[1]BC_ ĐG LX'!Q$3,[1]DATA!$AW:$AW,0)),"")</f>
        <v>9.82</v>
      </c>
      <c r="R149" s="19">
        <f>IFERROR(INDEX([1]DATA!$AH:$AH,MATCH('[1]BC_ ĐG LX'!$C149&amp;'[1]BC_ ĐG LX'!R$3,[1]DATA!$AW:$AW,0)),"")</f>
        <v>9.82</v>
      </c>
      <c r="S149" s="19">
        <f>IFERROR(INDEX([1]DATA!$AH:$AH,MATCH('[1]BC_ ĐG LX'!$C149&amp;'[1]BC_ ĐG LX'!S$3,[1]DATA!$AW:$AW,0)),"")</f>
        <v>9.82</v>
      </c>
      <c r="T149" s="19">
        <f>IFERROR(INDEX([1]DATA!$AH:$AH,MATCH('[1]BC_ ĐG LX'!$C149&amp;'[1]BC_ ĐG LX'!T$3,[1]DATA!$AW:$AW,0)),"")</f>
        <v>9.6199999999999992</v>
      </c>
      <c r="U149" s="19">
        <f>IFERROR(INDEX([1]DATA!$AH:$AH,MATCH('[1]BC_ ĐG LX'!$C149&amp;'[1]BC_ ĐG LX'!U$3,[1]DATA!$AW:$AW,0)),"")</f>
        <v>8.64</v>
      </c>
      <c r="V149" s="19">
        <f>IFERROR(INDEX([1]DATA!$AH:$AH,MATCH('[1]BC_ ĐG LX'!$C149&amp;'[1]BC_ ĐG LX'!V$3,[1]DATA!$AW:$AW,0)),"")</f>
        <v>8.84</v>
      </c>
      <c r="W149" s="19">
        <f>IFERROR(INDEX([1]DATA!$AH:$AH,MATCH('[1]BC_ ĐG LX'!$C149&amp;'[1]BC_ ĐG LX'!W$3,[1]DATA!$AW:$AW,0)),"")</f>
        <v>9.02</v>
      </c>
      <c r="X149" s="19">
        <f>IFERROR(INDEX([1]DATA!$AH:$AH,MATCH('[1]BC_ ĐG LX'!$C149&amp;'[1]BC_ ĐG LX'!X$3,[1]DATA!$AW:$AW,0)),"")</f>
        <v>9.02</v>
      </c>
      <c r="Y149" s="19">
        <f>IFERROR(INDEX([1]DATA!$AH:$AH,MATCH('[1]BC_ ĐG LX'!$C149&amp;'[1]BC_ ĐG LX'!Y$3,[1]DATA!$AW:$AW,0)),"")</f>
        <v>9.42</v>
      </c>
      <c r="Z149" s="19">
        <f>IFERROR(INDEX([1]DATA!$AH:$AH,MATCH('[1]BC_ ĐG LX'!$C149&amp;'[1]BC_ ĐG LX'!Z$3,[1]DATA!$AW:$AW,0)),"")</f>
        <v>9.42</v>
      </c>
      <c r="AA149" s="19">
        <f>IFERROR(INDEX([1]DATA!$AH:$AH,MATCH('[1]BC_ ĐG LX'!$C149&amp;'[1]BC_ ĐG LX'!AA$3,[1]DATA!$AW:$AW,0)),"")</f>
        <v>9.82</v>
      </c>
      <c r="AB149" s="19">
        <f>IFERROR(INDEX([1]DATA!$AH:$AH,MATCH('[1]BC_ ĐG LX'!$C149&amp;'[1]BC_ ĐG LX'!AB$3,[1]DATA!$AW:$AW,0)),"")</f>
        <v>8.620000000000001</v>
      </c>
      <c r="AC149" s="19">
        <f>IFERROR(INDEX([1]DATA!$AH:$AH,MATCH('[1]BC_ ĐG LX'!$C149&amp;'[1]BC_ ĐG LX'!AC$3,[1]DATA!$AW:$AW,0)),"")</f>
        <v>9.82</v>
      </c>
      <c r="AD149" s="19">
        <f>IFERROR(INDEX([1]DATA!$AH:$AH,MATCH('[1]BC_ ĐG LX'!$C149&amp;'[1]BC_ ĐG LX'!AD$3,[1]DATA!$AW:$AW,0)),"")</f>
        <v>9.6199999999999992</v>
      </c>
      <c r="AE149" s="19">
        <f>IFERROR(INDEX([1]DATA!$AH:$AH,MATCH('[1]BC_ ĐG LX'!$C149&amp;'[1]BC_ ĐG LX'!AE$3,[1]DATA!$AW:$AW,0)),"")</f>
        <v>9.82</v>
      </c>
      <c r="AF149" s="19" t="str">
        <f>IFERROR(INDEX([1]DATA!$AH:$AH,MATCH('[1]BC_ ĐG LX'!$C149&amp;'[1]BC_ ĐG LX'!AF$3,[1]DATA!$AW:$AW,0)),"")</f>
        <v/>
      </c>
      <c r="AG149" s="19" t="str">
        <f>IFERROR(INDEX([1]DATA!$AH:$AH,MATCH('[1]BC_ ĐG LX'!$C149&amp;'[1]BC_ ĐG LX'!AG$3,[1]DATA!$AW:$AW,0)),"")</f>
        <v/>
      </c>
      <c r="AH149" s="19" t="str">
        <f>IFERROR(INDEX([1]DATA!$AH:$AH,MATCH('[1]BC_ ĐG LX'!$C149&amp;'[1]BC_ ĐG LX'!AH$3,[1]DATA!$AW:$AW,0)),"")</f>
        <v/>
      </c>
      <c r="AI149" s="19" t="str">
        <f>IFERROR(INDEX([1]DATA!$AH:$AH,MATCH('[1]BC_ ĐG LX'!$C149&amp;'[1]BC_ ĐG LX'!AI$3,[1]DATA!$AW:$AW,0)),"")</f>
        <v/>
      </c>
      <c r="AJ149" s="19" t="str">
        <f>IFERROR(INDEX([1]DATA!$AH:$AH,MATCH('[1]BC_ ĐG LX'!$C149&amp;'[1]BC_ ĐG LX'!AJ$3,[1]DATA!$AW:$AW,0)),"")</f>
        <v/>
      </c>
      <c r="AK149" s="26">
        <f t="shared" si="9"/>
        <v>9.5</v>
      </c>
      <c r="AL149" s="21"/>
      <c r="AM149" s="22">
        <f t="shared" si="8"/>
        <v>25</v>
      </c>
      <c r="AN149" s="22" t="str">
        <f>_xlfn.XLOOKUP(B149,[1]DATA!AF:AF,[1]DATA!AX:AX)</f>
        <v>Nga</v>
      </c>
      <c r="AO149"/>
    </row>
    <row r="150" spans="1:41" s="22" customFormat="1" ht="13.5" customHeight="1">
      <c r="A150" s="16">
        <f>SUBTOTAL(3,$D$135:D150)</f>
        <v>16</v>
      </c>
      <c r="B150" s="16" t="str">
        <f>_xlfn.XLOOKUP(C150,[1]DATA!D:D,[1]DATA!AF:AF)</f>
        <v>XE00964</v>
      </c>
      <c r="C150" s="18" t="s">
        <v>174</v>
      </c>
      <c r="D150" s="16" t="s">
        <v>23</v>
      </c>
      <c r="E150" s="18" t="s">
        <v>17</v>
      </c>
      <c r="F150" s="18" t="s">
        <v>18</v>
      </c>
      <c r="G150" s="19">
        <f>IFERROR(INDEX([1]DATA!$AH:$AH,MATCH('[1]BC_ ĐG LX'!$C150&amp;'[1]BC_ ĐG LX'!G$3,[1]DATA!$AW:$AW,0)),"")</f>
        <v>9.82</v>
      </c>
      <c r="H150" s="19">
        <f>IFERROR(INDEX([1]DATA!$AH:$AH,MATCH('[1]BC_ ĐG LX'!$C150&amp;'[1]BC_ ĐG LX'!H$3,[1]DATA!$AW:$AW,0)),"")</f>
        <v>9.42</v>
      </c>
      <c r="I150" s="19">
        <f>IFERROR(INDEX([1]DATA!$AH:$AH,MATCH('[1]BC_ ĐG LX'!$C150&amp;'[1]BC_ ĐG LX'!I$3,[1]DATA!$AW:$AW,0)),"")</f>
        <v>9.82</v>
      </c>
      <c r="J150" s="19">
        <f>IFERROR(INDEX([1]DATA!$AH:$AH,MATCH('[1]BC_ ĐG LX'!$C150&amp;'[1]BC_ ĐG LX'!J$3,[1]DATA!$AW:$AW,0)),"")</f>
        <v>10</v>
      </c>
      <c r="K150" s="19">
        <f>IFERROR(INDEX([1]DATA!$AH:$AH,MATCH('[1]BC_ ĐG LX'!$C150&amp;'[1]BC_ ĐG LX'!K$3,[1]DATA!$AW:$AW,0)),"")</f>
        <v>8.84</v>
      </c>
      <c r="L150" s="19">
        <f>IFERROR(INDEX([1]DATA!$AH:$AH,MATCH('[1]BC_ ĐG LX'!$C150&amp;'[1]BC_ ĐG LX'!L$3,[1]DATA!$AW:$AW,0)),"")</f>
        <v>9.42</v>
      </c>
      <c r="M150" s="19">
        <f>IFERROR(INDEX([1]DATA!$AH:$AH,MATCH('[1]BC_ ĐG LX'!$C150&amp;'[1]BC_ ĐG LX'!M$3,[1]DATA!$AW:$AW,0)),"")</f>
        <v>9.42</v>
      </c>
      <c r="N150" s="19">
        <f>IFERROR(INDEX([1]DATA!$AH:$AH,MATCH('[1]BC_ ĐG LX'!$C150&amp;'[1]BC_ ĐG LX'!N$3,[1]DATA!$AW:$AW,0)),"")</f>
        <v>9.42</v>
      </c>
      <c r="O150" s="19">
        <f>IFERROR(INDEX([1]DATA!$AH:$AH,MATCH('[1]BC_ ĐG LX'!$C150&amp;'[1]BC_ ĐG LX'!O$3,[1]DATA!$AW:$AW,0)),"")</f>
        <v>8.6199999999999992</v>
      </c>
      <c r="P150" s="19">
        <f>IFERROR(INDEX([1]DATA!$AH:$AH,MATCH('[1]BC_ ĐG LX'!$C150&amp;'[1]BC_ ĐG LX'!P$3,[1]DATA!$AW:$AW,0)),"")</f>
        <v>9.42</v>
      </c>
      <c r="Q150" s="19">
        <f>IFERROR(INDEX([1]DATA!$AH:$AH,MATCH('[1]BC_ ĐG LX'!$C150&amp;'[1]BC_ ĐG LX'!Q$3,[1]DATA!$AW:$AW,0)),"")</f>
        <v>9.82</v>
      </c>
      <c r="R150" s="19">
        <f>IFERROR(INDEX([1]DATA!$AH:$AH,MATCH('[1]BC_ ĐG LX'!$C150&amp;'[1]BC_ ĐG LX'!R$3,[1]DATA!$AW:$AW,0)),"")</f>
        <v>9.82</v>
      </c>
      <c r="S150" s="19">
        <f>IFERROR(INDEX([1]DATA!$AH:$AH,MATCH('[1]BC_ ĐG LX'!$C150&amp;'[1]BC_ ĐG LX'!S$3,[1]DATA!$AW:$AW,0)),"")</f>
        <v>9.42</v>
      </c>
      <c r="T150" s="19">
        <f>IFERROR(INDEX([1]DATA!$AH:$AH,MATCH('[1]BC_ ĐG LX'!$C150&amp;'[1]BC_ ĐG LX'!T$3,[1]DATA!$AW:$AW,0)),"")</f>
        <v>9.82</v>
      </c>
      <c r="U150" s="19">
        <f>IFERROR(INDEX([1]DATA!$AH:$AH,MATCH('[1]BC_ ĐG LX'!$C150&amp;'[1]BC_ ĐG LX'!U$3,[1]DATA!$AW:$AW,0)),"")</f>
        <v>9.82</v>
      </c>
      <c r="V150" s="19">
        <f>IFERROR(INDEX([1]DATA!$AH:$AH,MATCH('[1]BC_ ĐG LX'!$C150&amp;'[1]BC_ ĐG LX'!V$3,[1]DATA!$AW:$AW,0)),"")</f>
        <v>9.02</v>
      </c>
      <c r="W150" s="19">
        <f>IFERROR(INDEX([1]DATA!$AH:$AH,MATCH('[1]BC_ ĐG LX'!$C150&amp;'[1]BC_ ĐG LX'!W$3,[1]DATA!$AW:$AW,0)),"")</f>
        <v>9.2199999999999989</v>
      </c>
      <c r="X150" s="19">
        <f>IFERROR(INDEX([1]DATA!$AH:$AH,MATCH('[1]BC_ ĐG LX'!$C150&amp;'[1]BC_ ĐG LX'!X$3,[1]DATA!$AW:$AW,0)),"")</f>
        <v>8.2200000000000006</v>
      </c>
      <c r="Y150" s="19">
        <f>IFERROR(INDEX([1]DATA!$AH:$AH,MATCH('[1]BC_ ĐG LX'!$C150&amp;'[1]BC_ ĐG LX'!Y$3,[1]DATA!$AW:$AW,0)),"")</f>
        <v>8.620000000000001</v>
      </c>
      <c r="Z150" s="19">
        <f>IFERROR(INDEX([1]DATA!$AH:$AH,MATCH('[1]BC_ ĐG LX'!$C150&amp;'[1]BC_ ĐG LX'!Z$3,[1]DATA!$AW:$AW,0)),"")</f>
        <v>9.42</v>
      </c>
      <c r="AA150" s="19">
        <f>IFERROR(INDEX([1]DATA!$AH:$AH,MATCH('[1]BC_ ĐG LX'!$C150&amp;'[1]BC_ ĐG LX'!AA$3,[1]DATA!$AW:$AW,0)),"")</f>
        <v>9.82</v>
      </c>
      <c r="AB150" s="19">
        <f>IFERROR(INDEX([1]DATA!$AH:$AH,MATCH('[1]BC_ ĐG LX'!$C150&amp;'[1]BC_ ĐG LX'!AB$3,[1]DATA!$AW:$AW,0)),"")</f>
        <v>9.82</v>
      </c>
      <c r="AC150" s="19">
        <f>IFERROR(INDEX([1]DATA!$AH:$AH,MATCH('[1]BC_ ĐG LX'!$C150&amp;'[1]BC_ ĐG LX'!AC$3,[1]DATA!$AW:$AW,0)),"")</f>
        <v>9.82</v>
      </c>
      <c r="AD150" s="19">
        <f>IFERROR(INDEX([1]DATA!$AH:$AH,MATCH('[1]BC_ ĐG LX'!$C150&amp;'[1]BC_ ĐG LX'!AD$3,[1]DATA!$AW:$AW,0)),"")</f>
        <v>8.84</v>
      </c>
      <c r="AE150" s="19">
        <f>IFERROR(INDEX([1]DATA!$AH:$AH,MATCH('[1]BC_ ĐG LX'!$C150&amp;'[1]BC_ ĐG LX'!AE$3,[1]DATA!$AW:$AW,0)),"")</f>
        <v>9.82</v>
      </c>
      <c r="AF150" s="19" t="str">
        <f>IFERROR(INDEX([1]DATA!$AH:$AH,MATCH('[1]BC_ ĐG LX'!$C150&amp;'[1]BC_ ĐG LX'!AF$3,[1]DATA!$AW:$AW,0)),"")</f>
        <v/>
      </c>
      <c r="AG150" s="19" t="str">
        <f>IFERROR(INDEX([1]DATA!$AH:$AH,MATCH('[1]BC_ ĐG LX'!$C150&amp;'[1]BC_ ĐG LX'!AG$3,[1]DATA!$AW:$AW,0)),"")</f>
        <v/>
      </c>
      <c r="AH150" s="19" t="str">
        <f>IFERROR(INDEX([1]DATA!$AH:$AH,MATCH('[1]BC_ ĐG LX'!$C150&amp;'[1]BC_ ĐG LX'!AH$3,[1]DATA!$AW:$AW,0)),"")</f>
        <v/>
      </c>
      <c r="AI150" s="19" t="str">
        <f>IFERROR(INDEX([1]DATA!$AH:$AH,MATCH('[1]BC_ ĐG LX'!$C150&amp;'[1]BC_ ĐG LX'!AI$3,[1]DATA!$AW:$AW,0)),"")</f>
        <v/>
      </c>
      <c r="AJ150" s="19" t="str">
        <f>IFERROR(INDEX([1]DATA!$AH:$AH,MATCH('[1]BC_ ĐG LX'!$C150&amp;'[1]BC_ ĐG LX'!AJ$3,[1]DATA!$AW:$AW,0)),"")</f>
        <v/>
      </c>
      <c r="AK150" s="26">
        <f t="shared" si="9"/>
        <v>9.5</v>
      </c>
      <c r="AL150" s="21"/>
      <c r="AM150" s="22">
        <f t="shared" si="8"/>
        <v>25</v>
      </c>
      <c r="AN150" s="22" t="str">
        <f>_xlfn.XLOOKUP(B150,[1]DATA!AF:AF,[1]DATA!AX:AX)</f>
        <v>Nga</v>
      </c>
      <c r="AO150"/>
    </row>
    <row r="151" spans="1:41" s="22" customFormat="1" ht="13.5" customHeight="1">
      <c r="A151" s="16">
        <f>SUBTOTAL(3,$D$135:D151)</f>
        <v>17</v>
      </c>
      <c r="B151" s="16" t="str">
        <f>_xlfn.XLOOKUP(C151,[1]DATA!D:D,[1]DATA!AF:AF)</f>
        <v>XE00737</v>
      </c>
      <c r="C151" s="18" t="s">
        <v>175</v>
      </c>
      <c r="D151" s="16" t="s">
        <v>23</v>
      </c>
      <c r="E151" s="18" t="s">
        <v>17</v>
      </c>
      <c r="F151" s="18" t="s">
        <v>18</v>
      </c>
      <c r="G151" s="19">
        <f>IFERROR(INDEX([1]DATA!$AH:$AH,MATCH('[1]BC_ ĐG LX'!$C151&amp;'[1]BC_ ĐG LX'!G$3,[1]DATA!$AW:$AW,0)),"")</f>
        <v>9.42</v>
      </c>
      <c r="H151" s="19">
        <f>IFERROR(INDEX([1]DATA!$AH:$AH,MATCH('[1]BC_ ĐG LX'!$C151&amp;'[1]BC_ ĐG LX'!H$3,[1]DATA!$AW:$AW,0)),"")</f>
        <v>9.82</v>
      </c>
      <c r="I151" s="19">
        <f>IFERROR(INDEX([1]DATA!$AH:$AH,MATCH('[1]BC_ ĐG LX'!$C151&amp;'[1]BC_ ĐG LX'!I$3,[1]DATA!$AW:$AW,0)),"")</f>
        <v>10</v>
      </c>
      <c r="J151" s="19">
        <f>IFERROR(INDEX([1]DATA!$AH:$AH,MATCH('[1]BC_ ĐG LX'!$C151&amp;'[1]BC_ ĐG LX'!J$3,[1]DATA!$AW:$AW,0)),"")</f>
        <v>9.42</v>
      </c>
      <c r="K151" s="19">
        <f>IFERROR(INDEX([1]DATA!$AH:$AH,MATCH('[1]BC_ ĐG LX'!$C151&amp;'[1]BC_ ĐG LX'!K$3,[1]DATA!$AW:$AW,0)),"")</f>
        <v>9.02</v>
      </c>
      <c r="L151" s="19">
        <f>IFERROR(INDEX([1]DATA!$AH:$AH,MATCH('[1]BC_ ĐG LX'!$C151&amp;'[1]BC_ ĐG LX'!L$3,[1]DATA!$AW:$AW,0)),"")</f>
        <v>9.42</v>
      </c>
      <c r="M151" s="19">
        <f>IFERROR(INDEX([1]DATA!$AH:$AH,MATCH('[1]BC_ ĐG LX'!$C151&amp;'[1]BC_ ĐG LX'!M$3,[1]DATA!$AW:$AW,0)),"")</f>
        <v>9.42</v>
      </c>
      <c r="N151" s="19">
        <f>IFERROR(INDEX([1]DATA!$AH:$AH,MATCH('[1]BC_ ĐG LX'!$C151&amp;'[1]BC_ ĐG LX'!N$3,[1]DATA!$AW:$AW,0)),"")</f>
        <v>9.42</v>
      </c>
      <c r="O151" s="19">
        <f>IFERROR(INDEX([1]DATA!$AH:$AH,MATCH('[1]BC_ ĐG LX'!$C151&amp;'[1]BC_ ĐG LX'!O$3,[1]DATA!$AW:$AW,0)),"")</f>
        <v>9.82</v>
      </c>
      <c r="P151" s="19">
        <f>IFERROR(INDEX([1]DATA!$AH:$AH,MATCH('[1]BC_ ĐG LX'!$C151&amp;'[1]BC_ ĐG LX'!P$3,[1]DATA!$AW:$AW,0)),"")</f>
        <v>9.42</v>
      </c>
      <c r="Q151" s="19">
        <f>IFERROR(INDEX([1]DATA!$AH:$AH,MATCH('[1]BC_ ĐG LX'!$C151&amp;'[1]BC_ ĐG LX'!Q$3,[1]DATA!$AW:$AW,0)),"")</f>
        <v>9.42</v>
      </c>
      <c r="R151" s="19">
        <f>IFERROR(INDEX([1]DATA!$AH:$AH,MATCH('[1]BC_ ĐG LX'!$C151&amp;'[1]BC_ ĐG LX'!R$3,[1]DATA!$AW:$AW,0)),"")</f>
        <v>9.82</v>
      </c>
      <c r="S151" s="19">
        <f>IFERROR(INDEX([1]DATA!$AH:$AH,MATCH('[1]BC_ ĐG LX'!$C151&amp;'[1]BC_ ĐG LX'!S$3,[1]DATA!$AW:$AW,0)),"")</f>
        <v>9.6199999999999992</v>
      </c>
      <c r="T151" s="19">
        <f>IFERROR(INDEX([1]DATA!$AH:$AH,MATCH('[1]BC_ ĐG LX'!$C151&amp;'[1]BC_ ĐG LX'!T$3,[1]DATA!$AW:$AW,0)),"")</f>
        <v>9.82</v>
      </c>
      <c r="U151" s="19">
        <f>IFERROR(INDEX([1]DATA!$AH:$AH,MATCH('[1]BC_ ĐG LX'!$C151&amp;'[1]BC_ ĐG LX'!U$3,[1]DATA!$AW:$AW,0)),"")</f>
        <v>9.42</v>
      </c>
      <c r="V151" s="19">
        <f>IFERROR(INDEX([1]DATA!$AH:$AH,MATCH('[1]BC_ ĐG LX'!$C151&amp;'[1]BC_ ĐG LX'!V$3,[1]DATA!$AW:$AW,0)),"")</f>
        <v>9.42</v>
      </c>
      <c r="W151" s="19">
        <f>IFERROR(INDEX([1]DATA!$AH:$AH,MATCH('[1]BC_ ĐG LX'!$C151&amp;'[1]BC_ ĐG LX'!W$3,[1]DATA!$AW:$AW,0)),"")</f>
        <v>9.42</v>
      </c>
      <c r="X151" s="19">
        <f>IFERROR(INDEX([1]DATA!$AH:$AH,MATCH('[1]BC_ ĐG LX'!$C151&amp;'[1]BC_ ĐG LX'!X$3,[1]DATA!$AW:$AW,0)),"")</f>
        <v>9.42</v>
      </c>
      <c r="Y151" s="19">
        <f>IFERROR(INDEX([1]DATA!$AH:$AH,MATCH('[1]BC_ ĐG LX'!$C151&amp;'[1]BC_ ĐG LX'!Y$3,[1]DATA!$AW:$AW,0)),"")</f>
        <v>9.82</v>
      </c>
      <c r="Z151" s="19">
        <f>IFERROR(INDEX([1]DATA!$AH:$AH,MATCH('[1]BC_ ĐG LX'!$C151&amp;'[1]BC_ ĐG LX'!Z$3,[1]DATA!$AW:$AW,0)),"")</f>
        <v>9.82</v>
      </c>
      <c r="AA151" s="19" t="str">
        <f>IFERROR(INDEX([1]DATA!$AH:$AH,MATCH('[1]BC_ ĐG LX'!$C151&amp;'[1]BC_ ĐG LX'!AA$3,[1]DATA!$AW:$AW,0)),"")</f>
        <v/>
      </c>
      <c r="AB151" s="19" t="str">
        <f>IFERROR(INDEX([1]DATA!$AH:$AH,MATCH('[1]BC_ ĐG LX'!$C151&amp;'[1]BC_ ĐG LX'!AB$3,[1]DATA!$AW:$AW,0)),"")</f>
        <v/>
      </c>
      <c r="AC151" s="19" t="str">
        <f>IFERROR(INDEX([1]DATA!$AH:$AH,MATCH('[1]BC_ ĐG LX'!$C151&amp;'[1]BC_ ĐG LX'!AC$3,[1]DATA!$AW:$AW,0)),"")</f>
        <v/>
      </c>
      <c r="AD151" s="19" t="str">
        <f>IFERROR(INDEX([1]DATA!$AH:$AH,MATCH('[1]BC_ ĐG LX'!$C151&amp;'[1]BC_ ĐG LX'!AD$3,[1]DATA!$AW:$AW,0)),"")</f>
        <v/>
      </c>
      <c r="AE151" s="19" t="str">
        <f>IFERROR(INDEX([1]DATA!$AH:$AH,MATCH('[1]BC_ ĐG LX'!$C151&amp;'[1]BC_ ĐG LX'!AE$3,[1]DATA!$AW:$AW,0)),"")</f>
        <v/>
      </c>
      <c r="AF151" s="19" t="str">
        <f>IFERROR(INDEX([1]DATA!$AH:$AH,MATCH('[1]BC_ ĐG LX'!$C151&amp;'[1]BC_ ĐG LX'!AF$3,[1]DATA!$AW:$AW,0)),"")</f>
        <v/>
      </c>
      <c r="AG151" s="19" t="str">
        <f>IFERROR(INDEX([1]DATA!$AH:$AH,MATCH('[1]BC_ ĐG LX'!$C151&amp;'[1]BC_ ĐG LX'!AG$3,[1]DATA!$AW:$AW,0)),"")</f>
        <v/>
      </c>
      <c r="AH151" s="19" t="str">
        <f>IFERROR(INDEX([1]DATA!$AH:$AH,MATCH('[1]BC_ ĐG LX'!$C151&amp;'[1]BC_ ĐG LX'!AH$3,[1]DATA!$AW:$AW,0)),"")</f>
        <v/>
      </c>
      <c r="AI151" s="19" t="str">
        <f>IFERROR(INDEX([1]DATA!$AH:$AH,MATCH('[1]BC_ ĐG LX'!$C151&amp;'[1]BC_ ĐG LX'!AI$3,[1]DATA!$AW:$AW,0)),"")</f>
        <v/>
      </c>
      <c r="AJ151" s="19" t="str">
        <f>IFERROR(INDEX([1]DATA!$AH:$AH,MATCH('[1]BC_ ĐG LX'!$C151&amp;'[1]BC_ ĐG LX'!AJ$3,[1]DATA!$AW:$AW,0)),"")</f>
        <v/>
      </c>
      <c r="AK151" s="26">
        <f t="shared" si="9"/>
        <v>9.6</v>
      </c>
      <c r="AL151" s="21"/>
      <c r="AM151" s="22">
        <f t="shared" si="8"/>
        <v>20</v>
      </c>
      <c r="AN151" s="22" t="str">
        <f>_xlfn.XLOOKUP(B151,[1]DATA!AF:AF,[1]DATA!AX:AX)</f>
        <v>Nga</v>
      </c>
      <c r="AO151"/>
    </row>
    <row r="152" spans="1:41" s="22" customFormat="1" ht="13.5" customHeight="1">
      <c r="A152" s="16">
        <f>SUBTOTAL(3,$D$135:D152)</f>
        <v>18</v>
      </c>
      <c r="B152" s="16" t="str">
        <f>_xlfn.XLOOKUP(C152,[1]DATA!D:D,[1]DATA!AF:AF)</f>
        <v>XE01605</v>
      </c>
      <c r="C152" s="18" t="s">
        <v>176</v>
      </c>
      <c r="D152" s="16" t="s">
        <v>23</v>
      </c>
      <c r="E152" s="18" t="s">
        <v>17</v>
      </c>
      <c r="F152" s="18" t="s">
        <v>18</v>
      </c>
      <c r="G152" s="19">
        <f>IFERROR(INDEX([1]DATA!$AH:$AH,MATCH('[1]BC_ ĐG LX'!$C152&amp;'[1]BC_ ĐG LX'!G$3,[1]DATA!$AW:$AW,0)),"")</f>
        <v>9.82</v>
      </c>
      <c r="H152" s="19">
        <f>IFERROR(INDEX([1]DATA!$AH:$AH,MATCH('[1]BC_ ĐG LX'!$C152&amp;'[1]BC_ ĐG LX'!H$3,[1]DATA!$AW:$AW,0)),"")</f>
        <v>9.42</v>
      </c>
      <c r="I152" s="19">
        <f>IFERROR(INDEX([1]DATA!$AH:$AH,MATCH('[1]BC_ ĐG LX'!$C152&amp;'[1]BC_ ĐG LX'!I$3,[1]DATA!$AW:$AW,0)),"")</f>
        <v>9.02</v>
      </c>
      <c r="J152" s="19">
        <f>IFERROR(INDEX([1]DATA!$AH:$AH,MATCH('[1]BC_ ĐG LX'!$C152&amp;'[1]BC_ ĐG LX'!J$3,[1]DATA!$AW:$AW,0)),"")</f>
        <v>8.84</v>
      </c>
      <c r="K152" s="19">
        <f>IFERROR(INDEX([1]DATA!$AH:$AH,MATCH('[1]BC_ ĐG LX'!$C152&amp;'[1]BC_ ĐG LX'!K$3,[1]DATA!$AW:$AW,0)),"")</f>
        <v>9.42</v>
      </c>
      <c r="L152" s="19">
        <f>IFERROR(INDEX([1]DATA!$AH:$AH,MATCH('[1]BC_ ĐG LX'!$C152&amp;'[1]BC_ ĐG LX'!L$3,[1]DATA!$AW:$AW,0)),"")</f>
        <v>9.82</v>
      </c>
      <c r="M152" s="19">
        <f>IFERROR(INDEX([1]DATA!$AH:$AH,MATCH('[1]BC_ ĐG LX'!$C152&amp;'[1]BC_ ĐG LX'!M$3,[1]DATA!$AW:$AW,0)),"")</f>
        <v>9.02</v>
      </c>
      <c r="N152" s="19">
        <f>IFERROR(INDEX([1]DATA!$AH:$AH,MATCH('[1]BC_ ĐG LX'!$C152&amp;'[1]BC_ ĐG LX'!N$3,[1]DATA!$AW:$AW,0)),"")</f>
        <v>10</v>
      </c>
      <c r="O152" s="19">
        <f>IFERROR(INDEX([1]DATA!$AH:$AH,MATCH('[1]BC_ ĐG LX'!$C152&amp;'[1]BC_ ĐG LX'!O$3,[1]DATA!$AW:$AW,0)),"")</f>
        <v>9.02</v>
      </c>
      <c r="P152" s="19">
        <f>IFERROR(INDEX([1]DATA!$AH:$AH,MATCH('[1]BC_ ĐG LX'!$C152&amp;'[1]BC_ ĐG LX'!P$3,[1]DATA!$AW:$AW,0)),"")</f>
        <v>9.82</v>
      </c>
      <c r="Q152" s="19">
        <f>IFERROR(INDEX([1]DATA!$AH:$AH,MATCH('[1]BC_ ĐG LX'!$C152&amp;'[1]BC_ ĐG LX'!Q$3,[1]DATA!$AW:$AW,0)),"")</f>
        <v>9.42</v>
      </c>
      <c r="R152" s="19">
        <f>IFERROR(INDEX([1]DATA!$AH:$AH,MATCH('[1]BC_ ĐG LX'!$C152&amp;'[1]BC_ ĐG LX'!R$3,[1]DATA!$AW:$AW,0)),"")</f>
        <v>9.42</v>
      </c>
      <c r="S152" s="19">
        <f>IFERROR(INDEX([1]DATA!$AH:$AH,MATCH('[1]BC_ ĐG LX'!$C152&amp;'[1]BC_ ĐG LX'!S$3,[1]DATA!$AW:$AW,0)),"")</f>
        <v>9.42</v>
      </c>
      <c r="T152" s="19">
        <f>IFERROR(INDEX([1]DATA!$AH:$AH,MATCH('[1]BC_ ĐG LX'!$C152&amp;'[1]BC_ ĐG LX'!T$3,[1]DATA!$AW:$AW,0)),"")</f>
        <v>9.42</v>
      </c>
      <c r="U152" s="19">
        <f>IFERROR(INDEX([1]DATA!$AH:$AH,MATCH('[1]BC_ ĐG LX'!$C152&amp;'[1]BC_ ĐG LX'!U$3,[1]DATA!$AW:$AW,0)),"")</f>
        <v>9.82</v>
      </c>
      <c r="V152" s="19">
        <f>IFERROR(INDEX([1]DATA!$AH:$AH,MATCH('[1]BC_ ĐG LX'!$C152&amp;'[1]BC_ ĐG LX'!V$3,[1]DATA!$AW:$AW,0)),"")</f>
        <v>9.02</v>
      </c>
      <c r="W152" s="19">
        <f>IFERROR(INDEX([1]DATA!$AH:$AH,MATCH('[1]BC_ ĐG LX'!$C152&amp;'[1]BC_ ĐG LX'!W$3,[1]DATA!$AW:$AW,0)),"")</f>
        <v>9.42</v>
      </c>
      <c r="X152" s="19">
        <f>IFERROR(INDEX([1]DATA!$AH:$AH,MATCH('[1]BC_ ĐG LX'!$C152&amp;'[1]BC_ ĐG LX'!X$3,[1]DATA!$AW:$AW,0)),"")</f>
        <v>9.42</v>
      </c>
      <c r="Y152" s="19">
        <f>IFERROR(INDEX([1]DATA!$AH:$AH,MATCH('[1]BC_ ĐG LX'!$C152&amp;'[1]BC_ ĐG LX'!Y$3,[1]DATA!$AW:$AW,0)),"")</f>
        <v>9.82</v>
      </c>
      <c r="Z152" s="19">
        <f>IFERROR(INDEX([1]DATA!$AH:$AH,MATCH('[1]BC_ ĐG LX'!$C152&amp;'[1]BC_ ĐG LX'!Z$3,[1]DATA!$AW:$AW,0)),"")</f>
        <v>9.02</v>
      </c>
      <c r="AA152" s="19">
        <f>IFERROR(INDEX([1]DATA!$AH:$AH,MATCH('[1]BC_ ĐG LX'!$C152&amp;'[1]BC_ ĐG LX'!AA$3,[1]DATA!$AW:$AW,0)),"")</f>
        <v>9.02</v>
      </c>
      <c r="AB152" s="19">
        <f>IFERROR(INDEX([1]DATA!$AH:$AH,MATCH('[1]BC_ ĐG LX'!$C152&amp;'[1]BC_ ĐG LX'!AB$3,[1]DATA!$AW:$AW,0)),"")</f>
        <v>9.42</v>
      </c>
      <c r="AC152" s="19">
        <f>IFERROR(INDEX([1]DATA!$AH:$AH,MATCH('[1]BC_ ĐG LX'!$C152&amp;'[1]BC_ ĐG LX'!AC$3,[1]DATA!$AW:$AW,0)),"")</f>
        <v>9.42</v>
      </c>
      <c r="AD152" s="19">
        <f>IFERROR(INDEX([1]DATA!$AH:$AH,MATCH('[1]BC_ ĐG LX'!$C152&amp;'[1]BC_ ĐG LX'!AD$3,[1]DATA!$AW:$AW,0)),"")</f>
        <v>9.82</v>
      </c>
      <c r="AE152" s="19">
        <f>IFERROR(INDEX([1]DATA!$AH:$AH,MATCH('[1]BC_ ĐG LX'!$C152&amp;'[1]BC_ ĐG LX'!AE$3,[1]DATA!$AW:$AW,0)),"")</f>
        <v>9.82</v>
      </c>
      <c r="AF152" s="19" t="str">
        <f>IFERROR(INDEX([1]DATA!$AH:$AH,MATCH('[1]BC_ ĐG LX'!$C152&amp;'[1]BC_ ĐG LX'!AF$3,[1]DATA!$AW:$AW,0)),"")</f>
        <v/>
      </c>
      <c r="AG152" s="19" t="str">
        <f>IFERROR(INDEX([1]DATA!$AH:$AH,MATCH('[1]BC_ ĐG LX'!$C152&amp;'[1]BC_ ĐG LX'!AG$3,[1]DATA!$AW:$AW,0)),"")</f>
        <v/>
      </c>
      <c r="AH152" s="19" t="str">
        <f>IFERROR(INDEX([1]DATA!$AH:$AH,MATCH('[1]BC_ ĐG LX'!$C152&amp;'[1]BC_ ĐG LX'!AH$3,[1]DATA!$AW:$AW,0)),"")</f>
        <v/>
      </c>
      <c r="AI152" s="19" t="str">
        <f>IFERROR(INDEX([1]DATA!$AH:$AH,MATCH('[1]BC_ ĐG LX'!$C152&amp;'[1]BC_ ĐG LX'!AI$3,[1]DATA!$AW:$AW,0)),"")</f>
        <v/>
      </c>
      <c r="AJ152" s="19" t="str">
        <f>IFERROR(INDEX([1]DATA!$AH:$AH,MATCH('[1]BC_ ĐG LX'!$C152&amp;'[1]BC_ ĐG LX'!AJ$3,[1]DATA!$AW:$AW,0)),"")</f>
        <v/>
      </c>
      <c r="AK152" s="26">
        <f t="shared" si="9"/>
        <v>9.5</v>
      </c>
      <c r="AL152" s="21"/>
      <c r="AM152" s="22">
        <f t="shared" si="8"/>
        <v>25</v>
      </c>
      <c r="AN152" s="22" t="str">
        <f>_xlfn.XLOOKUP(B152,[1]DATA!AF:AF,[1]DATA!AX:AX)</f>
        <v>Nga</v>
      </c>
      <c r="AO152"/>
    </row>
    <row r="153" spans="1:41" s="22" customFormat="1" ht="13.5" customHeight="1">
      <c r="A153" s="16">
        <f>SUBTOTAL(3,$D$135:D153)</f>
        <v>19</v>
      </c>
      <c r="B153" s="16" t="str">
        <f>_xlfn.XLOOKUP(C153,[1]DATA!D:D,[1]DATA!AF:AF)</f>
        <v>XE01077</v>
      </c>
      <c r="C153" s="18" t="s">
        <v>177</v>
      </c>
      <c r="D153" s="16" t="s">
        <v>23</v>
      </c>
      <c r="E153" s="18" t="s">
        <v>17</v>
      </c>
      <c r="F153" s="18" t="s">
        <v>18</v>
      </c>
      <c r="G153" s="19">
        <f>IFERROR(INDEX([1]DATA!$AH:$AH,MATCH('[1]BC_ ĐG LX'!$C153&amp;'[1]BC_ ĐG LX'!G$3,[1]DATA!$AW:$AW,0)),"")</f>
        <v>9.82</v>
      </c>
      <c r="H153" s="19">
        <f>IFERROR(INDEX([1]DATA!$AH:$AH,MATCH('[1]BC_ ĐG LX'!$C153&amp;'[1]BC_ ĐG LX'!H$3,[1]DATA!$AW:$AW,0)),"")</f>
        <v>9.42</v>
      </c>
      <c r="I153" s="19">
        <f>IFERROR(INDEX([1]DATA!$AH:$AH,MATCH('[1]BC_ ĐG LX'!$C153&amp;'[1]BC_ ĐG LX'!I$3,[1]DATA!$AW:$AW,0)),"")</f>
        <v>9.82</v>
      </c>
      <c r="J153" s="19">
        <f>IFERROR(INDEX([1]DATA!$AH:$AH,MATCH('[1]BC_ ĐG LX'!$C153&amp;'[1]BC_ ĐG LX'!J$3,[1]DATA!$AW:$AW,0)),"")</f>
        <v>9.82</v>
      </c>
      <c r="K153" s="19">
        <f>IFERROR(INDEX([1]DATA!$AH:$AH,MATCH('[1]BC_ ĐG LX'!$C153&amp;'[1]BC_ ĐG LX'!K$3,[1]DATA!$AW:$AW,0)),"")</f>
        <v>9.42</v>
      </c>
      <c r="L153" s="19">
        <f>IFERROR(INDEX([1]DATA!$AH:$AH,MATCH('[1]BC_ ĐG LX'!$C153&amp;'[1]BC_ ĐG LX'!L$3,[1]DATA!$AW:$AW,0)),"")</f>
        <v>9.82</v>
      </c>
      <c r="M153" s="19">
        <f>IFERROR(INDEX([1]DATA!$AH:$AH,MATCH('[1]BC_ ĐG LX'!$C153&amp;'[1]BC_ ĐG LX'!M$3,[1]DATA!$AW:$AW,0)),"")</f>
        <v>9.82</v>
      </c>
      <c r="N153" s="19">
        <f>IFERROR(INDEX([1]DATA!$AH:$AH,MATCH('[1]BC_ ĐG LX'!$C153&amp;'[1]BC_ ĐG LX'!N$3,[1]DATA!$AW:$AW,0)),"")</f>
        <v>9.6199999999999992</v>
      </c>
      <c r="O153" s="19">
        <f>IFERROR(INDEX([1]DATA!$AH:$AH,MATCH('[1]BC_ ĐG LX'!$C153&amp;'[1]BC_ ĐG LX'!O$3,[1]DATA!$AW:$AW,0)),"")</f>
        <v>9.02</v>
      </c>
      <c r="P153" s="19">
        <f>IFERROR(INDEX([1]DATA!$AH:$AH,MATCH('[1]BC_ ĐG LX'!$C153&amp;'[1]BC_ ĐG LX'!P$3,[1]DATA!$AW:$AW,0)),"")</f>
        <v>9.82</v>
      </c>
      <c r="Q153" s="19">
        <f>IFERROR(INDEX([1]DATA!$AH:$AH,MATCH('[1]BC_ ĐG LX'!$C153&amp;'[1]BC_ ĐG LX'!Q$3,[1]DATA!$AW:$AW,0)),"")</f>
        <v>9.82</v>
      </c>
      <c r="R153" s="19">
        <f>IFERROR(INDEX([1]DATA!$AH:$AH,MATCH('[1]BC_ ĐG LX'!$C153&amp;'[1]BC_ ĐG LX'!R$3,[1]DATA!$AW:$AW,0)),"")</f>
        <v>9.42</v>
      </c>
      <c r="S153" s="19">
        <f>IFERROR(INDEX([1]DATA!$AH:$AH,MATCH('[1]BC_ ĐG LX'!$C153&amp;'[1]BC_ ĐG LX'!S$3,[1]DATA!$AW:$AW,0)),"")</f>
        <v>9.24</v>
      </c>
      <c r="T153" s="19">
        <f>IFERROR(INDEX([1]DATA!$AH:$AH,MATCH('[1]BC_ ĐG LX'!$C153&amp;'[1]BC_ ĐG LX'!T$3,[1]DATA!$AW:$AW,0)),"")</f>
        <v>9.42</v>
      </c>
      <c r="U153" s="19">
        <f>IFERROR(INDEX([1]DATA!$AH:$AH,MATCH('[1]BC_ ĐG LX'!$C153&amp;'[1]BC_ ĐG LX'!U$3,[1]DATA!$AW:$AW,0)),"")</f>
        <v>9.82</v>
      </c>
      <c r="V153" s="19">
        <f>IFERROR(INDEX([1]DATA!$AH:$AH,MATCH('[1]BC_ ĐG LX'!$C153&amp;'[1]BC_ ĐG LX'!V$3,[1]DATA!$AW:$AW,0)),"")</f>
        <v>9.82</v>
      </c>
      <c r="W153" s="19">
        <f>IFERROR(INDEX([1]DATA!$AH:$AH,MATCH('[1]BC_ ĐG LX'!$C153&amp;'[1]BC_ ĐG LX'!W$3,[1]DATA!$AW:$AW,0)),"")</f>
        <v>9.82</v>
      </c>
      <c r="X153" s="19">
        <f>IFERROR(INDEX([1]DATA!$AH:$AH,MATCH('[1]BC_ ĐG LX'!$C153&amp;'[1]BC_ ĐG LX'!X$3,[1]DATA!$AW:$AW,0)),"")</f>
        <v>8.620000000000001</v>
      </c>
      <c r="Y153" s="19">
        <f>IFERROR(INDEX([1]DATA!$AH:$AH,MATCH('[1]BC_ ĐG LX'!$C153&amp;'[1]BC_ ĐG LX'!Y$3,[1]DATA!$AW:$AW,0)),"")</f>
        <v>9.42</v>
      </c>
      <c r="Z153" s="19">
        <f>IFERROR(INDEX([1]DATA!$AH:$AH,MATCH('[1]BC_ ĐG LX'!$C153&amp;'[1]BC_ ĐG LX'!Z$3,[1]DATA!$AW:$AW,0)),"")</f>
        <v>9.42</v>
      </c>
      <c r="AA153" s="19">
        <f>IFERROR(INDEX([1]DATA!$AH:$AH,MATCH('[1]BC_ ĐG LX'!$C153&amp;'[1]BC_ ĐG LX'!AA$3,[1]DATA!$AW:$AW,0)),"")</f>
        <v>9.82</v>
      </c>
      <c r="AB153" s="19">
        <f>IFERROR(INDEX([1]DATA!$AH:$AH,MATCH('[1]BC_ ĐG LX'!$C153&amp;'[1]BC_ ĐG LX'!AB$3,[1]DATA!$AW:$AW,0)),"")</f>
        <v>9.82</v>
      </c>
      <c r="AC153" s="19">
        <f>IFERROR(INDEX([1]DATA!$AH:$AH,MATCH('[1]BC_ ĐG LX'!$C153&amp;'[1]BC_ ĐG LX'!AC$3,[1]DATA!$AW:$AW,0)),"")</f>
        <v>9.2199999999999989</v>
      </c>
      <c r="AD153" s="19">
        <f>IFERROR(INDEX([1]DATA!$AH:$AH,MATCH('[1]BC_ ĐG LX'!$C153&amp;'[1]BC_ ĐG LX'!AD$3,[1]DATA!$AW:$AW,0)),"")</f>
        <v>9.42</v>
      </c>
      <c r="AE153" s="19">
        <f>IFERROR(INDEX([1]DATA!$AH:$AH,MATCH('[1]BC_ ĐG LX'!$C153&amp;'[1]BC_ ĐG LX'!AE$3,[1]DATA!$AW:$AW,0)),"")</f>
        <v>9.82</v>
      </c>
      <c r="AF153" s="19" t="str">
        <f>IFERROR(INDEX([1]DATA!$AH:$AH,MATCH('[1]BC_ ĐG LX'!$C153&amp;'[1]BC_ ĐG LX'!AF$3,[1]DATA!$AW:$AW,0)),"")</f>
        <v/>
      </c>
      <c r="AG153" s="19" t="str">
        <f>IFERROR(INDEX([1]DATA!$AH:$AH,MATCH('[1]BC_ ĐG LX'!$C153&amp;'[1]BC_ ĐG LX'!AG$3,[1]DATA!$AW:$AW,0)),"")</f>
        <v/>
      </c>
      <c r="AH153" s="19" t="str">
        <f>IFERROR(INDEX([1]DATA!$AH:$AH,MATCH('[1]BC_ ĐG LX'!$C153&amp;'[1]BC_ ĐG LX'!AH$3,[1]DATA!$AW:$AW,0)),"")</f>
        <v/>
      </c>
      <c r="AI153" s="19" t="str">
        <f>IFERROR(INDEX([1]DATA!$AH:$AH,MATCH('[1]BC_ ĐG LX'!$C153&amp;'[1]BC_ ĐG LX'!AI$3,[1]DATA!$AW:$AW,0)),"")</f>
        <v/>
      </c>
      <c r="AJ153" s="19" t="str">
        <f>IFERROR(INDEX([1]DATA!$AH:$AH,MATCH('[1]BC_ ĐG LX'!$C153&amp;'[1]BC_ ĐG LX'!AJ$3,[1]DATA!$AW:$AW,0)),"")</f>
        <v/>
      </c>
      <c r="AK153" s="26">
        <f t="shared" si="9"/>
        <v>9.6</v>
      </c>
      <c r="AL153" s="21"/>
      <c r="AM153" s="22">
        <f t="shared" si="8"/>
        <v>25</v>
      </c>
      <c r="AN153" s="22" t="str">
        <f>_xlfn.XLOOKUP(B153,[1]DATA!AF:AF,[1]DATA!AX:AX)</f>
        <v>Nga</v>
      </c>
      <c r="AO153"/>
    </row>
    <row r="154" spans="1:41" s="22" customFormat="1" ht="14.25" customHeight="1">
      <c r="A154" s="16">
        <f>SUBTOTAL(3,$D$135:D154)</f>
        <v>20</v>
      </c>
      <c r="B154" s="16" t="str">
        <f>_xlfn.XLOOKUP(C154,[1]DATA!D:D,[1]DATA!AF:AF)</f>
        <v>XE01669</v>
      </c>
      <c r="C154" s="18" t="s">
        <v>178</v>
      </c>
      <c r="D154" s="16" t="s">
        <v>23</v>
      </c>
      <c r="E154" s="18" t="s">
        <v>17</v>
      </c>
      <c r="F154" s="18" t="s">
        <v>108</v>
      </c>
      <c r="G154" s="19">
        <f>IFERROR(INDEX([1]DATA!$AH:$AH,MATCH('[1]BC_ ĐG LX'!$C154&amp;'[1]BC_ ĐG LX'!G$3,[1]DATA!$AW:$AW,0)),"")</f>
        <v>9.82</v>
      </c>
      <c r="H154" s="19">
        <f>IFERROR(INDEX([1]DATA!$AH:$AH,MATCH('[1]BC_ ĐG LX'!$C154&amp;'[1]BC_ ĐG LX'!H$3,[1]DATA!$AW:$AW,0)),"")</f>
        <v>9.42</v>
      </c>
      <c r="I154" s="19">
        <f>IFERROR(INDEX([1]DATA!$AH:$AH,MATCH('[1]BC_ ĐG LX'!$C154&amp;'[1]BC_ ĐG LX'!I$3,[1]DATA!$AW:$AW,0)),"")</f>
        <v>10</v>
      </c>
      <c r="J154" s="19">
        <f>IFERROR(INDEX([1]DATA!$AH:$AH,MATCH('[1]BC_ ĐG LX'!$C154&amp;'[1]BC_ ĐG LX'!J$3,[1]DATA!$AW:$AW,0)),"")</f>
        <v>9.6199999999999992</v>
      </c>
      <c r="K154" s="19">
        <f>IFERROR(INDEX([1]DATA!$AH:$AH,MATCH('[1]BC_ ĐG LX'!$C154&amp;'[1]BC_ ĐG LX'!K$3,[1]DATA!$AW:$AW,0)),"")</f>
        <v>9.02</v>
      </c>
      <c r="L154" s="19">
        <f>IFERROR(INDEX([1]DATA!$AH:$AH,MATCH('[1]BC_ ĐG LX'!$C154&amp;'[1]BC_ ĐG LX'!L$3,[1]DATA!$AW:$AW,0)),"")</f>
        <v>8.84</v>
      </c>
      <c r="M154" s="19">
        <f>IFERROR(INDEX([1]DATA!$AH:$AH,MATCH('[1]BC_ ĐG LX'!$C154&amp;'[1]BC_ ĐG LX'!M$3,[1]DATA!$AW:$AW,0)),"")</f>
        <v>9.42</v>
      </c>
      <c r="N154" s="19">
        <f>IFERROR(INDEX([1]DATA!$AH:$AH,MATCH('[1]BC_ ĐG LX'!$C154&amp;'[1]BC_ ĐG LX'!N$3,[1]DATA!$AW:$AW,0)),"")</f>
        <v>9.42</v>
      </c>
      <c r="O154" s="19">
        <f>IFERROR(INDEX([1]DATA!$AH:$AH,MATCH('[1]BC_ ĐG LX'!$C154&amp;'[1]BC_ ĐG LX'!O$3,[1]DATA!$AW:$AW,0)),"")</f>
        <v>9.42</v>
      </c>
      <c r="P154" s="19">
        <f>IFERROR(INDEX([1]DATA!$AH:$AH,MATCH('[1]BC_ ĐG LX'!$C154&amp;'[1]BC_ ĐG LX'!P$3,[1]DATA!$AW:$AW,0)),"")</f>
        <v>8.620000000000001</v>
      </c>
      <c r="Q154" s="19">
        <f>IFERROR(INDEX([1]DATA!$AH:$AH,MATCH('[1]BC_ ĐG LX'!$C154&amp;'[1]BC_ ĐG LX'!Q$3,[1]DATA!$AW:$AW,0)),"")</f>
        <v>9.42</v>
      </c>
      <c r="R154" s="19">
        <f>IFERROR(INDEX([1]DATA!$AH:$AH,MATCH('[1]BC_ ĐG LX'!$C154&amp;'[1]BC_ ĐG LX'!R$3,[1]DATA!$AW:$AW,0)),"")</f>
        <v>9.2199999999999989</v>
      </c>
      <c r="S154" s="19">
        <f>IFERROR(INDEX([1]DATA!$AH:$AH,MATCH('[1]BC_ ĐG LX'!$C154&amp;'[1]BC_ ĐG LX'!S$3,[1]DATA!$AW:$AW,0)),"")</f>
        <v>9.02</v>
      </c>
      <c r="T154" s="19">
        <f>IFERROR(INDEX([1]DATA!$AH:$AH,MATCH('[1]BC_ ĐG LX'!$C154&amp;'[1]BC_ ĐG LX'!T$3,[1]DATA!$AW:$AW,0)),"")</f>
        <v>9.42</v>
      </c>
      <c r="U154" s="19">
        <f>IFERROR(INDEX([1]DATA!$AH:$AH,MATCH('[1]BC_ ĐG LX'!$C154&amp;'[1]BC_ ĐG LX'!U$3,[1]DATA!$AW:$AW,0)),"")</f>
        <v>9.42</v>
      </c>
      <c r="V154" s="33">
        <f>IFERROR(INDEX([1]DATA!$AH:$AH,MATCH('[1]BC_ ĐG LX'!$C154&amp;'[1]BC_ ĐG LX'!V$3,[1]DATA!$AW:$AW,0)),"")</f>
        <v>9.82</v>
      </c>
      <c r="W154" s="33">
        <f>IFERROR(INDEX([1]DATA!$AH:$AH,MATCH('[1]BC_ ĐG LX'!$C154&amp;'[1]BC_ ĐG LX'!W$3,[1]DATA!$AW:$AW,0)),"")</f>
        <v>9.82</v>
      </c>
      <c r="X154" s="33">
        <f>IFERROR(INDEX([1]DATA!$AH:$AH,MATCH('[1]BC_ ĐG LX'!$C154&amp;'[1]BC_ ĐG LX'!X$3,[1]DATA!$AW:$AW,0)),"")</f>
        <v>9.42</v>
      </c>
      <c r="Y154" s="33">
        <f>IFERROR(INDEX([1]DATA!$AH:$AH,MATCH('[1]BC_ ĐG LX'!$C154&amp;'[1]BC_ ĐG LX'!Y$3,[1]DATA!$AW:$AW,0)),"")</f>
        <v>9.6199999999999992</v>
      </c>
      <c r="Z154" s="33">
        <f>IFERROR(INDEX([1]DATA!$AH:$AH,MATCH('[1]BC_ ĐG LX'!$C154&amp;'[1]BC_ ĐG LX'!Z$3,[1]DATA!$AW:$AW,0)),"")</f>
        <v>9.42</v>
      </c>
      <c r="AA154" s="33">
        <f>IFERROR(INDEX([1]DATA!$AH:$AH,MATCH('[1]BC_ ĐG LX'!$C154&amp;'[1]BC_ ĐG LX'!AA$3,[1]DATA!$AW:$AW,0)),"")</f>
        <v>9.02</v>
      </c>
      <c r="AB154" s="33">
        <f>IFERROR(INDEX([1]DATA!$AH:$AH,MATCH('[1]BC_ ĐG LX'!$C154&amp;'[1]BC_ ĐG LX'!AB$3,[1]DATA!$AW:$AW,0)),"")</f>
        <v>9.82</v>
      </c>
      <c r="AC154" s="33">
        <f>IFERROR(INDEX([1]DATA!$AH:$AH,MATCH('[1]BC_ ĐG LX'!$C154&amp;'[1]BC_ ĐG LX'!AC$3,[1]DATA!$AW:$AW,0)),"")</f>
        <v>9.82</v>
      </c>
      <c r="AD154" s="19">
        <f>IFERROR(INDEX([1]DATA!$AH:$AH,MATCH('[1]BC_ ĐG LX'!$C154&amp;'[1]BC_ ĐG LX'!AD$3,[1]DATA!$AW:$AW,0)),"")</f>
        <v>9.82</v>
      </c>
      <c r="AE154" s="19">
        <f>IFERROR(INDEX([1]DATA!$AH:$AH,MATCH('[1]BC_ ĐG LX'!$C154&amp;'[1]BC_ ĐG LX'!AE$3,[1]DATA!$AW:$AW,0)),"")</f>
        <v>9.82</v>
      </c>
      <c r="AF154" s="19" t="str">
        <f>IFERROR(INDEX([1]DATA!$AH:$AH,MATCH('[1]BC_ ĐG LX'!$C154&amp;'[1]BC_ ĐG LX'!AF$3,[1]DATA!$AW:$AW,0)),"")</f>
        <v/>
      </c>
      <c r="AG154" s="19" t="str">
        <f>IFERROR(INDEX([1]DATA!$AH:$AH,MATCH('[1]BC_ ĐG LX'!$C154&amp;'[1]BC_ ĐG LX'!AG$3,[1]DATA!$AW:$AW,0)),"")</f>
        <v/>
      </c>
      <c r="AH154" s="19" t="str">
        <f>IFERROR(INDEX([1]DATA!$AH:$AH,MATCH('[1]BC_ ĐG LX'!$C154&amp;'[1]BC_ ĐG LX'!AH$3,[1]DATA!$AW:$AW,0)),"")</f>
        <v/>
      </c>
      <c r="AI154" s="19" t="str">
        <f>IFERROR(INDEX([1]DATA!$AH:$AH,MATCH('[1]BC_ ĐG LX'!$C154&amp;'[1]BC_ ĐG LX'!AI$3,[1]DATA!$AW:$AW,0)),"")</f>
        <v/>
      </c>
      <c r="AJ154" s="19" t="str">
        <f>IFERROR(INDEX([1]DATA!$AH:$AH,MATCH('[1]BC_ ĐG LX'!$C154&amp;'[1]BC_ ĐG LX'!AJ$3,[1]DATA!$AW:$AW,0)),"")</f>
        <v/>
      </c>
      <c r="AK154" s="26">
        <f t="shared" si="9"/>
        <v>9.5</v>
      </c>
      <c r="AL154" s="21" t="s">
        <v>179</v>
      </c>
      <c r="AM154" s="22">
        <f t="shared" si="8"/>
        <v>25</v>
      </c>
      <c r="AN154" s="22" t="str">
        <f>_xlfn.XLOOKUP(B154,[1]DATA!AF:AF,[1]DATA!AX:AX)</f>
        <v>Nga</v>
      </c>
      <c r="AO154"/>
    </row>
    <row r="155" spans="1:41" s="22" customFormat="1" ht="14.25" customHeight="1">
      <c r="A155" s="16"/>
      <c r="B155" s="16"/>
      <c r="C155" s="18"/>
      <c r="D155" s="16"/>
      <c r="E155" s="18"/>
      <c r="F155" s="18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26" t="str">
        <f t="shared" si="9"/>
        <v/>
      </c>
      <c r="AL155" s="21"/>
      <c r="AO155"/>
    </row>
    <row r="156" spans="1:41" ht="14.25" customHeight="1">
      <c r="A156" s="18"/>
      <c r="B156" s="18"/>
      <c r="C156" s="17" t="s">
        <v>180</v>
      </c>
      <c r="D156" s="18"/>
      <c r="E156" s="18"/>
      <c r="F156" s="18"/>
      <c r="G156" s="19" t="str">
        <f>IFERROR(INDEX([1]DATA!$AH:$AH,MATCH('[1]BC_ ĐG LX'!$C156&amp;'[1]BC_ ĐG LX'!G$3,[1]DATA!$AW:$AW,0)),"")</f>
        <v/>
      </c>
      <c r="H156" s="19" t="str">
        <f>IFERROR(INDEX([1]DATA!$AH:$AH,MATCH('[1]BC_ ĐG LX'!$C156&amp;'[1]BC_ ĐG LX'!H$3,[1]DATA!$AW:$AW,0)),"")</f>
        <v/>
      </c>
      <c r="I156" s="19" t="str">
        <f>IFERROR(INDEX([1]DATA!$AH:$AH,MATCH('[1]BC_ ĐG LX'!$C156&amp;'[1]BC_ ĐG LX'!I$3,[1]DATA!$AW:$AW,0)),"")</f>
        <v/>
      </c>
      <c r="J156" s="19" t="str">
        <f>IFERROR(INDEX([1]DATA!$AH:$AH,MATCH('[1]BC_ ĐG LX'!$C156&amp;'[1]BC_ ĐG LX'!J$3,[1]DATA!$AW:$AW,0)),"")</f>
        <v/>
      </c>
      <c r="K156" s="19" t="str">
        <f>IFERROR(INDEX([1]DATA!$AH:$AH,MATCH('[1]BC_ ĐG LX'!$C156&amp;'[1]BC_ ĐG LX'!K$3,[1]DATA!$AW:$AW,0)),"")</f>
        <v/>
      </c>
      <c r="L156" s="19" t="str">
        <f>IFERROR(INDEX([1]DATA!$AH:$AH,MATCH('[1]BC_ ĐG LX'!$C156&amp;'[1]BC_ ĐG LX'!L$3,[1]DATA!$AW:$AW,0)),"")</f>
        <v/>
      </c>
      <c r="M156" s="19" t="str">
        <f>IFERROR(INDEX([1]DATA!$AH:$AH,MATCH('[1]BC_ ĐG LX'!$C156&amp;'[1]BC_ ĐG LX'!M$3,[1]DATA!$AW:$AW,0)),"")</f>
        <v/>
      </c>
      <c r="N156" s="19" t="str">
        <f>IFERROR(INDEX([1]DATA!$AH:$AH,MATCH('[1]BC_ ĐG LX'!$C156&amp;'[1]BC_ ĐG LX'!N$3,[1]DATA!$AW:$AW,0)),"")</f>
        <v/>
      </c>
      <c r="O156" s="19" t="str">
        <f>IFERROR(INDEX([1]DATA!$AH:$AH,MATCH('[1]BC_ ĐG LX'!$C156&amp;'[1]BC_ ĐG LX'!O$3,[1]DATA!$AW:$AW,0)),"")</f>
        <v/>
      </c>
      <c r="P156" s="19" t="str">
        <f>IFERROR(INDEX([1]DATA!$AH:$AH,MATCH('[1]BC_ ĐG LX'!$C156&amp;'[1]BC_ ĐG LX'!P$3,[1]DATA!$AW:$AW,0)),"")</f>
        <v/>
      </c>
      <c r="Q156" s="19" t="str">
        <f>IFERROR(INDEX([1]DATA!$AH:$AH,MATCH('[1]BC_ ĐG LX'!$C156&amp;'[1]BC_ ĐG LX'!Q$3,[1]DATA!$AW:$AW,0)),"")</f>
        <v/>
      </c>
      <c r="R156" s="19" t="str">
        <f>IFERROR(INDEX([1]DATA!$AH:$AH,MATCH('[1]BC_ ĐG LX'!$C156&amp;'[1]BC_ ĐG LX'!R$3,[1]DATA!$AW:$AW,0)),"")</f>
        <v/>
      </c>
      <c r="S156" s="19" t="str">
        <f>IFERROR(INDEX([1]DATA!$AH:$AH,MATCH('[1]BC_ ĐG LX'!$C156&amp;'[1]BC_ ĐG LX'!S$3,[1]DATA!$AW:$AW,0)),"")</f>
        <v/>
      </c>
      <c r="T156" s="19" t="str">
        <f>IFERROR(INDEX([1]DATA!$AH:$AH,MATCH('[1]BC_ ĐG LX'!$C156&amp;'[1]BC_ ĐG LX'!T$3,[1]DATA!$AW:$AW,0)),"")</f>
        <v/>
      </c>
      <c r="U156" s="19" t="str">
        <f>IFERROR(INDEX([1]DATA!$AH:$AH,MATCH('[1]BC_ ĐG LX'!$C156&amp;'[1]BC_ ĐG LX'!U$3,[1]DATA!$AW:$AW,0)),"")</f>
        <v/>
      </c>
      <c r="V156" s="19" t="str">
        <f>IFERROR(INDEX([1]DATA!$AH:$AH,MATCH('[1]BC_ ĐG LX'!$C156&amp;'[1]BC_ ĐG LX'!V$3,[1]DATA!$AW:$AW,0)),"")</f>
        <v/>
      </c>
      <c r="W156" s="19" t="str">
        <f>IFERROR(INDEX([1]DATA!$AH:$AH,MATCH('[1]BC_ ĐG LX'!$C156&amp;'[1]BC_ ĐG LX'!W$3,[1]DATA!$AW:$AW,0)),"")</f>
        <v/>
      </c>
      <c r="X156" s="19" t="str">
        <f>IFERROR(INDEX([1]DATA!$AH:$AH,MATCH('[1]BC_ ĐG LX'!$C156&amp;'[1]BC_ ĐG LX'!X$3,[1]DATA!$AW:$AW,0)),"")</f>
        <v/>
      </c>
      <c r="Y156" s="19" t="str">
        <f>IFERROR(INDEX([1]DATA!$AH:$AH,MATCH('[1]BC_ ĐG LX'!$C156&amp;'[1]BC_ ĐG LX'!Y$3,[1]DATA!$AW:$AW,0)),"")</f>
        <v/>
      </c>
      <c r="Z156" s="19" t="str">
        <f>IFERROR(INDEX([1]DATA!$AH:$AH,MATCH('[1]BC_ ĐG LX'!$C156&amp;'[1]BC_ ĐG LX'!Z$3,[1]DATA!$AW:$AW,0)),"")</f>
        <v/>
      </c>
      <c r="AA156" s="19" t="str">
        <f>IFERROR(INDEX([1]DATA!$AH:$AH,MATCH('[1]BC_ ĐG LX'!$C156&amp;'[1]BC_ ĐG LX'!AA$3,[1]DATA!$AW:$AW,0)),"")</f>
        <v/>
      </c>
      <c r="AB156" s="19" t="str">
        <f>IFERROR(INDEX([1]DATA!$AH:$AH,MATCH('[1]BC_ ĐG LX'!$C156&amp;'[1]BC_ ĐG LX'!AB$3,[1]DATA!$AW:$AW,0)),"")</f>
        <v/>
      </c>
      <c r="AC156" s="19" t="str">
        <f>IFERROR(INDEX([1]DATA!$AH:$AH,MATCH('[1]BC_ ĐG LX'!$C156&amp;'[1]BC_ ĐG LX'!AC$3,[1]DATA!$AW:$AW,0)),"")</f>
        <v/>
      </c>
      <c r="AD156" s="19" t="str">
        <f>IFERROR(INDEX([1]DATA!$AH:$AH,MATCH('[1]BC_ ĐG LX'!$C156&amp;'[1]BC_ ĐG LX'!AD$3,[1]DATA!$AW:$AW,0)),"")</f>
        <v/>
      </c>
      <c r="AE156" s="19" t="str">
        <f>IFERROR(INDEX([1]DATA!$AH:$AH,MATCH('[1]BC_ ĐG LX'!$C156&amp;'[1]BC_ ĐG LX'!AE$3,[1]DATA!$AW:$AW,0)),"")</f>
        <v/>
      </c>
      <c r="AF156" s="19" t="str">
        <f>IFERROR(INDEX([1]DATA!$AH:$AH,MATCH('[1]BC_ ĐG LX'!$C156&amp;'[1]BC_ ĐG LX'!AF$3,[1]DATA!$AW:$AW,0)),"")</f>
        <v/>
      </c>
      <c r="AG156" s="19" t="str">
        <f>IFERROR(INDEX([1]DATA!$AH:$AH,MATCH('[1]BC_ ĐG LX'!$C156&amp;'[1]BC_ ĐG LX'!AG$3,[1]DATA!$AW:$AW,0)),"")</f>
        <v/>
      </c>
      <c r="AH156" s="19" t="str">
        <f>IFERROR(INDEX([1]DATA!$AH:$AH,MATCH('[1]BC_ ĐG LX'!$C156&amp;'[1]BC_ ĐG LX'!AH$3,[1]DATA!$AW:$AW,0)),"")</f>
        <v/>
      </c>
      <c r="AI156" s="19" t="str">
        <f>IFERROR(INDEX([1]DATA!$AH:$AH,MATCH('[1]BC_ ĐG LX'!$C156&amp;'[1]BC_ ĐG LX'!AI$3,[1]DATA!$AW:$AW,0)),"")</f>
        <v/>
      </c>
      <c r="AJ156" s="19" t="str">
        <f>IFERROR(INDEX([1]DATA!$AH:$AH,MATCH('[1]BC_ ĐG LX'!$C156&amp;'[1]BC_ ĐG LX'!AJ$3,[1]DATA!$AW:$AW,0)),"")</f>
        <v/>
      </c>
      <c r="AK156" s="38">
        <f>SUM(AK157:AK169)/COUNTIF(AK157:AK169,"&gt;0")</f>
        <v>9.3692307692307697</v>
      </c>
      <c r="AL156" s="21"/>
      <c r="AM156" s="22">
        <f t="shared" si="8"/>
        <v>0</v>
      </c>
      <c r="AN156" s="22" t="str">
        <f>_xlfn.XLOOKUP(B156,[1]DATA!AF:AF,[1]DATA!AX:AX)</f>
        <v>Lương</v>
      </c>
      <c r="AO156"/>
    </row>
    <row r="157" spans="1:41" s="22" customFormat="1" ht="14.25" customHeight="1">
      <c r="A157" s="16">
        <f>SUBTOTAL(3,$D$157:D157)</f>
        <v>1</v>
      </c>
      <c r="B157" s="16" t="str">
        <f>_xlfn.XLOOKUP(C157,[1]DATA!D:D,[1]DATA!AF:AF)</f>
        <v>XE00312</v>
      </c>
      <c r="C157" s="18" t="s">
        <v>181</v>
      </c>
      <c r="D157" s="16" t="s">
        <v>25</v>
      </c>
      <c r="E157" s="18" t="s">
        <v>17</v>
      </c>
      <c r="F157" s="18" t="s">
        <v>18</v>
      </c>
      <c r="G157" s="19">
        <f>IFERROR(INDEX([1]DATA!$AH:$AH,MATCH('[1]BC_ ĐG LX'!$C157&amp;'[1]BC_ ĐG LX'!G$3,[1]DATA!$AW:$AW,0)),"")</f>
        <v>9.42</v>
      </c>
      <c r="H157" s="19">
        <f>IFERROR(INDEX([1]DATA!$AH:$AH,MATCH('[1]BC_ ĐG LX'!$C157&amp;'[1]BC_ ĐG LX'!H$3,[1]DATA!$AW:$AW,0)),"")</f>
        <v>9.6</v>
      </c>
      <c r="I157" s="19">
        <f>IFERROR(INDEX([1]DATA!$AH:$AH,MATCH('[1]BC_ ĐG LX'!$C157&amp;'[1]BC_ ĐG LX'!I$3,[1]DATA!$AW:$AW,0)),"")</f>
        <v>9.42</v>
      </c>
      <c r="J157" s="19">
        <f>IFERROR(INDEX([1]DATA!$AH:$AH,MATCH('[1]BC_ ĐG LX'!$C157&amp;'[1]BC_ ĐG LX'!J$3,[1]DATA!$AW:$AW,0)),"")</f>
        <v>9.42</v>
      </c>
      <c r="K157" s="19">
        <f>IFERROR(INDEX([1]DATA!$AH:$AH,MATCH('[1]BC_ ĐG LX'!$C157&amp;'[1]BC_ ĐG LX'!K$3,[1]DATA!$AW:$AW,0)),"")</f>
        <v>9.42</v>
      </c>
      <c r="L157" s="19">
        <f>IFERROR(INDEX([1]DATA!$AH:$AH,MATCH('[1]BC_ ĐG LX'!$C157&amp;'[1]BC_ ĐG LX'!L$3,[1]DATA!$AW:$AW,0)),"")</f>
        <v>9.42</v>
      </c>
      <c r="M157" s="19">
        <f>IFERROR(INDEX([1]DATA!$AH:$AH,MATCH('[1]BC_ ĐG LX'!$C157&amp;'[1]BC_ ĐG LX'!M$3,[1]DATA!$AW:$AW,0)),"")</f>
        <v>9.42</v>
      </c>
      <c r="N157" s="19">
        <f>IFERROR(INDEX([1]DATA!$AH:$AH,MATCH('[1]BC_ ĐG LX'!$C157&amp;'[1]BC_ ĐG LX'!N$3,[1]DATA!$AW:$AW,0)),"")</f>
        <v>9.82</v>
      </c>
      <c r="O157" s="19">
        <f>IFERROR(INDEX([1]DATA!$AH:$AH,MATCH('[1]BC_ ĐG LX'!$C157&amp;'[1]BC_ ĐG LX'!O$3,[1]DATA!$AW:$AW,0)),"")</f>
        <v>9.42</v>
      </c>
      <c r="P157" s="19">
        <f>IFERROR(INDEX([1]DATA!$AH:$AH,MATCH('[1]BC_ ĐG LX'!$C157&amp;'[1]BC_ ĐG LX'!P$3,[1]DATA!$AW:$AW,0)),"")</f>
        <v>8.84</v>
      </c>
      <c r="Q157" s="19">
        <f>IFERROR(INDEX([1]DATA!$AH:$AH,MATCH('[1]BC_ ĐG LX'!$C157&amp;'[1]BC_ ĐG LX'!Q$3,[1]DATA!$AW:$AW,0)),"")</f>
        <v>9.82</v>
      </c>
      <c r="R157" s="19">
        <f>IFERROR(INDEX([1]DATA!$AH:$AH,MATCH('[1]BC_ ĐG LX'!$C157&amp;'[1]BC_ ĐG LX'!R$3,[1]DATA!$AW:$AW,0)),"")</f>
        <v>7.6400000000000006</v>
      </c>
      <c r="S157" s="19">
        <f>IFERROR(INDEX([1]DATA!$AH:$AH,MATCH('[1]BC_ ĐG LX'!$C157&amp;'[1]BC_ ĐG LX'!S$3,[1]DATA!$AW:$AW,0)),"")</f>
        <v>9.82</v>
      </c>
      <c r="T157" s="19">
        <f>IFERROR(INDEX([1]DATA!$AH:$AH,MATCH('[1]BC_ ĐG LX'!$C157&amp;'[1]BC_ ĐG LX'!T$3,[1]DATA!$AW:$AW,0)),"")</f>
        <v>9.82</v>
      </c>
      <c r="U157" s="19">
        <f>IFERROR(INDEX([1]DATA!$AH:$AH,MATCH('[1]BC_ ĐG LX'!$C157&amp;'[1]BC_ ĐG LX'!U$3,[1]DATA!$AW:$AW,0)),"")</f>
        <v>9.82</v>
      </c>
      <c r="V157" s="19">
        <f>IFERROR(INDEX([1]DATA!$AH:$AH,MATCH('[1]BC_ ĐG LX'!$C157&amp;'[1]BC_ ĐG LX'!V$3,[1]DATA!$AW:$AW,0)),"")</f>
        <v>9.82</v>
      </c>
      <c r="W157" s="19">
        <f>IFERROR(INDEX([1]DATA!$AH:$AH,MATCH('[1]BC_ ĐG LX'!$C157&amp;'[1]BC_ ĐG LX'!W$3,[1]DATA!$AW:$AW,0)),"")</f>
        <v>9.42</v>
      </c>
      <c r="X157" s="19">
        <f>IFERROR(INDEX([1]DATA!$AH:$AH,MATCH('[1]BC_ ĐG LX'!$C157&amp;'[1]BC_ ĐG LX'!X$3,[1]DATA!$AW:$AW,0)),"")</f>
        <v>9.82</v>
      </c>
      <c r="Y157" s="19">
        <f>IFERROR(INDEX([1]DATA!$AH:$AH,MATCH('[1]BC_ ĐG LX'!$C157&amp;'[1]BC_ ĐG LX'!Y$3,[1]DATA!$AW:$AW,0)),"")</f>
        <v>9.42</v>
      </c>
      <c r="Z157" s="19">
        <f>IFERROR(INDEX([1]DATA!$AH:$AH,MATCH('[1]BC_ ĐG LX'!$C157&amp;'[1]BC_ ĐG LX'!Z$3,[1]DATA!$AW:$AW,0)),"")</f>
        <v>9.82</v>
      </c>
      <c r="AA157" s="19">
        <f>IFERROR(INDEX([1]DATA!$AH:$AH,MATCH('[1]BC_ ĐG LX'!$C157&amp;'[1]BC_ ĐG LX'!AA$3,[1]DATA!$AW:$AW,0)),"")</f>
        <v>9.42</v>
      </c>
      <c r="AB157" s="19">
        <f>IFERROR(INDEX([1]DATA!$AH:$AH,MATCH('[1]BC_ ĐG LX'!$C157&amp;'[1]BC_ ĐG LX'!AB$3,[1]DATA!$AW:$AW,0)),"")</f>
        <v>9.42</v>
      </c>
      <c r="AC157" s="19">
        <f>IFERROR(INDEX([1]DATA!$AH:$AH,MATCH('[1]BC_ ĐG LX'!$C157&amp;'[1]BC_ ĐG LX'!AC$3,[1]DATA!$AW:$AW,0)),"")</f>
        <v>9.82</v>
      </c>
      <c r="AD157" s="19">
        <f>IFERROR(INDEX([1]DATA!$AH:$AH,MATCH('[1]BC_ ĐG LX'!$C157&amp;'[1]BC_ ĐG LX'!AD$3,[1]DATA!$AW:$AW,0)),"")</f>
        <v>8.44</v>
      </c>
      <c r="AE157" s="19">
        <f>IFERROR(INDEX([1]DATA!$AH:$AH,MATCH('[1]BC_ ĐG LX'!$C157&amp;'[1]BC_ ĐG LX'!AE$3,[1]DATA!$AW:$AW,0)),"")</f>
        <v>9.42</v>
      </c>
      <c r="AF157" s="19" t="str">
        <f>IFERROR(INDEX([1]DATA!$AH:$AH,MATCH('[1]BC_ ĐG LX'!$C157&amp;'[1]BC_ ĐG LX'!AF$3,[1]DATA!$AW:$AW,0)),"")</f>
        <v/>
      </c>
      <c r="AG157" s="19" t="str">
        <f>IFERROR(INDEX([1]DATA!$AH:$AH,MATCH('[1]BC_ ĐG LX'!$C157&amp;'[1]BC_ ĐG LX'!AG$3,[1]DATA!$AW:$AW,0)),"")</f>
        <v/>
      </c>
      <c r="AH157" s="19" t="str">
        <f>IFERROR(INDEX([1]DATA!$AH:$AH,MATCH('[1]BC_ ĐG LX'!$C157&amp;'[1]BC_ ĐG LX'!AH$3,[1]DATA!$AW:$AW,0)),"")</f>
        <v/>
      </c>
      <c r="AI157" s="19" t="str">
        <f>IFERROR(INDEX([1]DATA!$AH:$AH,MATCH('[1]BC_ ĐG LX'!$C157&amp;'[1]BC_ ĐG LX'!AI$3,[1]DATA!$AW:$AW,0)),"")</f>
        <v/>
      </c>
      <c r="AJ157" s="19" t="str">
        <f>IFERROR(INDEX([1]DATA!$AH:$AH,MATCH('[1]BC_ ĐG LX'!$C157&amp;'[1]BC_ ĐG LX'!AJ$3,[1]DATA!$AW:$AW,0)),"")</f>
        <v/>
      </c>
      <c r="AK157" s="26">
        <f>IFERROR(ROUNDUP(+SUM(G157:AJ157)/COUNTIF(G157:AJ157,"&gt;"&amp;0),1),"")</f>
        <v>9.5</v>
      </c>
      <c r="AL157" s="21"/>
      <c r="AM157" s="22">
        <f t="shared" si="8"/>
        <v>25</v>
      </c>
      <c r="AN157" s="22" t="str">
        <f>_xlfn.XLOOKUP(B157,[1]DATA!AF:AF,[1]DATA!AX:AX)</f>
        <v>Hằng</v>
      </c>
      <c r="AO157"/>
    </row>
    <row r="158" spans="1:41" s="22" customFormat="1" ht="14.25" customHeight="1">
      <c r="A158" s="16">
        <f>SUBTOTAL(3,$D$157:D158)</f>
        <v>2</v>
      </c>
      <c r="B158" s="16" t="str">
        <f>_xlfn.XLOOKUP(C158,[1]DATA!D:D,[1]DATA!AF:AF)</f>
        <v>XE00386</v>
      </c>
      <c r="C158" s="18" t="s">
        <v>182</v>
      </c>
      <c r="D158" s="16" t="s">
        <v>25</v>
      </c>
      <c r="E158" s="18" t="s">
        <v>17</v>
      </c>
      <c r="F158" s="18" t="s">
        <v>18</v>
      </c>
      <c r="G158" s="19">
        <f>IFERROR(INDEX([1]DATA!$AH:$AH,MATCH('[1]BC_ ĐG LX'!$C158&amp;'[1]BC_ ĐG LX'!G$3,[1]DATA!$AW:$AW,0)),"")</f>
        <v>9.42</v>
      </c>
      <c r="H158" s="19">
        <f>IFERROR(INDEX([1]DATA!$AH:$AH,MATCH('[1]BC_ ĐG LX'!$C158&amp;'[1]BC_ ĐG LX'!H$3,[1]DATA!$AW:$AW,0)),"")</f>
        <v>9.82</v>
      </c>
      <c r="I158" s="19">
        <f>IFERROR(INDEX([1]DATA!$AH:$AH,MATCH('[1]BC_ ĐG LX'!$C158&amp;'[1]BC_ ĐG LX'!I$3,[1]DATA!$AW:$AW,0)),"")</f>
        <v>8.84</v>
      </c>
      <c r="J158" s="19">
        <f>IFERROR(INDEX([1]DATA!$AH:$AH,MATCH('[1]BC_ ĐG LX'!$C158&amp;'[1]BC_ ĐG LX'!J$3,[1]DATA!$AW:$AW,0)),"")</f>
        <v>9.6</v>
      </c>
      <c r="K158" s="19">
        <f>IFERROR(INDEX([1]DATA!$AH:$AH,MATCH('[1]BC_ ĐG LX'!$C158&amp;'[1]BC_ ĐG LX'!K$3,[1]DATA!$AW:$AW,0)),"")</f>
        <v>10</v>
      </c>
      <c r="L158" s="19">
        <f>IFERROR(INDEX([1]DATA!$AH:$AH,MATCH('[1]BC_ ĐG LX'!$C158&amp;'[1]BC_ ĐG LX'!L$3,[1]DATA!$AW:$AW,0)),"")</f>
        <v>9.42</v>
      </c>
      <c r="M158" s="19">
        <f>IFERROR(INDEX([1]DATA!$AH:$AH,MATCH('[1]BC_ ĐG LX'!$C158&amp;'[1]BC_ ĐG LX'!M$3,[1]DATA!$AW:$AW,0)),"")</f>
        <v>9.82</v>
      </c>
      <c r="N158" s="19">
        <f>IFERROR(INDEX([1]DATA!$AH:$AH,MATCH('[1]BC_ ĐG LX'!$C158&amp;'[1]BC_ ĐG LX'!N$3,[1]DATA!$AW:$AW,0)),"")</f>
        <v>8.0400000000000009</v>
      </c>
      <c r="O158" s="19">
        <f>IFERROR(INDEX([1]DATA!$AH:$AH,MATCH('[1]BC_ ĐG LX'!$C158&amp;'[1]BC_ ĐG LX'!O$3,[1]DATA!$AW:$AW,0)),"")</f>
        <v>9.82</v>
      </c>
      <c r="P158" s="19">
        <f>IFERROR(INDEX([1]DATA!$AH:$AH,MATCH('[1]BC_ ĐG LX'!$C158&amp;'[1]BC_ ĐG LX'!P$3,[1]DATA!$AW:$AW,0)),"")</f>
        <v>9.02</v>
      </c>
      <c r="Q158" s="19">
        <f>IFERROR(INDEX([1]DATA!$AH:$AH,MATCH('[1]BC_ ĐG LX'!$C158&amp;'[1]BC_ ĐG LX'!Q$3,[1]DATA!$AW:$AW,0)),"")</f>
        <v>8.2200000000000006</v>
      </c>
      <c r="R158" s="19">
        <f>IFERROR(INDEX([1]DATA!$AH:$AH,MATCH('[1]BC_ ĐG LX'!$C158&amp;'[1]BC_ ĐG LX'!R$3,[1]DATA!$AW:$AW,0)),"")</f>
        <v>9.42</v>
      </c>
      <c r="S158" s="19">
        <f>IFERROR(INDEX([1]DATA!$AH:$AH,MATCH('[1]BC_ ĐG LX'!$C158&amp;'[1]BC_ ĐG LX'!S$3,[1]DATA!$AW:$AW,0)),"")</f>
        <v>7.82</v>
      </c>
      <c r="T158" s="19">
        <f>IFERROR(INDEX([1]DATA!$AH:$AH,MATCH('[1]BC_ ĐG LX'!$C158&amp;'[1]BC_ ĐG LX'!T$3,[1]DATA!$AW:$AW,0)),"")</f>
        <v>9.82</v>
      </c>
      <c r="U158" s="19">
        <f>IFERROR(INDEX([1]DATA!$AH:$AH,MATCH('[1]BC_ ĐG LX'!$C158&amp;'[1]BC_ ĐG LX'!U$3,[1]DATA!$AW:$AW,0)),"")</f>
        <v>9.82</v>
      </c>
      <c r="V158" s="19">
        <f>IFERROR(INDEX([1]DATA!$AH:$AH,MATCH('[1]BC_ ĐG LX'!$C158&amp;'[1]BC_ ĐG LX'!V$3,[1]DATA!$AW:$AW,0)),"")</f>
        <v>9.42</v>
      </c>
      <c r="W158" s="19">
        <f>IFERROR(INDEX([1]DATA!$AH:$AH,MATCH('[1]BC_ ĐG LX'!$C158&amp;'[1]BC_ ĐG LX'!W$3,[1]DATA!$AW:$AW,0)),"")</f>
        <v>9.42</v>
      </c>
      <c r="X158" s="19">
        <f>IFERROR(INDEX([1]DATA!$AH:$AH,MATCH('[1]BC_ ĐG LX'!$C158&amp;'[1]BC_ ĐG LX'!X$3,[1]DATA!$AW:$AW,0)),"")</f>
        <v>9.42</v>
      </c>
      <c r="Y158" s="19">
        <f>IFERROR(INDEX([1]DATA!$AH:$AH,MATCH('[1]BC_ ĐG LX'!$C158&amp;'[1]BC_ ĐG LX'!Y$3,[1]DATA!$AW:$AW,0)),"")</f>
        <v>9.82</v>
      </c>
      <c r="Z158" s="19">
        <f>IFERROR(INDEX([1]DATA!$AH:$AH,MATCH('[1]BC_ ĐG LX'!$C158&amp;'[1]BC_ ĐG LX'!Z$3,[1]DATA!$AW:$AW,0)),"")</f>
        <v>9.42</v>
      </c>
      <c r="AA158" s="19">
        <f>IFERROR(INDEX([1]DATA!$AH:$AH,MATCH('[1]BC_ ĐG LX'!$C158&amp;'[1]BC_ ĐG LX'!AA$3,[1]DATA!$AW:$AW,0)),"")</f>
        <v>9.42</v>
      </c>
      <c r="AB158" s="19">
        <f>IFERROR(INDEX([1]DATA!$AH:$AH,MATCH('[1]BC_ ĐG LX'!$C158&amp;'[1]BC_ ĐG LX'!AB$3,[1]DATA!$AW:$AW,0)),"")</f>
        <v>9.42</v>
      </c>
      <c r="AC158" s="19">
        <f>IFERROR(INDEX([1]DATA!$AH:$AH,MATCH('[1]BC_ ĐG LX'!$C158&amp;'[1]BC_ ĐG LX'!AC$3,[1]DATA!$AW:$AW,0)),"")</f>
        <v>9.82</v>
      </c>
      <c r="AD158" s="19">
        <f>IFERROR(INDEX([1]DATA!$AH:$AH,MATCH('[1]BC_ ĐG LX'!$C158&amp;'[1]BC_ ĐG LX'!AD$3,[1]DATA!$AW:$AW,0)),"")</f>
        <v>9.82</v>
      </c>
      <c r="AE158" s="19">
        <f>IFERROR(INDEX([1]DATA!$AH:$AH,MATCH('[1]BC_ ĐG LX'!$C158&amp;'[1]BC_ ĐG LX'!AE$3,[1]DATA!$AW:$AW,0)),"")</f>
        <v>9.82</v>
      </c>
      <c r="AF158" s="19" t="str">
        <f>IFERROR(INDEX([1]DATA!$AH:$AH,MATCH('[1]BC_ ĐG LX'!$C158&amp;'[1]BC_ ĐG LX'!AF$3,[1]DATA!$AW:$AW,0)),"")</f>
        <v/>
      </c>
      <c r="AG158" s="19" t="str">
        <f>IFERROR(INDEX([1]DATA!$AH:$AH,MATCH('[1]BC_ ĐG LX'!$C158&amp;'[1]BC_ ĐG LX'!AG$3,[1]DATA!$AW:$AW,0)),"")</f>
        <v/>
      </c>
      <c r="AH158" s="19" t="str">
        <f>IFERROR(INDEX([1]DATA!$AH:$AH,MATCH('[1]BC_ ĐG LX'!$C158&amp;'[1]BC_ ĐG LX'!AH$3,[1]DATA!$AW:$AW,0)),"")</f>
        <v/>
      </c>
      <c r="AI158" s="19" t="str">
        <f>IFERROR(INDEX([1]DATA!$AH:$AH,MATCH('[1]BC_ ĐG LX'!$C158&amp;'[1]BC_ ĐG LX'!AI$3,[1]DATA!$AW:$AW,0)),"")</f>
        <v/>
      </c>
      <c r="AJ158" s="19" t="str">
        <f>IFERROR(INDEX([1]DATA!$AH:$AH,MATCH('[1]BC_ ĐG LX'!$C158&amp;'[1]BC_ ĐG LX'!AJ$3,[1]DATA!$AW:$AW,0)),"")</f>
        <v/>
      </c>
      <c r="AK158" s="26">
        <f t="shared" ref="AK158:AK170" si="10">IFERROR(ROUNDUP(+SUM(G158:AJ158)/COUNTIF(G158:AJ158,"&gt;"&amp;0),1),"")</f>
        <v>9.4</v>
      </c>
      <c r="AL158" s="21"/>
      <c r="AM158" s="22">
        <f t="shared" si="8"/>
        <v>25</v>
      </c>
      <c r="AN158" s="22" t="str">
        <f>_xlfn.XLOOKUP(B158,[1]DATA!AF:AF,[1]DATA!AX:AX)</f>
        <v>Hằng</v>
      </c>
      <c r="AO158"/>
    </row>
    <row r="159" spans="1:41" s="22" customFormat="1" ht="14.25" customHeight="1">
      <c r="A159" s="16">
        <f>SUBTOTAL(3,$D$157:D159)</f>
        <v>3</v>
      </c>
      <c r="B159" s="16" t="str">
        <f>_xlfn.XLOOKUP(C159,[1]DATA!D:D,[1]DATA!AF:AF)</f>
        <v>XE00395</v>
      </c>
      <c r="C159" s="18" t="s">
        <v>183</v>
      </c>
      <c r="D159" s="16" t="s">
        <v>25</v>
      </c>
      <c r="E159" s="18" t="s">
        <v>17</v>
      </c>
      <c r="F159" s="18" t="s">
        <v>18</v>
      </c>
      <c r="G159" s="19">
        <f>IFERROR(INDEX([1]DATA!$AH:$AH,MATCH('[1]BC_ ĐG LX'!$C159&amp;'[1]BC_ ĐG LX'!G$3,[1]DATA!$AW:$AW,0)),"")</f>
        <v>8.44</v>
      </c>
      <c r="H159" s="19">
        <f>IFERROR(INDEX([1]DATA!$AH:$AH,MATCH('[1]BC_ ĐG LX'!$C159&amp;'[1]BC_ ĐG LX'!H$3,[1]DATA!$AW:$AW,0)),"")</f>
        <v>9.42</v>
      </c>
      <c r="I159" s="19">
        <f>IFERROR(INDEX([1]DATA!$AH:$AH,MATCH('[1]BC_ ĐG LX'!$C159&amp;'[1]BC_ ĐG LX'!I$3,[1]DATA!$AW:$AW,0)),"")</f>
        <v>10</v>
      </c>
      <c r="J159" s="19">
        <f>IFERROR(INDEX([1]DATA!$AH:$AH,MATCH('[1]BC_ ĐG LX'!$C159&amp;'[1]BC_ ĐG LX'!J$3,[1]DATA!$AW:$AW,0)),"")</f>
        <v>10</v>
      </c>
      <c r="K159" s="19">
        <f>IFERROR(INDEX([1]DATA!$AH:$AH,MATCH('[1]BC_ ĐG LX'!$C159&amp;'[1]BC_ ĐG LX'!K$3,[1]DATA!$AW:$AW,0)),"")</f>
        <v>9.42</v>
      </c>
      <c r="L159" s="19">
        <f>IFERROR(INDEX([1]DATA!$AH:$AH,MATCH('[1]BC_ ĐG LX'!$C159&amp;'[1]BC_ ĐG LX'!L$3,[1]DATA!$AW:$AW,0)),"")</f>
        <v>9.82</v>
      </c>
      <c r="M159" s="19">
        <f>IFERROR(INDEX([1]DATA!$AH:$AH,MATCH('[1]BC_ ĐG LX'!$C159&amp;'[1]BC_ ĐG LX'!M$3,[1]DATA!$AW:$AW,0)),"")</f>
        <v>9.82</v>
      </c>
      <c r="N159" s="19">
        <f>IFERROR(INDEX([1]DATA!$AH:$AH,MATCH('[1]BC_ ĐG LX'!$C159&amp;'[1]BC_ ĐG LX'!N$3,[1]DATA!$AW:$AW,0)),"")</f>
        <v>9.42</v>
      </c>
      <c r="O159" s="19">
        <f>IFERROR(INDEX([1]DATA!$AH:$AH,MATCH('[1]BC_ ĐG LX'!$C159&amp;'[1]BC_ ĐG LX'!O$3,[1]DATA!$AW:$AW,0)),"")</f>
        <v>8.620000000000001</v>
      </c>
      <c r="P159" s="19">
        <f>IFERROR(INDEX([1]DATA!$AH:$AH,MATCH('[1]BC_ ĐG LX'!$C159&amp;'[1]BC_ ĐG LX'!P$3,[1]DATA!$AW:$AW,0)),"")</f>
        <v>9.42</v>
      </c>
      <c r="Q159" s="19">
        <f>IFERROR(INDEX([1]DATA!$AH:$AH,MATCH('[1]BC_ ĐG LX'!$C159&amp;'[1]BC_ ĐG LX'!Q$3,[1]DATA!$AW:$AW,0)),"")</f>
        <v>9.02</v>
      </c>
      <c r="R159" s="19">
        <f>IFERROR(INDEX([1]DATA!$AH:$AH,MATCH('[1]BC_ ĐG LX'!$C159&amp;'[1]BC_ ĐG LX'!R$3,[1]DATA!$AW:$AW,0)),"")</f>
        <v>6.04</v>
      </c>
      <c r="S159" s="19">
        <f>IFERROR(INDEX([1]DATA!$AH:$AH,MATCH('[1]BC_ ĐG LX'!$C159&amp;'[1]BC_ ĐG LX'!S$3,[1]DATA!$AW:$AW,0)),"")</f>
        <v>8.84</v>
      </c>
      <c r="T159" s="19">
        <f>IFERROR(INDEX([1]DATA!$AH:$AH,MATCH('[1]BC_ ĐG LX'!$C159&amp;'[1]BC_ ĐG LX'!T$3,[1]DATA!$AW:$AW,0)),"")</f>
        <v>9.82</v>
      </c>
      <c r="U159" s="19">
        <f>IFERROR(INDEX([1]DATA!$AH:$AH,MATCH('[1]BC_ ĐG LX'!$C159&amp;'[1]BC_ ĐG LX'!U$3,[1]DATA!$AW:$AW,0)),"")</f>
        <v>9.82</v>
      </c>
      <c r="V159" s="19">
        <f>IFERROR(INDEX([1]DATA!$AH:$AH,MATCH('[1]BC_ ĐG LX'!$C159&amp;'[1]BC_ ĐG LX'!V$3,[1]DATA!$AW:$AW,0)),"")</f>
        <v>9.6</v>
      </c>
      <c r="W159" s="19">
        <f>IFERROR(INDEX([1]DATA!$AH:$AH,MATCH('[1]BC_ ĐG LX'!$C159&amp;'[1]BC_ ĐG LX'!W$3,[1]DATA!$AW:$AW,0)),"")</f>
        <v>9.02</v>
      </c>
      <c r="X159" s="19">
        <f>IFERROR(INDEX([1]DATA!$AH:$AH,MATCH('[1]BC_ ĐG LX'!$C159&amp;'[1]BC_ ĐG LX'!X$3,[1]DATA!$AW:$AW,0)),"")</f>
        <v>9.42</v>
      </c>
      <c r="Y159" s="19">
        <f>IFERROR(INDEX([1]DATA!$AH:$AH,MATCH('[1]BC_ ĐG LX'!$C159&amp;'[1]BC_ ĐG LX'!Y$3,[1]DATA!$AW:$AW,0)),"")</f>
        <v>9.42</v>
      </c>
      <c r="Z159" s="19">
        <f>IFERROR(INDEX([1]DATA!$AH:$AH,MATCH('[1]BC_ ĐG LX'!$C159&amp;'[1]BC_ ĐG LX'!Z$3,[1]DATA!$AW:$AW,0)),"")</f>
        <v>9.82</v>
      </c>
      <c r="AA159" s="19">
        <f>IFERROR(INDEX([1]DATA!$AH:$AH,MATCH('[1]BC_ ĐG LX'!$C159&amp;'[1]BC_ ĐG LX'!AA$3,[1]DATA!$AW:$AW,0)),"")</f>
        <v>9.02</v>
      </c>
      <c r="AB159" s="19">
        <f>IFERROR(INDEX([1]DATA!$AH:$AH,MATCH('[1]BC_ ĐG LX'!$C159&amp;'[1]BC_ ĐG LX'!AB$3,[1]DATA!$AW:$AW,0)),"")</f>
        <v>9.82</v>
      </c>
      <c r="AC159" s="19">
        <f>IFERROR(INDEX([1]DATA!$AH:$AH,MATCH('[1]BC_ ĐG LX'!$C159&amp;'[1]BC_ ĐG LX'!AC$3,[1]DATA!$AW:$AW,0)),"")</f>
        <v>9.82</v>
      </c>
      <c r="AD159" s="19">
        <f>IFERROR(INDEX([1]DATA!$AH:$AH,MATCH('[1]BC_ ĐG LX'!$C159&amp;'[1]BC_ ĐG LX'!AD$3,[1]DATA!$AW:$AW,0)),"")</f>
        <v>9.42</v>
      </c>
      <c r="AE159" s="19">
        <f>IFERROR(INDEX([1]DATA!$AH:$AH,MATCH('[1]BC_ ĐG LX'!$C159&amp;'[1]BC_ ĐG LX'!AE$3,[1]DATA!$AW:$AW,0)),"")</f>
        <v>9.82</v>
      </c>
      <c r="AF159" s="19" t="str">
        <f>IFERROR(INDEX([1]DATA!$AH:$AH,MATCH('[1]BC_ ĐG LX'!$C159&amp;'[1]BC_ ĐG LX'!AF$3,[1]DATA!$AW:$AW,0)),"")</f>
        <v/>
      </c>
      <c r="AG159" s="19" t="str">
        <f>IFERROR(INDEX([1]DATA!$AH:$AH,MATCH('[1]BC_ ĐG LX'!$C159&amp;'[1]BC_ ĐG LX'!AG$3,[1]DATA!$AW:$AW,0)),"")</f>
        <v/>
      </c>
      <c r="AH159" s="19" t="str">
        <f>IFERROR(INDEX([1]DATA!$AH:$AH,MATCH('[1]BC_ ĐG LX'!$C159&amp;'[1]BC_ ĐG LX'!AH$3,[1]DATA!$AW:$AW,0)),"")</f>
        <v/>
      </c>
      <c r="AI159" s="19" t="str">
        <f>IFERROR(INDEX([1]DATA!$AH:$AH,MATCH('[1]BC_ ĐG LX'!$C159&amp;'[1]BC_ ĐG LX'!AI$3,[1]DATA!$AW:$AW,0)),"")</f>
        <v/>
      </c>
      <c r="AJ159" s="19" t="str">
        <f>IFERROR(INDEX([1]DATA!$AH:$AH,MATCH('[1]BC_ ĐG LX'!$C159&amp;'[1]BC_ ĐG LX'!AJ$3,[1]DATA!$AW:$AW,0)),"")</f>
        <v/>
      </c>
      <c r="AK159" s="26">
        <f t="shared" si="10"/>
        <v>9.4</v>
      </c>
      <c r="AL159" s="21"/>
      <c r="AM159" s="22">
        <f t="shared" si="8"/>
        <v>25</v>
      </c>
      <c r="AN159" s="22" t="str">
        <f>_xlfn.XLOOKUP(B159,[1]DATA!AF:AF,[1]DATA!AX:AX)</f>
        <v>Hằng</v>
      </c>
      <c r="AO159"/>
    </row>
    <row r="160" spans="1:41" ht="15.75" customHeight="1">
      <c r="A160" s="16">
        <f>SUBTOTAL(3,$D$157:D160)</f>
        <v>4</v>
      </c>
      <c r="B160" s="16" t="str">
        <f>_xlfn.XLOOKUP(C160,[1]DATA!D:D,[1]DATA!AF:AF)</f>
        <v>XE00429</v>
      </c>
      <c r="C160" s="18" t="s">
        <v>184</v>
      </c>
      <c r="D160" s="16" t="s">
        <v>25</v>
      </c>
      <c r="E160" s="18" t="s">
        <v>17</v>
      </c>
      <c r="F160" s="18" t="s">
        <v>18</v>
      </c>
      <c r="G160" s="19">
        <f>IFERROR(INDEX([1]DATA!$AH:$AH,MATCH('[1]BC_ ĐG LX'!$C160&amp;'[1]BC_ ĐG LX'!G$3,[1]DATA!$AW:$AW,0)),"")</f>
        <v>9.42</v>
      </c>
      <c r="H160" s="19">
        <f>IFERROR(INDEX([1]DATA!$AH:$AH,MATCH('[1]BC_ ĐG LX'!$C160&amp;'[1]BC_ ĐG LX'!H$3,[1]DATA!$AW:$AW,0)),"")</f>
        <v>9.82</v>
      </c>
      <c r="I160" s="19">
        <f>IFERROR(INDEX([1]DATA!$AH:$AH,MATCH('[1]BC_ ĐG LX'!$C160&amp;'[1]BC_ ĐG LX'!I$3,[1]DATA!$AW:$AW,0)),"")</f>
        <v>9.02</v>
      </c>
      <c r="J160" s="19">
        <f>IFERROR(INDEX([1]DATA!$AH:$AH,MATCH('[1]BC_ ĐG LX'!$C160&amp;'[1]BC_ ĐG LX'!J$3,[1]DATA!$AW:$AW,0)),"")</f>
        <v>9.82</v>
      </c>
      <c r="K160" s="19">
        <f>IFERROR(INDEX([1]DATA!$AH:$AH,MATCH('[1]BC_ ĐG LX'!$C160&amp;'[1]BC_ ĐG LX'!K$3,[1]DATA!$AW:$AW,0)),"")</f>
        <v>9.82</v>
      </c>
      <c r="L160" s="19">
        <f>IFERROR(INDEX([1]DATA!$AH:$AH,MATCH('[1]BC_ ĐG LX'!$C160&amp;'[1]BC_ ĐG LX'!L$3,[1]DATA!$AW:$AW,0)),"")</f>
        <v>9.42</v>
      </c>
      <c r="M160" s="19">
        <f>IFERROR(INDEX([1]DATA!$AH:$AH,MATCH('[1]BC_ ĐG LX'!$C160&amp;'[1]BC_ ĐG LX'!M$3,[1]DATA!$AW:$AW,0)),"")</f>
        <v>7.82</v>
      </c>
      <c r="N160" s="19">
        <f>IFERROR(INDEX([1]DATA!$AH:$AH,MATCH('[1]BC_ ĐG LX'!$C160&amp;'[1]BC_ ĐG LX'!N$3,[1]DATA!$AW:$AW,0)),"")</f>
        <v>8.620000000000001</v>
      </c>
      <c r="O160" s="19">
        <f>IFERROR(INDEX([1]DATA!$AH:$AH,MATCH('[1]BC_ ĐG LX'!$C160&amp;'[1]BC_ ĐG LX'!O$3,[1]DATA!$AW:$AW,0)),"")</f>
        <v>9.42</v>
      </c>
      <c r="P160" s="19">
        <f>IFERROR(INDEX([1]DATA!$AH:$AH,MATCH('[1]BC_ ĐG LX'!$C160&amp;'[1]BC_ ĐG LX'!P$3,[1]DATA!$AW:$AW,0)),"")</f>
        <v>9.82</v>
      </c>
      <c r="Q160" s="19">
        <f>IFERROR(INDEX([1]DATA!$AH:$AH,MATCH('[1]BC_ ĐG LX'!$C160&amp;'[1]BC_ ĐG LX'!Q$3,[1]DATA!$AW:$AW,0)),"")</f>
        <v>9.42</v>
      </c>
      <c r="R160" s="19">
        <f>IFERROR(INDEX([1]DATA!$AH:$AH,MATCH('[1]BC_ ĐG LX'!$C160&amp;'[1]BC_ ĐG LX'!R$3,[1]DATA!$AW:$AW,0)),"")</f>
        <v>9.42</v>
      </c>
      <c r="S160" s="19">
        <f>IFERROR(INDEX([1]DATA!$AH:$AH,MATCH('[1]BC_ ĐG LX'!$C160&amp;'[1]BC_ ĐG LX'!S$3,[1]DATA!$AW:$AW,0)),"")</f>
        <v>9.42</v>
      </c>
      <c r="T160" s="19">
        <f>IFERROR(INDEX([1]DATA!$AH:$AH,MATCH('[1]BC_ ĐG LX'!$C160&amp;'[1]BC_ ĐG LX'!T$3,[1]DATA!$AW:$AW,0)),"")</f>
        <v>9.42</v>
      </c>
      <c r="U160" s="19">
        <f>IFERROR(INDEX([1]DATA!$AH:$AH,MATCH('[1]BC_ ĐG LX'!$C160&amp;'[1]BC_ ĐG LX'!U$3,[1]DATA!$AW:$AW,0)),"")</f>
        <v>9.02</v>
      </c>
      <c r="V160" s="19">
        <f>IFERROR(INDEX([1]DATA!$AH:$AH,MATCH('[1]BC_ ĐG LX'!$C160&amp;'[1]BC_ ĐG LX'!V$3,[1]DATA!$AW:$AW,0)),"")</f>
        <v>8.84</v>
      </c>
      <c r="W160" s="19">
        <f>IFERROR(INDEX([1]DATA!$AH:$AH,MATCH('[1]BC_ ĐG LX'!$C160&amp;'[1]BC_ ĐG LX'!W$3,[1]DATA!$AW:$AW,0)),"")</f>
        <v>9.82</v>
      </c>
      <c r="X160" s="19">
        <f>IFERROR(INDEX([1]DATA!$AH:$AH,MATCH('[1]BC_ ĐG LX'!$C160&amp;'[1]BC_ ĐG LX'!X$3,[1]DATA!$AW:$AW,0)),"")</f>
        <v>9.02</v>
      </c>
      <c r="Y160" s="19">
        <f>IFERROR(INDEX([1]DATA!$AH:$AH,MATCH('[1]BC_ ĐG LX'!$C160&amp;'[1]BC_ ĐG LX'!Y$3,[1]DATA!$AW:$AW,0)),"")</f>
        <v>9.42</v>
      </c>
      <c r="Z160" s="19">
        <f>IFERROR(INDEX([1]DATA!$AH:$AH,MATCH('[1]BC_ ĐG LX'!$C160&amp;'[1]BC_ ĐG LX'!Z$3,[1]DATA!$AW:$AW,0)),"")</f>
        <v>9.42</v>
      </c>
      <c r="AA160" s="19">
        <f>IFERROR(INDEX([1]DATA!$AH:$AH,MATCH('[1]BC_ ĐG LX'!$C160&amp;'[1]BC_ ĐG LX'!AA$3,[1]DATA!$AW:$AW,0)),"")</f>
        <v>9.42</v>
      </c>
      <c r="AB160" s="19">
        <f>IFERROR(INDEX([1]DATA!$AH:$AH,MATCH('[1]BC_ ĐG LX'!$C160&amp;'[1]BC_ ĐG LX'!AB$3,[1]DATA!$AW:$AW,0)),"")</f>
        <v>9.42</v>
      </c>
      <c r="AC160" s="19">
        <f>IFERROR(INDEX([1]DATA!$AH:$AH,MATCH('[1]BC_ ĐG LX'!$C160&amp;'[1]BC_ ĐG LX'!AC$3,[1]DATA!$AW:$AW,0)),"")</f>
        <v>9.42</v>
      </c>
      <c r="AD160" s="19">
        <f>IFERROR(INDEX([1]DATA!$AH:$AH,MATCH('[1]BC_ ĐG LX'!$C160&amp;'[1]BC_ ĐG LX'!AD$3,[1]DATA!$AW:$AW,0)),"")</f>
        <v>8.2200000000000006</v>
      </c>
      <c r="AE160" s="19">
        <f>IFERROR(INDEX([1]DATA!$AH:$AH,MATCH('[1]BC_ ĐG LX'!$C160&amp;'[1]BC_ ĐG LX'!AE$3,[1]DATA!$AW:$AW,0)),"")</f>
        <v>9.82</v>
      </c>
      <c r="AF160" s="19" t="str">
        <f>IFERROR(INDEX([1]DATA!$AH:$AH,MATCH('[1]BC_ ĐG LX'!$C160&amp;'[1]BC_ ĐG LX'!AF$3,[1]DATA!$AW:$AW,0)),"")</f>
        <v/>
      </c>
      <c r="AG160" s="19" t="str">
        <f>IFERROR(INDEX([1]DATA!$AH:$AH,MATCH('[1]BC_ ĐG LX'!$C160&amp;'[1]BC_ ĐG LX'!AG$3,[1]DATA!$AW:$AW,0)),"")</f>
        <v/>
      </c>
      <c r="AH160" s="19" t="str">
        <f>IFERROR(INDEX([1]DATA!$AH:$AH,MATCH('[1]BC_ ĐG LX'!$C160&amp;'[1]BC_ ĐG LX'!AH$3,[1]DATA!$AW:$AW,0)),"")</f>
        <v/>
      </c>
      <c r="AI160" s="19" t="str">
        <f>IFERROR(INDEX([1]DATA!$AH:$AH,MATCH('[1]BC_ ĐG LX'!$C160&amp;'[1]BC_ ĐG LX'!AI$3,[1]DATA!$AW:$AW,0)),"")</f>
        <v/>
      </c>
      <c r="AJ160" s="19" t="str">
        <f>IFERROR(INDEX([1]DATA!$AH:$AH,MATCH('[1]BC_ ĐG LX'!$C160&amp;'[1]BC_ ĐG LX'!AJ$3,[1]DATA!$AW:$AW,0)),"")</f>
        <v/>
      </c>
      <c r="AK160" s="26">
        <f t="shared" si="10"/>
        <v>9.4</v>
      </c>
      <c r="AL160" s="21"/>
      <c r="AM160" s="22">
        <f t="shared" si="8"/>
        <v>25</v>
      </c>
      <c r="AN160" s="22" t="str">
        <f>_xlfn.XLOOKUP(B160,[1]DATA!AF:AF,[1]DATA!AX:AX)</f>
        <v>Hằng</v>
      </c>
      <c r="AO160"/>
    </row>
    <row r="161" spans="1:41" ht="15.75" customHeight="1">
      <c r="A161" s="16">
        <f>SUBTOTAL(3,$D$157:D161)</f>
        <v>5</v>
      </c>
      <c r="B161" s="16" t="str">
        <f>_xlfn.XLOOKUP(C161,[1]DATA!D:D,[1]DATA!AF:AF)</f>
        <v>XE00557</v>
      </c>
      <c r="C161" s="18" t="s">
        <v>185</v>
      </c>
      <c r="D161" s="16" t="s">
        <v>25</v>
      </c>
      <c r="E161" s="18" t="s">
        <v>17</v>
      </c>
      <c r="F161" s="18" t="s">
        <v>18</v>
      </c>
      <c r="G161" s="19">
        <f>IFERROR(INDEX([1]DATA!$AH:$AH,MATCH('[1]BC_ ĐG LX'!$C161&amp;'[1]BC_ ĐG LX'!G$3,[1]DATA!$AW:$AW,0)),"")</f>
        <v>8.84</v>
      </c>
      <c r="H161" s="19">
        <f>IFERROR(INDEX([1]DATA!$AH:$AH,MATCH('[1]BC_ ĐG LX'!$C161&amp;'[1]BC_ ĐG LX'!H$3,[1]DATA!$AW:$AW,0)),"")</f>
        <v>9.02</v>
      </c>
      <c r="I161" s="19">
        <f>IFERROR(INDEX([1]DATA!$AH:$AH,MATCH('[1]BC_ ĐG LX'!$C161&amp;'[1]BC_ ĐG LX'!I$3,[1]DATA!$AW:$AW,0)),"")</f>
        <v>8.84</v>
      </c>
      <c r="J161" s="19">
        <f>IFERROR(INDEX([1]DATA!$AH:$AH,MATCH('[1]BC_ ĐG LX'!$C161&amp;'[1]BC_ ĐG LX'!J$3,[1]DATA!$AW:$AW,0)),"")</f>
        <v>9.02</v>
      </c>
      <c r="K161" s="19">
        <f>IFERROR(INDEX([1]DATA!$AH:$AH,MATCH('[1]BC_ ĐG LX'!$C161&amp;'[1]BC_ ĐG LX'!K$3,[1]DATA!$AW:$AW,0)),"")</f>
        <v>8.4400000000000013</v>
      </c>
      <c r="L161" s="19">
        <f>IFERROR(INDEX([1]DATA!$AH:$AH,MATCH('[1]BC_ ĐG LX'!$C161&amp;'[1]BC_ ĐG LX'!L$3,[1]DATA!$AW:$AW,0)),"")</f>
        <v>9.42</v>
      </c>
      <c r="M161" s="19">
        <f>IFERROR(INDEX([1]DATA!$AH:$AH,MATCH('[1]BC_ ĐG LX'!$C161&amp;'[1]BC_ ĐG LX'!M$3,[1]DATA!$AW:$AW,0)),"")</f>
        <v>9.42</v>
      </c>
      <c r="N161" s="19">
        <f>IFERROR(INDEX([1]DATA!$AH:$AH,MATCH('[1]BC_ ĐG LX'!$C161&amp;'[1]BC_ ĐG LX'!N$3,[1]DATA!$AW:$AW,0)),"")</f>
        <v>9.42</v>
      </c>
      <c r="O161" s="19">
        <f>IFERROR(INDEX([1]DATA!$AH:$AH,MATCH('[1]BC_ ĐG LX'!$C161&amp;'[1]BC_ ĐG LX'!O$3,[1]DATA!$AW:$AW,0)),"")</f>
        <v>9.82</v>
      </c>
      <c r="P161" s="19">
        <f>IFERROR(INDEX([1]DATA!$AH:$AH,MATCH('[1]BC_ ĐG LX'!$C161&amp;'[1]BC_ ĐG LX'!P$3,[1]DATA!$AW:$AW,0)),"")</f>
        <v>8.84</v>
      </c>
      <c r="Q161" s="19">
        <f>IFERROR(INDEX([1]DATA!$AH:$AH,MATCH('[1]BC_ ĐG LX'!$C161&amp;'[1]BC_ ĐG LX'!Q$3,[1]DATA!$AW:$AW,0)),"")</f>
        <v>9.42</v>
      </c>
      <c r="R161" s="19">
        <f>IFERROR(INDEX([1]DATA!$AH:$AH,MATCH('[1]BC_ ĐG LX'!$C161&amp;'[1]BC_ ĐG LX'!R$3,[1]DATA!$AW:$AW,0)),"")</f>
        <v>9.42</v>
      </c>
      <c r="S161" s="19">
        <f>IFERROR(INDEX([1]DATA!$AH:$AH,MATCH('[1]BC_ ĐG LX'!$C161&amp;'[1]BC_ ĐG LX'!S$3,[1]DATA!$AW:$AW,0)),"")</f>
        <v>9.42</v>
      </c>
      <c r="T161" s="19">
        <f>IFERROR(INDEX([1]DATA!$AH:$AH,MATCH('[1]BC_ ĐG LX'!$C161&amp;'[1]BC_ ĐG LX'!T$3,[1]DATA!$AW:$AW,0)),"")</f>
        <v>7.24</v>
      </c>
      <c r="U161" s="19">
        <f>IFERROR(INDEX([1]DATA!$AH:$AH,MATCH('[1]BC_ ĐG LX'!$C161&amp;'[1]BC_ ĐG LX'!U$3,[1]DATA!$AW:$AW,0)),"")</f>
        <v>9.42</v>
      </c>
      <c r="V161" s="19">
        <f>IFERROR(INDEX([1]DATA!$AH:$AH,MATCH('[1]BC_ ĐG LX'!$C161&amp;'[1]BC_ ĐG LX'!V$3,[1]DATA!$AW:$AW,0)),"")</f>
        <v>9.42</v>
      </c>
      <c r="W161" s="19">
        <f>IFERROR(INDEX([1]DATA!$AH:$AH,MATCH('[1]BC_ ĐG LX'!$C161&amp;'[1]BC_ ĐG LX'!W$3,[1]DATA!$AW:$AW,0)),"")</f>
        <v>9.42</v>
      </c>
      <c r="X161" s="19">
        <f>IFERROR(INDEX([1]DATA!$AH:$AH,MATCH('[1]BC_ ĐG LX'!$C161&amp;'[1]BC_ ĐG LX'!X$3,[1]DATA!$AW:$AW,0)),"")</f>
        <v>9.02</v>
      </c>
      <c r="Y161" s="19">
        <f>IFERROR(INDEX([1]DATA!$AH:$AH,MATCH('[1]BC_ ĐG LX'!$C161&amp;'[1]BC_ ĐG LX'!Y$3,[1]DATA!$AW:$AW,0)),"")</f>
        <v>9.82</v>
      </c>
      <c r="Z161" s="19">
        <f>IFERROR(INDEX([1]DATA!$AH:$AH,MATCH('[1]BC_ ĐG LX'!$C161&amp;'[1]BC_ ĐG LX'!Z$3,[1]DATA!$AW:$AW,0)),"")</f>
        <v>9.42</v>
      </c>
      <c r="AA161" s="19">
        <f>IFERROR(INDEX([1]DATA!$AH:$AH,MATCH('[1]BC_ ĐG LX'!$C161&amp;'[1]BC_ ĐG LX'!AA$3,[1]DATA!$AW:$AW,0)),"")</f>
        <v>9.42</v>
      </c>
      <c r="AB161" s="19">
        <f>IFERROR(INDEX([1]DATA!$AH:$AH,MATCH('[1]BC_ ĐG LX'!$C161&amp;'[1]BC_ ĐG LX'!AB$3,[1]DATA!$AW:$AW,0)),"")</f>
        <v>9.42</v>
      </c>
      <c r="AC161" s="19">
        <f>IFERROR(INDEX([1]DATA!$AH:$AH,MATCH('[1]BC_ ĐG LX'!$C161&amp;'[1]BC_ ĐG LX'!AC$3,[1]DATA!$AW:$AW,0)),"")</f>
        <v>9.82</v>
      </c>
      <c r="AD161" s="19">
        <f>IFERROR(INDEX([1]DATA!$AH:$AH,MATCH('[1]BC_ ĐG LX'!$C161&amp;'[1]BC_ ĐG LX'!AD$3,[1]DATA!$AW:$AW,0)),"")</f>
        <v>8.84</v>
      </c>
      <c r="AE161" s="19">
        <f>IFERROR(INDEX([1]DATA!$AH:$AH,MATCH('[1]BC_ ĐG LX'!$C161&amp;'[1]BC_ ĐG LX'!AE$3,[1]DATA!$AW:$AW,0)),"")</f>
        <v>8.2200000000000006</v>
      </c>
      <c r="AF161" s="19" t="str">
        <f>IFERROR(INDEX([1]DATA!$AH:$AH,MATCH('[1]BC_ ĐG LX'!$C161&amp;'[1]BC_ ĐG LX'!AF$3,[1]DATA!$AW:$AW,0)),"")</f>
        <v/>
      </c>
      <c r="AG161" s="19" t="str">
        <f>IFERROR(INDEX([1]DATA!$AH:$AH,MATCH('[1]BC_ ĐG LX'!$C161&amp;'[1]BC_ ĐG LX'!AG$3,[1]DATA!$AW:$AW,0)),"")</f>
        <v/>
      </c>
      <c r="AH161" s="19" t="str">
        <f>IFERROR(INDEX([1]DATA!$AH:$AH,MATCH('[1]BC_ ĐG LX'!$C161&amp;'[1]BC_ ĐG LX'!AH$3,[1]DATA!$AW:$AW,0)),"")</f>
        <v/>
      </c>
      <c r="AI161" s="19" t="str">
        <f>IFERROR(INDEX([1]DATA!$AH:$AH,MATCH('[1]BC_ ĐG LX'!$C161&amp;'[1]BC_ ĐG LX'!AI$3,[1]DATA!$AW:$AW,0)),"")</f>
        <v/>
      </c>
      <c r="AJ161" s="19" t="str">
        <f>IFERROR(INDEX([1]DATA!$AH:$AH,MATCH('[1]BC_ ĐG LX'!$C161&amp;'[1]BC_ ĐG LX'!AJ$3,[1]DATA!$AW:$AW,0)),"")</f>
        <v/>
      </c>
      <c r="AK161" s="26">
        <f t="shared" si="10"/>
        <v>9.1999999999999993</v>
      </c>
      <c r="AL161" s="21"/>
      <c r="AM161" s="22">
        <f t="shared" si="8"/>
        <v>25</v>
      </c>
      <c r="AN161" s="22" t="str">
        <f>_xlfn.XLOOKUP(B161,[1]DATA!AF:AF,[1]DATA!AX:AX)</f>
        <v>Hằng</v>
      </c>
      <c r="AO161"/>
    </row>
    <row r="162" spans="1:41" ht="15.75" customHeight="1">
      <c r="A162" s="16">
        <f>SUBTOTAL(3,$D$157:D162)</f>
        <v>6</v>
      </c>
      <c r="B162" s="16" t="str">
        <f>_xlfn.XLOOKUP(C162,[1]DATA!D:D,[1]DATA!AF:AF)</f>
        <v>XE00901</v>
      </c>
      <c r="C162" s="18" t="s">
        <v>186</v>
      </c>
      <c r="D162" s="16" t="s">
        <v>25</v>
      </c>
      <c r="E162" s="18" t="s">
        <v>17</v>
      </c>
      <c r="F162" s="18" t="s">
        <v>18</v>
      </c>
      <c r="G162" s="19">
        <f>IFERROR(INDEX([1]DATA!$AH:$AH,MATCH('[1]BC_ ĐG LX'!$C162&amp;'[1]BC_ ĐG LX'!G$3,[1]DATA!$AW:$AW,0)),"")</f>
        <v>9.42</v>
      </c>
      <c r="H162" s="19">
        <f>IFERROR(INDEX([1]DATA!$AH:$AH,MATCH('[1]BC_ ĐG LX'!$C162&amp;'[1]BC_ ĐG LX'!H$3,[1]DATA!$AW:$AW,0)),"")</f>
        <v>9.24</v>
      </c>
      <c r="I162" s="19">
        <f>IFERROR(INDEX([1]DATA!$AH:$AH,MATCH('[1]BC_ ĐG LX'!$C162&amp;'[1]BC_ ĐG LX'!I$3,[1]DATA!$AW:$AW,0)),"")</f>
        <v>8.0399999999999991</v>
      </c>
      <c r="J162" s="19">
        <f>IFERROR(INDEX([1]DATA!$AH:$AH,MATCH('[1]BC_ ĐG LX'!$C162&amp;'[1]BC_ ĐG LX'!J$3,[1]DATA!$AW:$AW,0)),"")</f>
        <v>10</v>
      </c>
      <c r="K162" s="19">
        <f>IFERROR(INDEX([1]DATA!$AH:$AH,MATCH('[1]BC_ ĐG LX'!$C162&amp;'[1]BC_ ĐG LX'!K$3,[1]DATA!$AW:$AW,0)),"")</f>
        <v>10</v>
      </c>
      <c r="L162" s="19">
        <f>IFERROR(INDEX([1]DATA!$AH:$AH,MATCH('[1]BC_ ĐG LX'!$C162&amp;'[1]BC_ ĐG LX'!L$3,[1]DATA!$AW:$AW,0)),"")</f>
        <v>9.82</v>
      </c>
      <c r="M162" s="19">
        <f>IFERROR(INDEX([1]DATA!$AH:$AH,MATCH('[1]BC_ ĐG LX'!$C162&amp;'[1]BC_ ĐG LX'!M$3,[1]DATA!$AW:$AW,0)),"")</f>
        <v>9.42</v>
      </c>
      <c r="N162" s="19">
        <f>IFERROR(INDEX([1]DATA!$AH:$AH,MATCH('[1]BC_ ĐG LX'!$C162&amp;'[1]BC_ ĐG LX'!N$3,[1]DATA!$AW:$AW,0)),"")</f>
        <v>9.24</v>
      </c>
      <c r="O162" s="19">
        <f>IFERROR(INDEX([1]DATA!$AH:$AH,MATCH('[1]BC_ ĐG LX'!$C162&amp;'[1]BC_ ĐG LX'!O$3,[1]DATA!$AW:$AW,0)),"")</f>
        <v>9.02</v>
      </c>
      <c r="P162" s="19">
        <f>IFERROR(INDEX([1]DATA!$AH:$AH,MATCH('[1]BC_ ĐG LX'!$C162&amp;'[1]BC_ ĐG LX'!P$3,[1]DATA!$AW:$AW,0)),"")</f>
        <v>8.6199999999999992</v>
      </c>
      <c r="Q162" s="19">
        <f>IFERROR(INDEX([1]DATA!$AH:$AH,MATCH('[1]BC_ ĐG LX'!$C162&amp;'[1]BC_ ĐG LX'!Q$3,[1]DATA!$AW:$AW,0)),"")</f>
        <v>9.82</v>
      </c>
      <c r="R162" s="19">
        <f>IFERROR(INDEX([1]DATA!$AH:$AH,MATCH('[1]BC_ ĐG LX'!$C162&amp;'[1]BC_ ĐG LX'!R$3,[1]DATA!$AW:$AW,0)),"")</f>
        <v>9.82</v>
      </c>
      <c r="S162" s="19">
        <f>IFERROR(INDEX([1]DATA!$AH:$AH,MATCH('[1]BC_ ĐG LX'!$C162&amp;'[1]BC_ ĐG LX'!S$3,[1]DATA!$AW:$AW,0)),"")</f>
        <v>9.42</v>
      </c>
      <c r="T162" s="19">
        <f>IFERROR(INDEX([1]DATA!$AH:$AH,MATCH('[1]BC_ ĐG LX'!$C162&amp;'[1]BC_ ĐG LX'!T$3,[1]DATA!$AW:$AW,0)),"")</f>
        <v>9.02</v>
      </c>
      <c r="U162" s="19">
        <f>IFERROR(INDEX([1]DATA!$AH:$AH,MATCH('[1]BC_ ĐG LX'!$C162&amp;'[1]BC_ ĐG LX'!U$3,[1]DATA!$AW:$AW,0)),"")</f>
        <v>9.82</v>
      </c>
      <c r="V162" s="19">
        <f>IFERROR(INDEX([1]DATA!$AH:$AH,MATCH('[1]BC_ ĐG LX'!$C162&amp;'[1]BC_ ĐG LX'!V$3,[1]DATA!$AW:$AW,0)),"")</f>
        <v>9.42</v>
      </c>
      <c r="W162" s="19">
        <f>IFERROR(INDEX([1]DATA!$AH:$AH,MATCH('[1]BC_ ĐG LX'!$C162&amp;'[1]BC_ ĐG LX'!W$3,[1]DATA!$AW:$AW,0)),"")</f>
        <v>9.42</v>
      </c>
      <c r="X162" s="19">
        <f>IFERROR(INDEX([1]DATA!$AH:$AH,MATCH('[1]BC_ ĐG LX'!$C162&amp;'[1]BC_ ĐG LX'!X$3,[1]DATA!$AW:$AW,0)),"")</f>
        <v>9.02</v>
      </c>
      <c r="Y162" s="19">
        <f>IFERROR(INDEX([1]DATA!$AH:$AH,MATCH('[1]BC_ ĐG LX'!$C162&amp;'[1]BC_ ĐG LX'!Y$3,[1]DATA!$AW:$AW,0)),"")</f>
        <v>9.82</v>
      </c>
      <c r="Z162" s="19">
        <f>IFERROR(INDEX([1]DATA!$AH:$AH,MATCH('[1]BC_ ĐG LX'!$C162&amp;'[1]BC_ ĐG LX'!Z$3,[1]DATA!$AW:$AW,0)),"")</f>
        <v>9.42</v>
      </c>
      <c r="AA162" s="19">
        <f>IFERROR(INDEX([1]DATA!$AH:$AH,MATCH('[1]BC_ ĐG LX'!$C162&amp;'[1]BC_ ĐG LX'!AA$3,[1]DATA!$AW:$AW,0)),"")</f>
        <v>9.82</v>
      </c>
      <c r="AB162" s="19">
        <f>IFERROR(INDEX([1]DATA!$AH:$AH,MATCH('[1]BC_ ĐG LX'!$C162&amp;'[1]BC_ ĐG LX'!AB$3,[1]DATA!$AW:$AW,0)),"")</f>
        <v>9.42</v>
      </c>
      <c r="AC162" s="19">
        <f>IFERROR(INDEX([1]DATA!$AH:$AH,MATCH('[1]BC_ ĐG LX'!$C162&amp;'[1]BC_ ĐG LX'!AC$3,[1]DATA!$AW:$AW,0)),"")</f>
        <v>9.42</v>
      </c>
      <c r="AD162" s="19">
        <f>IFERROR(INDEX([1]DATA!$AH:$AH,MATCH('[1]BC_ ĐG LX'!$C162&amp;'[1]BC_ ĐG LX'!AD$3,[1]DATA!$AW:$AW,0)),"")</f>
        <v>9.82</v>
      </c>
      <c r="AE162" s="19">
        <f>IFERROR(INDEX([1]DATA!$AH:$AH,MATCH('[1]BC_ ĐG LX'!$C162&amp;'[1]BC_ ĐG LX'!AE$3,[1]DATA!$AW:$AW,0)),"")</f>
        <v>9.42</v>
      </c>
      <c r="AF162" s="19" t="str">
        <f>IFERROR(INDEX([1]DATA!$AH:$AH,MATCH('[1]BC_ ĐG LX'!$C162&amp;'[1]BC_ ĐG LX'!AF$3,[1]DATA!$AW:$AW,0)),"")</f>
        <v/>
      </c>
      <c r="AG162" s="19" t="str">
        <f>IFERROR(INDEX([1]DATA!$AH:$AH,MATCH('[1]BC_ ĐG LX'!$C162&amp;'[1]BC_ ĐG LX'!AG$3,[1]DATA!$AW:$AW,0)),"")</f>
        <v/>
      </c>
      <c r="AH162" s="19" t="str">
        <f>IFERROR(INDEX([1]DATA!$AH:$AH,MATCH('[1]BC_ ĐG LX'!$C162&amp;'[1]BC_ ĐG LX'!AH$3,[1]DATA!$AW:$AW,0)),"")</f>
        <v/>
      </c>
      <c r="AI162" s="19" t="str">
        <f>IFERROR(INDEX([1]DATA!$AH:$AH,MATCH('[1]BC_ ĐG LX'!$C162&amp;'[1]BC_ ĐG LX'!AI$3,[1]DATA!$AW:$AW,0)),"")</f>
        <v/>
      </c>
      <c r="AJ162" s="19" t="str">
        <f>IFERROR(INDEX([1]DATA!$AH:$AH,MATCH('[1]BC_ ĐG LX'!$C162&amp;'[1]BC_ ĐG LX'!AJ$3,[1]DATA!$AW:$AW,0)),"")</f>
        <v/>
      </c>
      <c r="AK162" s="26">
        <f t="shared" si="10"/>
        <v>9.5</v>
      </c>
      <c r="AL162" s="21"/>
      <c r="AM162" s="22">
        <f t="shared" si="8"/>
        <v>25</v>
      </c>
      <c r="AN162" s="22" t="str">
        <f>_xlfn.XLOOKUP(B162,[1]DATA!AF:AF,[1]DATA!AX:AX)</f>
        <v>Hằng</v>
      </c>
      <c r="AO162"/>
    </row>
    <row r="163" spans="1:41" ht="14.25" customHeight="1">
      <c r="A163" s="16">
        <f>SUBTOTAL(3,$D$157:D163)</f>
        <v>7</v>
      </c>
      <c r="B163" s="16" t="str">
        <f>_xlfn.XLOOKUP(C163,[1]DATA!D:D,[1]DATA!AF:AF)</f>
        <v>XE01230</v>
      </c>
      <c r="C163" s="18" t="s">
        <v>187</v>
      </c>
      <c r="D163" s="16" t="s">
        <v>25</v>
      </c>
      <c r="E163" s="18" t="s">
        <v>17</v>
      </c>
      <c r="F163" s="18" t="s">
        <v>18</v>
      </c>
      <c r="G163" s="19">
        <f>IFERROR(INDEX([1]DATA!$AH:$AH,MATCH('[1]BC_ ĐG LX'!$C163&amp;'[1]BC_ ĐG LX'!G$3,[1]DATA!$AW:$AW,0)),"")</f>
        <v>9.02</v>
      </c>
      <c r="H163" s="19">
        <f>IFERROR(INDEX([1]DATA!$AH:$AH,MATCH('[1]BC_ ĐG LX'!$C163&amp;'[1]BC_ ĐG LX'!H$3,[1]DATA!$AW:$AW,0)),"")</f>
        <v>8.84</v>
      </c>
      <c r="I163" s="19">
        <f>IFERROR(INDEX([1]DATA!$AH:$AH,MATCH('[1]BC_ ĐG LX'!$C163&amp;'[1]BC_ ĐG LX'!I$3,[1]DATA!$AW:$AW,0)),"")</f>
        <v>9.82</v>
      </c>
      <c r="J163" s="19">
        <f>IFERROR(INDEX([1]DATA!$AH:$AH,MATCH('[1]BC_ ĐG LX'!$C163&amp;'[1]BC_ ĐG LX'!J$3,[1]DATA!$AW:$AW,0)),"")</f>
        <v>9.82</v>
      </c>
      <c r="K163" s="19">
        <f>IFERROR(INDEX([1]DATA!$AH:$AH,MATCH('[1]BC_ ĐG LX'!$C163&amp;'[1]BC_ ĐG LX'!K$3,[1]DATA!$AW:$AW,0)),"")</f>
        <v>9.42</v>
      </c>
      <c r="L163" s="19">
        <f>IFERROR(INDEX([1]DATA!$AH:$AH,MATCH('[1]BC_ ĐG LX'!$C163&amp;'[1]BC_ ĐG LX'!L$3,[1]DATA!$AW:$AW,0)),"")</f>
        <v>9.42</v>
      </c>
      <c r="M163" s="19">
        <f>IFERROR(INDEX([1]DATA!$AH:$AH,MATCH('[1]BC_ ĐG LX'!$C163&amp;'[1]BC_ ĐG LX'!M$3,[1]DATA!$AW:$AW,0)),"")</f>
        <v>9.02</v>
      </c>
      <c r="N163" s="19">
        <f>IFERROR(INDEX([1]DATA!$AH:$AH,MATCH('[1]BC_ ĐG LX'!$C163&amp;'[1]BC_ ĐG LX'!N$3,[1]DATA!$AW:$AW,0)),"")</f>
        <v>9.82</v>
      </c>
      <c r="O163" s="19">
        <f>IFERROR(INDEX([1]DATA!$AH:$AH,MATCH('[1]BC_ ĐG LX'!$C163&amp;'[1]BC_ ĐG LX'!O$3,[1]DATA!$AW:$AW,0)),"")</f>
        <v>9.82</v>
      </c>
      <c r="P163" s="19">
        <f>IFERROR(INDEX([1]DATA!$AH:$AH,MATCH('[1]BC_ ĐG LX'!$C163&amp;'[1]BC_ ĐG LX'!P$3,[1]DATA!$AW:$AW,0)),"")</f>
        <v>9.82</v>
      </c>
      <c r="Q163" s="19">
        <f>IFERROR(INDEX([1]DATA!$AH:$AH,MATCH('[1]BC_ ĐG LX'!$C163&amp;'[1]BC_ ĐG LX'!Q$3,[1]DATA!$AW:$AW,0)),"")</f>
        <v>9.82</v>
      </c>
      <c r="R163" s="19">
        <f>IFERROR(INDEX([1]DATA!$AH:$AH,MATCH('[1]BC_ ĐG LX'!$C163&amp;'[1]BC_ ĐG LX'!R$3,[1]DATA!$AW:$AW,0)),"")</f>
        <v>9.82</v>
      </c>
      <c r="S163" s="19">
        <f>IFERROR(INDEX([1]DATA!$AH:$AH,MATCH('[1]BC_ ĐG LX'!$C163&amp;'[1]BC_ ĐG LX'!S$3,[1]DATA!$AW:$AW,0)),"")</f>
        <v>8.84</v>
      </c>
      <c r="T163" s="19">
        <f>IFERROR(INDEX([1]DATA!$AH:$AH,MATCH('[1]BC_ ĐG LX'!$C163&amp;'[1]BC_ ĐG LX'!T$3,[1]DATA!$AW:$AW,0)),"")</f>
        <v>9.02</v>
      </c>
      <c r="U163" s="19">
        <f>IFERROR(INDEX([1]DATA!$AH:$AH,MATCH('[1]BC_ ĐG LX'!$C163&amp;'[1]BC_ ĐG LX'!U$3,[1]DATA!$AW:$AW,0)),"")</f>
        <v>9.02</v>
      </c>
      <c r="V163" s="19">
        <f>IFERROR(INDEX([1]DATA!$AH:$AH,MATCH('[1]BC_ ĐG LX'!$C163&amp;'[1]BC_ ĐG LX'!V$3,[1]DATA!$AW:$AW,0)),"")</f>
        <v>9.82</v>
      </c>
      <c r="W163" s="19">
        <f>IFERROR(INDEX([1]DATA!$AH:$AH,MATCH('[1]BC_ ĐG LX'!$C163&amp;'[1]BC_ ĐG LX'!W$3,[1]DATA!$AW:$AW,0)),"")</f>
        <v>8.2200000000000006</v>
      </c>
      <c r="X163" s="19">
        <f>IFERROR(INDEX([1]DATA!$AH:$AH,MATCH('[1]BC_ ĐG LX'!$C163&amp;'[1]BC_ ĐG LX'!X$3,[1]DATA!$AW:$AW,0)),"")</f>
        <v>9.42</v>
      </c>
      <c r="Y163" s="19">
        <f>IFERROR(INDEX([1]DATA!$AH:$AH,MATCH('[1]BC_ ĐG LX'!$C163&amp;'[1]BC_ ĐG LX'!Y$3,[1]DATA!$AW:$AW,0)),"")</f>
        <v>9.82</v>
      </c>
      <c r="Z163" s="19">
        <f>IFERROR(INDEX([1]DATA!$AH:$AH,MATCH('[1]BC_ ĐG LX'!$C163&amp;'[1]BC_ ĐG LX'!Z$3,[1]DATA!$AW:$AW,0)),"")</f>
        <v>9.42</v>
      </c>
      <c r="AA163" s="19">
        <f>IFERROR(INDEX([1]DATA!$AH:$AH,MATCH('[1]BC_ ĐG LX'!$C163&amp;'[1]BC_ ĐG LX'!AA$3,[1]DATA!$AW:$AW,0)),"")</f>
        <v>9.82</v>
      </c>
      <c r="AB163" s="19">
        <f>IFERROR(INDEX([1]DATA!$AH:$AH,MATCH('[1]BC_ ĐG LX'!$C163&amp;'[1]BC_ ĐG LX'!AB$3,[1]DATA!$AW:$AW,0)),"")</f>
        <v>9.82</v>
      </c>
      <c r="AC163" s="19">
        <f>IFERROR(INDEX([1]DATA!$AH:$AH,MATCH('[1]BC_ ĐG LX'!$C163&amp;'[1]BC_ ĐG LX'!AC$3,[1]DATA!$AW:$AW,0)),"")</f>
        <v>9.6199999999999992</v>
      </c>
      <c r="AD163" s="19">
        <f>IFERROR(INDEX([1]DATA!$AH:$AH,MATCH('[1]BC_ ĐG LX'!$C163&amp;'[1]BC_ ĐG LX'!AD$3,[1]DATA!$AW:$AW,0)),"")</f>
        <v>9.82</v>
      </c>
      <c r="AE163" s="19">
        <f>IFERROR(INDEX([1]DATA!$AH:$AH,MATCH('[1]BC_ ĐG LX'!$C163&amp;'[1]BC_ ĐG LX'!AE$3,[1]DATA!$AW:$AW,0)),"")</f>
        <v>9.02</v>
      </c>
      <c r="AF163" s="19" t="str">
        <f>IFERROR(INDEX([1]DATA!$AH:$AH,MATCH('[1]BC_ ĐG LX'!$C163&amp;'[1]BC_ ĐG LX'!AF$3,[1]DATA!$AW:$AW,0)),"")</f>
        <v/>
      </c>
      <c r="AG163" s="19" t="str">
        <f>IFERROR(INDEX([1]DATA!$AH:$AH,MATCH('[1]BC_ ĐG LX'!$C163&amp;'[1]BC_ ĐG LX'!AG$3,[1]DATA!$AW:$AW,0)),"")</f>
        <v/>
      </c>
      <c r="AH163" s="19" t="str">
        <f>IFERROR(INDEX([1]DATA!$AH:$AH,MATCH('[1]BC_ ĐG LX'!$C163&amp;'[1]BC_ ĐG LX'!AH$3,[1]DATA!$AW:$AW,0)),"")</f>
        <v/>
      </c>
      <c r="AI163" s="19" t="str">
        <f>IFERROR(INDEX([1]DATA!$AH:$AH,MATCH('[1]BC_ ĐG LX'!$C163&amp;'[1]BC_ ĐG LX'!AI$3,[1]DATA!$AW:$AW,0)),"")</f>
        <v/>
      </c>
      <c r="AJ163" s="19" t="str">
        <f>IFERROR(INDEX([1]DATA!$AH:$AH,MATCH('[1]BC_ ĐG LX'!$C163&amp;'[1]BC_ ĐG LX'!AJ$3,[1]DATA!$AW:$AW,0)),"")</f>
        <v/>
      </c>
      <c r="AK163" s="26">
        <f t="shared" si="10"/>
        <v>9.5</v>
      </c>
      <c r="AL163" s="21"/>
      <c r="AM163" s="22">
        <f t="shared" si="8"/>
        <v>25</v>
      </c>
      <c r="AN163" s="22" t="str">
        <f>_xlfn.XLOOKUP(B163,[1]DATA!AF:AF,[1]DATA!AX:AX)</f>
        <v>Hằng</v>
      </c>
      <c r="AO163"/>
    </row>
    <row r="164" spans="1:41" ht="14.25" customHeight="1">
      <c r="A164" s="16">
        <f>SUBTOTAL(3,$D$157:D164)</f>
        <v>8</v>
      </c>
      <c r="B164" s="16" t="str">
        <f>_xlfn.XLOOKUP(C164,[1]DATA!D:D,[1]DATA!AF:AF)</f>
        <v>XE01278</v>
      </c>
      <c r="C164" s="18" t="s">
        <v>188</v>
      </c>
      <c r="D164" s="16" t="s">
        <v>25</v>
      </c>
      <c r="E164" s="18" t="s">
        <v>17</v>
      </c>
      <c r="F164" s="18" t="s">
        <v>18</v>
      </c>
      <c r="G164" s="19">
        <f>IFERROR(INDEX([1]DATA!$AH:$AH,MATCH('[1]BC_ ĐG LX'!$C164&amp;'[1]BC_ ĐG LX'!G$3,[1]DATA!$AW:$AW,0)),"")</f>
        <v>9.02</v>
      </c>
      <c r="H164" s="19">
        <f>IFERROR(INDEX([1]DATA!$AH:$AH,MATCH('[1]BC_ ĐG LX'!$C164&amp;'[1]BC_ ĐG LX'!H$3,[1]DATA!$AW:$AW,0)),"")</f>
        <v>9.02</v>
      </c>
      <c r="I164" s="19">
        <f>IFERROR(INDEX([1]DATA!$AH:$AH,MATCH('[1]BC_ ĐG LX'!$C164&amp;'[1]BC_ ĐG LX'!I$3,[1]DATA!$AW:$AW,0)),"")</f>
        <v>9.42</v>
      </c>
      <c r="J164" s="19">
        <f>IFERROR(INDEX([1]DATA!$AH:$AH,MATCH('[1]BC_ ĐG LX'!$C164&amp;'[1]BC_ ĐG LX'!J$3,[1]DATA!$AW:$AW,0)),"")</f>
        <v>9.02</v>
      </c>
      <c r="K164" s="19">
        <f>IFERROR(INDEX([1]DATA!$AH:$AH,MATCH('[1]BC_ ĐG LX'!$C164&amp;'[1]BC_ ĐG LX'!K$3,[1]DATA!$AW:$AW,0)),"")</f>
        <v>9.82</v>
      </c>
      <c r="L164" s="19">
        <f>IFERROR(INDEX([1]DATA!$AH:$AH,MATCH('[1]BC_ ĐG LX'!$C164&amp;'[1]BC_ ĐG LX'!L$3,[1]DATA!$AW:$AW,0)),"")</f>
        <v>7.82</v>
      </c>
      <c r="M164" s="19">
        <f>IFERROR(INDEX([1]DATA!$AH:$AH,MATCH('[1]BC_ ĐG LX'!$C164&amp;'[1]BC_ ĐG LX'!M$3,[1]DATA!$AW:$AW,0)),"")</f>
        <v>8.84</v>
      </c>
      <c r="N164" s="19">
        <f>IFERROR(INDEX([1]DATA!$AH:$AH,MATCH('[1]BC_ ĐG LX'!$C164&amp;'[1]BC_ ĐG LX'!N$3,[1]DATA!$AW:$AW,0)),"")</f>
        <v>9.82</v>
      </c>
      <c r="O164" s="19">
        <f>IFERROR(INDEX([1]DATA!$AH:$AH,MATCH('[1]BC_ ĐG LX'!$C164&amp;'[1]BC_ ĐG LX'!O$3,[1]DATA!$AW:$AW,0)),"")</f>
        <v>9.42</v>
      </c>
      <c r="P164" s="19">
        <f>IFERROR(INDEX([1]DATA!$AH:$AH,MATCH('[1]BC_ ĐG LX'!$C164&amp;'[1]BC_ ĐG LX'!P$3,[1]DATA!$AW:$AW,0)),"")</f>
        <v>9.82</v>
      </c>
      <c r="Q164" s="19">
        <f>IFERROR(INDEX([1]DATA!$AH:$AH,MATCH('[1]BC_ ĐG LX'!$C164&amp;'[1]BC_ ĐG LX'!Q$3,[1]DATA!$AW:$AW,0)),"")</f>
        <v>9.42</v>
      </c>
      <c r="R164" s="19">
        <f>IFERROR(INDEX([1]DATA!$AH:$AH,MATCH('[1]BC_ ĐG LX'!$C164&amp;'[1]BC_ ĐG LX'!R$3,[1]DATA!$AW:$AW,0)),"")</f>
        <v>9.42</v>
      </c>
      <c r="S164" s="19">
        <f>IFERROR(INDEX([1]DATA!$AH:$AH,MATCH('[1]BC_ ĐG LX'!$C164&amp;'[1]BC_ ĐG LX'!S$3,[1]DATA!$AW:$AW,0)),"")</f>
        <v>9.82</v>
      </c>
      <c r="T164" s="19">
        <f>IFERROR(INDEX([1]DATA!$AH:$AH,MATCH('[1]BC_ ĐG LX'!$C164&amp;'[1]BC_ ĐG LX'!T$3,[1]DATA!$AW:$AW,0)),"")</f>
        <v>9.42</v>
      </c>
      <c r="U164" s="19">
        <f>IFERROR(INDEX([1]DATA!$AH:$AH,MATCH('[1]BC_ ĐG LX'!$C164&amp;'[1]BC_ ĐG LX'!U$3,[1]DATA!$AW:$AW,0)),"")</f>
        <v>9.82</v>
      </c>
      <c r="V164" s="19">
        <f>IFERROR(INDEX([1]DATA!$AH:$AH,MATCH('[1]BC_ ĐG LX'!$C164&amp;'[1]BC_ ĐG LX'!V$3,[1]DATA!$AW:$AW,0)),"")</f>
        <v>9.42</v>
      </c>
      <c r="W164" s="19">
        <f>IFERROR(INDEX([1]DATA!$AH:$AH,MATCH('[1]BC_ ĐG LX'!$C164&amp;'[1]BC_ ĐG LX'!W$3,[1]DATA!$AW:$AW,0)),"")</f>
        <v>9.02</v>
      </c>
      <c r="X164" s="19">
        <f>IFERROR(INDEX([1]DATA!$AH:$AH,MATCH('[1]BC_ ĐG LX'!$C164&amp;'[1]BC_ ĐG LX'!X$3,[1]DATA!$AW:$AW,0)),"")</f>
        <v>9.42</v>
      </c>
      <c r="Y164" s="19">
        <f>IFERROR(INDEX([1]DATA!$AH:$AH,MATCH('[1]BC_ ĐG LX'!$C164&amp;'[1]BC_ ĐG LX'!Y$3,[1]DATA!$AW:$AW,0)),"")</f>
        <v>9.02</v>
      </c>
      <c r="Z164" s="19">
        <f>IFERROR(INDEX([1]DATA!$AH:$AH,MATCH('[1]BC_ ĐG LX'!$C164&amp;'[1]BC_ ĐG LX'!Z$3,[1]DATA!$AW:$AW,0)),"")</f>
        <v>9.42</v>
      </c>
      <c r="AA164" s="19">
        <f>IFERROR(INDEX([1]DATA!$AH:$AH,MATCH('[1]BC_ ĐG LX'!$C164&amp;'[1]BC_ ĐG LX'!AA$3,[1]DATA!$AW:$AW,0)),"")</f>
        <v>9.42</v>
      </c>
      <c r="AB164" s="19">
        <f>IFERROR(INDEX([1]DATA!$AH:$AH,MATCH('[1]BC_ ĐG LX'!$C164&amp;'[1]BC_ ĐG LX'!AB$3,[1]DATA!$AW:$AW,0)),"")</f>
        <v>9.42</v>
      </c>
      <c r="AC164" s="19">
        <f>IFERROR(INDEX([1]DATA!$AH:$AH,MATCH('[1]BC_ ĐG LX'!$C164&amp;'[1]BC_ ĐG LX'!AC$3,[1]DATA!$AW:$AW,0)),"")</f>
        <v>9.82</v>
      </c>
      <c r="AD164" s="19">
        <f>IFERROR(INDEX([1]DATA!$AH:$AH,MATCH('[1]BC_ ĐG LX'!$C164&amp;'[1]BC_ ĐG LX'!AD$3,[1]DATA!$AW:$AW,0)),"")</f>
        <v>9.42</v>
      </c>
      <c r="AE164" s="19">
        <f>IFERROR(INDEX([1]DATA!$AH:$AH,MATCH('[1]BC_ ĐG LX'!$C164&amp;'[1]BC_ ĐG LX'!AE$3,[1]DATA!$AW:$AW,0)),"")</f>
        <v>9.82</v>
      </c>
      <c r="AF164" s="19" t="str">
        <f>IFERROR(INDEX([1]DATA!$AH:$AH,MATCH('[1]BC_ ĐG LX'!$C164&amp;'[1]BC_ ĐG LX'!AF$3,[1]DATA!$AW:$AW,0)),"")</f>
        <v/>
      </c>
      <c r="AG164" s="19" t="str">
        <f>IFERROR(INDEX([1]DATA!$AH:$AH,MATCH('[1]BC_ ĐG LX'!$C164&amp;'[1]BC_ ĐG LX'!AG$3,[1]DATA!$AW:$AW,0)),"")</f>
        <v/>
      </c>
      <c r="AH164" s="19" t="str">
        <f>IFERROR(INDEX([1]DATA!$AH:$AH,MATCH('[1]BC_ ĐG LX'!$C164&amp;'[1]BC_ ĐG LX'!AH$3,[1]DATA!$AW:$AW,0)),"")</f>
        <v/>
      </c>
      <c r="AI164" s="19" t="str">
        <f>IFERROR(INDEX([1]DATA!$AH:$AH,MATCH('[1]BC_ ĐG LX'!$C164&amp;'[1]BC_ ĐG LX'!AI$3,[1]DATA!$AW:$AW,0)),"")</f>
        <v/>
      </c>
      <c r="AJ164" s="19" t="str">
        <f>IFERROR(INDEX([1]DATA!$AH:$AH,MATCH('[1]BC_ ĐG LX'!$C164&amp;'[1]BC_ ĐG LX'!AJ$3,[1]DATA!$AW:$AW,0)),"")</f>
        <v/>
      </c>
      <c r="AK164" s="26">
        <f t="shared" si="10"/>
        <v>9.4</v>
      </c>
      <c r="AL164" s="21"/>
      <c r="AM164" s="22">
        <f t="shared" si="8"/>
        <v>25</v>
      </c>
      <c r="AN164" s="22" t="str">
        <f>_xlfn.XLOOKUP(B164,[1]DATA!AF:AF,[1]DATA!AX:AX)</f>
        <v>Hằng</v>
      </c>
      <c r="AO164"/>
    </row>
    <row r="165" spans="1:41" ht="14.25" customHeight="1">
      <c r="A165" s="16">
        <f>SUBTOTAL(3,$D$157:D165)</f>
        <v>9</v>
      </c>
      <c r="B165" s="16" t="str">
        <f>_xlfn.XLOOKUP(C165,[1]DATA!D:D,[1]DATA!AF:AF)</f>
        <v>XE01437</v>
      </c>
      <c r="C165" s="18" t="s">
        <v>189</v>
      </c>
      <c r="D165" s="16" t="s">
        <v>25</v>
      </c>
      <c r="E165" s="18" t="s">
        <v>17</v>
      </c>
      <c r="F165" s="18" t="s">
        <v>18</v>
      </c>
      <c r="G165" s="19">
        <f>IFERROR(INDEX([1]DATA!$AH:$AH,MATCH('[1]BC_ ĐG LX'!$C165&amp;'[1]BC_ ĐG LX'!G$3,[1]DATA!$AW:$AW,0)),"")</f>
        <v>8.44</v>
      </c>
      <c r="H165" s="19">
        <f>IFERROR(INDEX([1]DATA!$AH:$AH,MATCH('[1]BC_ ĐG LX'!$C165&amp;'[1]BC_ ĐG LX'!H$3,[1]DATA!$AW:$AW,0)),"")</f>
        <v>9.82</v>
      </c>
      <c r="I165" s="19">
        <f>IFERROR(INDEX([1]DATA!$AH:$AH,MATCH('[1]BC_ ĐG LX'!$C165&amp;'[1]BC_ ĐG LX'!I$3,[1]DATA!$AW:$AW,0)),"")</f>
        <v>9.82</v>
      </c>
      <c r="J165" s="19">
        <f>IFERROR(INDEX([1]DATA!$AH:$AH,MATCH('[1]BC_ ĐG LX'!$C165&amp;'[1]BC_ ĐG LX'!J$3,[1]DATA!$AW:$AW,0)),"")</f>
        <v>9.42</v>
      </c>
      <c r="K165" s="19">
        <f>IFERROR(INDEX([1]DATA!$AH:$AH,MATCH('[1]BC_ ĐG LX'!$C165&amp;'[1]BC_ ĐG LX'!K$3,[1]DATA!$AW:$AW,0)),"")</f>
        <v>9.82</v>
      </c>
      <c r="L165" s="19">
        <f>IFERROR(INDEX([1]DATA!$AH:$AH,MATCH('[1]BC_ ĐG LX'!$C165&amp;'[1]BC_ ĐG LX'!L$3,[1]DATA!$AW:$AW,0)),"")</f>
        <v>9.82</v>
      </c>
      <c r="M165" s="19">
        <f>IFERROR(INDEX([1]DATA!$AH:$AH,MATCH('[1]BC_ ĐG LX'!$C165&amp;'[1]BC_ ĐG LX'!M$3,[1]DATA!$AW:$AW,0)),"")</f>
        <v>8.84</v>
      </c>
      <c r="N165" s="19">
        <f>IFERROR(INDEX([1]DATA!$AH:$AH,MATCH('[1]BC_ ĐG LX'!$C165&amp;'[1]BC_ ĐG LX'!N$3,[1]DATA!$AW:$AW,0)),"")</f>
        <v>8.84</v>
      </c>
      <c r="O165" s="19">
        <f>IFERROR(INDEX([1]DATA!$AH:$AH,MATCH('[1]BC_ ĐG LX'!$C165&amp;'[1]BC_ ĐG LX'!O$3,[1]DATA!$AW:$AW,0)),"")</f>
        <v>9.42</v>
      </c>
      <c r="P165" s="19">
        <f>IFERROR(INDEX([1]DATA!$AH:$AH,MATCH('[1]BC_ ĐG LX'!$C165&amp;'[1]BC_ ĐG LX'!P$3,[1]DATA!$AW:$AW,0)),"")</f>
        <v>9.82</v>
      </c>
      <c r="Q165" s="33">
        <f>IFERROR(INDEX([1]DATA!$AH:$AH,MATCH('[1]BC_ ĐG LX'!$C165&amp;'[1]BC_ ĐG LX'!Q$3,[1]DATA!$AW:$AW,0)),"")</f>
        <v>9.42</v>
      </c>
      <c r="R165" s="33">
        <f>IFERROR(INDEX([1]DATA!$AH:$AH,MATCH('[1]BC_ ĐG LX'!$C165&amp;'[1]BC_ ĐG LX'!R$3,[1]DATA!$AW:$AW,0)),"")</f>
        <v>9.82</v>
      </c>
      <c r="S165" s="33">
        <f>IFERROR(INDEX([1]DATA!$AH:$AH,MATCH('[1]BC_ ĐG LX'!$C165&amp;'[1]BC_ ĐG LX'!S$3,[1]DATA!$AW:$AW,0)),"")</f>
        <v>8.2200000000000006</v>
      </c>
      <c r="T165" s="33">
        <f>IFERROR(INDEX([1]DATA!$AH:$AH,MATCH('[1]BC_ ĐG LX'!$C165&amp;'[1]BC_ ĐG LX'!T$3,[1]DATA!$AW:$AW,0)),"")</f>
        <v>9.82</v>
      </c>
      <c r="U165" s="33">
        <f>IFERROR(INDEX([1]DATA!$AH:$AH,MATCH('[1]BC_ ĐG LX'!$C165&amp;'[1]BC_ ĐG LX'!U$3,[1]DATA!$AW:$AW,0)),"")</f>
        <v>9.42</v>
      </c>
      <c r="V165" s="33">
        <f>IFERROR(INDEX([1]DATA!$AH:$AH,MATCH('[1]BC_ ĐG LX'!$C165&amp;'[1]BC_ ĐG LX'!V$3,[1]DATA!$AW:$AW,0)),"")</f>
        <v>8.84</v>
      </c>
      <c r="W165" s="33">
        <f>IFERROR(INDEX([1]DATA!$AH:$AH,MATCH('[1]BC_ ĐG LX'!$C165&amp;'[1]BC_ ĐG LX'!W$3,[1]DATA!$AW:$AW,0)),"")</f>
        <v>9.24</v>
      </c>
      <c r="X165" s="33">
        <f>IFERROR(INDEX([1]DATA!$AH:$AH,MATCH('[1]BC_ ĐG LX'!$C165&amp;'[1]BC_ ĐG LX'!X$3,[1]DATA!$AW:$AW,0)),"")</f>
        <v>9.82</v>
      </c>
      <c r="Y165" s="33">
        <f>IFERROR(INDEX([1]DATA!$AH:$AH,MATCH('[1]BC_ ĐG LX'!$C165&amp;'[1]BC_ ĐG LX'!Y$3,[1]DATA!$AW:$AW,0)),"")</f>
        <v>9.42</v>
      </c>
      <c r="Z165" s="33">
        <f>IFERROR(INDEX([1]DATA!$AH:$AH,MATCH('[1]BC_ ĐG LX'!$C165&amp;'[1]BC_ ĐG LX'!Z$3,[1]DATA!$AW:$AW,0)),"")</f>
        <v>8.120000000000001</v>
      </c>
      <c r="AA165" s="33">
        <f>IFERROR(INDEX([1]DATA!$AH:$AH,MATCH('[1]BC_ ĐG LX'!$C165&amp;'[1]BC_ ĐG LX'!AA$3,[1]DATA!$AW:$AW,0)),"")</f>
        <v>9.82</v>
      </c>
      <c r="AB165" s="33">
        <f>IFERROR(INDEX([1]DATA!$AH:$AH,MATCH('[1]BC_ ĐG LX'!$C165&amp;'[1]BC_ ĐG LX'!AB$3,[1]DATA!$AW:$AW,0)),"")</f>
        <v>9.82</v>
      </c>
      <c r="AC165" s="33">
        <f>IFERROR(INDEX([1]DATA!$AH:$AH,MATCH('[1]BC_ ĐG LX'!$C165&amp;'[1]BC_ ĐG LX'!AC$3,[1]DATA!$AW:$AW,0)),"")</f>
        <v>7.82</v>
      </c>
      <c r="AD165" s="19">
        <f>IFERROR(INDEX([1]DATA!$AH:$AH,MATCH('[1]BC_ ĐG LX'!$C165&amp;'[1]BC_ ĐG LX'!AD$3,[1]DATA!$AW:$AW,0)),"")</f>
        <v>9.42</v>
      </c>
      <c r="AE165" s="19">
        <f>IFERROR(INDEX([1]DATA!$AH:$AH,MATCH('[1]BC_ ĐG LX'!$C165&amp;'[1]BC_ ĐG LX'!AE$3,[1]DATA!$AW:$AW,0)),"")</f>
        <v>8.2200000000000006</v>
      </c>
      <c r="AF165" s="19" t="str">
        <f>IFERROR(INDEX([1]DATA!$AH:$AH,MATCH('[1]BC_ ĐG LX'!$C165&amp;'[1]BC_ ĐG LX'!AF$3,[1]DATA!$AW:$AW,0)),"")</f>
        <v/>
      </c>
      <c r="AG165" s="19" t="str">
        <f>IFERROR(INDEX([1]DATA!$AH:$AH,MATCH('[1]BC_ ĐG LX'!$C165&amp;'[1]BC_ ĐG LX'!AG$3,[1]DATA!$AW:$AW,0)),"")</f>
        <v/>
      </c>
      <c r="AH165" s="19" t="str">
        <f>IFERROR(INDEX([1]DATA!$AH:$AH,MATCH('[1]BC_ ĐG LX'!$C165&amp;'[1]BC_ ĐG LX'!AH$3,[1]DATA!$AW:$AW,0)),"")</f>
        <v/>
      </c>
      <c r="AI165" s="19" t="str">
        <f>IFERROR(INDEX([1]DATA!$AH:$AH,MATCH('[1]BC_ ĐG LX'!$C165&amp;'[1]BC_ ĐG LX'!AI$3,[1]DATA!$AW:$AW,0)),"")</f>
        <v/>
      </c>
      <c r="AJ165" s="19" t="str">
        <f>IFERROR(INDEX([1]DATA!$AH:$AH,MATCH('[1]BC_ ĐG LX'!$C165&amp;'[1]BC_ ĐG LX'!AJ$3,[1]DATA!$AW:$AW,0)),"")</f>
        <v/>
      </c>
      <c r="AK165" s="26">
        <f t="shared" si="10"/>
        <v>9.2999999999999989</v>
      </c>
      <c r="AL165" s="21" t="s">
        <v>190</v>
      </c>
      <c r="AM165" s="22">
        <f t="shared" si="8"/>
        <v>25</v>
      </c>
      <c r="AN165" s="22" t="str">
        <f>_xlfn.XLOOKUP(B165,[1]DATA!AF:AF,[1]DATA!AX:AX)</f>
        <v>Nga</v>
      </c>
      <c r="AO165"/>
    </row>
    <row r="166" spans="1:41" ht="14.25" customHeight="1">
      <c r="A166" s="16">
        <f>SUBTOTAL(3,$D$157:D166)</f>
        <v>10</v>
      </c>
      <c r="B166" s="16" t="str">
        <f>_xlfn.XLOOKUP(C166,[1]DATA!D:D,[1]DATA!AF:AF)</f>
        <v>XE01427</v>
      </c>
      <c r="C166" s="18" t="s">
        <v>191</v>
      </c>
      <c r="D166" s="16" t="s">
        <v>25</v>
      </c>
      <c r="E166" s="18" t="s">
        <v>17</v>
      </c>
      <c r="F166" s="18" t="s">
        <v>18</v>
      </c>
      <c r="G166" s="19">
        <f>IFERROR(INDEX([1]DATA!$AH:$AH,MATCH('[1]BC_ ĐG LX'!$C166&amp;'[1]BC_ ĐG LX'!G$3,[1]DATA!$AW:$AW,0)),"")</f>
        <v>9.42</v>
      </c>
      <c r="H166" s="19">
        <f>IFERROR(INDEX([1]DATA!$AH:$AH,MATCH('[1]BC_ ĐG LX'!$C166&amp;'[1]BC_ ĐG LX'!H$3,[1]DATA!$AW:$AW,0)),"")</f>
        <v>8.0399999999999991</v>
      </c>
      <c r="I166" s="19">
        <f>IFERROR(INDEX([1]DATA!$AH:$AH,MATCH('[1]BC_ ĐG LX'!$C166&amp;'[1]BC_ ĐG LX'!I$3,[1]DATA!$AW:$AW,0)),"")</f>
        <v>10</v>
      </c>
      <c r="J166" s="19">
        <f>IFERROR(INDEX([1]DATA!$AH:$AH,MATCH('[1]BC_ ĐG LX'!$C166&amp;'[1]BC_ ĐG LX'!J$3,[1]DATA!$AW:$AW,0)),"")</f>
        <v>7.24</v>
      </c>
      <c r="K166" s="19">
        <f>IFERROR(INDEX([1]DATA!$AH:$AH,MATCH('[1]BC_ ĐG LX'!$C166&amp;'[1]BC_ ĐG LX'!K$3,[1]DATA!$AW:$AW,0)),"")</f>
        <v>7.22</v>
      </c>
      <c r="L166" s="19">
        <f>IFERROR(INDEX([1]DATA!$AH:$AH,MATCH('[1]BC_ ĐG LX'!$C166&amp;'[1]BC_ ĐG LX'!L$3,[1]DATA!$AW:$AW,0)),"")</f>
        <v>9.82</v>
      </c>
      <c r="M166" s="19">
        <f>IFERROR(INDEX([1]DATA!$AH:$AH,MATCH('[1]BC_ ĐG LX'!$C166&amp;'[1]BC_ ĐG LX'!M$3,[1]DATA!$AW:$AW,0)),"")</f>
        <v>9.42</v>
      </c>
      <c r="N166" s="19">
        <f>IFERROR(INDEX([1]DATA!$AH:$AH,MATCH('[1]BC_ ĐG LX'!$C166&amp;'[1]BC_ ĐG LX'!N$3,[1]DATA!$AW:$AW,0)),"")</f>
        <v>9.02</v>
      </c>
      <c r="O166" s="19">
        <f>IFERROR(INDEX([1]DATA!$AH:$AH,MATCH('[1]BC_ ĐG LX'!$C166&amp;'[1]BC_ ĐG LX'!O$3,[1]DATA!$AW:$AW,0)),"")</f>
        <v>8.84</v>
      </c>
      <c r="P166" s="19">
        <f>IFERROR(INDEX([1]DATA!$AH:$AH,MATCH('[1]BC_ ĐG LX'!$C166&amp;'[1]BC_ ĐG LX'!P$3,[1]DATA!$AW:$AW,0)),"")</f>
        <v>9.42</v>
      </c>
      <c r="Q166" s="19">
        <f>IFERROR(INDEX([1]DATA!$AH:$AH,MATCH('[1]BC_ ĐG LX'!$C166&amp;'[1]BC_ ĐG LX'!Q$3,[1]DATA!$AW:$AW,0)),"")</f>
        <v>9.02</v>
      </c>
      <c r="R166" s="19">
        <f>IFERROR(INDEX([1]DATA!$AH:$AH,MATCH('[1]BC_ ĐG LX'!$C166&amp;'[1]BC_ ĐG LX'!R$3,[1]DATA!$AW:$AW,0)),"")</f>
        <v>6.8400000000000007</v>
      </c>
      <c r="S166" s="19">
        <f>IFERROR(INDEX([1]DATA!$AH:$AH,MATCH('[1]BC_ ĐG LX'!$C166&amp;'[1]BC_ ĐG LX'!S$3,[1]DATA!$AW:$AW,0)),"")</f>
        <v>8.84</v>
      </c>
      <c r="T166" s="19">
        <f>IFERROR(INDEX([1]DATA!$AH:$AH,MATCH('[1]BC_ ĐG LX'!$C166&amp;'[1]BC_ ĐG LX'!T$3,[1]DATA!$AW:$AW,0)),"")</f>
        <v>7.6400000000000006</v>
      </c>
      <c r="U166" s="19">
        <f>IFERROR(INDEX([1]DATA!$AH:$AH,MATCH('[1]BC_ ĐG LX'!$C166&amp;'[1]BC_ ĐG LX'!U$3,[1]DATA!$AW:$AW,0)),"")</f>
        <v>8.44</v>
      </c>
      <c r="V166" s="19">
        <f>IFERROR(INDEX([1]DATA!$AH:$AH,MATCH('[1]BC_ ĐG LX'!$C166&amp;'[1]BC_ ĐG LX'!V$3,[1]DATA!$AW:$AW,0)),"")</f>
        <v>9.02</v>
      </c>
      <c r="W166" s="19">
        <f>IFERROR(INDEX([1]DATA!$AH:$AH,MATCH('[1]BC_ ĐG LX'!$C166&amp;'[1]BC_ ĐG LX'!W$3,[1]DATA!$AW:$AW,0)),"")</f>
        <v>9.82</v>
      </c>
      <c r="X166" s="19">
        <f>IFERROR(INDEX([1]DATA!$AH:$AH,MATCH('[1]BC_ ĐG LX'!$C166&amp;'[1]BC_ ĐG LX'!X$3,[1]DATA!$AW:$AW,0)),"")</f>
        <v>9.42</v>
      </c>
      <c r="Y166" s="19">
        <f>IFERROR(INDEX([1]DATA!$AH:$AH,MATCH('[1]BC_ ĐG LX'!$C166&amp;'[1]BC_ ĐG LX'!Y$3,[1]DATA!$AW:$AW,0)),"")</f>
        <v>9.82</v>
      </c>
      <c r="Z166" s="19">
        <f>IFERROR(INDEX([1]DATA!$AH:$AH,MATCH('[1]BC_ ĐG LX'!$C166&amp;'[1]BC_ ĐG LX'!Z$3,[1]DATA!$AW:$AW,0)),"")</f>
        <v>9.82</v>
      </c>
      <c r="AA166" s="19">
        <f>IFERROR(INDEX([1]DATA!$AH:$AH,MATCH('[1]BC_ ĐG LX'!$C166&amp;'[1]BC_ ĐG LX'!AA$3,[1]DATA!$AW:$AW,0)),"")</f>
        <v>9.82</v>
      </c>
      <c r="AB166" s="19">
        <f>IFERROR(INDEX([1]DATA!$AH:$AH,MATCH('[1]BC_ ĐG LX'!$C166&amp;'[1]BC_ ĐG LX'!AB$3,[1]DATA!$AW:$AW,0)),"")</f>
        <v>9.82</v>
      </c>
      <c r="AC166" s="19">
        <f>IFERROR(INDEX([1]DATA!$AH:$AH,MATCH('[1]BC_ ĐG LX'!$C166&amp;'[1]BC_ ĐG LX'!AC$3,[1]DATA!$AW:$AW,0)),"")</f>
        <v>9.02</v>
      </c>
      <c r="AD166" s="19">
        <f>IFERROR(INDEX([1]DATA!$AH:$AH,MATCH('[1]BC_ ĐG LX'!$C166&amp;'[1]BC_ ĐG LX'!AD$3,[1]DATA!$AW:$AW,0)),"")</f>
        <v>9.82</v>
      </c>
      <c r="AE166" s="19">
        <f>IFERROR(INDEX([1]DATA!$AH:$AH,MATCH('[1]BC_ ĐG LX'!$C166&amp;'[1]BC_ ĐG LX'!AE$3,[1]DATA!$AW:$AW,0)),"")</f>
        <v>8.84</v>
      </c>
      <c r="AF166" s="19" t="str">
        <f>IFERROR(INDEX([1]DATA!$AH:$AH,MATCH('[1]BC_ ĐG LX'!$C166&amp;'[1]BC_ ĐG LX'!AF$3,[1]DATA!$AW:$AW,0)),"")</f>
        <v/>
      </c>
      <c r="AG166" s="19" t="str">
        <f>IFERROR(INDEX([1]DATA!$AH:$AH,MATCH('[1]BC_ ĐG LX'!$C166&amp;'[1]BC_ ĐG LX'!AG$3,[1]DATA!$AW:$AW,0)),"")</f>
        <v/>
      </c>
      <c r="AH166" s="19" t="str">
        <f>IFERROR(INDEX([1]DATA!$AH:$AH,MATCH('[1]BC_ ĐG LX'!$C166&amp;'[1]BC_ ĐG LX'!AH$3,[1]DATA!$AW:$AW,0)),"")</f>
        <v/>
      </c>
      <c r="AI166" s="19" t="str">
        <f>IFERROR(INDEX([1]DATA!$AH:$AH,MATCH('[1]BC_ ĐG LX'!$C166&amp;'[1]BC_ ĐG LX'!AI$3,[1]DATA!$AW:$AW,0)),"")</f>
        <v/>
      </c>
      <c r="AJ166" s="19" t="str">
        <f>IFERROR(INDEX([1]DATA!$AH:$AH,MATCH('[1]BC_ ĐG LX'!$C166&amp;'[1]BC_ ĐG LX'!AJ$3,[1]DATA!$AW:$AW,0)),"")</f>
        <v/>
      </c>
      <c r="AK166" s="26">
        <f t="shared" si="10"/>
        <v>9</v>
      </c>
      <c r="AL166" s="21"/>
      <c r="AM166" s="22">
        <f t="shared" si="8"/>
        <v>25</v>
      </c>
      <c r="AN166" s="22" t="str">
        <f>_xlfn.XLOOKUP(B166,[1]DATA!AF:AF,[1]DATA!AX:AX)</f>
        <v>Hằng</v>
      </c>
      <c r="AO166"/>
    </row>
    <row r="167" spans="1:41" ht="14.25" customHeight="1">
      <c r="A167" s="16">
        <f>SUBTOTAL(3,$D$157:D167)</f>
        <v>11</v>
      </c>
      <c r="B167" s="16" t="str">
        <f>_xlfn.XLOOKUP(C167,[1]DATA!D:D,[1]DATA!AF:AF)</f>
        <v>XE01441</v>
      </c>
      <c r="C167" s="18" t="s">
        <v>192</v>
      </c>
      <c r="D167" s="16" t="s">
        <v>25</v>
      </c>
      <c r="E167" s="18" t="s">
        <v>17</v>
      </c>
      <c r="F167" s="18" t="s">
        <v>18</v>
      </c>
      <c r="G167" s="19">
        <f>IFERROR(INDEX([1]DATA!$AH:$AH,MATCH('[1]BC_ ĐG LX'!$C167&amp;'[1]BC_ ĐG LX'!G$3,[1]DATA!$AW:$AW,0)),"")</f>
        <v>9.42</v>
      </c>
      <c r="H167" s="19">
        <f>IFERROR(INDEX([1]DATA!$AH:$AH,MATCH('[1]BC_ ĐG LX'!$C167&amp;'[1]BC_ ĐG LX'!H$3,[1]DATA!$AW:$AW,0)),"")</f>
        <v>10</v>
      </c>
      <c r="I167" s="19">
        <f>IFERROR(INDEX([1]DATA!$AH:$AH,MATCH('[1]BC_ ĐG LX'!$C167&amp;'[1]BC_ ĐG LX'!I$3,[1]DATA!$AW:$AW,0)),"")</f>
        <v>9.82</v>
      </c>
      <c r="J167" s="19">
        <f>IFERROR(INDEX([1]DATA!$AH:$AH,MATCH('[1]BC_ ĐG LX'!$C167&amp;'[1]BC_ ĐG LX'!J$3,[1]DATA!$AW:$AW,0)),"")</f>
        <v>10</v>
      </c>
      <c r="K167" s="19">
        <f>IFERROR(INDEX([1]DATA!$AH:$AH,MATCH('[1]BC_ ĐG LX'!$C167&amp;'[1]BC_ ĐG LX'!K$3,[1]DATA!$AW:$AW,0)),"")</f>
        <v>8.4</v>
      </c>
      <c r="L167" s="19">
        <f>IFERROR(INDEX([1]DATA!$AH:$AH,MATCH('[1]BC_ ĐG LX'!$C167&amp;'[1]BC_ ĐG LX'!L$3,[1]DATA!$AW:$AW,0)),"")</f>
        <v>9.82</v>
      </c>
      <c r="M167" s="19">
        <f>IFERROR(INDEX([1]DATA!$AH:$AH,MATCH('[1]BC_ ĐG LX'!$C167&amp;'[1]BC_ ĐG LX'!M$3,[1]DATA!$AW:$AW,0)),"")</f>
        <v>9.42</v>
      </c>
      <c r="N167" s="19">
        <f>IFERROR(INDEX([1]DATA!$AH:$AH,MATCH('[1]BC_ ĐG LX'!$C167&amp;'[1]BC_ ĐG LX'!N$3,[1]DATA!$AW:$AW,0)),"")</f>
        <v>9.02</v>
      </c>
      <c r="O167" s="19">
        <f>IFERROR(INDEX([1]DATA!$AH:$AH,MATCH('[1]BC_ ĐG LX'!$C167&amp;'[1]BC_ ĐG LX'!O$3,[1]DATA!$AW:$AW,0)),"")</f>
        <v>8.84</v>
      </c>
      <c r="P167" s="19">
        <f>IFERROR(INDEX([1]DATA!$AH:$AH,MATCH('[1]BC_ ĐG LX'!$C167&amp;'[1]BC_ ĐG LX'!P$3,[1]DATA!$AW:$AW,0)),"")</f>
        <v>9.82</v>
      </c>
      <c r="Q167" s="19">
        <f>IFERROR(INDEX([1]DATA!$AH:$AH,MATCH('[1]BC_ ĐG LX'!$C167&amp;'[1]BC_ ĐG LX'!Q$3,[1]DATA!$AW:$AW,0)),"")</f>
        <v>9.82</v>
      </c>
      <c r="R167" s="19">
        <f>IFERROR(INDEX([1]DATA!$AH:$AH,MATCH('[1]BC_ ĐG LX'!$C167&amp;'[1]BC_ ĐG LX'!R$3,[1]DATA!$AW:$AW,0)),"")</f>
        <v>9.82</v>
      </c>
      <c r="S167" s="19">
        <f>IFERROR(INDEX([1]DATA!$AH:$AH,MATCH('[1]BC_ ĐG LX'!$C167&amp;'[1]BC_ ĐG LX'!S$3,[1]DATA!$AW:$AW,0)),"")</f>
        <v>9.02</v>
      </c>
      <c r="T167" s="19">
        <f>IFERROR(INDEX([1]DATA!$AH:$AH,MATCH('[1]BC_ ĐG LX'!$C167&amp;'[1]BC_ ĐG LX'!T$3,[1]DATA!$AW:$AW,0)),"")</f>
        <v>9.82</v>
      </c>
      <c r="U167" s="19">
        <f>IFERROR(INDEX([1]DATA!$AH:$AH,MATCH('[1]BC_ ĐG LX'!$C167&amp;'[1]BC_ ĐG LX'!U$3,[1]DATA!$AW:$AW,0)),"")</f>
        <v>9.02</v>
      </c>
      <c r="V167" s="19">
        <f>IFERROR(INDEX([1]DATA!$AH:$AH,MATCH('[1]BC_ ĐG LX'!$C167&amp;'[1]BC_ ĐG LX'!V$3,[1]DATA!$AW:$AW,0)),"")</f>
        <v>9.02</v>
      </c>
      <c r="W167" s="19">
        <f>IFERROR(INDEX([1]DATA!$AH:$AH,MATCH('[1]BC_ ĐG LX'!$C167&amp;'[1]BC_ ĐG LX'!W$3,[1]DATA!$AW:$AW,0)),"")</f>
        <v>9.42</v>
      </c>
      <c r="X167" s="19">
        <f>IFERROR(INDEX([1]DATA!$AH:$AH,MATCH('[1]BC_ ĐG LX'!$C167&amp;'[1]BC_ ĐG LX'!X$3,[1]DATA!$AW:$AW,0)),"")</f>
        <v>9.42</v>
      </c>
      <c r="Y167" s="19">
        <f>IFERROR(INDEX([1]DATA!$AH:$AH,MATCH('[1]BC_ ĐG LX'!$C167&amp;'[1]BC_ ĐG LX'!Y$3,[1]DATA!$AW:$AW,0)),"")</f>
        <v>9.42</v>
      </c>
      <c r="Z167" s="19">
        <f>IFERROR(INDEX([1]DATA!$AH:$AH,MATCH('[1]BC_ ĐG LX'!$C167&amp;'[1]BC_ ĐG LX'!Z$3,[1]DATA!$AW:$AW,0)),"")</f>
        <v>9.02</v>
      </c>
      <c r="AA167" s="19">
        <f>IFERROR(INDEX([1]DATA!$AH:$AH,MATCH('[1]BC_ ĐG LX'!$C167&amp;'[1]BC_ ĐG LX'!AA$3,[1]DATA!$AW:$AW,0)),"")</f>
        <v>9.42</v>
      </c>
      <c r="AB167" s="19">
        <f>IFERROR(INDEX([1]DATA!$AH:$AH,MATCH('[1]BC_ ĐG LX'!$C167&amp;'[1]BC_ ĐG LX'!AB$3,[1]DATA!$AW:$AW,0)),"")</f>
        <v>9.82</v>
      </c>
      <c r="AC167" s="19">
        <f>IFERROR(INDEX([1]DATA!$AH:$AH,MATCH('[1]BC_ ĐG LX'!$C167&amp;'[1]BC_ ĐG LX'!AC$3,[1]DATA!$AW:$AW,0)),"")</f>
        <v>9.82</v>
      </c>
      <c r="AD167" s="19">
        <f>IFERROR(INDEX([1]DATA!$AH:$AH,MATCH('[1]BC_ ĐG LX'!$C167&amp;'[1]BC_ ĐG LX'!AD$3,[1]DATA!$AW:$AW,0)),"")</f>
        <v>9.82</v>
      </c>
      <c r="AE167" s="19">
        <f>IFERROR(INDEX([1]DATA!$AH:$AH,MATCH('[1]BC_ ĐG LX'!$C167&amp;'[1]BC_ ĐG LX'!AE$3,[1]DATA!$AW:$AW,0)),"")</f>
        <v>9.82</v>
      </c>
      <c r="AF167" s="19" t="str">
        <f>IFERROR(INDEX([1]DATA!$AH:$AH,MATCH('[1]BC_ ĐG LX'!$C167&amp;'[1]BC_ ĐG LX'!AF$3,[1]DATA!$AW:$AW,0)),"")</f>
        <v/>
      </c>
      <c r="AG167" s="19" t="str">
        <f>IFERROR(INDEX([1]DATA!$AH:$AH,MATCH('[1]BC_ ĐG LX'!$C167&amp;'[1]BC_ ĐG LX'!AG$3,[1]DATA!$AW:$AW,0)),"")</f>
        <v/>
      </c>
      <c r="AH167" s="19" t="str">
        <f>IFERROR(INDEX([1]DATA!$AH:$AH,MATCH('[1]BC_ ĐG LX'!$C167&amp;'[1]BC_ ĐG LX'!AH$3,[1]DATA!$AW:$AW,0)),"")</f>
        <v/>
      </c>
      <c r="AI167" s="19" t="str">
        <f>IFERROR(INDEX([1]DATA!$AH:$AH,MATCH('[1]BC_ ĐG LX'!$C167&amp;'[1]BC_ ĐG LX'!AI$3,[1]DATA!$AW:$AW,0)),"")</f>
        <v/>
      </c>
      <c r="AJ167" s="19" t="str">
        <f>IFERROR(INDEX([1]DATA!$AH:$AH,MATCH('[1]BC_ ĐG LX'!$C167&amp;'[1]BC_ ĐG LX'!AJ$3,[1]DATA!$AW:$AW,0)),"")</f>
        <v/>
      </c>
      <c r="AK167" s="26">
        <f t="shared" si="10"/>
        <v>9.5</v>
      </c>
      <c r="AL167" s="21"/>
      <c r="AM167" s="22">
        <f t="shared" si="8"/>
        <v>25</v>
      </c>
      <c r="AN167" s="22" t="str">
        <f>_xlfn.XLOOKUP(B167,[1]DATA!AF:AF,[1]DATA!AX:AX)</f>
        <v>Hằng</v>
      </c>
      <c r="AO167"/>
    </row>
    <row r="168" spans="1:41" ht="14.25" customHeight="1">
      <c r="A168" s="16">
        <f>SUBTOTAL(3,$D$157:D168)</f>
        <v>12</v>
      </c>
      <c r="B168" s="16" t="str">
        <f>_xlfn.XLOOKUP(C168,[1]DATA!D:D,[1]DATA!AF:AF)</f>
        <v>XE01562</v>
      </c>
      <c r="C168" s="18" t="s">
        <v>193</v>
      </c>
      <c r="D168" s="16" t="s">
        <v>25</v>
      </c>
      <c r="E168" s="18" t="s">
        <v>17</v>
      </c>
      <c r="F168" s="18" t="s">
        <v>18</v>
      </c>
      <c r="G168" s="19">
        <f>IFERROR(INDEX([1]DATA!$AH:$AH,MATCH('[1]BC_ ĐG LX'!$C168&amp;'[1]BC_ ĐG LX'!G$3,[1]DATA!$AW:$AW,0)),"")</f>
        <v>9.42</v>
      </c>
      <c r="H168" s="19">
        <f>IFERROR(INDEX([1]DATA!$AH:$AH,MATCH('[1]BC_ ĐG LX'!$C168&amp;'[1]BC_ ĐG LX'!H$3,[1]DATA!$AW:$AW,0)),"")</f>
        <v>9.02</v>
      </c>
      <c r="I168" s="19">
        <f>IFERROR(INDEX([1]DATA!$AH:$AH,MATCH('[1]BC_ ĐG LX'!$C168&amp;'[1]BC_ ĐG LX'!I$3,[1]DATA!$AW:$AW,0)),"")</f>
        <v>10</v>
      </c>
      <c r="J168" s="19">
        <f>IFERROR(INDEX([1]DATA!$AH:$AH,MATCH('[1]BC_ ĐG LX'!$C168&amp;'[1]BC_ ĐG LX'!J$3,[1]DATA!$AW:$AW,0)),"")</f>
        <v>9.42</v>
      </c>
      <c r="K168" s="19">
        <f>IFERROR(INDEX([1]DATA!$AH:$AH,MATCH('[1]BC_ ĐG LX'!$C168&amp;'[1]BC_ ĐG LX'!K$3,[1]DATA!$AW:$AW,0)),"")</f>
        <v>9.42</v>
      </c>
      <c r="L168" s="19">
        <f>IFERROR(INDEX([1]DATA!$AH:$AH,MATCH('[1]BC_ ĐG LX'!$C168&amp;'[1]BC_ ĐG LX'!L$3,[1]DATA!$AW:$AW,0)),"")</f>
        <v>9.02</v>
      </c>
      <c r="M168" s="19">
        <f>IFERROR(INDEX([1]DATA!$AH:$AH,MATCH('[1]BC_ ĐG LX'!$C168&amp;'[1]BC_ ĐG LX'!M$3,[1]DATA!$AW:$AW,0)),"")</f>
        <v>9.82</v>
      </c>
      <c r="N168" s="19">
        <f>IFERROR(INDEX([1]DATA!$AH:$AH,MATCH('[1]BC_ ĐG LX'!$C168&amp;'[1]BC_ ĐG LX'!N$3,[1]DATA!$AW:$AW,0)),"")</f>
        <v>9.42</v>
      </c>
      <c r="O168" s="19">
        <f>IFERROR(INDEX([1]DATA!$AH:$AH,MATCH('[1]BC_ ĐG LX'!$C168&amp;'[1]BC_ ĐG LX'!O$3,[1]DATA!$AW:$AW,0)),"")</f>
        <v>9.82</v>
      </c>
      <c r="P168" s="19">
        <f>IFERROR(INDEX([1]DATA!$AH:$AH,MATCH('[1]BC_ ĐG LX'!$C168&amp;'[1]BC_ ĐG LX'!P$3,[1]DATA!$AW:$AW,0)),"")</f>
        <v>8.84</v>
      </c>
      <c r="Q168" s="19">
        <f>IFERROR(INDEX([1]DATA!$AH:$AH,MATCH('[1]BC_ ĐG LX'!$C168&amp;'[1]BC_ ĐG LX'!Q$3,[1]DATA!$AW:$AW,0)),"")</f>
        <v>8.620000000000001</v>
      </c>
      <c r="R168" s="19">
        <f>IFERROR(INDEX([1]DATA!$AH:$AH,MATCH('[1]BC_ ĐG LX'!$C168&amp;'[1]BC_ ĐG LX'!R$3,[1]DATA!$AW:$AW,0)),"")</f>
        <v>8.84</v>
      </c>
      <c r="S168" s="19">
        <f>IFERROR(INDEX([1]DATA!$AH:$AH,MATCH('[1]BC_ ĐG LX'!$C168&amp;'[1]BC_ ĐG LX'!S$3,[1]DATA!$AW:$AW,0)),"")</f>
        <v>9.42</v>
      </c>
      <c r="T168" s="19">
        <f>IFERROR(INDEX([1]DATA!$AH:$AH,MATCH('[1]BC_ ĐG LX'!$C168&amp;'[1]BC_ ĐG LX'!T$3,[1]DATA!$AW:$AW,0)),"")</f>
        <v>9.42</v>
      </c>
      <c r="U168" s="19">
        <f>IFERROR(INDEX([1]DATA!$AH:$AH,MATCH('[1]BC_ ĐG LX'!$C168&amp;'[1]BC_ ĐG LX'!U$3,[1]DATA!$AW:$AW,0)),"")</f>
        <v>7.4399999999999995</v>
      </c>
      <c r="V168" s="19">
        <f>IFERROR(INDEX([1]DATA!$AH:$AH,MATCH('[1]BC_ ĐG LX'!$C168&amp;'[1]BC_ ĐG LX'!V$3,[1]DATA!$AW:$AW,0)),"")</f>
        <v>9.42</v>
      </c>
      <c r="W168" s="19">
        <f>IFERROR(INDEX([1]DATA!$AH:$AH,MATCH('[1]BC_ ĐG LX'!$C168&amp;'[1]BC_ ĐG LX'!W$3,[1]DATA!$AW:$AW,0)),"")</f>
        <v>9.82</v>
      </c>
      <c r="X168" s="19">
        <f>IFERROR(INDEX([1]DATA!$AH:$AH,MATCH('[1]BC_ ĐG LX'!$C168&amp;'[1]BC_ ĐG LX'!X$3,[1]DATA!$AW:$AW,0)),"")</f>
        <v>9.02</v>
      </c>
      <c r="Y168" s="19">
        <f>IFERROR(INDEX([1]DATA!$AH:$AH,MATCH('[1]BC_ ĐG LX'!$C168&amp;'[1]BC_ ĐG LX'!Y$3,[1]DATA!$AW:$AW,0)),"")</f>
        <v>9.82</v>
      </c>
      <c r="Z168" s="19">
        <f>IFERROR(INDEX([1]DATA!$AH:$AH,MATCH('[1]BC_ ĐG LX'!$C168&amp;'[1]BC_ ĐG LX'!Z$3,[1]DATA!$AW:$AW,0)),"")</f>
        <v>7.82</v>
      </c>
      <c r="AA168" s="19">
        <f>IFERROR(INDEX([1]DATA!$AH:$AH,MATCH('[1]BC_ ĐG LX'!$C168&amp;'[1]BC_ ĐG LX'!AA$3,[1]DATA!$AW:$AW,0)),"")</f>
        <v>8.84</v>
      </c>
      <c r="AB168" s="19">
        <f>IFERROR(INDEX([1]DATA!$AH:$AH,MATCH('[1]BC_ ĐG LX'!$C168&amp;'[1]BC_ ĐG LX'!AB$3,[1]DATA!$AW:$AW,0)),"")</f>
        <v>7.22</v>
      </c>
      <c r="AC168" s="19">
        <f>IFERROR(INDEX([1]DATA!$AH:$AH,MATCH('[1]BC_ ĐG LX'!$C168&amp;'[1]BC_ ĐG LX'!AC$3,[1]DATA!$AW:$AW,0)),"")</f>
        <v>9.02</v>
      </c>
      <c r="AD168" s="19">
        <f>IFERROR(INDEX([1]DATA!$AH:$AH,MATCH('[1]BC_ ĐG LX'!$C168&amp;'[1]BC_ ĐG LX'!AD$3,[1]DATA!$AW:$AW,0)),"")</f>
        <v>9.82</v>
      </c>
      <c r="AE168" s="19">
        <f>IFERROR(INDEX([1]DATA!$AH:$AH,MATCH('[1]BC_ ĐG LX'!$C168&amp;'[1]BC_ ĐG LX'!AE$3,[1]DATA!$AW:$AW,0)),"")</f>
        <v>9.82</v>
      </c>
      <c r="AF168" s="19" t="str">
        <f>IFERROR(INDEX([1]DATA!$AH:$AH,MATCH('[1]BC_ ĐG LX'!$C168&amp;'[1]BC_ ĐG LX'!AF$3,[1]DATA!$AW:$AW,0)),"")</f>
        <v/>
      </c>
      <c r="AG168" s="19" t="str">
        <f>IFERROR(INDEX([1]DATA!$AH:$AH,MATCH('[1]BC_ ĐG LX'!$C168&amp;'[1]BC_ ĐG LX'!AG$3,[1]DATA!$AW:$AW,0)),"")</f>
        <v/>
      </c>
      <c r="AH168" s="19" t="str">
        <f>IFERROR(INDEX([1]DATA!$AH:$AH,MATCH('[1]BC_ ĐG LX'!$C168&amp;'[1]BC_ ĐG LX'!AH$3,[1]DATA!$AW:$AW,0)),"")</f>
        <v/>
      </c>
      <c r="AI168" s="19" t="str">
        <f>IFERROR(INDEX([1]DATA!$AH:$AH,MATCH('[1]BC_ ĐG LX'!$C168&amp;'[1]BC_ ĐG LX'!AI$3,[1]DATA!$AW:$AW,0)),"")</f>
        <v/>
      </c>
      <c r="AJ168" s="19" t="str">
        <f>IFERROR(INDEX([1]DATA!$AH:$AH,MATCH('[1]BC_ ĐG LX'!$C168&amp;'[1]BC_ ĐG LX'!AJ$3,[1]DATA!$AW:$AW,0)),"")</f>
        <v/>
      </c>
      <c r="AK168" s="26">
        <f t="shared" si="10"/>
        <v>9.1999999999999993</v>
      </c>
      <c r="AL168" s="21"/>
      <c r="AM168" s="22">
        <f t="shared" si="8"/>
        <v>25</v>
      </c>
      <c r="AN168" s="22" t="str">
        <f>_xlfn.XLOOKUP(B168,[1]DATA!AF:AF,[1]DATA!AX:AX)</f>
        <v>Hằng</v>
      </c>
      <c r="AO168"/>
    </row>
    <row r="169" spans="1:41" ht="14.25" customHeight="1">
      <c r="A169" s="16">
        <f>SUBTOTAL(3,$D$157:D169)</f>
        <v>13</v>
      </c>
      <c r="B169" s="16" t="str">
        <f>_xlfn.XLOOKUP(C169,[1]DATA!D:D,[1]DATA!AF:AF)</f>
        <v>XE01333</v>
      </c>
      <c r="C169" s="18" t="s">
        <v>194</v>
      </c>
      <c r="D169" s="16" t="s">
        <v>25</v>
      </c>
      <c r="E169" s="18" t="s">
        <v>17</v>
      </c>
      <c r="F169" s="18" t="s">
        <v>18</v>
      </c>
      <c r="G169" s="19">
        <f>IFERROR(INDEX([1]DATA!$AH:$AH,MATCH('[1]BC_ ĐG LX'!$C169&amp;'[1]BC_ ĐG LX'!G$3,[1]DATA!$AW:$AW,0)),"")</f>
        <v>9.42</v>
      </c>
      <c r="H169" s="19">
        <f>IFERROR(INDEX([1]DATA!$AH:$AH,MATCH('[1]BC_ ĐG LX'!$C169&amp;'[1]BC_ ĐG LX'!H$3,[1]DATA!$AW:$AW,0)),"")</f>
        <v>9.42</v>
      </c>
      <c r="I169" s="19">
        <f>IFERROR(INDEX([1]DATA!$AH:$AH,MATCH('[1]BC_ ĐG LX'!$C169&amp;'[1]BC_ ĐG LX'!I$3,[1]DATA!$AW:$AW,0)),"")</f>
        <v>9.42</v>
      </c>
      <c r="J169" s="19">
        <f>IFERROR(INDEX([1]DATA!$AH:$AH,MATCH('[1]BC_ ĐG LX'!$C169&amp;'[1]BC_ ĐG LX'!J$3,[1]DATA!$AW:$AW,0)),"")</f>
        <v>9.42</v>
      </c>
      <c r="K169" s="19">
        <f>IFERROR(INDEX([1]DATA!$AH:$AH,MATCH('[1]BC_ ĐG LX'!$C169&amp;'[1]BC_ ĐG LX'!K$3,[1]DATA!$AW:$AW,0)),"")</f>
        <v>9.82</v>
      </c>
      <c r="L169" s="19">
        <f>IFERROR(INDEX([1]DATA!$AH:$AH,MATCH('[1]BC_ ĐG LX'!$C169&amp;'[1]BC_ ĐG LX'!L$3,[1]DATA!$AW:$AW,0)),"")</f>
        <v>9.42</v>
      </c>
      <c r="M169" s="19">
        <f>IFERROR(INDEX([1]DATA!$AH:$AH,MATCH('[1]BC_ ĐG LX'!$C169&amp;'[1]BC_ ĐG LX'!M$3,[1]DATA!$AW:$AW,0)),"")</f>
        <v>9.42</v>
      </c>
      <c r="N169" s="19">
        <f>IFERROR(INDEX([1]DATA!$AH:$AH,MATCH('[1]BC_ ĐG LX'!$C169&amp;'[1]BC_ ĐG LX'!N$3,[1]DATA!$AW:$AW,0)),"")</f>
        <v>9.02</v>
      </c>
      <c r="O169" s="19">
        <f>IFERROR(INDEX([1]DATA!$AH:$AH,MATCH('[1]BC_ ĐG LX'!$C169&amp;'[1]BC_ ĐG LX'!O$3,[1]DATA!$AW:$AW,0)),"")</f>
        <v>9.82</v>
      </c>
      <c r="P169" s="19">
        <f>IFERROR(INDEX([1]DATA!$AH:$AH,MATCH('[1]BC_ ĐG LX'!$C169&amp;'[1]BC_ ĐG LX'!P$3,[1]DATA!$AW:$AW,0)),"")</f>
        <v>9.82</v>
      </c>
      <c r="Q169" s="19">
        <f>IFERROR(INDEX([1]DATA!$AH:$AH,MATCH('[1]BC_ ĐG LX'!$C169&amp;'[1]BC_ ĐG LX'!Q$3,[1]DATA!$AW:$AW,0)),"")</f>
        <v>9.82</v>
      </c>
      <c r="R169" s="19">
        <f>IFERROR(INDEX([1]DATA!$AH:$AH,MATCH('[1]BC_ ĐG LX'!$C169&amp;'[1]BC_ ĐG LX'!R$3,[1]DATA!$AW:$AW,0)),"")</f>
        <v>9.02</v>
      </c>
      <c r="S169" s="19">
        <f>IFERROR(INDEX([1]DATA!$AH:$AH,MATCH('[1]BC_ ĐG LX'!$C169&amp;'[1]BC_ ĐG LX'!S$3,[1]DATA!$AW:$AW,0)),"")</f>
        <v>9.82</v>
      </c>
      <c r="T169" s="19">
        <f>IFERROR(INDEX([1]DATA!$AH:$AH,MATCH('[1]BC_ ĐG LX'!$C169&amp;'[1]BC_ ĐG LX'!T$3,[1]DATA!$AW:$AW,0)),"")</f>
        <v>9.82</v>
      </c>
      <c r="U169" s="19">
        <f>IFERROR(INDEX([1]DATA!$AH:$AH,MATCH('[1]BC_ ĐG LX'!$C169&amp;'[1]BC_ ĐG LX'!U$3,[1]DATA!$AW:$AW,0)),"")</f>
        <v>9.02</v>
      </c>
      <c r="V169" s="19">
        <f>IFERROR(INDEX([1]DATA!$AH:$AH,MATCH('[1]BC_ ĐG LX'!$C169&amp;'[1]BC_ ĐG LX'!V$3,[1]DATA!$AW:$AW,0)),"")</f>
        <v>9.02</v>
      </c>
      <c r="W169" s="19">
        <f>IFERROR(INDEX([1]DATA!$AH:$AH,MATCH('[1]BC_ ĐG LX'!$C169&amp;'[1]BC_ ĐG LX'!W$3,[1]DATA!$AW:$AW,0)),"")</f>
        <v>9.82</v>
      </c>
      <c r="X169" s="19">
        <f>IFERROR(INDEX([1]DATA!$AH:$AH,MATCH('[1]BC_ ĐG LX'!$C169&amp;'[1]BC_ ĐG LX'!X$3,[1]DATA!$AW:$AW,0)),"")</f>
        <v>9.42</v>
      </c>
      <c r="Y169" s="19">
        <f>IFERROR(INDEX([1]DATA!$AH:$AH,MATCH('[1]BC_ ĐG LX'!$C169&amp;'[1]BC_ ĐG LX'!Y$3,[1]DATA!$AW:$AW,0)),"")</f>
        <v>9.82</v>
      </c>
      <c r="Z169" s="19">
        <f>IFERROR(INDEX([1]DATA!$AH:$AH,MATCH('[1]BC_ ĐG LX'!$C169&amp;'[1]BC_ ĐG LX'!Z$3,[1]DATA!$AW:$AW,0)),"")</f>
        <v>9.82</v>
      </c>
      <c r="AA169" s="19">
        <f>IFERROR(INDEX([1]DATA!$AH:$AH,MATCH('[1]BC_ ĐG LX'!$C169&amp;'[1]BC_ ĐG LX'!AA$3,[1]DATA!$AW:$AW,0)),"")</f>
        <v>8.6199999999999992</v>
      </c>
      <c r="AB169" s="19">
        <f>IFERROR(INDEX([1]DATA!$AH:$AH,MATCH('[1]BC_ ĐG LX'!$C169&amp;'[1]BC_ ĐG LX'!AB$3,[1]DATA!$AW:$AW,0)),"")</f>
        <v>9.42</v>
      </c>
      <c r="AC169" s="19">
        <f>IFERROR(INDEX([1]DATA!$AH:$AH,MATCH('[1]BC_ ĐG LX'!$C169&amp;'[1]BC_ ĐG LX'!AC$3,[1]DATA!$AW:$AW,0)),"")</f>
        <v>9.82</v>
      </c>
      <c r="AD169" s="19">
        <f>IFERROR(INDEX([1]DATA!$AH:$AH,MATCH('[1]BC_ ĐG LX'!$C169&amp;'[1]BC_ ĐG LX'!AD$3,[1]DATA!$AW:$AW,0)),"")</f>
        <v>8.84</v>
      </c>
      <c r="AE169" s="19">
        <f>IFERROR(INDEX([1]DATA!$AH:$AH,MATCH('[1]BC_ ĐG LX'!$C169&amp;'[1]BC_ ĐG LX'!AE$3,[1]DATA!$AW:$AW,0)),"")</f>
        <v>9.42</v>
      </c>
      <c r="AF169" s="19" t="str">
        <f>IFERROR(INDEX([1]DATA!$AH:$AH,MATCH('[1]BC_ ĐG LX'!$C169&amp;'[1]BC_ ĐG LX'!AF$3,[1]DATA!$AW:$AW,0)),"")</f>
        <v/>
      </c>
      <c r="AG169" s="19" t="str">
        <f>IFERROR(INDEX([1]DATA!$AH:$AH,MATCH('[1]BC_ ĐG LX'!$C169&amp;'[1]BC_ ĐG LX'!AG$3,[1]DATA!$AW:$AW,0)),"")</f>
        <v/>
      </c>
      <c r="AH169" s="19" t="str">
        <f>IFERROR(INDEX([1]DATA!$AH:$AH,MATCH('[1]BC_ ĐG LX'!$C169&amp;'[1]BC_ ĐG LX'!AH$3,[1]DATA!$AW:$AW,0)),"")</f>
        <v/>
      </c>
      <c r="AI169" s="19" t="str">
        <f>IFERROR(INDEX([1]DATA!$AH:$AH,MATCH('[1]BC_ ĐG LX'!$C169&amp;'[1]BC_ ĐG LX'!AI$3,[1]DATA!$AW:$AW,0)),"")</f>
        <v/>
      </c>
      <c r="AJ169" s="19" t="str">
        <f>IFERROR(INDEX([1]DATA!$AH:$AH,MATCH('[1]BC_ ĐG LX'!$C169&amp;'[1]BC_ ĐG LX'!AJ$3,[1]DATA!$AW:$AW,0)),"")</f>
        <v/>
      </c>
      <c r="AK169" s="26">
        <f t="shared" si="10"/>
        <v>9.5</v>
      </c>
      <c r="AL169" s="21"/>
      <c r="AM169" s="22">
        <f t="shared" si="8"/>
        <v>25</v>
      </c>
      <c r="AN169" s="22" t="str">
        <f>_xlfn.XLOOKUP(B169,[1]DATA!AF:AF,[1]DATA!AX:AX)</f>
        <v>Hằng</v>
      </c>
      <c r="AO169"/>
    </row>
    <row r="170" spans="1:41" ht="14.25" customHeight="1">
      <c r="A170" s="16">
        <f>SUBTOTAL(3,$D$157:D170)</f>
        <v>14</v>
      </c>
      <c r="B170" s="16" t="str">
        <f>_xlfn.XLOOKUP(C170,[1]DATA!D:D,[1]DATA!AF:AF)</f>
        <v>XE00308</v>
      </c>
      <c r="C170" s="18" t="s">
        <v>195</v>
      </c>
      <c r="D170" s="16" t="s">
        <v>25</v>
      </c>
      <c r="E170" s="18" t="s">
        <v>17</v>
      </c>
      <c r="F170" s="18" t="s">
        <v>18</v>
      </c>
      <c r="G170" s="19">
        <f>IFERROR(INDEX([1]DATA!$AH:$AH,MATCH('[1]BC_ ĐG LX'!$C170&amp;'[1]BC_ ĐG LX'!G$3,[1]DATA!$AW:$AW,0)),"")</f>
        <v>8.44</v>
      </c>
      <c r="H170" s="19">
        <f>IFERROR(INDEX([1]DATA!$AH:$AH,MATCH('[1]BC_ ĐG LX'!$C170&amp;'[1]BC_ ĐG LX'!H$3,[1]DATA!$AW:$AW,0)),"")</f>
        <v>8.84</v>
      </c>
      <c r="I170" s="19">
        <f>IFERROR(INDEX([1]DATA!$AH:$AH,MATCH('[1]BC_ ĐG LX'!$C170&amp;'[1]BC_ ĐG LX'!I$3,[1]DATA!$AW:$AW,0)),"")</f>
        <v>10</v>
      </c>
      <c r="J170" s="19">
        <f>IFERROR(INDEX([1]DATA!$AH:$AH,MATCH('[1]BC_ ĐG LX'!$C170&amp;'[1]BC_ ĐG LX'!J$3,[1]DATA!$AW:$AW,0)),"")</f>
        <v>9.82</v>
      </c>
      <c r="K170" s="19">
        <f>IFERROR(INDEX([1]DATA!$AH:$AH,MATCH('[1]BC_ ĐG LX'!$C170&amp;'[1]BC_ ĐG LX'!K$3,[1]DATA!$AW:$AW,0)),"")</f>
        <v>10</v>
      </c>
      <c r="L170" s="19">
        <f>IFERROR(INDEX([1]DATA!$AH:$AH,MATCH('[1]BC_ ĐG LX'!$C170&amp;'[1]BC_ ĐG LX'!L$3,[1]DATA!$AW:$AW,0)),"")</f>
        <v>9.42</v>
      </c>
      <c r="M170" s="19">
        <f>IFERROR(INDEX([1]DATA!$AH:$AH,MATCH('[1]BC_ ĐG LX'!$C170&amp;'[1]BC_ ĐG LX'!M$3,[1]DATA!$AW:$AW,0)),"")</f>
        <v>8.84</v>
      </c>
      <c r="N170" s="19">
        <f>IFERROR(INDEX([1]DATA!$AH:$AH,MATCH('[1]BC_ ĐG LX'!$C170&amp;'[1]BC_ ĐG LX'!N$3,[1]DATA!$AW:$AW,0)),"")</f>
        <v>9.42</v>
      </c>
      <c r="O170" s="19">
        <f>IFERROR(INDEX([1]DATA!$AH:$AH,MATCH('[1]BC_ ĐG LX'!$C170&amp;'[1]BC_ ĐG LX'!O$3,[1]DATA!$AW:$AW,0)),"")</f>
        <v>9.82</v>
      </c>
      <c r="P170" s="19">
        <f>IFERROR(INDEX([1]DATA!$AH:$AH,MATCH('[1]BC_ ĐG LX'!$C170&amp;'[1]BC_ ĐG LX'!P$3,[1]DATA!$AW:$AW,0)),"")</f>
        <v>9.82</v>
      </c>
      <c r="Q170" s="19">
        <f>IFERROR(INDEX([1]DATA!$AH:$AH,MATCH('[1]BC_ ĐG LX'!$C170&amp;'[1]BC_ ĐG LX'!Q$3,[1]DATA!$AW:$AW,0)),"")</f>
        <v>9.82</v>
      </c>
      <c r="R170" s="19">
        <f>IFERROR(INDEX([1]DATA!$AH:$AH,MATCH('[1]BC_ ĐG LX'!$C170&amp;'[1]BC_ ĐG LX'!R$3,[1]DATA!$AW:$AW,0)),"")</f>
        <v>9.02</v>
      </c>
      <c r="S170" s="19">
        <f>IFERROR(INDEX([1]DATA!$AH:$AH,MATCH('[1]BC_ ĐG LX'!$C170&amp;'[1]BC_ ĐG LX'!S$3,[1]DATA!$AW:$AW,0)),"")</f>
        <v>9.82</v>
      </c>
      <c r="T170" s="19">
        <f>IFERROR(INDEX([1]DATA!$AH:$AH,MATCH('[1]BC_ ĐG LX'!$C170&amp;'[1]BC_ ĐG LX'!T$3,[1]DATA!$AW:$AW,0)),"")</f>
        <v>9.82</v>
      </c>
      <c r="U170" s="19">
        <f>IFERROR(INDEX([1]DATA!$AH:$AH,MATCH('[1]BC_ ĐG LX'!$C170&amp;'[1]BC_ ĐG LX'!U$3,[1]DATA!$AW:$AW,0)),"")</f>
        <v>9.82</v>
      </c>
      <c r="V170" s="19">
        <f>IFERROR(INDEX([1]DATA!$AH:$AH,MATCH('[1]BC_ ĐG LX'!$C170&amp;'[1]BC_ ĐG LX'!V$3,[1]DATA!$AW:$AW,0)),"")</f>
        <v>9.02</v>
      </c>
      <c r="W170" s="19">
        <f>IFERROR(INDEX([1]DATA!$AH:$AH,MATCH('[1]BC_ ĐG LX'!$C170&amp;'[1]BC_ ĐG LX'!W$3,[1]DATA!$AW:$AW,0)),"")</f>
        <v>9.42</v>
      </c>
      <c r="X170" s="19">
        <f>IFERROR(INDEX([1]DATA!$AH:$AH,MATCH('[1]BC_ ĐG LX'!$C170&amp;'[1]BC_ ĐG LX'!X$3,[1]DATA!$AW:$AW,0)),"")</f>
        <v>8.2199999999999989</v>
      </c>
      <c r="Y170" s="19">
        <f>IFERROR(INDEX([1]DATA!$AH:$AH,MATCH('[1]BC_ ĐG LX'!$C170&amp;'[1]BC_ ĐG LX'!Y$3,[1]DATA!$AW:$AW,0)),"")</f>
        <v>9.02</v>
      </c>
      <c r="Z170" s="19">
        <f>IFERROR(INDEX([1]DATA!$AH:$AH,MATCH('[1]BC_ ĐG LX'!$C170&amp;'[1]BC_ ĐG LX'!Z$3,[1]DATA!$AW:$AW,0)),"")</f>
        <v>9.42</v>
      </c>
      <c r="AA170" s="19">
        <f>IFERROR(INDEX([1]DATA!$AH:$AH,MATCH('[1]BC_ ĐG LX'!$C170&amp;'[1]BC_ ĐG LX'!AA$3,[1]DATA!$AW:$AW,0)),"")</f>
        <v>8.84</v>
      </c>
      <c r="AB170" s="19">
        <f>IFERROR(INDEX([1]DATA!$AH:$AH,MATCH('[1]BC_ ĐG LX'!$C170&amp;'[1]BC_ ĐG LX'!AB$3,[1]DATA!$AW:$AW,0)),"")</f>
        <v>9.42</v>
      </c>
      <c r="AC170" s="19">
        <f>IFERROR(INDEX([1]DATA!$AH:$AH,MATCH('[1]BC_ ĐG LX'!$C170&amp;'[1]BC_ ĐG LX'!AC$3,[1]DATA!$AW:$AW,0)),"")</f>
        <v>8.84</v>
      </c>
      <c r="AD170" s="19">
        <f>IFERROR(INDEX([1]DATA!$AH:$AH,MATCH('[1]BC_ ĐG LX'!$C170&amp;'[1]BC_ ĐG LX'!AD$3,[1]DATA!$AW:$AW,0)),"")</f>
        <v>8.84</v>
      </c>
      <c r="AE170" s="19">
        <f>IFERROR(INDEX([1]DATA!$AH:$AH,MATCH('[1]BC_ ĐG LX'!$C170&amp;'[1]BC_ ĐG LX'!AE$3,[1]DATA!$AW:$AW,0)),"")</f>
        <v>9.42</v>
      </c>
      <c r="AF170" s="19" t="str">
        <f>IFERROR(INDEX([1]DATA!$AH:$AH,MATCH('[1]BC_ ĐG LX'!$C170&amp;'[1]BC_ ĐG LX'!AF$3,[1]DATA!$AW:$AW,0)),"")</f>
        <v/>
      </c>
      <c r="AG170" s="19" t="str">
        <f>IFERROR(INDEX([1]DATA!$AH:$AH,MATCH('[1]BC_ ĐG LX'!$C170&amp;'[1]BC_ ĐG LX'!AG$3,[1]DATA!$AW:$AW,0)),"")</f>
        <v/>
      </c>
      <c r="AH170" s="19" t="str">
        <f>IFERROR(INDEX([1]DATA!$AH:$AH,MATCH('[1]BC_ ĐG LX'!$C170&amp;'[1]BC_ ĐG LX'!AH$3,[1]DATA!$AW:$AW,0)),"")</f>
        <v/>
      </c>
      <c r="AI170" s="19" t="str">
        <f>IFERROR(INDEX([1]DATA!$AH:$AH,MATCH('[1]BC_ ĐG LX'!$C170&amp;'[1]BC_ ĐG LX'!AI$3,[1]DATA!$AW:$AW,0)),"")</f>
        <v/>
      </c>
      <c r="AJ170" s="19" t="str">
        <f>IFERROR(INDEX([1]DATA!$AH:$AH,MATCH('[1]BC_ ĐG LX'!$C170&amp;'[1]BC_ ĐG LX'!AJ$3,[1]DATA!$AW:$AW,0)),"")</f>
        <v/>
      </c>
      <c r="AK170" s="26">
        <f t="shared" si="10"/>
        <v>9.4</v>
      </c>
      <c r="AL170" s="21"/>
      <c r="AM170" s="22">
        <f>COUNTIF((G170:AJ170),"&gt;"&amp;0)</f>
        <v>25</v>
      </c>
      <c r="AN170" s="22" t="str">
        <f>_xlfn.XLOOKUP(B170,[1]DATA!AF:AF,[1]DATA!AX:AX)</f>
        <v>Hằng</v>
      </c>
      <c r="AO170"/>
    </row>
    <row r="171" spans="1:41" ht="27" customHeight="1">
      <c r="F171" s="8">
        <f>COUNTIF(G4:Z164,"&gt;0")</f>
        <v>2916</v>
      </c>
      <c r="AN171" s="22" t="str">
        <f>_xlfn.XLOOKUP(B171,[1]DATA!AF:AF,[1]DATA!AX:AX)</f>
        <v>Lương</v>
      </c>
      <c r="AO171"/>
    </row>
  </sheetData>
  <mergeCells count="9">
    <mergeCell ref="A1:AL1"/>
    <mergeCell ref="A2:A3"/>
    <mergeCell ref="B2:B3"/>
    <mergeCell ref="C2:C3"/>
    <mergeCell ref="D2:D3"/>
    <mergeCell ref="E2:E3"/>
    <mergeCell ref="F2:F3"/>
    <mergeCell ref="AK2:AK3"/>
    <mergeCell ref="AL2:AL3"/>
  </mergeCells>
  <conditionalFormatting sqref="B26:B30">
    <cfRule type="duplicateValues" dxfId="11" priority="2"/>
  </conditionalFormatting>
  <conditionalFormatting sqref="B31:B1048576 B1:B25">
    <cfRule type="duplicateValues" dxfId="10" priority="5"/>
  </conditionalFormatting>
  <conditionalFormatting sqref="C31:C171 C1:C25">
    <cfRule type="duplicateValues" dxfId="9" priority="8"/>
    <cfRule type="duplicateValues" dxfId="8" priority="9"/>
    <cfRule type="duplicateValues" dxfId="7" priority="10"/>
    <cfRule type="duplicateValues" dxfId="6" priority="11"/>
    <cfRule type="duplicateValues" dxfId="5" priority="12"/>
  </conditionalFormatting>
  <conditionalFormatting sqref="C31:C1048576 C1:C25">
    <cfRule type="duplicateValues" dxfId="4" priority="7"/>
  </conditionalFormatting>
  <conditionalFormatting sqref="C171 C156 C133:C134 C116:C117 C31:C32 C1:C4 C92">
    <cfRule type="duplicateValues" dxfId="3" priority="6"/>
  </conditionalFormatting>
  <conditionalFormatting sqref="G4:AK170">
    <cfRule type="cellIs" dxfId="2" priority="1" operator="greaterThan">
      <formula>9.4</formula>
    </cfRule>
  </conditionalFormatting>
  <conditionalFormatting sqref="T73:T75 T130:T132">
    <cfRule type="cellIs" dxfId="1" priority="3" operator="lessThan">
      <formula>9</formula>
    </cfRule>
  </conditionalFormatting>
  <conditionalFormatting sqref="AK1:AK170 T36 T109:T114 T145:T153 T163:T169">
    <cfRule type="cellIs" dxfId="0" priority="4" operator="lessThan">
      <formula>9</formula>
    </cfRule>
  </conditionalFormatting>
  <dataValidations count="1">
    <dataValidation type="list" allowBlank="1" showInputMessage="1" showErrorMessage="1" sqref="D157:D163" xr:uid="{76CEE917-A5C9-4C6A-8975-0AB2B8631B38}">
      <formula1>"NB, TB, NĐ, VT, TX PT, YB"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đánh giá Cldv lx T.6.2026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PCVN</dc:creator>
  <cp:lastModifiedBy>PCVN</cp:lastModifiedBy>
  <dcterms:created xsi:type="dcterms:W3CDTF">2026-07-03T07:43:28Z</dcterms:created>
  <dcterms:modified xsi:type="dcterms:W3CDTF">2026-07-03T07:46:49Z</dcterms:modified>
</cp:coreProperties>
</file>