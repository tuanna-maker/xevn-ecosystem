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C&amp;B\01. Tong X.E Viet Nam\03. Du lieu luong\Năm 2026\Tháng 6\Lái tuyến\"/>
    </mc:Choice>
  </mc:AlternateContent>
  <xr:revisionPtr revIDLastSave="0" documentId="8_{46BC6951-F4FD-48D1-BC57-506C9E61181F}" xr6:coauthVersionLast="47" xr6:coauthVersionMax="47" xr10:uidLastSave="{00000000-0000-0000-0000-000000000000}"/>
  <bookViews>
    <workbookView xWindow="14400" yWindow="0" windowWidth="14400" windowHeight="15600" firstSheet="1" activeTab="3" xr2:uid="{00000000-000D-0000-FFFF-FFFF00000000}"/>
  </bookViews>
  <sheets>
    <sheet name="Kangatang" sheetId="10" state="veryHidden" r:id="rId1"/>
    <sheet name="BCC " sheetId="2" r:id="rId2"/>
    <sheet name="BC LƯỢT" sheetId="8" r:id="rId3"/>
    <sheet name="Xe HĐ " sheetId="9" r:id="rId4"/>
  </sheets>
  <externalReferences>
    <externalReference r:id="rId5"/>
  </externalReferences>
  <definedNames>
    <definedName name="CHAMCONG">'[1]Khai báo'!$F$2:$F$10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5" i="8" l="1"/>
  <c r="AK55" i="8"/>
  <c r="AJ55" i="8"/>
  <c r="AI55" i="8"/>
  <c r="AH55" i="8"/>
  <c r="AL54" i="8"/>
  <c r="AK54" i="8"/>
  <c r="AJ54" i="8"/>
  <c r="AI54" i="8"/>
  <c r="AH54" i="8"/>
  <c r="AL53" i="8"/>
  <c r="AK53" i="8"/>
  <c r="AJ53" i="8"/>
  <c r="AI53" i="8"/>
  <c r="AH53" i="8"/>
  <c r="AL52" i="8"/>
  <c r="AK52" i="8"/>
  <c r="AJ52" i="8"/>
  <c r="AI52" i="8"/>
  <c r="AH52" i="8"/>
  <c r="AL51" i="8"/>
  <c r="AK51" i="8"/>
  <c r="AJ51" i="8"/>
  <c r="AI51" i="8"/>
  <c r="AH51" i="8"/>
  <c r="AL50" i="8"/>
  <c r="AK50" i="8"/>
  <c r="AJ50" i="8"/>
  <c r="AI50" i="8"/>
  <c r="AH50" i="8"/>
  <c r="AL49" i="8"/>
  <c r="AK49" i="8"/>
  <c r="AJ49" i="8"/>
  <c r="AI49" i="8"/>
  <c r="AH49" i="8"/>
  <c r="AL48" i="8"/>
  <c r="AK48" i="8"/>
  <c r="AJ48" i="8"/>
  <c r="AI48" i="8"/>
  <c r="AH48" i="8"/>
  <c r="AL47" i="8"/>
  <c r="AK47" i="8"/>
  <c r="AJ47" i="8"/>
  <c r="AI47" i="8"/>
  <c r="AH47" i="8"/>
  <c r="AL46" i="8"/>
  <c r="AK46" i="8"/>
  <c r="AJ46" i="8"/>
  <c r="AI46" i="8"/>
  <c r="AH46" i="8"/>
  <c r="AL45" i="8"/>
  <c r="AK45" i="8"/>
  <c r="AJ45" i="8"/>
  <c r="AI45" i="8"/>
  <c r="AH45" i="8"/>
  <c r="AL44" i="8"/>
  <c r="AK44" i="8"/>
  <c r="AJ44" i="8"/>
  <c r="AI44" i="8"/>
  <c r="AH44" i="8"/>
  <c r="AL43" i="8"/>
  <c r="AK43" i="8"/>
  <c r="AJ43" i="8"/>
  <c r="AI43" i="8"/>
  <c r="AH43" i="8"/>
  <c r="AL42" i="8"/>
  <c r="AK42" i="8"/>
  <c r="AJ42" i="8"/>
  <c r="AI42" i="8"/>
  <c r="AH42" i="8"/>
  <c r="AL41" i="8"/>
  <c r="AK41" i="8"/>
  <c r="AJ41" i="8"/>
  <c r="AI41" i="8"/>
  <c r="AH41" i="8"/>
  <c r="AL40" i="8"/>
  <c r="AK40" i="8"/>
  <c r="AJ40" i="8"/>
  <c r="AI40" i="8"/>
  <c r="AH40" i="8"/>
  <c r="AL39" i="8"/>
  <c r="AK39" i="8"/>
  <c r="AJ39" i="8"/>
  <c r="AI39" i="8"/>
  <c r="AH39" i="8"/>
  <c r="AL38" i="8"/>
  <c r="AK38" i="8"/>
  <c r="AJ38" i="8"/>
  <c r="AI38" i="8"/>
  <c r="AH38" i="8"/>
  <c r="AL37" i="8"/>
  <c r="AK37" i="8"/>
  <c r="AJ37" i="8"/>
  <c r="AI37" i="8"/>
  <c r="AH37" i="8"/>
  <c r="AL36" i="8"/>
  <c r="AK36" i="8"/>
  <c r="AJ36" i="8"/>
  <c r="AI36" i="8"/>
  <c r="AH36" i="8"/>
  <c r="AL35" i="8"/>
  <c r="AK35" i="8"/>
  <c r="AJ35" i="8"/>
  <c r="AI35" i="8"/>
  <c r="AH35" i="8"/>
  <c r="AL34" i="8"/>
  <c r="AK34" i="8"/>
  <c r="AJ34" i="8"/>
  <c r="AI34" i="8"/>
  <c r="AH34" i="8"/>
  <c r="AL33" i="8"/>
  <c r="AK33" i="8"/>
  <c r="AJ33" i="8"/>
  <c r="AI33" i="8"/>
  <c r="AH33" i="8"/>
  <c r="AL32" i="8"/>
  <c r="AK32" i="8"/>
  <c r="AJ32" i="8"/>
  <c r="AI32" i="8"/>
  <c r="AH32" i="8"/>
  <c r="AL31" i="8"/>
  <c r="AK31" i="8"/>
  <c r="AJ31" i="8"/>
  <c r="AI31" i="8"/>
  <c r="AH31" i="8"/>
  <c r="AL30" i="8"/>
  <c r="AK30" i="8"/>
  <c r="AJ30" i="8"/>
  <c r="AI30" i="8"/>
  <c r="AH30" i="8"/>
  <c r="AL29" i="8"/>
  <c r="AK29" i="8"/>
  <c r="AJ29" i="8"/>
  <c r="AI29" i="8"/>
  <c r="AH29" i="8"/>
  <c r="AL28" i="8"/>
  <c r="AK28" i="8"/>
  <c r="AJ28" i="8"/>
  <c r="AI28" i="8"/>
  <c r="AH28" i="8"/>
  <c r="AL27" i="8"/>
  <c r="AK27" i="8"/>
  <c r="AJ27" i="8"/>
  <c r="AI27" i="8"/>
  <c r="AH27" i="8"/>
  <c r="AL26" i="8"/>
  <c r="AK26" i="8"/>
  <c r="AJ26" i="8"/>
  <c r="AI26" i="8"/>
  <c r="AH26" i="8"/>
  <c r="AL25" i="8"/>
  <c r="AK25" i="8"/>
  <c r="AJ25" i="8"/>
  <c r="AI25" i="8"/>
  <c r="AH25" i="8"/>
  <c r="AL24" i="8"/>
  <c r="AK24" i="8"/>
  <c r="AJ24" i="8"/>
  <c r="AI24" i="8"/>
  <c r="AH24" i="8"/>
  <c r="AL23" i="8"/>
  <c r="AK23" i="8"/>
  <c r="AJ23" i="8"/>
  <c r="AI23" i="8"/>
  <c r="AH23" i="8"/>
  <c r="AL22" i="8"/>
  <c r="AK22" i="8"/>
  <c r="AJ22" i="8"/>
  <c r="AI22" i="8"/>
  <c r="AH22" i="8"/>
  <c r="AL21" i="8"/>
  <c r="AK21" i="8"/>
  <c r="AJ21" i="8"/>
  <c r="AI21" i="8"/>
  <c r="AH21" i="8"/>
  <c r="AL20" i="8"/>
  <c r="AK20" i="8"/>
  <c r="AJ20" i="8"/>
  <c r="AI20" i="8"/>
  <c r="AH20" i="8"/>
  <c r="AL19" i="8"/>
  <c r="AK19" i="8"/>
  <c r="AJ19" i="8"/>
  <c r="AI19" i="8"/>
  <c r="AH19" i="8"/>
  <c r="AL18" i="8"/>
  <c r="AK18" i="8"/>
  <c r="AJ18" i="8"/>
  <c r="AI18" i="8"/>
  <c r="AH18" i="8"/>
  <c r="AL17" i="8"/>
  <c r="AK17" i="8"/>
  <c r="AJ17" i="8"/>
  <c r="AI17" i="8"/>
  <c r="AH17" i="8"/>
  <c r="AL16" i="8"/>
  <c r="AK16" i="8"/>
  <c r="AJ16" i="8"/>
  <c r="AI16" i="8"/>
  <c r="AH16" i="8"/>
  <c r="AL15" i="8"/>
  <c r="AK15" i="8"/>
  <c r="AJ15" i="8"/>
  <c r="AI15" i="8"/>
  <c r="AH15" i="8"/>
  <c r="AL14" i="8"/>
  <c r="AK14" i="8"/>
  <c r="AJ14" i="8"/>
  <c r="AI14" i="8"/>
  <c r="AH14" i="8"/>
  <c r="AL13" i="8"/>
  <c r="AK13" i="8"/>
  <c r="AJ13" i="8"/>
  <c r="AI13" i="8"/>
  <c r="AH13" i="8"/>
  <c r="AL12" i="8"/>
  <c r="AK12" i="8"/>
  <c r="AJ12" i="8"/>
  <c r="AI12" i="8"/>
  <c r="AH12" i="8"/>
  <c r="AL11" i="8"/>
  <c r="AK11" i="8"/>
  <c r="AJ11" i="8"/>
  <c r="AI11" i="8"/>
  <c r="AH11" i="8"/>
  <c r="AL10" i="8"/>
  <c r="AK10" i="8"/>
  <c r="AJ10" i="8"/>
  <c r="AI10" i="8"/>
  <c r="AH10" i="8"/>
  <c r="AL9" i="8"/>
  <c r="AK9" i="8"/>
  <c r="AJ9" i="8"/>
  <c r="AI9" i="8"/>
  <c r="AH9" i="8"/>
  <c r="AL8" i="8"/>
  <c r="AK8" i="8"/>
  <c r="AJ8" i="8"/>
  <c r="AI8" i="8"/>
  <c r="AH8" i="8"/>
  <c r="AL7" i="8"/>
  <c r="AK7" i="8"/>
  <c r="AJ7" i="8"/>
  <c r="AI7" i="8"/>
  <c r="AH7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AQ48" i="2"/>
  <c r="AP48" i="2"/>
  <c r="AO48" i="2"/>
  <c r="AN48" i="2"/>
  <c r="AM48" i="2"/>
  <c r="AL48" i="2"/>
  <c r="AK48" i="2"/>
  <c r="AJ48" i="2"/>
  <c r="AI48" i="2"/>
  <c r="AH48" i="2"/>
  <c r="AJ47" i="2"/>
  <c r="AI47" i="2"/>
  <c r="AH47" i="2"/>
  <c r="AJ46" i="2"/>
  <c r="AI46" i="2"/>
  <c r="AH46" i="2"/>
  <c r="AJ45" i="2"/>
  <c r="AI45" i="2"/>
  <c r="AH45" i="2"/>
  <c r="AJ44" i="2"/>
  <c r="AI44" i="2"/>
  <c r="AH44" i="2"/>
  <c r="AP43" i="2"/>
  <c r="AO43" i="2"/>
  <c r="AN43" i="2"/>
  <c r="AM43" i="2"/>
  <c r="AL43" i="2"/>
  <c r="AK43" i="2"/>
  <c r="AJ43" i="2"/>
  <c r="AI43" i="2"/>
  <c r="AH43" i="2"/>
  <c r="AJ42" i="2"/>
  <c r="AI42" i="2"/>
  <c r="AH42" i="2"/>
  <c r="AJ41" i="2"/>
  <c r="AI41" i="2"/>
  <c r="AH41" i="2"/>
  <c r="AJ40" i="2"/>
  <c r="AI40" i="2"/>
  <c r="AH40" i="2"/>
  <c r="AP39" i="2"/>
  <c r="AO39" i="2"/>
  <c r="AN39" i="2"/>
  <c r="AM39" i="2"/>
  <c r="AL39" i="2"/>
  <c r="AK39" i="2"/>
  <c r="AJ39" i="2"/>
  <c r="AI39" i="2"/>
  <c r="AH39" i="2"/>
  <c r="AJ38" i="2"/>
  <c r="AI38" i="2"/>
  <c r="AH38" i="2"/>
  <c r="AJ37" i="2"/>
  <c r="AI37" i="2"/>
  <c r="AH37" i="2"/>
  <c r="AJ36" i="2"/>
  <c r="AI36" i="2"/>
  <c r="AH36" i="2"/>
  <c r="AJ35" i="2"/>
  <c r="AI35" i="2"/>
  <c r="AH35" i="2"/>
  <c r="AJ34" i="2"/>
  <c r="AI34" i="2"/>
  <c r="AH34" i="2"/>
  <c r="AJ33" i="2"/>
  <c r="AI33" i="2"/>
  <c r="AH33" i="2"/>
  <c r="AP32" i="2"/>
  <c r="AO32" i="2"/>
  <c r="AN32" i="2"/>
  <c r="AM32" i="2"/>
  <c r="AL32" i="2"/>
  <c r="AK32" i="2"/>
  <c r="AJ32" i="2"/>
  <c r="AI32" i="2"/>
  <c r="AH32" i="2"/>
  <c r="AJ31" i="2"/>
  <c r="AI31" i="2"/>
  <c r="AH31" i="2"/>
  <c r="AJ30" i="2"/>
  <c r="AI30" i="2"/>
  <c r="AH30" i="2"/>
  <c r="AJ29" i="2"/>
  <c r="AI29" i="2"/>
  <c r="AH29" i="2"/>
  <c r="AJ28" i="2"/>
  <c r="AI28" i="2"/>
  <c r="AH28" i="2"/>
  <c r="AJ27" i="2"/>
  <c r="AI27" i="2"/>
  <c r="AH27" i="2"/>
  <c r="AP26" i="2"/>
  <c r="AO26" i="2"/>
  <c r="AN26" i="2"/>
  <c r="AM26" i="2"/>
  <c r="AL26" i="2"/>
  <c r="AK26" i="2"/>
  <c r="AJ26" i="2"/>
  <c r="AI26" i="2"/>
  <c r="AH26" i="2"/>
  <c r="AJ25" i="2"/>
  <c r="AI25" i="2"/>
  <c r="AH25" i="2"/>
  <c r="AJ24" i="2"/>
  <c r="AI24" i="2"/>
  <c r="AH24" i="2"/>
  <c r="AJ23" i="2"/>
  <c r="AI23" i="2"/>
  <c r="AH23" i="2"/>
  <c r="AJ22" i="2"/>
  <c r="AI22" i="2"/>
  <c r="AH22" i="2"/>
  <c r="AJ21" i="2"/>
  <c r="AI21" i="2"/>
  <c r="AH21" i="2"/>
  <c r="AJ20" i="2"/>
  <c r="AI20" i="2"/>
  <c r="AH20" i="2"/>
  <c r="AJ19" i="2"/>
  <c r="AI19" i="2"/>
  <c r="AH19" i="2"/>
  <c r="AJ18" i="2"/>
  <c r="AI18" i="2"/>
  <c r="AH18" i="2"/>
  <c r="AJ17" i="2"/>
  <c r="AI17" i="2"/>
  <c r="AH17" i="2"/>
  <c r="AJ16" i="2"/>
  <c r="AI16" i="2"/>
  <c r="AH16" i="2"/>
  <c r="AJ15" i="2"/>
  <c r="AI15" i="2"/>
  <c r="AH15" i="2"/>
  <c r="AJ14" i="2"/>
  <c r="AI14" i="2"/>
  <c r="AH14" i="2"/>
  <c r="AJ13" i="2"/>
  <c r="AI13" i="2"/>
  <c r="AH13" i="2"/>
  <c r="AJ12" i="2"/>
  <c r="AI12" i="2"/>
  <c r="AH12" i="2"/>
  <c r="AJ11" i="2"/>
  <c r="AI11" i="2"/>
  <c r="AH11" i="2"/>
  <c r="AJ10" i="2"/>
  <c r="AI10" i="2"/>
  <c r="AH10" i="2"/>
  <c r="AP9" i="2"/>
  <c r="AO9" i="2"/>
  <c r="AN9" i="2"/>
  <c r="AM9" i="2"/>
  <c r="AL9" i="2"/>
  <c r="AK9" i="2"/>
  <c r="AJ9" i="2"/>
  <c r="AI9" i="2"/>
  <c r="AH9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31" i="9"/>
  <c r="A30" i="9"/>
  <c r="A29" i="9"/>
  <c r="A28" i="9"/>
  <c r="A27" i="9"/>
  <c r="A26" i="9"/>
  <c r="A25" i="9"/>
  <c r="A24" i="9"/>
  <c r="A23" i="9"/>
  <c r="A22" i="9"/>
  <c r="A20" i="9"/>
  <c r="A19" i="9"/>
  <c r="A18" i="9"/>
  <c r="A17" i="9"/>
  <c r="A16" i="9"/>
  <c r="A14" i="9"/>
  <c r="A13" i="9"/>
  <c r="A12" i="9"/>
  <c r="A11" i="9"/>
  <c r="A10" i="9"/>
  <c r="A8" i="9"/>
  <c r="A7" i="9"/>
  <c r="A6" i="9"/>
  <c r="A5" i="9"/>
  <c r="A4" i="9"/>
  <c r="A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S16" authorId="0" shapeId="0" xr:uid="{00000000-0006-0000-0100-000001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T16" authorId="0" shapeId="0" xr:uid="{00000000-0006-0000-0100-000002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U16" authorId="0" shapeId="0" xr:uid="{00000000-0006-0000-0100-000003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S17" authorId="0" shapeId="0" xr:uid="{00000000-0006-0000-0100-000004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T17" authorId="0" shapeId="0" xr:uid="{00000000-0006-0000-0100-000005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U17" authorId="0" shapeId="0" xr:uid="{00000000-0006-0000-0100-000006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S19" authorId="0" shapeId="0" xr:uid="{00000000-0006-0000-0100-000007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T19" authorId="0" shapeId="0" xr:uid="{00000000-0006-0000-0100-000008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U19" authorId="0" shapeId="0" xr:uid="{00000000-0006-0000-0100-000009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R20" authorId="0" shapeId="0" xr:uid="{00000000-0006-0000-0100-00000A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S20" authorId="0" shapeId="0" xr:uid="{00000000-0006-0000-0100-00000B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T20" authorId="0" shapeId="0" xr:uid="{00000000-0006-0000-0100-00000C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Q21" authorId="0" shapeId="0" xr:uid="{00000000-0006-0000-0100-00000D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R21" authorId="0" shapeId="0" xr:uid="{00000000-0006-0000-0100-00000E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S21" authorId="0" shapeId="0" xr:uid="{00000000-0006-0000-0100-00000F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Q22" authorId="0" shapeId="0" xr:uid="{00000000-0006-0000-0100-000010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R22" authorId="0" shapeId="0" xr:uid="{00000000-0006-0000-0100-000011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S22" authorId="0" shapeId="0" xr:uid="{00000000-0006-0000-0100-000012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T22" authorId="0" shapeId="0" xr:uid="{00000000-0006-0000-0100-000013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T23" authorId="0" shapeId="0" xr:uid="{00000000-0006-0000-0100-000014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X23" authorId="0" shapeId="0" xr:uid="{00000000-0006-0000-0100-000015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Y23" authorId="0" shapeId="0" xr:uid="{00000000-0006-0000-0100-000016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Z23" authorId="0" shapeId="0" xr:uid="{00000000-0006-0000-0100-000017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T24" authorId="0" shapeId="0" xr:uid="{00000000-0006-0000-0100-000018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X24" authorId="0" shapeId="0" xr:uid="{00000000-0006-0000-0100-000019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Y24" authorId="0" shapeId="0" xr:uid="{00000000-0006-0000-0100-00001A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Z24" authorId="0" shapeId="0" xr:uid="{00000000-0006-0000-0100-00001B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T25" authorId="0" shapeId="0" xr:uid="{00000000-0006-0000-0100-00001C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X25" authorId="0" shapeId="0" xr:uid="{00000000-0006-0000-0100-00001D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Y25" authorId="0" shapeId="0" xr:uid="{00000000-0006-0000-0100-00001E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Z25" authorId="0" shapeId="0" xr:uid="{00000000-0006-0000-0100-00001F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S31" authorId="0" shapeId="0" xr:uid="{00000000-0006-0000-0100-000020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T31" authorId="0" shapeId="0" xr:uid="{00000000-0006-0000-0100-000021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U31" authorId="0" shapeId="0" xr:uid="{00000000-0006-0000-0100-000022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S34" authorId="0" shapeId="0" xr:uid="{00000000-0006-0000-0100-000023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T34" authorId="0" shapeId="0" xr:uid="{00000000-0006-0000-0100-000024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U34" authorId="0" shapeId="0" xr:uid="{00000000-0006-0000-0100-000025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S35" authorId="0" shapeId="0" xr:uid="{00000000-0006-0000-0100-000026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T35" authorId="0" shapeId="0" xr:uid="{00000000-0006-0000-0100-000027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U35" authorId="0" shapeId="0" xr:uid="{00000000-0006-0000-0100-000028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E37" authorId="0" shapeId="0" xr:uid="{00000000-0006-0000-0100-000029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HỌC LỘ</t>
        </r>
      </text>
    </comment>
    <comment ref="F37" authorId="0" shapeId="0" xr:uid="{00000000-0006-0000-0100-00002A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HỌC LỘ</t>
        </r>
      </text>
    </comment>
    <comment ref="S37" authorId="0" shapeId="0" xr:uid="{00000000-0006-0000-0100-00002B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T37" authorId="0" shapeId="0" xr:uid="{00000000-0006-0000-0100-00002C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U37" authorId="0" shapeId="0" xr:uid="{00000000-0006-0000-0100-00002D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  <comment ref="K38" authorId="0" shapeId="0" xr:uid="{00000000-0006-0000-0100-00002E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HỌC LỘ</t>
        </r>
      </text>
    </comment>
    <comment ref="L38" authorId="0" shapeId="0" xr:uid="{00000000-0006-0000-0100-00002F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HỌC LỘ</t>
        </r>
      </text>
    </comment>
    <comment ref="M38" authorId="0" shapeId="0" xr:uid="{00000000-0006-0000-0100-000030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HỌC LỘ</t>
        </r>
      </text>
    </comment>
    <comment ref="X47" authorId="0" shapeId="0" xr:uid="{00000000-0006-0000-0100-000031000000}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ĐÀO TẠO</t>
        </r>
      </text>
    </comment>
  </commentList>
</comments>
</file>

<file path=xl/sharedStrings.xml><?xml version="1.0" encoding="utf-8"?>
<sst xmlns="http://schemas.openxmlformats.org/spreadsheetml/2006/main" count="1831" uniqueCount="419">
  <si>
    <t xml:space="preserve">CÔNG TY TNHH X.E VIỆT NAM </t>
  </si>
  <si>
    <t>Address: Số 10, Ngõ 15 Đường Hoàng Liệt, Quận Hoàng Mai, Hà Nội</t>
  </si>
  <si>
    <t>BẢNG CHẤM CÔNG LÁI XE</t>
  </si>
  <si>
    <t>Mã NV</t>
  </si>
  <si>
    <t>Họ và tên</t>
  </si>
  <si>
    <t xml:space="preserve">NGÀY TRONG THÁNG/ THỨ TRONG TUẦN </t>
  </si>
  <si>
    <t>Tổng công</t>
  </si>
  <si>
    <t>Số giờ hưởng 100%</t>
  </si>
  <si>
    <t>Làm Thêm ngày thường 150%</t>
  </si>
  <si>
    <t>Làm thêm ngày lễ 200%</t>
  </si>
  <si>
    <t>Phép nghỉ mát</t>
  </si>
  <si>
    <t xml:space="preserve">Nghỉ cưới, nghỉ tang </t>
  </si>
  <si>
    <t>OT 100%</t>
  </si>
  <si>
    <t>OT 150%</t>
  </si>
  <si>
    <t>OT 200%</t>
  </si>
  <si>
    <t>Công chuẩn</t>
  </si>
  <si>
    <t>LX DPNB</t>
  </si>
  <si>
    <t>XE01385</t>
  </si>
  <si>
    <t>Đặng Hồng Thuỷ</t>
  </si>
  <si>
    <t>X</t>
  </si>
  <si>
    <t>-</t>
  </si>
  <si>
    <t>O</t>
  </si>
  <si>
    <t>XE01468</t>
  </si>
  <si>
    <t>Nguyễn Thanh Sơn</t>
  </si>
  <si>
    <t>XE01479</t>
  </si>
  <si>
    <t>Phạm Văn Đồng</t>
  </si>
  <si>
    <t>XE01502</t>
  </si>
  <si>
    <t>Vũ Văn Tuyến</t>
  </si>
  <si>
    <t>XE01596</t>
  </si>
  <si>
    <t>Phạm Viết Thắng</t>
  </si>
  <si>
    <t>XE01402</t>
  </si>
  <si>
    <t>Phạm Thanh Tùng</t>
  </si>
  <si>
    <t>XE01661</t>
  </si>
  <si>
    <t>Nguyễn Hải Nam</t>
  </si>
  <si>
    <t>XE01703</t>
  </si>
  <si>
    <t>Vũ Văn Chín</t>
  </si>
  <si>
    <t>XE01177</t>
  </si>
  <si>
    <t>Phạm Văn Tình</t>
  </si>
  <si>
    <t>XE01711</t>
  </si>
  <si>
    <t>Phạm Văn Tuân</t>
  </si>
  <si>
    <t>XE01743</t>
  </si>
  <si>
    <t>Lã Văn Chinh</t>
  </si>
  <si>
    <t>XE01744</t>
  </si>
  <si>
    <t>Vũ Ngọc Tâm</t>
  </si>
  <si>
    <t>XE01746</t>
  </si>
  <si>
    <t>Lã Văn Dương</t>
  </si>
  <si>
    <t>XE01755</t>
  </si>
  <si>
    <t>Phạm Văn Cương</t>
  </si>
  <si>
    <t>XE01756</t>
  </si>
  <si>
    <t>Nguyễn Thế Quynh</t>
  </si>
  <si>
    <t>XE01757</t>
  </si>
  <si>
    <t>Phùng Đình Cường</t>
  </si>
  <si>
    <t>LX DPTB</t>
  </si>
  <si>
    <t>XE01601</t>
  </si>
  <si>
    <t>Nguyễn Quang Thanh</t>
  </si>
  <si>
    <t>XE00026</t>
  </si>
  <si>
    <t>Phan Thái Sơn</t>
  </si>
  <si>
    <t>XE00188</t>
  </si>
  <si>
    <t>Lê Hùng Cường</t>
  </si>
  <si>
    <t>XE01286</t>
  </si>
  <si>
    <t>Lại Thế Thư</t>
  </si>
  <si>
    <t>XE01704</t>
  </si>
  <si>
    <t>Lê Thanh Xuân</t>
  </si>
  <si>
    <t>LX DPNĐ</t>
  </si>
  <si>
    <t>XE01570</t>
  </si>
  <si>
    <t>Nguyễn Văn Minh</t>
  </si>
  <si>
    <t>XE01688</t>
  </si>
  <si>
    <t>Lê Minh Đức</t>
  </si>
  <si>
    <t>XE01699</t>
  </si>
  <si>
    <t>Nguyễn Mạnh Cường</t>
  </si>
  <si>
    <t>XE01700</t>
  </si>
  <si>
    <t>Đặng Văn Thơ</t>
  </si>
  <si>
    <t>XE01526</t>
  </si>
  <si>
    <t>Lê Huy Hoàng</t>
  </si>
  <si>
    <t>XE01735</t>
  </si>
  <si>
    <t>Lê Đình Huỳnh</t>
  </si>
  <si>
    <t>LX TXPT</t>
  </si>
  <si>
    <t>XE01077</t>
  </si>
  <si>
    <t>Trương Minh Quân</t>
  </si>
  <si>
    <t>XE01605</t>
  </si>
  <si>
    <t>Đỗ Văn Phương</t>
  </si>
  <si>
    <t>XE01669</t>
  </si>
  <si>
    <t>Ngô Xuân Nam</t>
  </si>
  <si>
    <t>LX DPVT</t>
  </si>
  <si>
    <t>LX YB</t>
  </si>
  <si>
    <t>XE01562</t>
  </si>
  <si>
    <t>Nguyễn Minh Tuấn</t>
  </si>
  <si>
    <t>XE01333</t>
  </si>
  <si>
    <t>Nguyễn Hùng Cường</t>
  </si>
  <si>
    <t>XE01758</t>
  </si>
  <si>
    <t>Nguyễn Khắc Thường</t>
  </si>
  <si>
    <t>TỔNG</t>
  </si>
  <si>
    <t>KÝ HIỆU CHẤM CÔNG</t>
  </si>
  <si>
    <t>Nội Dung</t>
  </si>
  <si>
    <t>Ký hiệu</t>
  </si>
  <si>
    <t>Nội dung</t>
  </si>
  <si>
    <t>Ký Hiệu</t>
  </si>
  <si>
    <t>Người chấm công
 (Ký, họ tên)</t>
  </si>
  <si>
    <t>Trưởng phòng
 (Ký, họ tên)</t>
  </si>
  <si>
    <t>Người kiểm soát
(Ký, họ tên)</t>
  </si>
  <si>
    <t>Làm thêm ngày thường</t>
  </si>
  <si>
    <t>LT</t>
  </si>
  <si>
    <t>Làm đủ công</t>
  </si>
  <si>
    <t>Làm thêm ngày lễ, tết</t>
  </si>
  <si>
    <t>LL</t>
  </si>
  <si>
    <t xml:space="preserve">Làm nửa ngày công </t>
  </si>
  <si>
    <t>Hoàng Xuân Huy</t>
  </si>
  <si>
    <t>Phép nghỉ mát, nghỉ khác được hưởng lương</t>
  </si>
  <si>
    <t>NK</t>
  </si>
  <si>
    <t>Nghỉ ốm, Nghỉ không lương</t>
  </si>
  <si>
    <t>Làm không đủ công</t>
  </si>
  <si>
    <t>Số giờ</t>
  </si>
  <si>
    <t>Nghỉ bù</t>
  </si>
  <si>
    <t>NB</t>
  </si>
  <si>
    <t>Ngày lễ, tết</t>
  </si>
  <si>
    <t xml:space="preserve">L </t>
  </si>
  <si>
    <t>Nghỉ phép, nghỉ được hưởng lương</t>
  </si>
  <si>
    <t>P</t>
  </si>
  <si>
    <t>Ngày:……./……/…….</t>
  </si>
  <si>
    <t>Ngày…./……./……</t>
  </si>
  <si>
    <t>Nghỉ cưới, nghỉ có tang</t>
  </si>
  <si>
    <t>HH</t>
  </si>
  <si>
    <t>LƯU Ý</t>
  </si>
  <si>
    <t>-Nghỉ có tang là đối với tang tứ thân phụ mẫu, vợ/chồng, con</t>
  </si>
  <si>
    <t>-Làm không đủ công sẽ ghi số giờ được tính hưởng 100% lương tháng</t>
  </si>
  <si>
    <t>-Làm thêm đủ 1 công thì điền vào bảng chấm công là LT, số giờ làm thêm thừa sẽ được note sang bảng làm thêm giờ</t>
  </si>
  <si>
    <t>BẢNG THEO DÕI SỐ LƯỢT LÁI XE DỰ PHÒNG 4 TỈNH</t>
  </si>
  <si>
    <t>Tổng lượt</t>
  </si>
  <si>
    <t>Lượt 5</t>
  </si>
  <si>
    <t>Lượt 6</t>
  </si>
  <si>
    <t>Lượt 7</t>
  </si>
  <si>
    <t>Lượt 8</t>
  </si>
  <si>
    <t>Phan Thái Sơn ( lượt thái bình )</t>
  </si>
  <si>
    <t>Phan Thái Sơn ( lượt nam định )</t>
  </si>
  <si>
    <t>Lê Hùng Cường ( lượt thái bình )</t>
  </si>
  <si>
    <t>Lê Hùng Cường ( lượt nam định)</t>
  </si>
  <si>
    <t>Nguyễn Văn Minh ( lượt nam định )</t>
  </si>
  <si>
    <t>Nguyễn Văn Minh ( lượt thái bình )</t>
  </si>
  <si>
    <t>Nguyễn Văn Minh ( lượt ninh bình )</t>
  </si>
  <si>
    <t>Lê Minh Đức ( lượt nam định )</t>
  </si>
  <si>
    <t>Lê Minh Đức ( lượt thái bình )</t>
  </si>
  <si>
    <t>Lê Minh Đức ( lượt ninh bình )</t>
  </si>
  <si>
    <t>Nguyễn Mạnh Cường ( lượt nam định )</t>
  </si>
  <si>
    <t>Nguyễn Mạnh Cường ( lượt thái bình )</t>
  </si>
  <si>
    <t>Lê Đình Huỳnh ( lượt nam định )</t>
  </si>
  <si>
    <t>Lê Đình Huỳnh ( lượt thái bình )</t>
  </si>
  <si>
    <t>Trương Minh Quân ( lượt phú thọ )</t>
  </si>
  <si>
    <t>Trương Minh Quân ( lượt việt trì )</t>
  </si>
  <si>
    <t>Ngô Xuân Nam ( lượt phú thọ )</t>
  </si>
  <si>
    <t>Ngô Xuân Nam ( lượt việt trì )</t>
  </si>
  <si>
    <t>Tổng</t>
  </si>
  <si>
    <t>Kế Toán Trưởng</t>
  </si>
  <si>
    <t>Trưởng Bộ Phận</t>
  </si>
  <si>
    <t>Người theo dõi</t>
  </si>
  <si>
    <t>(Ký và ghi rõ họ tên)</t>
  </si>
  <si>
    <t>TỔNG HỢP XE HỢP ĐỒNG THÁNG 6/2026</t>
  </si>
  <si>
    <t>STT</t>
  </si>
  <si>
    <t>NGÀY ĐI</t>
  </si>
  <si>
    <t>BIỂN SỐ</t>
  </si>
  <si>
    <t>LÁI XE</t>
  </si>
  <si>
    <t>THỜI GIAN</t>
  </si>
  <si>
    <t>GIỜ VỀ BẾN</t>
  </si>
  <si>
    <t>LỘ TRÌNH</t>
  </si>
  <si>
    <t>Sỗ chỗ</t>
  </si>
  <si>
    <t>DOANH THU</t>
  </si>
  <si>
    <t>GHI CHÚ</t>
  </si>
  <si>
    <t>Mã</t>
  </si>
  <si>
    <t>Số ngày</t>
  </si>
  <si>
    <t>HĐ nguyên chuyến được tính lương</t>
  </si>
  <si>
    <t>Chú thích</t>
  </si>
  <si>
    <t>XE00812</t>
  </si>
  <si>
    <t>29E33201</t>
  </si>
  <si>
    <t>Vũ Việt Hùng</t>
  </si>
  <si>
    <t>21h45</t>
  </si>
  <si>
    <t>sân bay- NB</t>
  </si>
  <si>
    <t>HĐ nửa ngày</t>
  </si>
  <si>
    <t>XE00282</t>
  </si>
  <si>
    <t>29E09655</t>
  </si>
  <si>
    <t>Dương Văn Thọ</t>
  </si>
  <si>
    <t>9h</t>
  </si>
  <si>
    <t>HN- NB</t>
  </si>
  <si>
    <t>lượt nội bài</t>
  </si>
  <si>
    <t>29K06303</t>
  </si>
  <si>
    <t>13h30</t>
  </si>
  <si>
    <t>NB- HN</t>
  </si>
  <si>
    <t>7h</t>
  </si>
  <si>
    <t>29K07846</t>
  </si>
  <si>
    <t>14h</t>
  </si>
  <si>
    <t>XE00195</t>
  </si>
  <si>
    <t>29E32476</t>
  </si>
  <si>
    <t>Phan Đăng Quang</t>
  </si>
  <si>
    <t>5h30</t>
  </si>
  <si>
    <t>NB- sân bay</t>
  </si>
  <si>
    <t>Hđ nửa ngày</t>
  </si>
  <si>
    <t>XE00020</t>
  </si>
  <si>
    <t>29E32490</t>
  </si>
  <si>
    <t>Lê Trọng Giáp</t>
  </si>
  <si>
    <t>XE00250</t>
  </si>
  <si>
    <t>29E33376</t>
  </si>
  <si>
    <t>Lê Trung Kiên</t>
  </si>
  <si>
    <t>chở đội marketing đi khảo sát tính HĐ ngoại giao 1 ngà</t>
  </si>
  <si>
    <t>XE00298</t>
  </si>
  <si>
    <t>29E08261</t>
  </si>
  <si>
    <t>Phạm Thế Anh</t>
  </si>
  <si>
    <t>7h30</t>
  </si>
  <si>
    <t>8h</t>
  </si>
  <si>
    <t>XE00019</t>
  </si>
  <si>
    <t>29K06244</t>
  </si>
  <si>
    <t>Tống Văn Nam</t>
  </si>
  <si>
    <t>14h30</t>
  </si>
  <si>
    <t>XE00109</t>
  </si>
  <si>
    <t>13/6/2026</t>
  </si>
  <si>
    <t>29E34382</t>
  </si>
  <si>
    <t>Trịnh Xuân Đức</t>
  </si>
  <si>
    <t>15/6/2026</t>
  </si>
  <si>
    <t>11h30</t>
  </si>
  <si>
    <t>XE00627</t>
  </si>
  <si>
    <t>29K06548</t>
  </si>
  <si>
    <t>Nguyễn Đức Thanh</t>
  </si>
  <si>
    <t>17h30</t>
  </si>
  <si>
    <t>17/6/2026</t>
  </si>
  <si>
    <t>18h</t>
  </si>
  <si>
    <t>19/6/2026</t>
  </si>
  <si>
    <t>4h</t>
  </si>
  <si>
    <t>29K06091</t>
  </si>
  <si>
    <t>15h40</t>
  </si>
  <si>
    <t>XE00600</t>
  </si>
  <si>
    <t>20/6/2026</t>
  </si>
  <si>
    <t>29K03602</t>
  </si>
  <si>
    <t>Nguyễn Văn Thế</t>
  </si>
  <si>
    <t>13h</t>
  </si>
  <si>
    <t>NB- Sầm Sơn</t>
  </si>
  <si>
    <t>HĐ ngoại giao nửa ngày</t>
  </si>
  <si>
    <t>XE00022</t>
  </si>
  <si>
    <t>21/6/2026</t>
  </si>
  <si>
    <t>Bùi Trọng Quyền</t>
  </si>
  <si>
    <t>10h</t>
  </si>
  <si>
    <t>Sầm Sơn - NB</t>
  </si>
  <si>
    <t>XE01314</t>
  </si>
  <si>
    <t>29E09614</t>
  </si>
  <si>
    <t>Trần Đức Toản</t>
  </si>
  <si>
    <t>25/6/2026</t>
  </si>
  <si>
    <t>7h45</t>
  </si>
  <si>
    <t>HĐ 1 ngày</t>
  </si>
  <si>
    <t>26/6/2026</t>
  </si>
  <si>
    <t>XE01155</t>
  </si>
  <si>
    <t>29G00888</t>
  </si>
  <si>
    <t>Trần Đình Vượng</t>
  </si>
  <si>
    <t>29H88552</t>
  </si>
  <si>
    <t>HN- Thiên Cầm</t>
  </si>
  <si>
    <t>HĐ ngoại giao 3 ngày</t>
  </si>
  <si>
    <t>XE00046</t>
  </si>
  <si>
    <t>27/6/2026</t>
  </si>
  <si>
    <t>29F02625</t>
  </si>
  <si>
    <t>Nguyễn Xuân Thắng</t>
  </si>
  <si>
    <t>NB- Hn</t>
  </si>
  <si>
    <t>28/6/2026</t>
  </si>
  <si>
    <t>29H84971</t>
  </si>
  <si>
    <t>24/6/2026</t>
  </si>
  <si>
    <t>15h30</t>
  </si>
  <si>
    <t>trả nội bài</t>
  </si>
  <si>
    <t>XE00063</t>
  </si>
  <si>
    <t>29E09845</t>
  </si>
  <si>
    <t>Phạm Văn Hà</t>
  </si>
  <si>
    <t>6h</t>
  </si>
  <si>
    <t>TB- sân bay</t>
  </si>
  <si>
    <t>29K01117</t>
  </si>
  <si>
    <t>sân bay- TB</t>
  </si>
  <si>
    <t>XE01182</t>
  </si>
  <si>
    <t>29H84996</t>
  </si>
  <si>
    <t>Nguyễn Thiên Mạnh</t>
  </si>
  <si>
    <t>16h45</t>
  </si>
  <si>
    <t>XE00658</t>
  </si>
  <si>
    <t>29G00833</t>
  </si>
  <si>
    <t>Trần Văn Thiện</t>
  </si>
  <si>
    <t>XE00234</t>
  </si>
  <si>
    <t>29H88579</t>
  </si>
  <si>
    <t>Phạm Huy Toàn</t>
  </si>
  <si>
    <t>29F04293</t>
  </si>
  <si>
    <t>8h30</t>
  </si>
  <si>
    <t>HN- TB</t>
  </si>
  <si>
    <t>18/6/2026</t>
  </si>
  <si>
    <t>11h</t>
  </si>
  <si>
    <t>HĐ ngoại giao 1 ngà</t>
  </si>
  <si>
    <t>XE00148</t>
  </si>
  <si>
    <t>29H88576</t>
  </si>
  <si>
    <t>Vũ Văn Hiển</t>
  </si>
  <si>
    <t>XE01011</t>
  </si>
  <si>
    <t>29H88569</t>
  </si>
  <si>
    <t>Trần Ngọc Dũng</t>
  </si>
  <si>
    <t>19h30</t>
  </si>
  <si>
    <t>sân bay- Tb</t>
  </si>
  <si>
    <t>XE00511</t>
  </si>
  <si>
    <t>29E09596</t>
  </si>
  <si>
    <t>Vũ Mạnh Hùng</t>
  </si>
  <si>
    <t>HN- Hải Phòng</t>
  </si>
  <si>
    <t>HĐ 2 ngày 13-14/6</t>
  </si>
  <si>
    <t>29F01729</t>
  </si>
  <si>
    <t>16h</t>
  </si>
  <si>
    <t>TB- HN</t>
  </si>
  <si>
    <t>XE00383</t>
  </si>
  <si>
    <t>29E33207</t>
  </si>
  <si>
    <t>Nguyễn Thế Anh</t>
  </si>
  <si>
    <t>15h</t>
  </si>
  <si>
    <t>sân bay- NĐ</t>
  </si>
  <si>
    <t>XE00043</t>
  </si>
  <si>
    <t>29E09811</t>
  </si>
  <si>
    <t>Hoàng Trọng Nam</t>
  </si>
  <si>
    <t>NĐ- Hoà Bình</t>
  </si>
  <si>
    <t>XE00253</t>
  </si>
  <si>
    <t>Vũ Ngọc Hà</t>
  </si>
  <si>
    <t>NĐ- sân bay</t>
  </si>
  <si>
    <t>29E33907</t>
  </si>
  <si>
    <t>XE01221</t>
  </si>
  <si>
    <t>29E03480</t>
  </si>
  <si>
    <t>Phạm Văn Sớm</t>
  </si>
  <si>
    <t>HN- NĐ</t>
  </si>
  <si>
    <t>29E03468</t>
  </si>
  <si>
    <t>21h</t>
  </si>
  <si>
    <t>NĐ- HN</t>
  </si>
  <si>
    <t>23/6/2026</t>
  </si>
  <si>
    <t>12h</t>
  </si>
  <si>
    <t>Thanh Hoá- NĐ</t>
  </si>
  <si>
    <t>10h30</t>
  </si>
  <si>
    <t>NĐ- Thanh Hoá</t>
  </si>
  <si>
    <t>XE00365</t>
  </si>
  <si>
    <t>22/6/2026</t>
  </si>
  <si>
    <t>29F02497</t>
  </si>
  <si>
    <t>Phan Anh Giang</t>
  </si>
  <si>
    <t>Thanh Ba - HN</t>
  </si>
  <si>
    <t>XE01168</t>
  </si>
  <si>
    <t>29H88524</t>
  </si>
  <si>
    <t>Nguyễn Ngọc Lâm</t>
  </si>
  <si>
    <t>9h30</t>
  </si>
  <si>
    <t>đón nội bài</t>
  </si>
  <si>
    <t>XE01036</t>
  </si>
  <si>
    <t>16/6/2026</t>
  </si>
  <si>
    <t>29F02494</t>
  </si>
  <si>
    <t>Nguyễn Trung Kiên 1995</t>
  </si>
  <si>
    <t>XE00242</t>
  </si>
  <si>
    <t>29K06862</t>
  </si>
  <si>
    <t>Lê Văn Thắng</t>
  </si>
  <si>
    <t>18h30</t>
  </si>
  <si>
    <t>XE01188</t>
  </si>
  <si>
    <t>29F04292</t>
  </si>
  <si>
    <t>Nguyễn Minh Quang</t>
  </si>
  <si>
    <t>20h30</t>
  </si>
  <si>
    <t>XE00791</t>
  </si>
  <si>
    <t>29F05134</t>
  </si>
  <si>
    <t>Đinh Công Cường</t>
  </si>
  <si>
    <t>XE00674</t>
  </si>
  <si>
    <t>29F04021</t>
  </si>
  <si>
    <t>Nguyễn Đức Tâm</t>
  </si>
  <si>
    <t>Bắc Ninh- Yên Bái</t>
  </si>
  <si>
    <t>XE00161</t>
  </si>
  <si>
    <t>29K06532</t>
  </si>
  <si>
    <t>Nguyễn Tuấn Trường </t>
  </si>
  <si>
    <t>YB- Hải Phòng</t>
  </si>
  <si>
    <t>Hải Phòng - YB</t>
  </si>
  <si>
    <t>XE01088</t>
  </si>
  <si>
    <t>29E03469</t>
  </si>
  <si>
    <t>Tống Văn Hậu</t>
  </si>
  <si>
    <t>YB- Nghệ An</t>
  </si>
  <si>
    <t>XE01441</t>
  </si>
  <si>
    <t>29H88561</t>
  </si>
  <si>
    <t>Dương Anh Đức</t>
  </si>
  <si>
    <t>YB- Quảng Ninh</t>
  </si>
  <si>
    <t>29/6/2026</t>
  </si>
  <si>
    <t>Quảng Ninh - YB</t>
  </si>
  <si>
    <t>XE00901</t>
  </si>
  <si>
    <t>29G02094</t>
  </si>
  <si>
    <t>Trần Quốc Toàn</t>
  </si>
  <si>
    <t>đi quay marketing chấm hđ ngoại giao 1 ngày</t>
  </si>
  <si>
    <t>XE00326</t>
  </si>
  <si>
    <t>29F01608</t>
  </si>
  <si>
    <t>Hà Văn Dũng</t>
  </si>
  <si>
    <t>12h30</t>
  </si>
  <si>
    <t>XE00295</t>
  </si>
  <si>
    <t>29K07515</t>
  </si>
  <si>
    <t>Vũ Đức Toàn</t>
  </si>
  <si>
    <t>29H88591</t>
  </si>
  <si>
    <t>XE00799</t>
  </si>
  <si>
    <t>29F05188</t>
  </si>
  <si>
    <t>Nguyễn Duy Hà</t>
  </si>
  <si>
    <t>16h30</t>
  </si>
  <si>
    <t>XE00366</t>
  </si>
  <si>
    <t>29E09520</t>
  </si>
  <si>
    <t>Đào Trung Đức</t>
  </si>
  <si>
    <t>29F05128</t>
  </si>
  <si>
    <t>XE00309</t>
  </si>
  <si>
    <t>29E09994</t>
  </si>
  <si>
    <t>Nguyễn Chí Quốc</t>
  </si>
  <si>
    <t>XE00825</t>
  </si>
  <si>
    <t>29G02096</t>
  </si>
  <si>
    <t>Nguyễn Thanh Bình</t>
  </si>
  <si>
    <t>XE00734</t>
  </si>
  <si>
    <t>29E03452</t>
  </si>
  <si>
    <t>Hoàng Cát Giao</t>
  </si>
  <si>
    <t>XE00964</t>
  </si>
  <si>
    <t>29F02500</t>
  </si>
  <si>
    <t>Tưởng Tuấn Nam</t>
  </si>
  <si>
    <t>29H84960</t>
  </si>
  <si>
    <t>XE01242</t>
  </si>
  <si>
    <t>29F05104</t>
  </si>
  <si>
    <t>Phùng Kim Tiến</t>
  </si>
  <si>
    <t>XE00248</t>
  </si>
  <si>
    <t>30/6/2026</t>
  </si>
  <si>
    <t>29F01751</t>
  </si>
  <si>
    <t>Hoàng Việt Cường</t>
  </si>
  <si>
    <t>XE00524</t>
  </si>
  <si>
    <t>29F05162</t>
  </si>
  <si>
    <t>Nguyễn Tuấn Anh 1978</t>
  </si>
  <si>
    <t>6h30</t>
  </si>
  <si>
    <t>XE00721</t>
  </si>
  <si>
    <t>29F01768</t>
  </si>
  <si>
    <t>Vũ Duy Long</t>
  </si>
  <si>
    <t>XE00320</t>
  </si>
  <si>
    <t>29F05132</t>
  </si>
  <si>
    <t>Nguyễn Đức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</si>
</sst>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_(* #,##0.00_);_(* \(#,##0.00\);_(* &quot;-&quot;??_);_(@_)"/>
    <numFmt numFmtId="168" formatCode="_(* #,##0_);_(* \(#,##0\);_(* &quot;-&quot;??_);_(@_)"/>
    <numFmt numFmtId="169" formatCode="mm/yyyy"/>
    <numFmt numFmtId="170" formatCode="dd"/>
    <numFmt numFmtId="171" formatCode="_(* #,##0.0_);_(* \(#,##0.0\);_(* &quot;-&quot;??_);_(@_)"/>
  </numFmts>
  <fonts count="2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5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5"/>
      <color theme="1"/>
      <name val="Times New Roman"/>
      <charset val="134"/>
    </font>
    <font>
      <sz val="10"/>
      <color rgb="FFFF0000"/>
      <name val="Times New Roman"/>
      <charset val="134"/>
    </font>
    <font>
      <sz val="10"/>
      <color theme="1"/>
      <name val="Calibri"/>
      <charset val="134"/>
      <scheme val="minor"/>
    </font>
    <font>
      <sz val="10"/>
      <color indexed="8"/>
      <name val="Times New Roman"/>
      <charset val="134"/>
    </font>
    <font>
      <b/>
      <sz val="10"/>
      <color indexed="8"/>
      <name val="Times New Roman"/>
      <charset val="134"/>
    </font>
    <font>
      <i/>
      <sz val="10"/>
      <color indexed="8"/>
      <name val="Times New Roman"/>
      <charset val="134"/>
    </font>
    <font>
      <b/>
      <sz val="10"/>
      <color rgb="FFFF0000"/>
      <name val="Times New Roman"/>
      <charset val="134"/>
    </font>
    <font>
      <b/>
      <u/>
      <sz val="10"/>
      <color rgb="FFFF0000"/>
      <name val="Times New Roman"/>
      <charset val="134"/>
    </font>
    <font>
      <b/>
      <u/>
      <sz val="10"/>
      <color theme="1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sz val="10"/>
      <name val="Arial"/>
      <charset val="134"/>
    </font>
    <font>
      <sz val="12"/>
      <name val=".VnTime"/>
      <charset val="134"/>
    </font>
    <font>
      <b/>
      <sz val="9"/>
      <name val="Times New Roman"/>
    </font>
    <font>
      <sz val="9"/>
      <name val="Times New Roman"/>
    </font>
    <font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CD5B4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/>
    <xf numFmtId="165" fontId="24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1" fillId="0" borderId="0"/>
    <xf numFmtId="0" fontId="20" fillId="0" borderId="0"/>
  </cellStyleXfs>
  <cellXfs count="19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1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20" fontId="1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168" fontId="1" fillId="4" borderId="3" xfId="1" applyNumberFormat="1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3" borderId="3" xfId="0" applyFont="1" applyFill="1" applyBorder="1"/>
    <xf numFmtId="20" fontId="1" fillId="4" borderId="3" xfId="0" applyNumberFormat="1" applyFont="1" applyFill="1" applyBorder="1" applyAlignment="1">
      <alignment horizontal="right"/>
    </xf>
    <xf numFmtId="0" fontId="1" fillId="4" borderId="3" xfId="0" applyFont="1" applyFill="1" applyBorder="1" applyAlignment="1">
      <alignment horizontal="center"/>
    </xf>
    <xf numFmtId="11" fontId="1" fillId="4" borderId="3" xfId="0" applyNumberFormat="1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20" fontId="1" fillId="4" borderId="3" xfId="0" applyNumberFormat="1" applyFont="1" applyFill="1" applyBorder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/>
    <xf numFmtId="0" fontId="4" fillId="0" borderId="0" xfId="0" applyFont="1"/>
    <xf numFmtId="168" fontId="1" fillId="0" borderId="3" xfId="1" applyNumberFormat="1" applyFont="1" applyFill="1" applyBorder="1" applyAlignment="1">
      <alignment horizontal="right"/>
    </xf>
    <xf numFmtId="20" fontId="1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20" fontId="1" fillId="0" borderId="5" xfId="0" applyNumberFormat="1" applyFont="1" applyBorder="1" applyAlignment="1">
      <alignment horizontal="right"/>
    </xf>
    <xf numFmtId="0" fontId="1" fillId="0" borderId="5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11" fontId="1" fillId="0" borderId="5" xfId="0" applyNumberFormat="1" applyFont="1" applyBorder="1" applyAlignment="1">
      <alignment horizontal="left"/>
    </xf>
    <xf numFmtId="0" fontId="5" fillId="0" borderId="0" xfId="0" applyFont="1"/>
    <xf numFmtId="11" fontId="1" fillId="0" borderId="3" xfId="0" applyNumberFormat="1" applyFont="1" applyBorder="1" applyAlignment="1">
      <alignment horizontal="right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70" fontId="7" fillId="4" borderId="11" xfId="0" applyNumberFormat="1" applyFont="1" applyFill="1" applyBorder="1" applyAlignment="1">
      <alignment horizontal="center" vertical="center"/>
    </xf>
    <xf numFmtId="170" fontId="7" fillId="0" borderId="11" xfId="0" applyNumberFormat="1" applyFont="1" applyBorder="1" applyAlignment="1">
      <alignment horizontal="center" vertical="center"/>
    </xf>
    <xf numFmtId="170" fontId="7" fillId="4" borderId="12" xfId="0" applyNumberFormat="1" applyFont="1" applyFill="1" applyBorder="1" applyAlignment="1">
      <alignment horizontal="center" vertical="center"/>
    </xf>
    <xf numFmtId="170" fontId="7" fillId="0" borderId="14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8" fillId="5" borderId="16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10" xfId="0" applyFont="1" applyBorder="1" applyAlignment="1">
      <alignment horizontal="left" vertical="center"/>
    </xf>
    <xf numFmtId="1" fontId="8" fillId="5" borderId="17" xfId="0" applyNumberFormat="1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1" fontId="8" fillId="5" borderId="18" xfId="0" applyNumberFormat="1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1" fontId="8" fillId="4" borderId="3" xfId="0" applyNumberFormat="1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8" fillId="4" borderId="0" xfId="0" applyFont="1" applyFill="1"/>
    <xf numFmtId="0" fontId="8" fillId="0" borderId="0" xfId="0" applyFont="1"/>
    <xf numFmtId="171" fontId="8" fillId="5" borderId="0" xfId="1" applyNumberFormat="1" applyFont="1" applyFill="1" applyAlignment="1">
      <alignment horizontal="center" vertical="center"/>
    </xf>
    <xf numFmtId="171" fontId="8" fillId="0" borderId="0" xfId="1" applyNumberFormat="1" applyFont="1"/>
    <xf numFmtId="0" fontId="15" fillId="0" borderId="0" xfId="0" applyFont="1"/>
    <xf numFmtId="170" fontId="7" fillId="4" borderId="3" xfId="0" applyNumberFormat="1" applyFont="1" applyFill="1" applyBorder="1" applyAlignment="1">
      <alignment horizontal="center" vertical="center"/>
    </xf>
    <xf numFmtId="170" fontId="7" fillId="0" borderId="3" xfId="0" applyNumberFormat="1" applyFont="1" applyBorder="1" applyAlignment="1">
      <alignment horizontal="center" vertical="center"/>
    </xf>
    <xf numFmtId="170" fontId="7" fillId="0" borderId="3" xfId="0" applyNumberFormat="1" applyFont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171" fontId="12" fillId="8" borderId="19" xfId="1" applyNumberFormat="1" applyFont="1" applyFill="1" applyBorder="1" applyAlignment="1">
      <alignment horizontal="center" vertical="center"/>
    </xf>
    <xf numFmtId="171" fontId="12" fillId="8" borderId="24" xfId="1" applyNumberFormat="1" applyFont="1" applyFill="1" applyBorder="1" applyAlignment="1">
      <alignment horizontal="center" vertical="center"/>
    </xf>
    <xf numFmtId="171" fontId="12" fillId="8" borderId="25" xfId="1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4" borderId="3" xfId="0" applyFont="1" applyFill="1" applyBorder="1" applyAlignment="1">
      <alignment vertical="center"/>
    </xf>
    <xf numFmtId="0" fontId="7" fillId="6" borderId="3" xfId="0" applyFont="1" applyFill="1" applyBorder="1" applyAlignment="1">
      <alignment horizontal="left" vertical="center"/>
    </xf>
    <xf numFmtId="171" fontId="12" fillId="9" borderId="19" xfId="1" applyNumberFormat="1" applyFont="1" applyFill="1" applyBorder="1" applyAlignment="1">
      <alignment horizontal="center" vertical="center"/>
    </xf>
    <xf numFmtId="171" fontId="12" fillId="9" borderId="24" xfId="1" applyNumberFormat="1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171" fontId="12" fillId="9" borderId="10" xfId="1" applyNumberFormat="1" applyFont="1" applyFill="1" applyBorder="1" applyAlignment="1">
      <alignment horizontal="center" vertical="center"/>
    </xf>
    <xf numFmtId="171" fontId="12" fillId="9" borderId="26" xfId="1" applyNumberFormat="1" applyFont="1" applyFill="1" applyBorder="1" applyAlignment="1">
      <alignment horizontal="center" vertical="center"/>
    </xf>
    <xf numFmtId="171" fontId="12" fillId="8" borderId="26" xfId="1" applyNumberFormat="1" applyFont="1" applyFill="1" applyBorder="1" applyAlignment="1">
      <alignment horizontal="center" vertical="center"/>
    </xf>
    <xf numFmtId="0" fontId="10" fillId="0" borderId="3" xfId="0" applyFont="1" applyBorder="1"/>
    <xf numFmtId="0" fontId="16" fillId="0" borderId="3" xfId="0" applyFont="1" applyBorder="1"/>
    <xf numFmtId="2" fontId="10" fillId="0" borderId="20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 vertical="center"/>
    </xf>
    <xf numFmtId="171" fontId="10" fillId="8" borderId="3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0" xfId="0" applyFont="1"/>
    <xf numFmtId="0" fontId="18" fillId="2" borderId="3" xfId="3" applyFont="1" applyFill="1" applyBorder="1" applyAlignment="1">
      <alignment horizontal="center" vertical="center"/>
    </xf>
    <xf numFmtId="0" fontId="18" fillId="2" borderId="31" xfId="3" applyFont="1" applyFill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8" fillId="4" borderId="0" xfId="3" applyFont="1" applyFill="1" applyAlignment="1">
      <alignment horizontal="center" vertical="top" wrapText="1"/>
    </xf>
    <xf numFmtId="0" fontId="18" fillId="0" borderId="0" xfId="3" applyFont="1" applyAlignment="1">
      <alignment horizontal="center"/>
    </xf>
    <xf numFmtId="0" fontId="19" fillId="4" borderId="0" xfId="4" applyFont="1" applyFill="1" applyAlignment="1">
      <alignment horizontal="center" wrapText="1"/>
    </xf>
    <xf numFmtId="168" fontId="8" fillId="0" borderId="0" xfId="1" applyNumberFormat="1" applyFont="1"/>
    <xf numFmtId="0" fontId="18" fillId="2" borderId="37" xfId="3" applyFont="1" applyFill="1" applyBorder="1" applyAlignment="1">
      <alignment horizontal="center" vertical="center"/>
    </xf>
    <xf numFmtId="0" fontId="18" fillId="2" borderId="41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/>
    <xf numFmtId="171" fontId="8" fillId="4" borderId="0" xfId="1" applyNumberFormat="1" applyFont="1" applyFill="1" applyAlignment="1">
      <alignment horizontal="center" vertical="center"/>
    </xf>
    <xf numFmtId="0" fontId="18" fillId="2" borderId="31" xfId="3" quotePrefix="1" applyFont="1" applyFill="1" applyBorder="1" applyAlignment="1">
      <alignment horizontal="center" vertical="center"/>
    </xf>
    <xf numFmtId="0" fontId="12" fillId="0" borderId="0" xfId="0" quotePrefix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69" fontId="7" fillId="0" borderId="0" xfId="0" applyNumberFormat="1" applyFont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8" fillId="2" borderId="30" xfId="3" applyFont="1" applyFill="1" applyBorder="1" applyAlignment="1">
      <alignment horizontal="center" vertical="center"/>
    </xf>
    <xf numFmtId="0" fontId="18" fillId="2" borderId="3" xfId="3" applyFont="1" applyFill="1" applyBorder="1" applyAlignment="1">
      <alignment horizontal="center" vertical="center"/>
    </xf>
    <xf numFmtId="0" fontId="18" fillId="2" borderId="4" xfId="3" applyFont="1" applyFill="1" applyBorder="1" applyAlignment="1">
      <alignment horizontal="center" vertical="center"/>
    </xf>
    <xf numFmtId="0" fontId="18" fillId="2" borderId="5" xfId="3" applyFont="1" applyFill="1" applyBorder="1" applyAlignment="1">
      <alignment horizontal="center" vertical="center"/>
    </xf>
    <xf numFmtId="0" fontId="18" fillId="2" borderId="6" xfId="3" applyFont="1" applyFill="1" applyBorder="1" applyAlignment="1">
      <alignment horizontal="center" vertical="center"/>
    </xf>
    <xf numFmtId="0" fontId="19" fillId="2" borderId="30" xfId="3" applyFont="1" applyFill="1" applyBorder="1" applyAlignment="1">
      <alignment vertical="center"/>
    </xf>
    <xf numFmtId="0" fontId="19" fillId="2" borderId="3" xfId="3" applyFont="1" applyFill="1" applyBorder="1" applyAlignment="1">
      <alignment vertical="center"/>
    </xf>
    <xf numFmtId="0" fontId="19" fillId="2" borderId="4" xfId="3" applyFont="1" applyFill="1" applyBorder="1" applyAlignment="1">
      <alignment vertical="center"/>
    </xf>
    <xf numFmtId="0" fontId="19" fillId="2" borderId="5" xfId="3" applyFont="1" applyFill="1" applyBorder="1" applyAlignment="1">
      <alignment vertical="center"/>
    </xf>
    <xf numFmtId="0" fontId="19" fillId="2" borderId="6" xfId="3" applyFont="1" applyFill="1" applyBorder="1" applyAlignment="1">
      <alignment vertical="center"/>
    </xf>
    <xf numFmtId="0" fontId="19" fillId="2" borderId="30" xfId="3" applyFont="1" applyFill="1" applyBorder="1" applyAlignment="1">
      <alignment vertical="center" wrapText="1"/>
    </xf>
    <xf numFmtId="0" fontId="19" fillId="2" borderId="3" xfId="3" applyFont="1" applyFill="1" applyBorder="1" applyAlignment="1">
      <alignment vertical="center" wrapText="1"/>
    </xf>
    <xf numFmtId="0" fontId="19" fillId="2" borderId="4" xfId="3" applyFont="1" applyFill="1" applyBorder="1" applyAlignment="1">
      <alignment vertical="center" wrapText="1"/>
    </xf>
    <xf numFmtId="0" fontId="19" fillId="2" borderId="5" xfId="3" applyFont="1" applyFill="1" applyBorder="1" applyAlignment="1">
      <alignment vertical="center" wrapText="1"/>
    </xf>
    <xf numFmtId="0" fontId="19" fillId="2" borderId="6" xfId="3" applyFont="1" applyFill="1" applyBorder="1" applyAlignment="1">
      <alignment vertical="center" wrapText="1"/>
    </xf>
    <xf numFmtId="0" fontId="19" fillId="2" borderId="36" xfId="4" applyFont="1" applyFill="1" applyBorder="1" applyAlignment="1">
      <alignment vertical="center"/>
    </xf>
    <xf numFmtId="0" fontId="19" fillId="2" borderId="37" xfId="4" applyFont="1" applyFill="1" applyBorder="1" applyAlignment="1">
      <alignment vertical="center"/>
    </xf>
    <xf numFmtId="0" fontId="19" fillId="2" borderId="38" xfId="3" applyFont="1" applyFill="1" applyBorder="1" applyAlignment="1">
      <alignment vertical="center"/>
    </xf>
    <xf numFmtId="0" fontId="19" fillId="2" borderId="39" xfId="3" applyFont="1" applyFill="1" applyBorder="1" applyAlignment="1">
      <alignment vertical="center"/>
    </xf>
    <xf numFmtId="0" fontId="19" fillId="2" borderId="40" xfId="3" applyFont="1" applyFill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71" fontId="13" fillId="8" borderId="21" xfId="1" applyNumberFormat="1" applyFont="1" applyFill="1" applyBorder="1" applyAlignment="1">
      <alignment horizontal="center" vertical="center" wrapText="1"/>
    </xf>
    <xf numFmtId="171" fontId="13" fillId="8" borderId="10" xfId="1" applyNumberFormat="1" applyFont="1" applyFill="1" applyBorder="1" applyAlignment="1">
      <alignment horizontal="center" vertical="center" wrapText="1"/>
    </xf>
    <xf numFmtId="171" fontId="13" fillId="8" borderId="17" xfId="1" applyNumberFormat="1" applyFont="1" applyFill="1" applyBorder="1" applyAlignment="1">
      <alignment horizontal="center" vertical="center" wrapText="1"/>
    </xf>
    <xf numFmtId="171" fontId="13" fillId="8" borderId="22" xfId="1" applyNumberFormat="1" applyFont="1" applyFill="1" applyBorder="1" applyAlignment="1">
      <alignment horizontal="center" vertical="center" wrapText="1"/>
    </xf>
    <xf numFmtId="171" fontId="13" fillId="8" borderId="23" xfId="1" applyNumberFormat="1" applyFont="1" applyFill="1" applyBorder="1" applyAlignment="1">
      <alignment horizontal="center" vertical="center" wrapText="1"/>
    </xf>
    <xf numFmtId="0" fontId="18" fillId="4" borderId="32" xfId="3" applyFont="1" applyFill="1" applyBorder="1" applyAlignment="1">
      <alignment horizontal="center" vertical="center" wrapText="1"/>
    </xf>
    <xf numFmtId="0" fontId="18" fillId="4" borderId="9" xfId="3" applyFont="1" applyFill="1" applyBorder="1" applyAlignment="1">
      <alignment horizontal="center" vertical="center" wrapText="1"/>
    </xf>
    <xf numFmtId="0" fontId="18" fillId="4" borderId="33" xfId="3" applyFont="1" applyFill="1" applyBorder="1" applyAlignment="1">
      <alignment horizontal="center" vertical="center" wrapText="1"/>
    </xf>
    <xf numFmtId="0" fontId="18" fillId="4" borderId="34" xfId="3" applyFont="1" applyFill="1" applyBorder="1" applyAlignment="1">
      <alignment horizontal="center" vertical="center" wrapText="1"/>
    </xf>
    <xf numFmtId="0" fontId="18" fillId="4" borderId="1" xfId="3" applyFont="1" applyFill="1" applyBorder="1" applyAlignment="1">
      <alignment horizontal="center"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8" fillId="4" borderId="32" xfId="4" applyFont="1" applyFill="1" applyBorder="1" applyAlignment="1">
      <alignment horizontal="center"/>
    </xf>
    <xf numFmtId="0" fontId="18" fillId="4" borderId="9" xfId="4" applyFont="1" applyFill="1" applyBorder="1" applyAlignment="1">
      <alignment horizontal="center"/>
    </xf>
    <xf numFmtId="0" fontId="18" fillId="4" borderId="33" xfId="4" applyFont="1" applyFill="1" applyBorder="1" applyAlignment="1">
      <alignment horizontal="center"/>
    </xf>
    <xf numFmtId="0" fontId="18" fillId="4" borderId="26" xfId="4" applyFont="1" applyFill="1" applyBorder="1" applyAlignment="1">
      <alignment horizontal="center"/>
    </xf>
    <xf numFmtId="0" fontId="18" fillId="4" borderId="0" xfId="4" applyFont="1" applyFill="1" applyAlignment="1">
      <alignment horizontal="center"/>
    </xf>
    <xf numFmtId="0" fontId="18" fillId="4" borderId="35" xfId="4" applyFont="1" applyFill="1" applyBorder="1" applyAlignment="1">
      <alignment horizontal="center"/>
    </xf>
    <xf numFmtId="0" fontId="18" fillId="4" borderId="34" xfId="4" applyFont="1" applyFill="1" applyBorder="1" applyAlignment="1">
      <alignment horizontal="center"/>
    </xf>
    <xf numFmtId="0" fontId="18" fillId="4" borderId="1" xfId="4" applyFont="1" applyFill="1" applyBorder="1" applyAlignment="1">
      <alignment horizontal="center"/>
    </xf>
    <xf numFmtId="0" fontId="18" fillId="4" borderId="2" xfId="4" applyFont="1" applyFill="1" applyBorder="1" applyAlignment="1">
      <alignment horizontal="center"/>
    </xf>
    <xf numFmtId="0" fontId="19" fillId="4" borderId="3" xfId="4" applyFont="1" applyFill="1" applyBorder="1" applyAlignment="1">
      <alignment horizontal="center" wrapText="1"/>
    </xf>
    <xf numFmtId="0" fontId="19" fillId="4" borderId="32" xfId="4" applyFont="1" applyFill="1" applyBorder="1" applyAlignment="1">
      <alignment horizontal="center"/>
    </xf>
    <xf numFmtId="0" fontId="19" fillId="4" borderId="9" xfId="4" applyFont="1" applyFill="1" applyBorder="1" applyAlignment="1">
      <alignment horizontal="center"/>
    </xf>
    <xf numFmtId="0" fontId="19" fillId="4" borderId="33" xfId="4" applyFont="1" applyFill="1" applyBorder="1" applyAlignment="1">
      <alignment horizontal="center"/>
    </xf>
    <xf numFmtId="0" fontId="19" fillId="4" borderId="34" xfId="4" applyFont="1" applyFill="1" applyBorder="1" applyAlignment="1">
      <alignment horizontal="center"/>
    </xf>
    <xf numFmtId="0" fontId="19" fillId="4" borderId="1" xfId="4" applyFont="1" applyFill="1" applyBorder="1" applyAlignment="1">
      <alignment horizontal="center"/>
    </xf>
    <xf numFmtId="0" fontId="19" fillId="4" borderId="2" xfId="4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</cellXfs>
  <cellStyles count="5">
    <cellStyle name="Bình thường" xfId="0" builtinId="0"/>
    <cellStyle name="Comma 10" xfId="2" xr:uid="{00000000-0005-0000-0000-000031000000}"/>
    <cellStyle name="Dấu phẩy" xfId="1" builtinId="3"/>
    <cellStyle name="Normal_Bang cham cong" xfId="3" xr:uid="{00000000-0005-0000-0000-000032000000}"/>
    <cellStyle name="Normal_bcham congTTT12" xfId="4" xr:uid="{00000000-0005-0000-0000-000033000000}"/>
  </cellStyles>
  <dxfs count="343"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bgColor rgb="FFFCD5B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bgColor rgb="FF00B0F0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9" tint="0.59996337778862885"/>
        </patternFill>
      </fill>
    </dxf>
    <dxf>
      <font>
        <i val="0"/>
        <color rgb="FFFF0000"/>
      </font>
      <fill>
        <patternFill patternType="solid">
          <bgColor rgb="FFB7DEE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D5B4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9" tint="0.59996337778862885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9" tint="0.59996337778862885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9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B7DEE8"/>
        </patternFill>
      </fill>
    </dxf>
    <dxf>
      <fill>
        <patternFill patternType="solid">
          <bgColor rgb="FFFCD5B4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bgColor theme="9" tint="0.59996337778862885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bgColor rgb="FFFCD5B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0000"/>
      </font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ont>
        <i val="0"/>
        <color rgb="FFFF0000"/>
      </font>
      <fill>
        <patternFill patternType="solid">
          <bgColor rgb="FFB7DEE8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bgColor rgb="FFFCD5B4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CCFF33"/>
          <bgColor rgb="FFCCFF33"/>
        </patternFill>
      </fill>
    </dxf>
    <dxf>
      <fill>
        <patternFill patternType="solid">
          <fgColor rgb="FF0099CC"/>
          <bgColor rgb="FF0099CC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28575</xdr:rowOff>
    </xdr:from>
    <xdr:to>
      <xdr:col>1</xdr:col>
      <xdr:colOff>500829</xdr:colOff>
      <xdr:row>4</xdr:row>
      <xdr:rowOff>191823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8575"/>
          <a:ext cx="738505" cy="7156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LICH%20LAI%20XE%202023.xlsm" TargetMode="External"/><Relationship Id="rId1" Type="http://schemas.openxmlformats.org/officeDocument/2006/relationships/externalLinkPath" Target="file:///G:\My%20Drive\LICH%20LAI%20XE%20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ông báo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PIVOT"/>
      <sheetName val="T11"/>
      <sheetName val="T12"/>
      <sheetName val="TONGHOP"/>
      <sheetName val="CHART"/>
      <sheetName val="Comment"/>
      <sheetName val="Khai báo"/>
      <sheetName val="T2.2023.0"/>
      <sheetName val="CVHN"/>
      <sheetName val="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F2" t="str">
            <v>LP</v>
          </cell>
        </row>
        <row r="3">
          <cell r="F3" t="str">
            <v>HĐ</v>
          </cell>
        </row>
        <row r="4">
          <cell r="F4" t="str">
            <v>X</v>
          </cell>
        </row>
        <row r="5">
          <cell r="F5" t="str">
            <v>NN</v>
          </cell>
        </row>
        <row r="6">
          <cell r="F6" t="str">
            <v>CT</v>
          </cell>
        </row>
        <row r="7">
          <cell r="F7" t="str">
            <v>ĐC</v>
          </cell>
        </row>
        <row r="8">
          <cell r="F8" t="str">
            <v>HN</v>
          </cell>
        </row>
        <row r="9">
          <cell r="F9" t="str">
            <v>TC</v>
          </cell>
        </row>
        <row r="10">
          <cell r="F10" t="str">
            <v>XN</v>
          </cell>
        </row>
      </sheetData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S419"/>
  <sheetViews>
    <sheetView zoomScale="85" zoomScaleNormal="85" zoomScaleSheetLayoutView="85" workbookViewId="0">
      <pane xSplit="2" ySplit="8" topLeftCell="C9" activePane="bottomRight" state="frozen"/>
      <selection pane="topRight"/>
      <selection pane="bottomLeft"/>
      <selection pane="bottomRight" activeCell="A47" sqref="A47"/>
    </sheetView>
  </sheetViews>
  <sheetFormatPr defaultColWidth="9.140625" defaultRowHeight="12.75"/>
  <cols>
    <col min="1" max="1" width="10.42578125" style="79" customWidth="1"/>
    <col min="2" max="2" width="43.7109375" style="79" customWidth="1"/>
    <col min="3" max="3" width="6" style="41" customWidth="1"/>
    <col min="4" max="4" width="6.5703125" style="41" customWidth="1"/>
    <col min="5" max="5" width="6.42578125" style="41" customWidth="1"/>
    <col min="6" max="7" width="6.140625" style="41" customWidth="1"/>
    <col min="8" max="8" width="6.85546875" style="41" customWidth="1"/>
    <col min="9" max="9" width="6.42578125" style="41" customWidth="1"/>
    <col min="10" max="10" width="5.85546875" style="41" customWidth="1"/>
    <col min="11" max="11" width="6.42578125" style="41" customWidth="1"/>
    <col min="12" max="12" width="5.85546875" style="41" customWidth="1"/>
    <col min="13" max="13" width="6.5703125" style="41" customWidth="1"/>
    <col min="14" max="14" width="6.28515625" style="41" customWidth="1"/>
    <col min="15" max="15" width="5.85546875" style="41" customWidth="1"/>
    <col min="16" max="16" width="6.5703125" style="41" customWidth="1"/>
    <col min="17" max="17" width="6.140625" style="41" customWidth="1"/>
    <col min="18" max="20" width="6.42578125" style="41" customWidth="1"/>
    <col min="21" max="22" width="6.28515625" style="41" customWidth="1"/>
    <col min="23" max="23" width="6.42578125" style="41" customWidth="1"/>
    <col min="24" max="25" width="6.5703125" style="41" customWidth="1"/>
    <col min="26" max="27" width="6.28515625" style="41" customWidth="1"/>
    <col min="28" max="28" width="6.140625" style="41" customWidth="1"/>
    <col min="29" max="29" width="6.42578125" style="41" customWidth="1"/>
    <col min="30" max="33" width="6.5703125" style="41" customWidth="1"/>
    <col min="34" max="34" width="8.42578125" style="80" customWidth="1"/>
    <col min="35" max="35" width="7.28515625" style="81" customWidth="1"/>
    <col min="36" max="36" width="9.7109375" style="81" customWidth="1"/>
    <col min="37" max="37" width="9.140625" style="81" hidden="1" customWidth="1"/>
    <col min="38" max="39" width="9.7109375" style="81" hidden="1" customWidth="1"/>
    <col min="40" max="42" width="9.7109375" style="79" hidden="1" customWidth="1"/>
    <col min="43" max="43" width="9.28515625" style="79" customWidth="1"/>
    <col min="44" max="16384" width="9.140625" style="79"/>
  </cols>
  <sheetData>
    <row r="1" spans="1:43">
      <c r="C1" s="82" t="s">
        <v>0</v>
      </c>
      <c r="AH1" s="81"/>
    </row>
    <row r="2" spans="1:43">
      <c r="C2" s="82" t="s">
        <v>1</v>
      </c>
      <c r="AH2" s="81"/>
    </row>
    <row r="3" spans="1:43">
      <c r="C3" s="82"/>
      <c r="AH3" s="81"/>
    </row>
    <row r="4" spans="1:43" ht="5.25" customHeight="1">
      <c r="C4" s="82"/>
      <c r="AH4" s="81"/>
    </row>
    <row r="5" spans="1:43" ht="15.75" customHeight="1">
      <c r="H5" s="123" t="s">
        <v>2</v>
      </c>
      <c r="I5" s="123"/>
      <c r="J5" s="123"/>
      <c r="K5" s="123"/>
      <c r="L5" s="123"/>
      <c r="M5" s="123"/>
      <c r="N5" s="124">
        <v>46174</v>
      </c>
      <c r="O5" s="124"/>
      <c r="P5" s="124"/>
      <c r="AH5" s="81"/>
    </row>
    <row r="6" spans="1:43" ht="18" customHeight="1">
      <c r="A6" s="149" t="s">
        <v>3</v>
      </c>
      <c r="B6" s="149" t="s">
        <v>4</v>
      </c>
      <c r="C6" s="125" t="s">
        <v>5</v>
      </c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46"/>
      <c r="AF6" s="46"/>
      <c r="AG6" s="46"/>
      <c r="AH6" s="151" t="s">
        <v>6</v>
      </c>
      <c r="AI6" s="151" t="s">
        <v>7</v>
      </c>
      <c r="AJ6" s="151" t="s">
        <v>8</v>
      </c>
      <c r="AK6" s="151" t="s">
        <v>9</v>
      </c>
      <c r="AL6" s="151" t="s">
        <v>10</v>
      </c>
      <c r="AM6" s="151" t="s">
        <v>11</v>
      </c>
      <c r="AN6" s="151" t="s">
        <v>12</v>
      </c>
      <c r="AO6" s="151" t="s">
        <v>13</v>
      </c>
      <c r="AP6" s="151" t="s">
        <v>14</v>
      </c>
      <c r="AQ6" s="154" t="s">
        <v>15</v>
      </c>
    </row>
    <row r="7" spans="1:43">
      <c r="A7" s="150"/>
      <c r="B7" s="150"/>
      <c r="C7" s="83">
        <f>N5</f>
        <v>46174</v>
      </c>
      <c r="D7" s="84">
        <f>+C7+1</f>
        <v>46175</v>
      </c>
      <c r="E7" s="84">
        <f t="shared" ref="E7:AD7" si="0">+D7+1</f>
        <v>46176</v>
      </c>
      <c r="F7" s="84">
        <f t="shared" si="0"/>
        <v>46177</v>
      </c>
      <c r="G7" s="84">
        <f t="shared" si="0"/>
        <v>46178</v>
      </c>
      <c r="H7" s="84">
        <f t="shared" si="0"/>
        <v>46179</v>
      </c>
      <c r="I7" s="84">
        <f t="shared" si="0"/>
        <v>46180</v>
      </c>
      <c r="J7" s="84">
        <f t="shared" si="0"/>
        <v>46181</v>
      </c>
      <c r="K7" s="84">
        <f t="shared" si="0"/>
        <v>46182</v>
      </c>
      <c r="L7" s="84">
        <f t="shared" si="0"/>
        <v>46183</v>
      </c>
      <c r="M7" s="84">
        <f t="shared" si="0"/>
        <v>46184</v>
      </c>
      <c r="N7" s="84">
        <f t="shared" si="0"/>
        <v>46185</v>
      </c>
      <c r="O7" s="84">
        <f t="shared" si="0"/>
        <v>46186</v>
      </c>
      <c r="P7" s="84">
        <f t="shared" si="0"/>
        <v>46187</v>
      </c>
      <c r="Q7" s="84">
        <f t="shared" si="0"/>
        <v>46188</v>
      </c>
      <c r="R7" s="84">
        <f t="shared" si="0"/>
        <v>46189</v>
      </c>
      <c r="S7" s="84">
        <f t="shared" si="0"/>
        <v>46190</v>
      </c>
      <c r="T7" s="84">
        <f t="shared" si="0"/>
        <v>46191</v>
      </c>
      <c r="U7" s="84">
        <f t="shared" si="0"/>
        <v>46192</v>
      </c>
      <c r="V7" s="84">
        <f t="shared" si="0"/>
        <v>46193</v>
      </c>
      <c r="W7" s="84">
        <f t="shared" si="0"/>
        <v>46194</v>
      </c>
      <c r="X7" s="84">
        <f t="shared" si="0"/>
        <v>46195</v>
      </c>
      <c r="Y7" s="83">
        <f t="shared" si="0"/>
        <v>46196</v>
      </c>
      <c r="Z7" s="83">
        <f t="shared" si="0"/>
        <v>46197</v>
      </c>
      <c r="AA7" s="83">
        <f t="shared" si="0"/>
        <v>46198</v>
      </c>
      <c r="AB7" s="83">
        <f t="shared" si="0"/>
        <v>46199</v>
      </c>
      <c r="AC7" s="83">
        <f t="shared" si="0"/>
        <v>46200</v>
      </c>
      <c r="AD7" s="83">
        <f t="shared" si="0"/>
        <v>46201</v>
      </c>
      <c r="AE7" s="83">
        <f t="shared" ref="AE7" si="1">+AD7+1</f>
        <v>46202</v>
      </c>
      <c r="AF7" s="83">
        <f t="shared" ref="AF7:AG7" si="2">+AE7+1</f>
        <v>46203</v>
      </c>
      <c r="AG7" s="83">
        <f t="shared" si="2"/>
        <v>46204</v>
      </c>
      <c r="AH7" s="152"/>
      <c r="AI7" s="152"/>
      <c r="AJ7" s="152"/>
      <c r="AK7" s="152"/>
      <c r="AL7" s="152"/>
      <c r="AM7" s="152"/>
      <c r="AN7" s="152"/>
      <c r="AO7" s="152"/>
      <c r="AP7" s="152"/>
      <c r="AQ7" s="155"/>
    </row>
    <row r="8" spans="1:43" ht="19.5" customHeight="1">
      <c r="A8" s="150"/>
      <c r="B8" s="150"/>
      <c r="C8" s="85" t="str">
        <f t="shared" ref="C8:AD8" si="3">+CHOOSE(WEEKDAY(C7),"C.Nhật","T.Hai","T.Ba","T.Tư","T.Năm","T.Sáu","T.Bảy")</f>
        <v>T.Hai</v>
      </c>
      <c r="D8" s="85" t="str">
        <f t="shared" si="3"/>
        <v>T.Ba</v>
      </c>
      <c r="E8" s="85" t="str">
        <f t="shared" si="3"/>
        <v>T.Tư</v>
      </c>
      <c r="F8" s="85" t="str">
        <f t="shared" si="3"/>
        <v>T.Năm</v>
      </c>
      <c r="G8" s="85" t="str">
        <f t="shared" si="3"/>
        <v>T.Sáu</v>
      </c>
      <c r="H8" s="85" t="str">
        <f t="shared" si="3"/>
        <v>T.Bảy</v>
      </c>
      <c r="I8" s="85" t="str">
        <f t="shared" si="3"/>
        <v>C.Nhật</v>
      </c>
      <c r="J8" s="85" t="str">
        <f t="shared" si="3"/>
        <v>T.Hai</v>
      </c>
      <c r="K8" s="85" t="str">
        <f t="shared" si="3"/>
        <v>T.Ba</v>
      </c>
      <c r="L8" s="85" t="str">
        <f t="shared" si="3"/>
        <v>T.Tư</v>
      </c>
      <c r="M8" s="85" t="str">
        <f t="shared" si="3"/>
        <v>T.Năm</v>
      </c>
      <c r="N8" s="85" t="str">
        <f t="shared" si="3"/>
        <v>T.Sáu</v>
      </c>
      <c r="O8" s="85" t="str">
        <f t="shared" si="3"/>
        <v>T.Bảy</v>
      </c>
      <c r="P8" s="85" t="str">
        <f t="shared" si="3"/>
        <v>C.Nhật</v>
      </c>
      <c r="Q8" s="85" t="str">
        <f t="shared" si="3"/>
        <v>T.Hai</v>
      </c>
      <c r="R8" s="85" t="str">
        <f t="shared" si="3"/>
        <v>T.Ba</v>
      </c>
      <c r="S8" s="85" t="str">
        <f t="shared" si="3"/>
        <v>T.Tư</v>
      </c>
      <c r="T8" s="85" t="str">
        <f t="shared" si="3"/>
        <v>T.Năm</v>
      </c>
      <c r="U8" s="85" t="str">
        <f t="shared" si="3"/>
        <v>T.Sáu</v>
      </c>
      <c r="V8" s="85" t="str">
        <f t="shared" si="3"/>
        <v>T.Bảy</v>
      </c>
      <c r="W8" s="85" t="str">
        <f t="shared" si="3"/>
        <v>C.Nhật</v>
      </c>
      <c r="X8" s="85" t="str">
        <f t="shared" si="3"/>
        <v>T.Hai</v>
      </c>
      <c r="Y8" s="85" t="str">
        <f t="shared" si="3"/>
        <v>T.Ba</v>
      </c>
      <c r="Z8" s="85" t="str">
        <f t="shared" si="3"/>
        <v>T.Tư</v>
      </c>
      <c r="AA8" s="85" t="str">
        <f t="shared" si="3"/>
        <v>T.Năm</v>
      </c>
      <c r="AB8" s="85" t="str">
        <f t="shared" si="3"/>
        <v>T.Sáu</v>
      </c>
      <c r="AC8" s="85" t="str">
        <f t="shared" si="3"/>
        <v>T.Bảy</v>
      </c>
      <c r="AD8" s="85" t="str">
        <f t="shared" si="3"/>
        <v>C.Nhật</v>
      </c>
      <c r="AE8" s="85" t="str">
        <f t="shared" ref="AE8:AG8" si="4">+CHOOSE(WEEKDAY(AE7),"C.Nhật","T.Hai","T.Ba","T.Tư","T.Năm","T.Sáu","T.Bảy")</f>
        <v>T.Hai</v>
      </c>
      <c r="AF8" s="85" t="str">
        <f t="shared" si="4"/>
        <v>T.Ba</v>
      </c>
      <c r="AG8" s="85" t="str">
        <f t="shared" si="4"/>
        <v>T.Tư</v>
      </c>
      <c r="AH8" s="152"/>
      <c r="AI8" s="152"/>
      <c r="AJ8" s="152"/>
      <c r="AK8" s="153"/>
      <c r="AL8" s="153"/>
      <c r="AM8" s="153"/>
      <c r="AN8" s="153"/>
      <c r="AO8" s="153"/>
      <c r="AP8" s="153"/>
      <c r="AQ8" s="155"/>
    </row>
    <row r="9" spans="1:43" ht="19.149999999999999" customHeight="1">
      <c r="A9" s="65"/>
      <c r="B9" s="86" t="s">
        <v>16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69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87">
        <f>COUNTIF(C9:AG9,"X")+COUNTIF(C9:AG9,"-")*0.5</f>
        <v>0</v>
      </c>
      <c r="AI9" s="87">
        <f>SUM(C9:AG9)</f>
        <v>0</v>
      </c>
      <c r="AJ9" s="87">
        <f>COUNTIF(C9:AG9,"LT")</f>
        <v>0</v>
      </c>
      <c r="AK9" s="87">
        <f>COUNTIF(C9:AD9,"LL")</f>
        <v>0</v>
      </c>
      <c r="AL9" s="88">
        <f>COUNTIF(C9:AD9,"NK")</f>
        <v>0</v>
      </c>
      <c r="AM9" s="88">
        <f>COUNTIF(C9:AD9,"HH")</f>
        <v>0</v>
      </c>
      <c r="AN9" s="88">
        <f>COUNTIF(C9:AD9,"HH")</f>
        <v>0</v>
      </c>
      <c r="AO9" s="88">
        <f>COUNTIF(C9:AD9,"LT")</f>
        <v>0</v>
      </c>
      <c r="AP9" s="88">
        <f>COUNTIF(C9:AD9,"HH")</f>
        <v>0</v>
      </c>
      <c r="AQ9" s="89"/>
    </row>
    <row r="10" spans="1:43" ht="19.149999999999999" customHeight="1">
      <c r="A10" s="56" t="s">
        <v>17</v>
      </c>
      <c r="B10" s="56" t="s">
        <v>18</v>
      </c>
      <c r="C10" s="53" t="s">
        <v>19</v>
      </c>
      <c r="D10" s="53" t="s">
        <v>19</v>
      </c>
      <c r="E10" s="53" t="s">
        <v>19</v>
      </c>
      <c r="F10" s="53" t="s">
        <v>19</v>
      </c>
      <c r="G10" s="53" t="s">
        <v>19</v>
      </c>
      <c r="H10" s="53" t="s">
        <v>19</v>
      </c>
      <c r="I10" s="53" t="s">
        <v>19</v>
      </c>
      <c r="J10" s="53" t="s">
        <v>20</v>
      </c>
      <c r="K10" s="53" t="s">
        <v>21</v>
      </c>
      <c r="L10" s="53" t="s">
        <v>21</v>
      </c>
      <c r="M10" s="53" t="s">
        <v>19</v>
      </c>
      <c r="N10" s="53" t="s">
        <v>19</v>
      </c>
      <c r="O10" s="53" t="s">
        <v>19</v>
      </c>
      <c r="P10" s="53" t="s">
        <v>19</v>
      </c>
      <c r="Q10" s="53" t="s">
        <v>19</v>
      </c>
      <c r="R10" s="53" t="s">
        <v>19</v>
      </c>
      <c r="S10" s="53" t="s">
        <v>19</v>
      </c>
      <c r="T10" s="53" t="s">
        <v>21</v>
      </c>
      <c r="U10" s="53" t="s">
        <v>19</v>
      </c>
      <c r="V10" s="53" t="s">
        <v>19</v>
      </c>
      <c r="W10" s="69" t="s">
        <v>19</v>
      </c>
      <c r="X10" s="53" t="s">
        <v>19</v>
      </c>
      <c r="Y10" s="53" t="s">
        <v>19</v>
      </c>
      <c r="Z10" s="53" t="s">
        <v>19</v>
      </c>
      <c r="AA10" s="53" t="s">
        <v>19</v>
      </c>
      <c r="AB10" s="53" t="s">
        <v>19</v>
      </c>
      <c r="AC10" s="53" t="s">
        <v>19</v>
      </c>
      <c r="AD10" s="53" t="s">
        <v>19</v>
      </c>
      <c r="AE10" s="53" t="s">
        <v>19</v>
      </c>
      <c r="AF10" s="53" t="s">
        <v>21</v>
      </c>
      <c r="AG10" s="53"/>
      <c r="AH10" s="87">
        <f t="shared" ref="AH10:AH16" si="5">COUNTIF(C10:AG10,"X")+COUNTIF(C10:AG10,"-")*0.5</f>
        <v>25.5</v>
      </c>
      <c r="AI10" s="87">
        <f t="shared" ref="AI10:AI16" si="6">SUM(C10:AG10)</f>
        <v>0</v>
      </c>
      <c r="AJ10" s="87">
        <f t="shared" ref="AJ10:AJ16" si="7">COUNTIF(C10:AG10,"LT")</f>
        <v>0</v>
      </c>
      <c r="AK10" s="87"/>
      <c r="AL10" s="88"/>
      <c r="AM10" s="88"/>
      <c r="AN10" s="88"/>
      <c r="AO10" s="88"/>
      <c r="AP10" s="88"/>
      <c r="AQ10" s="89"/>
    </row>
    <row r="11" spans="1:43" ht="24.75" customHeight="1">
      <c r="A11" s="56" t="s">
        <v>22</v>
      </c>
      <c r="B11" s="56" t="s">
        <v>23</v>
      </c>
      <c r="C11" s="60" t="s">
        <v>19</v>
      </c>
      <c r="D11" s="60" t="s">
        <v>19</v>
      </c>
      <c r="E11" s="60" t="s">
        <v>21</v>
      </c>
      <c r="F11" s="60" t="s">
        <v>19</v>
      </c>
      <c r="G11" s="60" t="s">
        <v>19</v>
      </c>
      <c r="H11" s="60" t="s">
        <v>19</v>
      </c>
      <c r="I11" s="60" t="s">
        <v>19</v>
      </c>
      <c r="J11" s="60" t="s">
        <v>19</v>
      </c>
      <c r="K11" s="60" t="s">
        <v>19</v>
      </c>
      <c r="L11" s="60" t="s">
        <v>19</v>
      </c>
      <c r="M11" s="60" t="s">
        <v>21</v>
      </c>
      <c r="N11" s="60" t="s">
        <v>19</v>
      </c>
      <c r="O11" s="60" t="s">
        <v>19</v>
      </c>
      <c r="P11" s="60" t="s">
        <v>19</v>
      </c>
      <c r="Q11" s="60" t="s">
        <v>19</v>
      </c>
      <c r="R11" s="60" t="s">
        <v>19</v>
      </c>
      <c r="S11" s="60" t="s">
        <v>19</v>
      </c>
      <c r="T11" s="60" t="s">
        <v>19</v>
      </c>
      <c r="U11" s="60" t="s">
        <v>19</v>
      </c>
      <c r="V11" s="60" t="s">
        <v>19</v>
      </c>
      <c r="W11" s="60" t="s">
        <v>19</v>
      </c>
      <c r="X11" s="60" t="s">
        <v>21</v>
      </c>
      <c r="Y11" s="60" t="s">
        <v>21</v>
      </c>
      <c r="Z11" s="60" t="s">
        <v>21</v>
      </c>
      <c r="AA11" s="60" t="s">
        <v>19</v>
      </c>
      <c r="AB11" s="60" t="s">
        <v>19</v>
      </c>
      <c r="AC11" s="60" t="s">
        <v>21</v>
      </c>
      <c r="AD11" s="60" t="s">
        <v>19</v>
      </c>
      <c r="AE11" s="60" t="s">
        <v>19</v>
      </c>
      <c r="AF11" s="60" t="s">
        <v>19</v>
      </c>
      <c r="AG11" s="60"/>
      <c r="AH11" s="87">
        <f t="shared" si="5"/>
        <v>24</v>
      </c>
      <c r="AI11" s="87">
        <f t="shared" si="6"/>
        <v>0</v>
      </c>
      <c r="AJ11" s="87">
        <f t="shared" si="7"/>
        <v>0</v>
      </c>
      <c r="AK11" s="87"/>
      <c r="AL11" s="88"/>
      <c r="AM11" s="88"/>
      <c r="AN11" s="88"/>
      <c r="AO11" s="88"/>
      <c r="AP11" s="88"/>
      <c r="AQ11" s="89"/>
    </row>
    <row r="12" spans="1:43" ht="24.75" customHeight="1">
      <c r="A12" s="56" t="s">
        <v>24</v>
      </c>
      <c r="B12" s="56" t="s">
        <v>25</v>
      </c>
      <c r="C12" s="60" t="s">
        <v>19</v>
      </c>
      <c r="D12" s="60" t="s">
        <v>21</v>
      </c>
      <c r="E12" s="60" t="s">
        <v>21</v>
      </c>
      <c r="F12" s="60" t="s">
        <v>19</v>
      </c>
      <c r="G12" s="60" t="s">
        <v>19</v>
      </c>
      <c r="H12" s="60" t="s">
        <v>19</v>
      </c>
      <c r="I12" s="60" t="s">
        <v>19</v>
      </c>
      <c r="J12" s="60" t="s">
        <v>19</v>
      </c>
      <c r="K12" s="60" t="s">
        <v>19</v>
      </c>
      <c r="L12" s="60" t="s">
        <v>19</v>
      </c>
      <c r="M12" s="60" t="s">
        <v>19</v>
      </c>
      <c r="N12" s="60" t="s">
        <v>19</v>
      </c>
      <c r="O12" s="60" t="s">
        <v>19</v>
      </c>
      <c r="P12" s="60" t="s">
        <v>19</v>
      </c>
      <c r="Q12" s="60" t="s">
        <v>19</v>
      </c>
      <c r="R12" s="60" t="s">
        <v>21</v>
      </c>
      <c r="S12" s="60" t="s">
        <v>21</v>
      </c>
      <c r="T12" s="60" t="s">
        <v>19</v>
      </c>
      <c r="U12" s="60" t="s">
        <v>19</v>
      </c>
      <c r="V12" s="60" t="s">
        <v>19</v>
      </c>
      <c r="W12" s="60" t="s">
        <v>19</v>
      </c>
      <c r="X12" s="60" t="s">
        <v>19</v>
      </c>
      <c r="Y12" s="60" t="s">
        <v>19</v>
      </c>
      <c r="Z12" s="60" t="s">
        <v>19</v>
      </c>
      <c r="AA12" s="60" t="s">
        <v>19</v>
      </c>
      <c r="AB12" s="60" t="s">
        <v>19</v>
      </c>
      <c r="AC12" s="60" t="s">
        <v>19</v>
      </c>
      <c r="AD12" s="60" t="s">
        <v>19</v>
      </c>
      <c r="AE12" s="60" t="s">
        <v>19</v>
      </c>
      <c r="AF12" s="60" t="s">
        <v>21</v>
      </c>
      <c r="AG12" s="60"/>
      <c r="AH12" s="87">
        <f t="shared" si="5"/>
        <v>25</v>
      </c>
      <c r="AI12" s="87">
        <f t="shared" si="6"/>
        <v>0</v>
      </c>
      <c r="AJ12" s="87">
        <f t="shared" si="7"/>
        <v>0</v>
      </c>
      <c r="AK12" s="87"/>
      <c r="AL12" s="88"/>
      <c r="AM12" s="88"/>
      <c r="AN12" s="88"/>
      <c r="AO12" s="88"/>
      <c r="AP12" s="88"/>
      <c r="AQ12" s="89"/>
    </row>
    <row r="13" spans="1:43" ht="24.75" customHeight="1">
      <c r="A13" s="56" t="s">
        <v>26</v>
      </c>
      <c r="B13" s="56" t="s">
        <v>27</v>
      </c>
      <c r="C13" s="60" t="s">
        <v>19</v>
      </c>
      <c r="D13" s="60" t="s">
        <v>21</v>
      </c>
      <c r="E13" s="60" t="s">
        <v>21</v>
      </c>
      <c r="F13" s="60" t="s">
        <v>19</v>
      </c>
      <c r="G13" s="60" t="s">
        <v>19</v>
      </c>
      <c r="H13" s="60" t="s">
        <v>19</v>
      </c>
      <c r="I13" s="60" t="s">
        <v>19</v>
      </c>
      <c r="J13" s="60" t="s">
        <v>19</v>
      </c>
      <c r="K13" s="60" t="s">
        <v>21</v>
      </c>
      <c r="L13" s="60" t="s">
        <v>21</v>
      </c>
      <c r="M13" s="60" t="s">
        <v>21</v>
      </c>
      <c r="N13" s="60" t="s">
        <v>19</v>
      </c>
      <c r="O13" s="60" t="s">
        <v>19</v>
      </c>
      <c r="P13" s="60" t="s">
        <v>19</v>
      </c>
      <c r="Q13" s="60" t="s">
        <v>21</v>
      </c>
      <c r="R13" s="60" t="s">
        <v>21</v>
      </c>
      <c r="S13" s="60" t="s">
        <v>19</v>
      </c>
      <c r="T13" s="60" t="s">
        <v>19</v>
      </c>
      <c r="U13" s="60" t="s">
        <v>21</v>
      </c>
      <c r="V13" s="60" t="s">
        <v>21</v>
      </c>
      <c r="W13" s="60" t="s">
        <v>19</v>
      </c>
      <c r="X13" s="60" t="s">
        <v>19</v>
      </c>
      <c r="Y13" s="60" t="s">
        <v>21</v>
      </c>
      <c r="Z13" s="60" t="s">
        <v>21</v>
      </c>
      <c r="AA13" s="60" t="s">
        <v>21</v>
      </c>
      <c r="AB13" s="60" t="s">
        <v>19</v>
      </c>
      <c r="AC13" s="60" t="s">
        <v>19</v>
      </c>
      <c r="AD13" s="60" t="s">
        <v>19</v>
      </c>
      <c r="AE13" s="60" t="s">
        <v>21</v>
      </c>
      <c r="AF13" s="60" t="s">
        <v>21</v>
      </c>
      <c r="AG13" s="60"/>
      <c r="AH13" s="87">
        <f t="shared" si="5"/>
        <v>16</v>
      </c>
      <c r="AI13" s="87">
        <f t="shared" si="6"/>
        <v>0</v>
      </c>
      <c r="AJ13" s="87">
        <f t="shared" si="7"/>
        <v>0</v>
      </c>
      <c r="AK13" s="87"/>
      <c r="AL13" s="88"/>
      <c r="AM13" s="88"/>
      <c r="AN13" s="88"/>
      <c r="AO13" s="88"/>
      <c r="AP13" s="88"/>
      <c r="AQ13" s="89"/>
    </row>
    <row r="14" spans="1:43" ht="24.75" customHeight="1">
      <c r="A14" s="56" t="s">
        <v>28</v>
      </c>
      <c r="B14" s="56" t="s">
        <v>29</v>
      </c>
      <c r="C14" s="60" t="s">
        <v>19</v>
      </c>
      <c r="D14" s="60" t="s">
        <v>19</v>
      </c>
      <c r="E14" s="60" t="s">
        <v>21</v>
      </c>
      <c r="F14" s="60" t="s">
        <v>19</v>
      </c>
      <c r="G14" s="60" t="s">
        <v>19</v>
      </c>
      <c r="H14" s="60" t="s">
        <v>19</v>
      </c>
      <c r="I14" s="60" t="s">
        <v>19</v>
      </c>
      <c r="J14" s="60" t="s">
        <v>19</v>
      </c>
      <c r="K14" s="60" t="s">
        <v>21</v>
      </c>
      <c r="L14" s="60" t="s">
        <v>19</v>
      </c>
      <c r="M14" s="60" t="s">
        <v>19</v>
      </c>
      <c r="N14" s="60" t="s">
        <v>19</v>
      </c>
      <c r="O14" s="60" t="s">
        <v>19</v>
      </c>
      <c r="P14" s="60" t="s">
        <v>19</v>
      </c>
      <c r="Q14" s="60" t="s">
        <v>19</v>
      </c>
      <c r="R14" s="60" t="s">
        <v>21</v>
      </c>
      <c r="S14" s="60" t="s">
        <v>19</v>
      </c>
      <c r="T14" s="60" t="s">
        <v>19</v>
      </c>
      <c r="U14" s="60" t="s">
        <v>19</v>
      </c>
      <c r="V14" s="60" t="s">
        <v>19</v>
      </c>
      <c r="W14" s="60" t="s">
        <v>19</v>
      </c>
      <c r="X14" s="60" t="s">
        <v>19</v>
      </c>
      <c r="Y14" s="60" t="s">
        <v>21</v>
      </c>
      <c r="Z14" s="60" t="s">
        <v>19</v>
      </c>
      <c r="AA14" s="60" t="s">
        <v>19</v>
      </c>
      <c r="AB14" s="60" t="s">
        <v>19</v>
      </c>
      <c r="AC14" s="60" t="s">
        <v>19</v>
      </c>
      <c r="AD14" s="60" t="s">
        <v>19</v>
      </c>
      <c r="AE14" s="60" t="s">
        <v>19</v>
      </c>
      <c r="AF14" s="60" t="s">
        <v>19</v>
      </c>
      <c r="AG14" s="60"/>
      <c r="AH14" s="87">
        <f t="shared" si="5"/>
        <v>26</v>
      </c>
      <c r="AI14" s="87">
        <f t="shared" si="6"/>
        <v>0</v>
      </c>
      <c r="AJ14" s="87">
        <f t="shared" si="7"/>
        <v>0</v>
      </c>
      <c r="AK14" s="87"/>
      <c r="AL14" s="88"/>
      <c r="AM14" s="88"/>
      <c r="AN14" s="88"/>
      <c r="AO14" s="88"/>
      <c r="AP14" s="88"/>
      <c r="AQ14" s="89"/>
    </row>
    <row r="15" spans="1:43" ht="24.75" customHeight="1">
      <c r="A15" s="56" t="s">
        <v>30</v>
      </c>
      <c r="B15" s="56" t="s">
        <v>31</v>
      </c>
      <c r="C15" s="60" t="s">
        <v>19</v>
      </c>
      <c r="D15" s="60" t="s">
        <v>19</v>
      </c>
      <c r="E15" s="60" t="s">
        <v>21</v>
      </c>
      <c r="F15" s="60" t="s">
        <v>19</v>
      </c>
      <c r="G15" s="60" t="s">
        <v>19</v>
      </c>
      <c r="H15" s="60" t="s">
        <v>19</v>
      </c>
      <c r="I15" s="60" t="s">
        <v>19</v>
      </c>
      <c r="J15" s="60" t="s">
        <v>19</v>
      </c>
      <c r="K15" s="60" t="s">
        <v>19</v>
      </c>
      <c r="L15" s="60" t="s">
        <v>19</v>
      </c>
      <c r="M15" s="60" t="s">
        <v>19</v>
      </c>
      <c r="N15" s="60" t="s">
        <v>19</v>
      </c>
      <c r="O15" s="60" t="s">
        <v>19</v>
      </c>
      <c r="P15" s="60" t="s">
        <v>19</v>
      </c>
      <c r="Q15" s="60" t="s">
        <v>19</v>
      </c>
      <c r="R15" s="60" t="s">
        <v>19</v>
      </c>
      <c r="S15" s="60" t="s">
        <v>21</v>
      </c>
      <c r="T15" s="60" t="s">
        <v>19</v>
      </c>
      <c r="U15" s="60" t="s">
        <v>19</v>
      </c>
      <c r="V15" s="60" t="s">
        <v>19</v>
      </c>
      <c r="W15" s="60" t="s">
        <v>19</v>
      </c>
      <c r="X15" s="60" t="s">
        <v>19</v>
      </c>
      <c r="Y15" s="60" t="s">
        <v>19</v>
      </c>
      <c r="Z15" s="60" t="s">
        <v>21</v>
      </c>
      <c r="AA15" s="60" t="s">
        <v>21</v>
      </c>
      <c r="AB15" s="60" t="s">
        <v>19</v>
      </c>
      <c r="AC15" s="60" t="s">
        <v>19</v>
      </c>
      <c r="AD15" s="60" t="s">
        <v>19</v>
      </c>
      <c r="AE15" s="60" t="s">
        <v>19</v>
      </c>
      <c r="AF15" s="60" t="s">
        <v>19</v>
      </c>
      <c r="AG15" s="60"/>
      <c r="AH15" s="87">
        <f t="shared" si="5"/>
        <v>26</v>
      </c>
      <c r="AI15" s="87">
        <f t="shared" si="6"/>
        <v>0</v>
      </c>
      <c r="AJ15" s="87">
        <f t="shared" si="7"/>
        <v>0</v>
      </c>
      <c r="AK15" s="87"/>
      <c r="AL15" s="88"/>
      <c r="AM15" s="88"/>
      <c r="AN15" s="88"/>
      <c r="AO15" s="88"/>
      <c r="AP15" s="88"/>
      <c r="AQ15" s="89"/>
    </row>
    <row r="16" spans="1:43" ht="24.75" customHeight="1">
      <c r="A16" s="56" t="s">
        <v>32</v>
      </c>
      <c r="B16" s="56" t="s">
        <v>33</v>
      </c>
      <c r="C16" s="60" t="s">
        <v>19</v>
      </c>
      <c r="D16" s="60" t="s">
        <v>19</v>
      </c>
      <c r="E16" s="60" t="s">
        <v>19</v>
      </c>
      <c r="F16" s="60" t="s">
        <v>19</v>
      </c>
      <c r="G16" s="60" t="s">
        <v>19</v>
      </c>
      <c r="H16" s="60" t="s">
        <v>19</v>
      </c>
      <c r="I16" s="60" t="s">
        <v>19</v>
      </c>
      <c r="J16" s="60" t="s">
        <v>19</v>
      </c>
      <c r="K16" s="60" t="s">
        <v>19</v>
      </c>
      <c r="L16" s="60" t="s">
        <v>19</v>
      </c>
      <c r="M16" s="60" t="s">
        <v>19</v>
      </c>
      <c r="N16" s="60" t="s">
        <v>19</v>
      </c>
      <c r="O16" s="60" t="s">
        <v>19</v>
      </c>
      <c r="P16" s="60" t="s">
        <v>19</v>
      </c>
      <c r="Q16" s="60" t="s">
        <v>19</v>
      </c>
      <c r="R16" s="60" t="s">
        <v>21</v>
      </c>
      <c r="S16" s="60" t="s">
        <v>19</v>
      </c>
      <c r="T16" s="60" t="s">
        <v>19</v>
      </c>
      <c r="U16" s="60" t="s">
        <v>19</v>
      </c>
      <c r="V16" s="60" t="s">
        <v>19</v>
      </c>
      <c r="W16" s="60" t="s">
        <v>19</v>
      </c>
      <c r="X16" s="60" t="s">
        <v>19</v>
      </c>
      <c r="Y16" s="60" t="s">
        <v>19</v>
      </c>
      <c r="Z16" s="60" t="s">
        <v>19</v>
      </c>
      <c r="AA16" s="60" t="s">
        <v>19</v>
      </c>
      <c r="AB16" s="60" t="s">
        <v>21</v>
      </c>
      <c r="AC16" s="60" t="s">
        <v>21</v>
      </c>
      <c r="AD16" s="60" t="s">
        <v>21</v>
      </c>
      <c r="AE16" s="60" t="s">
        <v>21</v>
      </c>
      <c r="AF16" s="60" t="s">
        <v>21</v>
      </c>
      <c r="AG16" s="60"/>
      <c r="AH16" s="87">
        <f t="shared" si="5"/>
        <v>24</v>
      </c>
      <c r="AI16" s="87">
        <f t="shared" si="6"/>
        <v>0</v>
      </c>
      <c r="AJ16" s="87">
        <f t="shared" si="7"/>
        <v>0</v>
      </c>
      <c r="AK16" s="87"/>
      <c r="AL16" s="88"/>
      <c r="AM16" s="88"/>
      <c r="AN16" s="88"/>
      <c r="AO16" s="88"/>
      <c r="AP16" s="88"/>
      <c r="AQ16" s="89"/>
    </row>
    <row r="17" spans="1:43" ht="24.75" customHeight="1">
      <c r="A17" s="56" t="s">
        <v>34</v>
      </c>
      <c r="B17" s="56" t="s">
        <v>35</v>
      </c>
      <c r="C17" s="60" t="s">
        <v>19</v>
      </c>
      <c r="D17" s="60" t="s">
        <v>19</v>
      </c>
      <c r="E17" s="60" t="s">
        <v>19</v>
      </c>
      <c r="F17" s="60" t="s">
        <v>19</v>
      </c>
      <c r="G17" s="60" t="s">
        <v>19</v>
      </c>
      <c r="H17" s="60" t="s">
        <v>19</v>
      </c>
      <c r="I17" s="60" t="s">
        <v>19</v>
      </c>
      <c r="J17" s="60" t="s">
        <v>19</v>
      </c>
      <c r="K17" s="60" t="s">
        <v>19</v>
      </c>
      <c r="L17" s="60" t="s">
        <v>19</v>
      </c>
      <c r="M17" s="60" t="s">
        <v>19</v>
      </c>
      <c r="N17" s="60" t="s">
        <v>19</v>
      </c>
      <c r="O17" s="60" t="s">
        <v>19</v>
      </c>
      <c r="P17" s="60" t="s">
        <v>19</v>
      </c>
      <c r="Q17" s="60" t="s">
        <v>19</v>
      </c>
      <c r="R17" s="60" t="s">
        <v>19</v>
      </c>
      <c r="S17" s="60" t="s">
        <v>19</v>
      </c>
      <c r="T17" s="60" t="s">
        <v>19</v>
      </c>
      <c r="U17" s="60" t="s">
        <v>19</v>
      </c>
      <c r="V17" s="60" t="s">
        <v>19</v>
      </c>
      <c r="W17" s="60" t="s">
        <v>19</v>
      </c>
      <c r="X17" s="60" t="s">
        <v>19</v>
      </c>
      <c r="Y17" s="60" t="s">
        <v>21</v>
      </c>
      <c r="Z17" s="60" t="s">
        <v>21</v>
      </c>
      <c r="AA17" s="60" t="s">
        <v>19</v>
      </c>
      <c r="AB17" s="60" t="s">
        <v>19</v>
      </c>
      <c r="AC17" s="60" t="s">
        <v>19</v>
      </c>
      <c r="AD17" s="60" t="s">
        <v>19</v>
      </c>
      <c r="AE17" s="60" t="s">
        <v>19</v>
      </c>
      <c r="AF17" s="60" t="s">
        <v>19</v>
      </c>
      <c r="AG17" s="60"/>
      <c r="AH17" s="87">
        <f t="shared" ref="AH17:AH19" si="8">COUNTIF(C17:AG17,"X")+COUNTIF(C17:AG17,"-")*0.5</f>
        <v>28</v>
      </c>
      <c r="AI17" s="87">
        <f t="shared" ref="AI17:AI19" si="9">SUM(C17:AG17)</f>
        <v>0</v>
      </c>
      <c r="AJ17" s="87">
        <f t="shared" ref="AJ17:AJ19" si="10">COUNTIF(C17:AG17,"LT")</f>
        <v>0</v>
      </c>
      <c r="AK17" s="87"/>
      <c r="AL17" s="88"/>
      <c r="AM17" s="88"/>
      <c r="AN17" s="88"/>
      <c r="AO17" s="88"/>
      <c r="AP17" s="88"/>
      <c r="AQ17" s="89"/>
    </row>
    <row r="18" spans="1:43" ht="24.75" customHeight="1">
      <c r="A18" s="56" t="s">
        <v>36</v>
      </c>
      <c r="B18" s="56" t="s">
        <v>37</v>
      </c>
      <c r="C18" s="60" t="s">
        <v>21</v>
      </c>
      <c r="D18" s="60" t="s">
        <v>19</v>
      </c>
      <c r="E18" s="60" t="s">
        <v>19</v>
      </c>
      <c r="F18" s="60" t="s">
        <v>19</v>
      </c>
      <c r="G18" s="60" t="s">
        <v>19</v>
      </c>
      <c r="H18" s="60" t="s">
        <v>19</v>
      </c>
      <c r="I18" s="60" t="s">
        <v>19</v>
      </c>
      <c r="J18" s="60" t="s">
        <v>19</v>
      </c>
      <c r="K18" s="60" t="s">
        <v>21</v>
      </c>
      <c r="L18" s="60" t="s">
        <v>19</v>
      </c>
      <c r="M18" s="60" t="s">
        <v>19</v>
      </c>
      <c r="N18" s="60" t="s">
        <v>19</v>
      </c>
      <c r="O18" s="60" t="s">
        <v>19</v>
      </c>
      <c r="P18" s="60" t="s">
        <v>19</v>
      </c>
      <c r="Q18" s="60" t="s">
        <v>19</v>
      </c>
      <c r="R18" s="60" t="s">
        <v>19</v>
      </c>
      <c r="S18" s="60" t="s">
        <v>19</v>
      </c>
      <c r="T18" s="60" t="s">
        <v>19</v>
      </c>
      <c r="U18" s="60" t="s">
        <v>19</v>
      </c>
      <c r="V18" s="60" t="s">
        <v>19</v>
      </c>
      <c r="W18" s="60" t="s">
        <v>19</v>
      </c>
      <c r="X18" s="60" t="s">
        <v>21</v>
      </c>
      <c r="Y18" s="60" t="s">
        <v>19</v>
      </c>
      <c r="Z18" s="60" t="s">
        <v>19</v>
      </c>
      <c r="AA18" s="60" t="s">
        <v>19</v>
      </c>
      <c r="AB18" s="60" t="s">
        <v>19</v>
      </c>
      <c r="AC18" s="60" t="s">
        <v>19</v>
      </c>
      <c r="AD18" s="60" t="s">
        <v>19</v>
      </c>
      <c r="AE18" s="60" t="s">
        <v>19</v>
      </c>
      <c r="AF18" s="60" t="s">
        <v>21</v>
      </c>
      <c r="AG18" s="60"/>
      <c r="AH18" s="87">
        <f t="shared" si="8"/>
        <v>26</v>
      </c>
      <c r="AI18" s="87">
        <f t="shared" si="9"/>
        <v>0</v>
      </c>
      <c r="AJ18" s="87">
        <f t="shared" si="10"/>
        <v>0</v>
      </c>
      <c r="AK18" s="87"/>
      <c r="AL18" s="88"/>
      <c r="AM18" s="88"/>
      <c r="AN18" s="88"/>
      <c r="AO18" s="88"/>
      <c r="AP18" s="88"/>
      <c r="AQ18" s="89"/>
    </row>
    <row r="19" spans="1:43" ht="24.75" customHeight="1">
      <c r="A19" s="56" t="s">
        <v>38</v>
      </c>
      <c r="B19" s="56" t="s">
        <v>39</v>
      </c>
      <c r="C19" s="60" t="s">
        <v>19</v>
      </c>
      <c r="D19" s="60" t="s">
        <v>19</v>
      </c>
      <c r="E19" s="60" t="s">
        <v>19</v>
      </c>
      <c r="F19" s="60" t="s">
        <v>19</v>
      </c>
      <c r="G19" s="60" t="s">
        <v>19</v>
      </c>
      <c r="H19" s="60" t="s">
        <v>19</v>
      </c>
      <c r="I19" s="60" t="s">
        <v>19</v>
      </c>
      <c r="J19" s="60" t="s">
        <v>19</v>
      </c>
      <c r="K19" s="60" t="s">
        <v>21</v>
      </c>
      <c r="L19" s="60" t="s">
        <v>21</v>
      </c>
      <c r="M19" s="60" t="s">
        <v>19</v>
      </c>
      <c r="N19" s="60" t="s">
        <v>19</v>
      </c>
      <c r="O19" s="60" t="s">
        <v>19</v>
      </c>
      <c r="P19" s="60" t="s">
        <v>19</v>
      </c>
      <c r="Q19" s="60" t="s">
        <v>19</v>
      </c>
      <c r="R19" s="60" t="s">
        <v>19</v>
      </c>
      <c r="S19" s="60" t="s">
        <v>19</v>
      </c>
      <c r="T19" s="60" t="s">
        <v>19</v>
      </c>
      <c r="U19" s="60" t="s">
        <v>19</v>
      </c>
      <c r="V19" s="60" t="s">
        <v>19</v>
      </c>
      <c r="W19" s="60" t="s">
        <v>19</v>
      </c>
      <c r="X19" s="60" t="s">
        <v>19</v>
      </c>
      <c r="Y19" s="60" t="s">
        <v>19</v>
      </c>
      <c r="Z19" s="60" t="s">
        <v>19</v>
      </c>
      <c r="AA19" s="60" t="s">
        <v>19</v>
      </c>
      <c r="AB19" s="60" t="s">
        <v>19</v>
      </c>
      <c r="AC19" s="60" t="s">
        <v>19</v>
      </c>
      <c r="AD19" s="60" t="s">
        <v>19</v>
      </c>
      <c r="AE19" s="60" t="s">
        <v>19</v>
      </c>
      <c r="AF19" s="60" t="s">
        <v>19</v>
      </c>
      <c r="AG19" s="60"/>
      <c r="AH19" s="87">
        <f t="shared" si="8"/>
        <v>28</v>
      </c>
      <c r="AI19" s="87">
        <f t="shared" si="9"/>
        <v>0</v>
      </c>
      <c r="AJ19" s="87">
        <f t="shared" si="10"/>
        <v>0</v>
      </c>
      <c r="AK19" s="87"/>
      <c r="AL19" s="88"/>
      <c r="AM19" s="88"/>
      <c r="AN19" s="88"/>
      <c r="AO19" s="88"/>
      <c r="AP19" s="88"/>
      <c r="AQ19" s="89"/>
    </row>
    <row r="20" spans="1:43" ht="24.75" customHeight="1">
      <c r="A20" s="56" t="s">
        <v>40</v>
      </c>
      <c r="B20" s="56" t="s">
        <v>41</v>
      </c>
      <c r="C20" s="60" t="s">
        <v>21</v>
      </c>
      <c r="D20" s="60" t="s">
        <v>21</v>
      </c>
      <c r="E20" s="60" t="s">
        <v>21</v>
      </c>
      <c r="F20" s="60" t="s">
        <v>21</v>
      </c>
      <c r="G20" s="60" t="s">
        <v>21</v>
      </c>
      <c r="H20" s="60" t="s">
        <v>21</v>
      </c>
      <c r="I20" s="60" t="s">
        <v>21</v>
      </c>
      <c r="J20" s="60" t="s">
        <v>21</v>
      </c>
      <c r="K20" s="60" t="s">
        <v>21</v>
      </c>
      <c r="L20" s="60" t="s">
        <v>21</v>
      </c>
      <c r="M20" s="60" t="s">
        <v>21</v>
      </c>
      <c r="N20" s="60" t="s">
        <v>21</v>
      </c>
      <c r="O20" s="60" t="s">
        <v>21</v>
      </c>
      <c r="P20" s="60" t="s">
        <v>21</v>
      </c>
      <c r="Q20" s="60" t="s">
        <v>21</v>
      </c>
      <c r="R20" s="60" t="s">
        <v>19</v>
      </c>
      <c r="S20" s="60" t="s">
        <v>19</v>
      </c>
      <c r="T20" s="60" t="s">
        <v>19</v>
      </c>
      <c r="U20" s="60" t="s">
        <v>19</v>
      </c>
      <c r="V20" s="60" t="s">
        <v>19</v>
      </c>
      <c r="W20" s="60" t="s">
        <v>19</v>
      </c>
      <c r="X20" s="60" t="s">
        <v>19</v>
      </c>
      <c r="Y20" s="60" t="s">
        <v>19</v>
      </c>
      <c r="Z20" s="60" t="s">
        <v>19</v>
      </c>
      <c r="AA20" s="60" t="s">
        <v>19</v>
      </c>
      <c r="AB20" s="60" t="s">
        <v>19</v>
      </c>
      <c r="AC20" s="60" t="s">
        <v>19</v>
      </c>
      <c r="AD20" s="60" t="s">
        <v>19</v>
      </c>
      <c r="AE20" s="60" t="s">
        <v>19</v>
      </c>
      <c r="AF20" s="60" t="s">
        <v>19</v>
      </c>
      <c r="AG20" s="60"/>
      <c r="AH20" s="87">
        <f t="shared" ref="AH20:AH30" si="11">COUNTIF(C20:AG20,"X")+COUNTIF(C20:AG20,"-")*0.5</f>
        <v>15</v>
      </c>
      <c r="AI20" s="87">
        <f t="shared" ref="AI20:AI30" si="12">SUM(C20:AG20)</f>
        <v>0</v>
      </c>
      <c r="AJ20" s="87">
        <f t="shared" ref="AJ20:AJ30" si="13">COUNTIF(C20:AG20,"LT")</f>
        <v>0</v>
      </c>
      <c r="AK20" s="87"/>
      <c r="AL20" s="88"/>
      <c r="AM20" s="88"/>
      <c r="AN20" s="88"/>
      <c r="AO20" s="88"/>
      <c r="AP20" s="88"/>
      <c r="AQ20" s="89"/>
    </row>
    <row r="21" spans="1:43" ht="24.75" customHeight="1">
      <c r="A21" s="56" t="s">
        <v>42</v>
      </c>
      <c r="B21" s="56" t="s">
        <v>43</v>
      </c>
      <c r="C21" s="60" t="s">
        <v>21</v>
      </c>
      <c r="D21" s="60" t="s">
        <v>21</v>
      </c>
      <c r="E21" s="60" t="s">
        <v>21</v>
      </c>
      <c r="F21" s="60" t="s">
        <v>21</v>
      </c>
      <c r="G21" s="60" t="s">
        <v>21</v>
      </c>
      <c r="H21" s="60" t="s">
        <v>21</v>
      </c>
      <c r="I21" s="60" t="s">
        <v>21</v>
      </c>
      <c r="J21" s="60" t="s">
        <v>21</v>
      </c>
      <c r="K21" s="60" t="s">
        <v>21</v>
      </c>
      <c r="L21" s="60" t="s">
        <v>21</v>
      </c>
      <c r="M21" s="60" t="s">
        <v>21</v>
      </c>
      <c r="N21" s="60" t="s">
        <v>21</v>
      </c>
      <c r="O21" s="60" t="s">
        <v>21</v>
      </c>
      <c r="P21" s="60" t="s">
        <v>21</v>
      </c>
      <c r="Q21" s="60" t="s">
        <v>19</v>
      </c>
      <c r="R21" s="60" t="s">
        <v>19</v>
      </c>
      <c r="S21" s="60" t="s">
        <v>19</v>
      </c>
      <c r="T21" s="60" t="s">
        <v>21</v>
      </c>
      <c r="U21" s="60" t="s">
        <v>19</v>
      </c>
      <c r="V21" s="60" t="s">
        <v>19</v>
      </c>
      <c r="W21" s="60" t="s">
        <v>19</v>
      </c>
      <c r="X21" s="60" t="s">
        <v>19</v>
      </c>
      <c r="Y21" s="60" t="s">
        <v>19</v>
      </c>
      <c r="Z21" s="60" t="s">
        <v>19</v>
      </c>
      <c r="AA21" s="60" t="s">
        <v>19</v>
      </c>
      <c r="AB21" s="60" t="s">
        <v>19</v>
      </c>
      <c r="AC21" s="60" t="s">
        <v>19</v>
      </c>
      <c r="AD21" s="60" t="s">
        <v>19</v>
      </c>
      <c r="AE21" s="60" t="s">
        <v>19</v>
      </c>
      <c r="AF21" s="60" t="s">
        <v>19</v>
      </c>
      <c r="AG21" s="60"/>
      <c r="AH21" s="87">
        <f t="shared" si="11"/>
        <v>15</v>
      </c>
      <c r="AI21" s="87">
        <f t="shared" si="12"/>
        <v>0</v>
      </c>
      <c r="AJ21" s="87">
        <f t="shared" si="13"/>
        <v>0</v>
      </c>
      <c r="AK21" s="87"/>
      <c r="AL21" s="88"/>
      <c r="AM21" s="88"/>
      <c r="AN21" s="88"/>
      <c r="AO21" s="88"/>
      <c r="AP21" s="88"/>
      <c r="AQ21" s="89"/>
    </row>
    <row r="22" spans="1:43" ht="24.75" customHeight="1">
      <c r="A22" s="56" t="s">
        <v>44</v>
      </c>
      <c r="B22" s="56" t="s">
        <v>45</v>
      </c>
      <c r="C22" s="60" t="s">
        <v>21</v>
      </c>
      <c r="D22" s="60" t="s">
        <v>21</v>
      </c>
      <c r="E22" s="60" t="s">
        <v>21</v>
      </c>
      <c r="F22" s="60" t="s">
        <v>21</v>
      </c>
      <c r="G22" s="60" t="s">
        <v>21</v>
      </c>
      <c r="H22" s="60" t="s">
        <v>21</v>
      </c>
      <c r="I22" s="60" t="s">
        <v>21</v>
      </c>
      <c r="J22" s="60" t="s">
        <v>21</v>
      </c>
      <c r="K22" s="60" t="s">
        <v>21</v>
      </c>
      <c r="L22" s="60" t="s">
        <v>21</v>
      </c>
      <c r="M22" s="60" t="s">
        <v>21</v>
      </c>
      <c r="N22" s="60" t="s">
        <v>21</v>
      </c>
      <c r="O22" s="60" t="s">
        <v>21</v>
      </c>
      <c r="P22" s="60" t="s">
        <v>21</v>
      </c>
      <c r="Q22" s="60" t="s">
        <v>19</v>
      </c>
      <c r="R22" s="60" t="s">
        <v>19</v>
      </c>
      <c r="S22" s="60" t="s">
        <v>19</v>
      </c>
      <c r="T22" s="60" t="s">
        <v>19</v>
      </c>
      <c r="U22" s="60" t="s">
        <v>19</v>
      </c>
      <c r="V22" s="60" t="s">
        <v>19</v>
      </c>
      <c r="W22" s="60" t="s">
        <v>19</v>
      </c>
      <c r="X22" s="60" t="s">
        <v>19</v>
      </c>
      <c r="Y22" s="60" t="s">
        <v>19</v>
      </c>
      <c r="Z22" s="60" t="s">
        <v>19</v>
      </c>
      <c r="AA22" s="60" t="s">
        <v>19</v>
      </c>
      <c r="AB22" s="60" t="s">
        <v>19</v>
      </c>
      <c r="AC22" s="60" t="s">
        <v>19</v>
      </c>
      <c r="AD22" s="60" t="s">
        <v>19</v>
      </c>
      <c r="AE22" s="60" t="s">
        <v>19</v>
      </c>
      <c r="AF22" s="60" t="s">
        <v>19</v>
      </c>
      <c r="AG22" s="60"/>
      <c r="AH22" s="87">
        <f t="shared" si="11"/>
        <v>16</v>
      </c>
      <c r="AI22" s="87">
        <f t="shared" si="12"/>
        <v>0</v>
      </c>
      <c r="AJ22" s="87">
        <f t="shared" si="13"/>
        <v>0</v>
      </c>
      <c r="AK22" s="87"/>
      <c r="AL22" s="88"/>
      <c r="AM22" s="88"/>
      <c r="AN22" s="88"/>
      <c r="AO22" s="88"/>
      <c r="AP22" s="88"/>
      <c r="AQ22" s="89"/>
    </row>
    <row r="23" spans="1:43" ht="24.75" customHeight="1">
      <c r="A23" s="56" t="s">
        <v>46</v>
      </c>
      <c r="B23" s="56" t="s">
        <v>47</v>
      </c>
      <c r="C23" s="60" t="s">
        <v>21</v>
      </c>
      <c r="D23" s="60" t="s">
        <v>21</v>
      </c>
      <c r="E23" s="60" t="s">
        <v>21</v>
      </c>
      <c r="F23" s="60" t="s">
        <v>21</v>
      </c>
      <c r="G23" s="60" t="s">
        <v>21</v>
      </c>
      <c r="H23" s="60" t="s">
        <v>21</v>
      </c>
      <c r="I23" s="60" t="s">
        <v>21</v>
      </c>
      <c r="J23" s="60" t="s">
        <v>21</v>
      </c>
      <c r="K23" s="60" t="s">
        <v>21</v>
      </c>
      <c r="L23" s="60" t="s">
        <v>21</v>
      </c>
      <c r="M23" s="60" t="s">
        <v>21</v>
      </c>
      <c r="N23" s="60" t="s">
        <v>21</v>
      </c>
      <c r="O23" s="60" t="s">
        <v>21</v>
      </c>
      <c r="P23" s="60" t="s">
        <v>21</v>
      </c>
      <c r="Q23" s="60" t="s">
        <v>21</v>
      </c>
      <c r="R23" s="60" t="s">
        <v>21</v>
      </c>
      <c r="S23" s="60" t="s">
        <v>21</v>
      </c>
      <c r="T23" s="60" t="s">
        <v>19</v>
      </c>
      <c r="U23" s="60" t="s">
        <v>21</v>
      </c>
      <c r="V23" s="60" t="s">
        <v>21</v>
      </c>
      <c r="W23" s="60" t="s">
        <v>21</v>
      </c>
      <c r="X23" s="60" t="s">
        <v>19</v>
      </c>
      <c r="Y23" s="60" t="s">
        <v>19</v>
      </c>
      <c r="Z23" s="60" t="s">
        <v>19</v>
      </c>
      <c r="AA23" s="60" t="s">
        <v>19</v>
      </c>
      <c r="AB23" s="60" t="s">
        <v>19</v>
      </c>
      <c r="AC23" s="60" t="s">
        <v>19</v>
      </c>
      <c r="AD23" s="60" t="s">
        <v>19</v>
      </c>
      <c r="AE23" s="60" t="s">
        <v>19</v>
      </c>
      <c r="AF23" s="60" t="s">
        <v>19</v>
      </c>
      <c r="AG23" s="60"/>
      <c r="AH23" s="87">
        <f t="shared" si="11"/>
        <v>10</v>
      </c>
      <c r="AI23" s="87">
        <f t="shared" si="12"/>
        <v>0</v>
      </c>
      <c r="AJ23" s="87">
        <f t="shared" si="13"/>
        <v>0</v>
      </c>
      <c r="AK23" s="87"/>
      <c r="AL23" s="88"/>
      <c r="AM23" s="88"/>
      <c r="AN23" s="88"/>
      <c r="AO23" s="88"/>
      <c r="AP23" s="88"/>
      <c r="AQ23" s="89"/>
    </row>
    <row r="24" spans="1:43" ht="24.75" customHeight="1">
      <c r="A24" s="56" t="s">
        <v>48</v>
      </c>
      <c r="B24" s="56" t="s">
        <v>49</v>
      </c>
      <c r="C24" s="60" t="s">
        <v>21</v>
      </c>
      <c r="D24" s="60" t="s">
        <v>21</v>
      </c>
      <c r="E24" s="60" t="s">
        <v>21</v>
      </c>
      <c r="F24" s="60" t="s">
        <v>21</v>
      </c>
      <c r="G24" s="60" t="s">
        <v>21</v>
      </c>
      <c r="H24" s="60" t="s">
        <v>21</v>
      </c>
      <c r="I24" s="60" t="s">
        <v>21</v>
      </c>
      <c r="J24" s="60" t="s">
        <v>21</v>
      </c>
      <c r="K24" s="60" t="s">
        <v>21</v>
      </c>
      <c r="L24" s="60" t="s">
        <v>21</v>
      </c>
      <c r="M24" s="60" t="s">
        <v>21</v>
      </c>
      <c r="N24" s="60" t="s">
        <v>21</v>
      </c>
      <c r="O24" s="60" t="s">
        <v>21</v>
      </c>
      <c r="P24" s="60" t="s">
        <v>21</v>
      </c>
      <c r="Q24" s="60" t="s">
        <v>21</v>
      </c>
      <c r="R24" s="60" t="s">
        <v>21</v>
      </c>
      <c r="S24" s="60" t="s">
        <v>21</v>
      </c>
      <c r="T24" s="60" t="s">
        <v>19</v>
      </c>
      <c r="U24" s="60" t="s">
        <v>21</v>
      </c>
      <c r="V24" s="60" t="s">
        <v>21</v>
      </c>
      <c r="W24" s="60" t="s">
        <v>21</v>
      </c>
      <c r="X24" s="60" t="s">
        <v>19</v>
      </c>
      <c r="Y24" s="60" t="s">
        <v>19</v>
      </c>
      <c r="Z24" s="60" t="s">
        <v>19</v>
      </c>
      <c r="AA24" s="60" t="s">
        <v>19</v>
      </c>
      <c r="AB24" s="60" t="s">
        <v>21</v>
      </c>
      <c r="AC24" s="60" t="s">
        <v>21</v>
      </c>
      <c r="AD24" s="60" t="s">
        <v>21</v>
      </c>
      <c r="AE24" s="60" t="s">
        <v>21</v>
      </c>
      <c r="AF24" s="60" t="s">
        <v>21</v>
      </c>
      <c r="AG24" s="60"/>
      <c r="AH24" s="87">
        <f t="shared" si="11"/>
        <v>5</v>
      </c>
      <c r="AI24" s="87">
        <f t="shared" si="12"/>
        <v>0</v>
      </c>
      <c r="AJ24" s="87">
        <f t="shared" si="13"/>
        <v>0</v>
      </c>
      <c r="AK24" s="87"/>
      <c r="AL24" s="88"/>
      <c r="AM24" s="88"/>
      <c r="AN24" s="88"/>
      <c r="AO24" s="88"/>
      <c r="AP24" s="88"/>
      <c r="AQ24" s="89"/>
    </row>
    <row r="25" spans="1:43" ht="24.75" customHeight="1">
      <c r="A25" s="56" t="s">
        <v>50</v>
      </c>
      <c r="B25" s="56" t="s">
        <v>51</v>
      </c>
      <c r="C25" s="60" t="s">
        <v>21</v>
      </c>
      <c r="D25" s="60" t="s">
        <v>21</v>
      </c>
      <c r="E25" s="60" t="s">
        <v>21</v>
      </c>
      <c r="F25" s="60" t="s">
        <v>21</v>
      </c>
      <c r="G25" s="60" t="s">
        <v>21</v>
      </c>
      <c r="H25" s="60" t="s">
        <v>21</v>
      </c>
      <c r="I25" s="60" t="s">
        <v>21</v>
      </c>
      <c r="J25" s="60" t="s">
        <v>21</v>
      </c>
      <c r="K25" s="60" t="s">
        <v>21</v>
      </c>
      <c r="L25" s="60" t="s">
        <v>21</v>
      </c>
      <c r="M25" s="60" t="s">
        <v>21</v>
      </c>
      <c r="N25" s="60" t="s">
        <v>21</v>
      </c>
      <c r="O25" s="60" t="s">
        <v>21</v>
      </c>
      <c r="P25" s="60" t="s">
        <v>21</v>
      </c>
      <c r="Q25" s="60" t="s">
        <v>21</v>
      </c>
      <c r="R25" s="60" t="s">
        <v>21</v>
      </c>
      <c r="S25" s="60" t="s">
        <v>21</v>
      </c>
      <c r="T25" s="60" t="s">
        <v>19</v>
      </c>
      <c r="U25" s="60" t="s">
        <v>21</v>
      </c>
      <c r="V25" s="60" t="s">
        <v>21</v>
      </c>
      <c r="W25" s="60" t="s">
        <v>21</v>
      </c>
      <c r="X25" s="60" t="s">
        <v>19</v>
      </c>
      <c r="Y25" s="60" t="s">
        <v>19</v>
      </c>
      <c r="Z25" s="60" t="s">
        <v>19</v>
      </c>
      <c r="AA25" s="60" t="s">
        <v>19</v>
      </c>
      <c r="AB25" s="60" t="s">
        <v>19</v>
      </c>
      <c r="AC25" s="60" t="s">
        <v>19</v>
      </c>
      <c r="AD25" s="60" t="s">
        <v>19</v>
      </c>
      <c r="AE25" s="60" t="s">
        <v>19</v>
      </c>
      <c r="AF25" s="60" t="s">
        <v>19</v>
      </c>
      <c r="AG25" s="60"/>
      <c r="AH25" s="87">
        <f t="shared" si="11"/>
        <v>10</v>
      </c>
      <c r="AI25" s="87">
        <f t="shared" si="12"/>
        <v>0</v>
      </c>
      <c r="AJ25" s="87">
        <f t="shared" si="13"/>
        <v>0</v>
      </c>
      <c r="AK25" s="87"/>
      <c r="AL25" s="88"/>
      <c r="AM25" s="88"/>
      <c r="AN25" s="88"/>
      <c r="AO25" s="88"/>
      <c r="AP25" s="88"/>
      <c r="AQ25" s="89"/>
    </row>
    <row r="26" spans="1:43" ht="22.15" customHeight="1">
      <c r="A26" s="56"/>
      <c r="B26" s="86" t="s">
        <v>52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69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87">
        <f t="shared" si="11"/>
        <v>0</v>
      </c>
      <c r="AI26" s="87">
        <f t="shared" si="12"/>
        <v>0</v>
      </c>
      <c r="AJ26" s="87">
        <f t="shared" si="13"/>
        <v>0</v>
      </c>
      <c r="AK26" s="87">
        <f>COUNTIF(C26:AD26,"LL")</f>
        <v>0</v>
      </c>
      <c r="AL26" s="88">
        <f>COUNTIF(C26:AD26,"NK")</f>
        <v>0</v>
      </c>
      <c r="AM26" s="88">
        <f>COUNTIF(C26:AD26,"HH")</f>
        <v>0</v>
      </c>
      <c r="AN26" s="88">
        <f>COUNTIF(C26:AD26,"HH")</f>
        <v>0</v>
      </c>
      <c r="AO26" s="88">
        <f>COUNTIF(C26:AD26,"LT")</f>
        <v>0</v>
      </c>
      <c r="AP26" s="88">
        <f>COUNTIF(C26:AD26,"HH")</f>
        <v>0</v>
      </c>
      <c r="AQ26" s="89"/>
    </row>
    <row r="27" spans="1:43" ht="22.15" customHeight="1">
      <c r="A27" s="56" t="s">
        <v>53</v>
      </c>
      <c r="B27" s="65" t="s">
        <v>54</v>
      </c>
      <c r="C27" s="60" t="s">
        <v>19</v>
      </c>
      <c r="D27" s="60" t="s">
        <v>21</v>
      </c>
      <c r="E27" s="60" t="s">
        <v>21</v>
      </c>
      <c r="F27" s="60" t="s">
        <v>21</v>
      </c>
      <c r="G27" s="60" t="s">
        <v>21</v>
      </c>
      <c r="H27" s="53" t="s">
        <v>19</v>
      </c>
      <c r="I27" s="53" t="s">
        <v>19</v>
      </c>
      <c r="J27" s="53" t="s">
        <v>19</v>
      </c>
      <c r="K27" s="53" t="s">
        <v>19</v>
      </c>
      <c r="L27" s="53" t="s">
        <v>19</v>
      </c>
      <c r="M27" s="60" t="s">
        <v>20</v>
      </c>
      <c r="N27" s="60" t="s">
        <v>19</v>
      </c>
      <c r="O27" s="53" t="s">
        <v>19</v>
      </c>
      <c r="P27" s="53" t="s">
        <v>21</v>
      </c>
      <c r="Q27" s="53" t="s">
        <v>21</v>
      </c>
      <c r="R27" s="53" t="s">
        <v>21</v>
      </c>
      <c r="S27" s="53" t="s">
        <v>19</v>
      </c>
      <c r="T27" s="53" t="s">
        <v>19</v>
      </c>
      <c r="U27" s="53" t="s">
        <v>19</v>
      </c>
      <c r="V27" s="53" t="s">
        <v>19</v>
      </c>
      <c r="W27" s="53" t="s">
        <v>19</v>
      </c>
      <c r="X27" s="53" t="s">
        <v>21</v>
      </c>
      <c r="Y27" s="53" t="s">
        <v>21</v>
      </c>
      <c r="Z27" s="53" t="s">
        <v>21</v>
      </c>
      <c r="AA27" s="53" t="s">
        <v>21</v>
      </c>
      <c r="AB27" s="53" t="s">
        <v>19</v>
      </c>
      <c r="AC27" s="53" t="s">
        <v>19</v>
      </c>
      <c r="AD27" s="53" t="s">
        <v>21</v>
      </c>
      <c r="AE27" s="53" t="s">
        <v>21</v>
      </c>
      <c r="AF27" s="53" t="s">
        <v>21</v>
      </c>
      <c r="AG27" s="53"/>
      <c r="AH27" s="87">
        <f t="shared" si="11"/>
        <v>15.5</v>
      </c>
      <c r="AI27" s="87">
        <f t="shared" si="12"/>
        <v>0</v>
      </c>
      <c r="AJ27" s="87">
        <f t="shared" si="13"/>
        <v>0</v>
      </c>
      <c r="AK27" s="87"/>
      <c r="AL27" s="88"/>
      <c r="AM27" s="88"/>
      <c r="AN27" s="88"/>
      <c r="AO27" s="88"/>
      <c r="AP27" s="88"/>
      <c r="AQ27" s="89"/>
    </row>
    <row r="28" spans="1:43" ht="22.15" customHeight="1">
      <c r="A28" s="56" t="s">
        <v>55</v>
      </c>
      <c r="B28" s="65" t="s">
        <v>56</v>
      </c>
      <c r="C28" s="53" t="s">
        <v>19</v>
      </c>
      <c r="D28" s="53" t="s">
        <v>19</v>
      </c>
      <c r="E28" s="53" t="s">
        <v>19</v>
      </c>
      <c r="F28" s="53" t="s">
        <v>19</v>
      </c>
      <c r="G28" s="53" t="s">
        <v>19</v>
      </c>
      <c r="H28" s="53" t="s">
        <v>19</v>
      </c>
      <c r="I28" s="53" t="s">
        <v>19</v>
      </c>
      <c r="J28" s="53" t="s">
        <v>19</v>
      </c>
      <c r="K28" s="53" t="s">
        <v>21</v>
      </c>
      <c r="L28" s="53" t="s">
        <v>21</v>
      </c>
      <c r="M28" s="53" t="s">
        <v>21</v>
      </c>
      <c r="N28" s="53" t="s">
        <v>19</v>
      </c>
      <c r="O28" s="53" t="s">
        <v>19</v>
      </c>
      <c r="P28" s="53" t="s">
        <v>19</v>
      </c>
      <c r="Q28" s="53" t="s">
        <v>19</v>
      </c>
      <c r="R28" s="53" t="s">
        <v>19</v>
      </c>
      <c r="S28" s="53" t="s">
        <v>19</v>
      </c>
      <c r="T28" s="53" t="s">
        <v>19</v>
      </c>
      <c r="U28" s="53" t="s">
        <v>19</v>
      </c>
      <c r="V28" s="53" t="s">
        <v>19</v>
      </c>
      <c r="W28" s="53" t="s">
        <v>19</v>
      </c>
      <c r="X28" s="53" t="s">
        <v>19</v>
      </c>
      <c r="Y28" s="53" t="s">
        <v>19</v>
      </c>
      <c r="Z28" s="53" t="s">
        <v>19</v>
      </c>
      <c r="AA28" s="53" t="s">
        <v>19</v>
      </c>
      <c r="AB28" s="53" t="s">
        <v>19</v>
      </c>
      <c r="AC28" s="53" t="s">
        <v>19</v>
      </c>
      <c r="AD28" s="53" t="s">
        <v>19</v>
      </c>
      <c r="AE28" s="53" t="s">
        <v>19</v>
      </c>
      <c r="AF28" s="53" t="s">
        <v>21</v>
      </c>
      <c r="AG28" s="53"/>
      <c r="AH28" s="87">
        <f t="shared" si="11"/>
        <v>26</v>
      </c>
      <c r="AI28" s="87">
        <f t="shared" si="12"/>
        <v>0</v>
      </c>
      <c r="AJ28" s="87">
        <f t="shared" si="13"/>
        <v>0</v>
      </c>
      <c r="AK28" s="87"/>
      <c r="AL28" s="88"/>
      <c r="AM28" s="88"/>
      <c r="AN28" s="88"/>
      <c r="AO28" s="88"/>
      <c r="AP28" s="88"/>
      <c r="AQ28" s="89"/>
    </row>
    <row r="29" spans="1:43" ht="22.15" customHeight="1">
      <c r="A29" s="56" t="s">
        <v>57</v>
      </c>
      <c r="B29" s="65" t="s">
        <v>58</v>
      </c>
      <c r="C29" s="53" t="s">
        <v>19</v>
      </c>
      <c r="D29" s="53" t="s">
        <v>19</v>
      </c>
      <c r="E29" s="53" t="s">
        <v>19</v>
      </c>
      <c r="F29" s="53" t="s">
        <v>19</v>
      </c>
      <c r="G29" s="53" t="s">
        <v>19</v>
      </c>
      <c r="H29" s="53" t="s">
        <v>19</v>
      </c>
      <c r="I29" s="53" t="s">
        <v>19</v>
      </c>
      <c r="J29" s="53" t="s">
        <v>19</v>
      </c>
      <c r="K29" s="53" t="s">
        <v>19</v>
      </c>
      <c r="L29" s="53" t="s">
        <v>19</v>
      </c>
      <c r="M29" s="53" t="s">
        <v>19</v>
      </c>
      <c r="N29" s="53" t="s">
        <v>19</v>
      </c>
      <c r="O29" s="53" t="s">
        <v>19</v>
      </c>
      <c r="P29" s="53" t="s">
        <v>19</v>
      </c>
      <c r="Q29" s="53" t="s">
        <v>19</v>
      </c>
      <c r="R29" s="53" t="s">
        <v>19</v>
      </c>
      <c r="S29" s="53" t="s">
        <v>19</v>
      </c>
      <c r="T29" s="53" t="s">
        <v>19</v>
      </c>
      <c r="U29" s="53" t="s">
        <v>19</v>
      </c>
      <c r="V29" s="53" t="s">
        <v>19</v>
      </c>
      <c r="W29" s="53" t="s">
        <v>19</v>
      </c>
      <c r="X29" s="53" t="s">
        <v>19</v>
      </c>
      <c r="Y29" s="53" t="s">
        <v>19</v>
      </c>
      <c r="Z29" s="53" t="s">
        <v>19</v>
      </c>
      <c r="AA29" s="53" t="s">
        <v>19</v>
      </c>
      <c r="AB29" s="53" t="s">
        <v>19</v>
      </c>
      <c r="AC29" s="53" t="s">
        <v>19</v>
      </c>
      <c r="AD29" s="53" t="s">
        <v>19</v>
      </c>
      <c r="AE29" s="53" t="s">
        <v>19</v>
      </c>
      <c r="AF29" s="53" t="s">
        <v>21</v>
      </c>
      <c r="AG29" s="53"/>
      <c r="AH29" s="87">
        <f t="shared" si="11"/>
        <v>29</v>
      </c>
      <c r="AI29" s="87">
        <f t="shared" si="12"/>
        <v>0</v>
      </c>
      <c r="AJ29" s="87">
        <f t="shared" si="13"/>
        <v>0</v>
      </c>
      <c r="AK29" s="87"/>
      <c r="AL29" s="88"/>
      <c r="AM29" s="88"/>
      <c r="AN29" s="88"/>
      <c r="AO29" s="88"/>
      <c r="AP29" s="88"/>
      <c r="AQ29" s="89"/>
    </row>
    <row r="30" spans="1:43" ht="22.15" customHeight="1">
      <c r="A30" s="56" t="s">
        <v>59</v>
      </c>
      <c r="B30" s="65" t="s">
        <v>60</v>
      </c>
      <c r="C30" s="53" t="s">
        <v>19</v>
      </c>
      <c r="D30" s="53" t="s">
        <v>19</v>
      </c>
      <c r="E30" s="53" t="s">
        <v>19</v>
      </c>
      <c r="F30" s="53" t="s">
        <v>19</v>
      </c>
      <c r="G30" s="53" t="s">
        <v>19</v>
      </c>
      <c r="H30" s="53" t="s">
        <v>19</v>
      </c>
      <c r="I30" s="60" t="s">
        <v>19</v>
      </c>
      <c r="J30" s="53" t="s">
        <v>20</v>
      </c>
      <c r="K30" s="53" t="s">
        <v>21</v>
      </c>
      <c r="L30" s="53" t="s">
        <v>19</v>
      </c>
      <c r="M30" s="53" t="s">
        <v>19</v>
      </c>
      <c r="N30" s="53" t="s">
        <v>19</v>
      </c>
      <c r="O30" s="53" t="s">
        <v>19</v>
      </c>
      <c r="P30" s="53" t="s">
        <v>19</v>
      </c>
      <c r="Q30" s="53" t="s">
        <v>19</v>
      </c>
      <c r="R30" s="53" t="s">
        <v>19</v>
      </c>
      <c r="S30" s="53" t="s">
        <v>19</v>
      </c>
      <c r="T30" s="53" t="s">
        <v>19</v>
      </c>
      <c r="U30" s="53" t="s">
        <v>19</v>
      </c>
      <c r="V30" s="53" t="s">
        <v>19</v>
      </c>
      <c r="W30" s="53" t="s">
        <v>19</v>
      </c>
      <c r="X30" s="53" t="s">
        <v>19</v>
      </c>
      <c r="Y30" s="53" t="s">
        <v>21</v>
      </c>
      <c r="Z30" s="53" t="s">
        <v>21</v>
      </c>
      <c r="AA30" s="53" t="s">
        <v>19</v>
      </c>
      <c r="AB30" s="53" t="s">
        <v>19</v>
      </c>
      <c r="AC30" s="60" t="s">
        <v>19</v>
      </c>
      <c r="AD30" s="53" t="s">
        <v>21</v>
      </c>
      <c r="AE30" s="53" t="s">
        <v>19</v>
      </c>
      <c r="AF30" s="53" t="s">
        <v>19</v>
      </c>
      <c r="AG30" s="53"/>
      <c r="AH30" s="87">
        <f t="shared" si="11"/>
        <v>25.5</v>
      </c>
      <c r="AI30" s="87">
        <f t="shared" si="12"/>
        <v>0</v>
      </c>
      <c r="AJ30" s="87">
        <f t="shared" si="13"/>
        <v>0</v>
      </c>
      <c r="AK30" s="87"/>
      <c r="AL30" s="88"/>
      <c r="AM30" s="88"/>
      <c r="AN30" s="88"/>
      <c r="AO30" s="88"/>
      <c r="AP30" s="88"/>
      <c r="AQ30" s="89"/>
    </row>
    <row r="31" spans="1:43" ht="22.15" customHeight="1">
      <c r="A31" s="56" t="s">
        <v>61</v>
      </c>
      <c r="B31" s="65" t="s">
        <v>62</v>
      </c>
      <c r="C31" s="53" t="s">
        <v>19</v>
      </c>
      <c r="D31" s="53" t="s">
        <v>19</v>
      </c>
      <c r="E31" s="53" t="s">
        <v>19</v>
      </c>
      <c r="F31" s="53" t="s">
        <v>19</v>
      </c>
      <c r="G31" s="53" t="s">
        <v>19</v>
      </c>
      <c r="H31" s="53" t="s">
        <v>19</v>
      </c>
      <c r="I31" s="53" t="s">
        <v>19</v>
      </c>
      <c r="J31" s="53" t="s">
        <v>19</v>
      </c>
      <c r="K31" s="53" t="s">
        <v>19</v>
      </c>
      <c r="L31" s="53" t="s">
        <v>19</v>
      </c>
      <c r="M31" s="53" t="s">
        <v>19</v>
      </c>
      <c r="N31" s="53" t="s">
        <v>19</v>
      </c>
      <c r="O31" s="53" t="s">
        <v>19</v>
      </c>
      <c r="P31" s="53" t="s">
        <v>19</v>
      </c>
      <c r="Q31" s="53" t="s">
        <v>19</v>
      </c>
      <c r="R31" s="53" t="s">
        <v>19</v>
      </c>
      <c r="S31" s="53" t="s">
        <v>19</v>
      </c>
      <c r="T31" s="53" t="s">
        <v>19</v>
      </c>
      <c r="U31" s="53" t="s">
        <v>19</v>
      </c>
      <c r="V31" s="53" t="s">
        <v>19</v>
      </c>
      <c r="W31" s="53" t="s">
        <v>19</v>
      </c>
      <c r="X31" s="53" t="s">
        <v>19</v>
      </c>
      <c r="Y31" s="53" t="s">
        <v>19</v>
      </c>
      <c r="Z31" s="53" t="s">
        <v>19</v>
      </c>
      <c r="AA31" s="53" t="s">
        <v>21</v>
      </c>
      <c r="AB31" s="60" t="s">
        <v>19</v>
      </c>
      <c r="AC31" s="60" t="s">
        <v>19</v>
      </c>
      <c r="AD31" s="60" t="s">
        <v>19</v>
      </c>
      <c r="AE31" s="53" t="s">
        <v>19</v>
      </c>
      <c r="AF31" s="53" t="s">
        <v>19</v>
      </c>
      <c r="AG31" s="53"/>
      <c r="AH31" s="87">
        <f t="shared" ref="AH31:AH33" si="14">COUNTIF(C31:AG31,"X")+COUNTIF(C31:AG31,"-")*0.5</f>
        <v>29</v>
      </c>
      <c r="AI31" s="87">
        <f t="shared" ref="AI31:AI33" si="15">SUM(C31:AG31)</f>
        <v>0</v>
      </c>
      <c r="AJ31" s="87">
        <f t="shared" ref="AJ31:AJ33" si="16">COUNTIF(C31:AG31,"LT")</f>
        <v>0</v>
      </c>
      <c r="AK31" s="87"/>
      <c r="AL31" s="88"/>
      <c r="AM31" s="88"/>
      <c r="AN31" s="88"/>
      <c r="AO31" s="88"/>
      <c r="AP31" s="88"/>
      <c r="AQ31" s="89"/>
    </row>
    <row r="32" spans="1:43" ht="17.25" customHeight="1">
      <c r="A32" s="56"/>
      <c r="B32" s="86" t="s">
        <v>63</v>
      </c>
      <c r="C32" s="53"/>
      <c r="D32" s="53"/>
      <c r="E32" s="53"/>
      <c r="F32" s="53"/>
      <c r="G32" s="53"/>
      <c r="H32" s="53"/>
      <c r="I32" s="90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69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87">
        <f t="shared" si="14"/>
        <v>0</v>
      </c>
      <c r="AI32" s="87">
        <f t="shared" si="15"/>
        <v>0</v>
      </c>
      <c r="AJ32" s="87">
        <f t="shared" si="16"/>
        <v>0</v>
      </c>
      <c r="AK32" s="87">
        <f>COUNTIF(C32:AD32,"LL")</f>
        <v>0</v>
      </c>
      <c r="AL32" s="88">
        <f>COUNTIF(C32:AD32,"NK")</f>
        <v>0</v>
      </c>
      <c r="AM32" s="88">
        <f>COUNTIF(C32:AD32,"HH")</f>
        <v>0</v>
      </c>
      <c r="AN32" s="88">
        <f>COUNTIF(C32:AD32,"HH")</f>
        <v>0</v>
      </c>
      <c r="AO32" s="88">
        <f>COUNTIF(C32:AD32,"LT")</f>
        <v>0</v>
      </c>
      <c r="AP32" s="88">
        <f>COUNTIF(C32:AD32,"HH")</f>
        <v>0</v>
      </c>
      <c r="AQ32" s="89"/>
    </row>
    <row r="33" spans="1:43" ht="22.15" customHeight="1">
      <c r="A33" s="56" t="s">
        <v>64</v>
      </c>
      <c r="B33" s="65" t="s">
        <v>65</v>
      </c>
      <c r="C33" s="60" t="s">
        <v>19</v>
      </c>
      <c r="D33" s="60" t="s">
        <v>19</v>
      </c>
      <c r="E33" s="60" t="s">
        <v>19</v>
      </c>
      <c r="F33" s="60" t="s">
        <v>19</v>
      </c>
      <c r="G33" s="60" t="s">
        <v>19</v>
      </c>
      <c r="H33" s="60" t="s">
        <v>19</v>
      </c>
      <c r="I33" s="60" t="s">
        <v>19</v>
      </c>
      <c r="J33" s="60" t="s">
        <v>19</v>
      </c>
      <c r="K33" s="60" t="s">
        <v>21</v>
      </c>
      <c r="L33" s="53" t="s">
        <v>21</v>
      </c>
      <c r="M33" s="53" t="s">
        <v>19</v>
      </c>
      <c r="N33" s="53" t="s">
        <v>19</v>
      </c>
      <c r="O33" s="53" t="s">
        <v>19</v>
      </c>
      <c r="P33" s="53" t="s">
        <v>19</v>
      </c>
      <c r="Q33" s="53" t="s">
        <v>19</v>
      </c>
      <c r="R33" s="53" t="s">
        <v>19</v>
      </c>
      <c r="S33" s="53" t="s">
        <v>19</v>
      </c>
      <c r="T33" s="60" t="s">
        <v>19</v>
      </c>
      <c r="U33" s="53" t="s">
        <v>19</v>
      </c>
      <c r="V33" s="60" t="s">
        <v>19</v>
      </c>
      <c r="W33" s="60" t="s">
        <v>19</v>
      </c>
      <c r="X33" s="60" t="s">
        <v>19</v>
      </c>
      <c r="Y33" s="60" t="s">
        <v>19</v>
      </c>
      <c r="Z33" s="60" t="s">
        <v>19</v>
      </c>
      <c r="AA33" s="60" t="s">
        <v>19</v>
      </c>
      <c r="AB33" s="60" t="s">
        <v>19</v>
      </c>
      <c r="AC33" s="60" t="s">
        <v>19</v>
      </c>
      <c r="AD33" s="60" t="s">
        <v>19</v>
      </c>
      <c r="AE33" s="60" t="s">
        <v>21</v>
      </c>
      <c r="AF33" s="60" t="s">
        <v>21</v>
      </c>
      <c r="AG33" s="60"/>
      <c r="AH33" s="87">
        <f t="shared" si="14"/>
        <v>26</v>
      </c>
      <c r="AI33" s="87">
        <f t="shared" si="15"/>
        <v>0</v>
      </c>
      <c r="AJ33" s="87">
        <f t="shared" si="16"/>
        <v>0</v>
      </c>
      <c r="AK33" s="87"/>
      <c r="AL33" s="88"/>
      <c r="AM33" s="88"/>
      <c r="AN33" s="88"/>
      <c r="AO33" s="88"/>
      <c r="AP33" s="88"/>
      <c r="AQ33" s="89"/>
    </row>
    <row r="34" spans="1:43" s="78" customFormat="1" ht="22.15" customHeight="1">
      <c r="A34" s="56" t="s">
        <v>66</v>
      </c>
      <c r="B34" s="91" t="s">
        <v>67</v>
      </c>
      <c r="C34" s="60" t="s">
        <v>19</v>
      </c>
      <c r="D34" s="60" t="s">
        <v>19</v>
      </c>
      <c r="E34" s="60" t="s">
        <v>19</v>
      </c>
      <c r="F34" s="60" t="s">
        <v>19</v>
      </c>
      <c r="G34" s="60" t="s">
        <v>19</v>
      </c>
      <c r="H34" s="60" t="s">
        <v>19</v>
      </c>
      <c r="I34" s="60" t="s">
        <v>19</v>
      </c>
      <c r="J34" s="60" t="s">
        <v>19</v>
      </c>
      <c r="K34" s="60" t="s">
        <v>21</v>
      </c>
      <c r="L34" s="60" t="s">
        <v>21</v>
      </c>
      <c r="M34" s="60" t="s">
        <v>21</v>
      </c>
      <c r="N34" s="60" t="s">
        <v>19</v>
      </c>
      <c r="O34" s="60" t="s">
        <v>19</v>
      </c>
      <c r="P34" s="60" t="s">
        <v>19</v>
      </c>
      <c r="Q34" s="60" t="s">
        <v>19</v>
      </c>
      <c r="R34" s="60" t="s">
        <v>19</v>
      </c>
      <c r="S34" s="60" t="s">
        <v>19</v>
      </c>
      <c r="T34" s="60" t="s">
        <v>19</v>
      </c>
      <c r="U34" s="60" t="s">
        <v>19</v>
      </c>
      <c r="V34" s="60" t="s">
        <v>19</v>
      </c>
      <c r="W34" s="60" t="s">
        <v>19</v>
      </c>
      <c r="X34" s="60" t="s">
        <v>19</v>
      </c>
      <c r="Y34" s="60" t="s">
        <v>19</v>
      </c>
      <c r="Z34" s="60" t="s">
        <v>19</v>
      </c>
      <c r="AA34" s="60" t="s">
        <v>19</v>
      </c>
      <c r="AB34" s="60" t="s">
        <v>19</v>
      </c>
      <c r="AC34" s="60" t="s">
        <v>19</v>
      </c>
      <c r="AD34" s="60" t="s">
        <v>19</v>
      </c>
      <c r="AE34" s="60" t="s">
        <v>19</v>
      </c>
      <c r="AF34" s="60" t="s">
        <v>19</v>
      </c>
      <c r="AG34" s="60"/>
      <c r="AH34" s="87">
        <f t="shared" ref="AH34:AH38" si="17">COUNTIF(C34:AG34,"X")+COUNTIF(C34:AG34,"-")*0.5</f>
        <v>27</v>
      </c>
      <c r="AI34" s="87">
        <f t="shared" ref="AI34:AI38" si="18">SUM(C34:AG34)</f>
        <v>0</v>
      </c>
      <c r="AJ34" s="87">
        <f t="shared" ref="AJ34:AJ38" si="19">COUNTIF(C34:AG34,"LT")</f>
        <v>0</v>
      </c>
      <c r="AK34" s="87"/>
      <c r="AL34" s="88"/>
      <c r="AM34" s="88"/>
      <c r="AN34" s="88"/>
      <c r="AO34" s="88"/>
      <c r="AP34" s="88"/>
      <c r="AQ34" s="89"/>
    </row>
    <row r="35" spans="1:43" s="78" customFormat="1" ht="22.15" customHeight="1">
      <c r="A35" s="56" t="s">
        <v>68</v>
      </c>
      <c r="B35" s="91" t="s">
        <v>69</v>
      </c>
      <c r="C35" s="60" t="s">
        <v>19</v>
      </c>
      <c r="D35" s="60" t="s">
        <v>19</v>
      </c>
      <c r="E35" s="60" t="s">
        <v>19</v>
      </c>
      <c r="F35" s="60" t="s">
        <v>19</v>
      </c>
      <c r="G35" s="60" t="s">
        <v>19</v>
      </c>
      <c r="H35" s="60" t="s">
        <v>19</v>
      </c>
      <c r="I35" s="60" t="s">
        <v>19</v>
      </c>
      <c r="J35" s="60" t="s">
        <v>19</v>
      </c>
      <c r="K35" s="60" t="s">
        <v>19</v>
      </c>
      <c r="L35" s="60" t="s">
        <v>19</v>
      </c>
      <c r="M35" s="60" t="s">
        <v>19</v>
      </c>
      <c r="N35" s="60" t="s">
        <v>19</v>
      </c>
      <c r="O35" s="60" t="s">
        <v>19</v>
      </c>
      <c r="P35" s="60" t="s">
        <v>19</v>
      </c>
      <c r="Q35" s="60" t="s">
        <v>19</v>
      </c>
      <c r="R35" s="60" t="s">
        <v>19</v>
      </c>
      <c r="S35" s="60" t="s">
        <v>19</v>
      </c>
      <c r="T35" s="60" t="s">
        <v>19</v>
      </c>
      <c r="U35" s="60" t="s">
        <v>19</v>
      </c>
      <c r="V35" s="60" t="s">
        <v>21</v>
      </c>
      <c r="W35" s="60" t="s">
        <v>19</v>
      </c>
      <c r="X35" s="60" t="s">
        <v>19</v>
      </c>
      <c r="Y35" s="60" t="s">
        <v>19</v>
      </c>
      <c r="Z35" s="60" t="s">
        <v>19</v>
      </c>
      <c r="AA35" s="60" t="s">
        <v>19</v>
      </c>
      <c r="AB35" s="60" t="s">
        <v>21</v>
      </c>
      <c r="AC35" s="60" t="s">
        <v>21</v>
      </c>
      <c r="AD35" s="60" t="s">
        <v>21</v>
      </c>
      <c r="AE35" s="60" t="s">
        <v>21</v>
      </c>
      <c r="AF35" s="60" t="s">
        <v>21</v>
      </c>
      <c r="AG35" s="60"/>
      <c r="AH35" s="87">
        <f t="shared" si="17"/>
        <v>24</v>
      </c>
      <c r="AI35" s="87">
        <f t="shared" si="18"/>
        <v>0</v>
      </c>
      <c r="AJ35" s="87">
        <f t="shared" si="19"/>
        <v>0</v>
      </c>
      <c r="AK35" s="87"/>
      <c r="AL35" s="88"/>
      <c r="AM35" s="88"/>
      <c r="AN35" s="88"/>
      <c r="AO35" s="88"/>
      <c r="AP35" s="88"/>
      <c r="AQ35" s="89"/>
    </row>
    <row r="36" spans="1:43" s="78" customFormat="1" ht="22.15" customHeight="1">
      <c r="A36" s="56" t="s">
        <v>70</v>
      </c>
      <c r="B36" s="91" t="s">
        <v>71</v>
      </c>
      <c r="C36" s="60" t="s">
        <v>19</v>
      </c>
      <c r="D36" s="60" t="s">
        <v>19</v>
      </c>
      <c r="E36" s="60" t="s">
        <v>19</v>
      </c>
      <c r="F36" s="60" t="s">
        <v>19</v>
      </c>
      <c r="G36" s="60" t="s">
        <v>19</v>
      </c>
      <c r="H36" s="60" t="s">
        <v>19</v>
      </c>
      <c r="I36" s="60" t="s">
        <v>19</v>
      </c>
      <c r="J36" s="60" t="s">
        <v>19</v>
      </c>
      <c r="K36" s="60" t="s">
        <v>21</v>
      </c>
      <c r="L36" s="60" t="s">
        <v>21</v>
      </c>
      <c r="M36" s="60" t="s">
        <v>19</v>
      </c>
      <c r="N36" s="60" t="s">
        <v>21</v>
      </c>
      <c r="O36" s="60" t="s">
        <v>21</v>
      </c>
      <c r="P36" s="60" t="s">
        <v>21</v>
      </c>
      <c r="Q36" s="60" t="s">
        <v>21</v>
      </c>
      <c r="R36" s="60" t="s">
        <v>21</v>
      </c>
      <c r="S36" s="60" t="s">
        <v>21</v>
      </c>
      <c r="T36" s="60" t="s">
        <v>21</v>
      </c>
      <c r="U36" s="60" t="s">
        <v>21</v>
      </c>
      <c r="V36" s="60" t="s">
        <v>21</v>
      </c>
      <c r="W36" s="60" t="s">
        <v>21</v>
      </c>
      <c r="X36" s="60" t="s">
        <v>21</v>
      </c>
      <c r="Y36" s="60" t="s">
        <v>21</v>
      </c>
      <c r="Z36" s="60" t="s">
        <v>21</v>
      </c>
      <c r="AA36" s="60" t="s">
        <v>21</v>
      </c>
      <c r="AB36" s="60" t="s">
        <v>21</v>
      </c>
      <c r="AC36" s="60" t="s">
        <v>21</v>
      </c>
      <c r="AD36" s="60" t="s">
        <v>21</v>
      </c>
      <c r="AE36" s="60" t="s">
        <v>21</v>
      </c>
      <c r="AF36" s="60" t="s">
        <v>21</v>
      </c>
      <c r="AG36" s="60"/>
      <c r="AH36" s="87">
        <f t="shared" si="17"/>
        <v>9</v>
      </c>
      <c r="AI36" s="87">
        <f t="shared" si="18"/>
        <v>0</v>
      </c>
      <c r="AJ36" s="87">
        <f t="shared" si="19"/>
        <v>0</v>
      </c>
      <c r="AK36" s="87"/>
      <c r="AL36" s="88"/>
      <c r="AM36" s="88"/>
      <c r="AN36" s="88"/>
      <c r="AO36" s="88"/>
      <c r="AP36" s="88"/>
      <c r="AQ36" s="89"/>
    </row>
    <row r="37" spans="1:43" s="78" customFormat="1" ht="22.15" customHeight="1">
      <c r="A37" s="56" t="s">
        <v>72</v>
      </c>
      <c r="B37" s="91" t="s">
        <v>73</v>
      </c>
      <c r="C37" s="60" t="s">
        <v>21</v>
      </c>
      <c r="D37" s="60" t="s">
        <v>21</v>
      </c>
      <c r="E37" s="60" t="s">
        <v>19</v>
      </c>
      <c r="F37" s="60" t="s">
        <v>19</v>
      </c>
      <c r="G37" s="60" t="s">
        <v>19</v>
      </c>
      <c r="H37" s="60" t="s">
        <v>19</v>
      </c>
      <c r="I37" s="60" t="s">
        <v>19</v>
      </c>
      <c r="J37" s="60" t="s">
        <v>19</v>
      </c>
      <c r="K37" s="60" t="s">
        <v>19</v>
      </c>
      <c r="L37" s="60" t="s">
        <v>19</v>
      </c>
      <c r="M37" s="60" t="s">
        <v>19</v>
      </c>
      <c r="N37" s="60" t="s">
        <v>19</v>
      </c>
      <c r="O37" s="60" t="s">
        <v>19</v>
      </c>
      <c r="P37" s="60" t="s">
        <v>19</v>
      </c>
      <c r="Q37" s="60" t="s">
        <v>19</v>
      </c>
      <c r="R37" s="60" t="s">
        <v>19</v>
      </c>
      <c r="S37" s="60" t="s">
        <v>19</v>
      </c>
      <c r="T37" s="60" t="s">
        <v>19</v>
      </c>
      <c r="U37" s="60" t="s">
        <v>19</v>
      </c>
      <c r="V37" s="60" t="s">
        <v>19</v>
      </c>
      <c r="W37" s="60" t="s">
        <v>19</v>
      </c>
      <c r="X37" s="60" t="s">
        <v>19</v>
      </c>
      <c r="Y37" s="60" t="s">
        <v>21</v>
      </c>
      <c r="Z37" s="60" t="s">
        <v>21</v>
      </c>
      <c r="AA37" s="60" t="s">
        <v>19</v>
      </c>
      <c r="AB37" s="60" t="s">
        <v>19</v>
      </c>
      <c r="AC37" s="60" t="s">
        <v>19</v>
      </c>
      <c r="AD37" s="60" t="s">
        <v>19</v>
      </c>
      <c r="AE37" s="60" t="s">
        <v>19</v>
      </c>
      <c r="AF37" s="60" t="s">
        <v>19</v>
      </c>
      <c r="AG37" s="60"/>
      <c r="AH37" s="87">
        <f t="shared" si="17"/>
        <v>26</v>
      </c>
      <c r="AI37" s="87">
        <f t="shared" si="18"/>
        <v>0</v>
      </c>
      <c r="AJ37" s="87">
        <f t="shared" si="19"/>
        <v>0</v>
      </c>
      <c r="AK37" s="87"/>
      <c r="AL37" s="88"/>
      <c r="AM37" s="88"/>
      <c r="AN37" s="88"/>
      <c r="AO37" s="88"/>
      <c r="AP37" s="88"/>
      <c r="AQ37" s="89"/>
    </row>
    <row r="38" spans="1:43" s="78" customFormat="1" ht="22.15" customHeight="1">
      <c r="A38" s="56" t="s">
        <v>74</v>
      </c>
      <c r="B38" s="91" t="s">
        <v>75</v>
      </c>
      <c r="C38" s="60" t="s">
        <v>21</v>
      </c>
      <c r="D38" s="60" t="s">
        <v>21</v>
      </c>
      <c r="E38" s="60" t="s">
        <v>21</v>
      </c>
      <c r="F38" s="60" t="s">
        <v>21</v>
      </c>
      <c r="G38" s="60" t="s">
        <v>21</v>
      </c>
      <c r="H38" s="60" t="s">
        <v>21</v>
      </c>
      <c r="I38" s="60" t="s">
        <v>21</v>
      </c>
      <c r="J38" s="60" t="s">
        <v>21</v>
      </c>
      <c r="K38" s="60" t="s">
        <v>19</v>
      </c>
      <c r="L38" s="60" t="s">
        <v>19</v>
      </c>
      <c r="M38" s="60" t="s">
        <v>19</v>
      </c>
      <c r="N38" s="60" t="s">
        <v>21</v>
      </c>
      <c r="O38" s="60" t="s">
        <v>19</v>
      </c>
      <c r="P38" s="60" t="s">
        <v>19</v>
      </c>
      <c r="Q38" s="60" t="s">
        <v>19</v>
      </c>
      <c r="R38" s="60" t="s">
        <v>19</v>
      </c>
      <c r="S38" s="60" t="s">
        <v>19</v>
      </c>
      <c r="T38" s="60" t="s">
        <v>19</v>
      </c>
      <c r="U38" s="60" t="s">
        <v>19</v>
      </c>
      <c r="V38" s="60" t="s">
        <v>19</v>
      </c>
      <c r="W38" s="60" t="s">
        <v>19</v>
      </c>
      <c r="X38" s="60" t="s">
        <v>19</v>
      </c>
      <c r="Y38" s="60" t="s">
        <v>19</v>
      </c>
      <c r="Z38" s="60" t="s">
        <v>19</v>
      </c>
      <c r="AA38" s="60" t="s">
        <v>19</v>
      </c>
      <c r="AB38" s="60" t="s">
        <v>19</v>
      </c>
      <c r="AC38" s="60" t="s">
        <v>19</v>
      </c>
      <c r="AD38" s="60" t="s">
        <v>19</v>
      </c>
      <c r="AE38" s="60" t="s">
        <v>19</v>
      </c>
      <c r="AF38" s="60" t="s">
        <v>19</v>
      </c>
      <c r="AG38" s="60"/>
      <c r="AH38" s="87">
        <f t="shared" si="17"/>
        <v>21</v>
      </c>
      <c r="AI38" s="87">
        <f t="shared" si="18"/>
        <v>0</v>
      </c>
      <c r="AJ38" s="87">
        <f t="shared" si="19"/>
        <v>0</v>
      </c>
      <c r="AK38" s="87"/>
      <c r="AL38" s="88"/>
      <c r="AM38" s="88"/>
      <c r="AN38" s="88"/>
      <c r="AO38" s="88"/>
      <c r="AP38" s="88"/>
      <c r="AQ38" s="89"/>
    </row>
    <row r="39" spans="1:43" ht="17.45" customHeight="1">
      <c r="A39" s="56"/>
      <c r="B39" s="86" t="s">
        <v>76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69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87">
        <f t="shared" ref="AH39" si="20">COUNTIF(C39:AG39,"X")+COUNTIF(C39:AG39,"-")*0.5</f>
        <v>0</v>
      </c>
      <c r="AI39" s="87">
        <f t="shared" ref="AI39" si="21">SUM(C39:AG39)</f>
        <v>0</v>
      </c>
      <c r="AJ39" s="87">
        <f t="shared" ref="AJ39" si="22">COUNTIF(C39:AG39,"LT")</f>
        <v>0</v>
      </c>
      <c r="AK39" s="87">
        <f>COUNTIF(C39:AD39,"LL")</f>
        <v>0</v>
      </c>
      <c r="AL39" s="88">
        <f>COUNTIF(C39:AD39,"NK")</f>
        <v>0</v>
      </c>
      <c r="AM39" s="88">
        <f>COUNTIF(C39:AD39,"HH")</f>
        <v>0</v>
      </c>
      <c r="AN39" s="88">
        <f>COUNTIF(C39:AD39,"HH")</f>
        <v>0</v>
      </c>
      <c r="AO39" s="88">
        <f>COUNTIF(C39:AD39,"LT")</f>
        <v>0</v>
      </c>
      <c r="AP39" s="88">
        <f>COUNTIF(C39:AD39,"HH")</f>
        <v>0</v>
      </c>
      <c r="AQ39" s="89"/>
    </row>
    <row r="40" spans="1:43" ht="17.45" customHeight="1">
      <c r="A40" s="56" t="s">
        <v>77</v>
      </c>
      <c r="B40" s="65" t="s">
        <v>78</v>
      </c>
      <c r="C40" s="60" t="s">
        <v>19</v>
      </c>
      <c r="D40" s="60" t="s">
        <v>21</v>
      </c>
      <c r="E40" s="60" t="s">
        <v>21</v>
      </c>
      <c r="F40" s="60" t="s">
        <v>19</v>
      </c>
      <c r="G40" s="60" t="s">
        <v>19</v>
      </c>
      <c r="H40" s="60" t="s">
        <v>19</v>
      </c>
      <c r="I40" s="53" t="s">
        <v>19</v>
      </c>
      <c r="J40" s="53" t="s">
        <v>19</v>
      </c>
      <c r="K40" s="53" t="s">
        <v>19</v>
      </c>
      <c r="L40" s="53" t="s">
        <v>19</v>
      </c>
      <c r="M40" s="53" t="s">
        <v>19</v>
      </c>
      <c r="N40" s="53" t="s">
        <v>19</v>
      </c>
      <c r="O40" s="53" t="s">
        <v>19</v>
      </c>
      <c r="P40" s="53" t="s">
        <v>19</v>
      </c>
      <c r="Q40" s="53" t="s">
        <v>19</v>
      </c>
      <c r="R40" s="53" t="s">
        <v>19</v>
      </c>
      <c r="S40" s="53" t="s">
        <v>19</v>
      </c>
      <c r="T40" s="53" t="s">
        <v>19</v>
      </c>
      <c r="U40" s="53" t="s">
        <v>19</v>
      </c>
      <c r="V40" s="53" t="s">
        <v>19</v>
      </c>
      <c r="W40" s="53" t="s">
        <v>19</v>
      </c>
      <c r="X40" s="53" t="s">
        <v>19</v>
      </c>
      <c r="Y40" s="53" t="s">
        <v>19</v>
      </c>
      <c r="Z40" s="53" t="s">
        <v>21</v>
      </c>
      <c r="AA40" s="53" t="s">
        <v>19</v>
      </c>
      <c r="AB40" s="53" t="s">
        <v>19</v>
      </c>
      <c r="AC40" s="53" t="s">
        <v>19</v>
      </c>
      <c r="AD40" s="53" t="s">
        <v>19</v>
      </c>
      <c r="AE40" s="53" t="s">
        <v>19</v>
      </c>
      <c r="AF40" s="53" t="s">
        <v>19</v>
      </c>
      <c r="AG40" s="53"/>
      <c r="AH40" s="87">
        <f t="shared" ref="AH40:AH41" si="23">COUNTIF(C40:AG40,"X")+COUNTIF(C40:AG40,"-")*0.5</f>
        <v>27</v>
      </c>
      <c r="AI40" s="87">
        <f t="shared" ref="AI40:AI41" si="24">SUM(C40:AG40)</f>
        <v>0</v>
      </c>
      <c r="AJ40" s="87">
        <f t="shared" ref="AJ40:AJ41" si="25">COUNTIF(C40:AG40,"LT")</f>
        <v>0</v>
      </c>
      <c r="AK40" s="87"/>
      <c r="AL40" s="88"/>
      <c r="AM40" s="88"/>
      <c r="AN40" s="88"/>
      <c r="AO40" s="88"/>
      <c r="AP40" s="88"/>
      <c r="AQ40" s="89"/>
    </row>
    <row r="41" spans="1:43" ht="17.45" customHeight="1">
      <c r="A41" s="56" t="s">
        <v>79</v>
      </c>
      <c r="B41" s="65" t="s">
        <v>80</v>
      </c>
      <c r="C41" s="60" t="s">
        <v>20</v>
      </c>
      <c r="D41" s="60" t="s">
        <v>21</v>
      </c>
      <c r="E41" s="60" t="s">
        <v>21</v>
      </c>
      <c r="F41" s="60" t="s">
        <v>19</v>
      </c>
      <c r="G41" s="60" t="s">
        <v>19</v>
      </c>
      <c r="H41" s="60" t="s">
        <v>19</v>
      </c>
      <c r="I41" s="60" t="s">
        <v>19</v>
      </c>
      <c r="J41" s="60" t="s">
        <v>19</v>
      </c>
      <c r="K41" s="60" t="s">
        <v>19</v>
      </c>
      <c r="L41" s="60" t="s">
        <v>19</v>
      </c>
      <c r="M41" s="60" t="s">
        <v>19</v>
      </c>
      <c r="N41" s="60" t="s">
        <v>19</v>
      </c>
      <c r="O41" s="60" t="s">
        <v>19</v>
      </c>
      <c r="P41" s="60" t="s">
        <v>19</v>
      </c>
      <c r="Q41" s="60" t="s">
        <v>19</v>
      </c>
      <c r="R41" s="60" t="s">
        <v>19</v>
      </c>
      <c r="S41" s="60" t="s">
        <v>19</v>
      </c>
      <c r="T41" s="60" t="s">
        <v>19</v>
      </c>
      <c r="U41" s="60" t="s">
        <v>19</v>
      </c>
      <c r="V41" s="60" t="s">
        <v>19</v>
      </c>
      <c r="W41" s="60" t="s">
        <v>19</v>
      </c>
      <c r="X41" s="60" t="s">
        <v>19</v>
      </c>
      <c r="Y41" s="60" t="s">
        <v>19</v>
      </c>
      <c r="Z41" s="60" t="s">
        <v>19</v>
      </c>
      <c r="AA41" s="60" t="s">
        <v>19</v>
      </c>
      <c r="AB41" s="60" t="s">
        <v>19</v>
      </c>
      <c r="AC41" s="60" t="s">
        <v>19</v>
      </c>
      <c r="AD41" s="60" t="s">
        <v>19</v>
      </c>
      <c r="AE41" s="60" t="s">
        <v>19</v>
      </c>
      <c r="AF41" s="60" t="s">
        <v>19</v>
      </c>
      <c r="AG41" s="60"/>
      <c r="AH41" s="87">
        <f t="shared" si="23"/>
        <v>27.5</v>
      </c>
      <c r="AI41" s="87">
        <f t="shared" si="24"/>
        <v>0</v>
      </c>
      <c r="AJ41" s="87">
        <f t="shared" si="25"/>
        <v>0</v>
      </c>
      <c r="AK41" s="87"/>
      <c r="AL41" s="88"/>
      <c r="AM41" s="88"/>
      <c r="AN41" s="88"/>
      <c r="AO41" s="88"/>
      <c r="AP41" s="88"/>
      <c r="AQ41" s="89"/>
    </row>
    <row r="42" spans="1:43" ht="17.45" customHeight="1">
      <c r="A42" s="56" t="s">
        <v>81</v>
      </c>
      <c r="B42" s="65" t="s">
        <v>82</v>
      </c>
      <c r="C42" s="60" t="s">
        <v>21</v>
      </c>
      <c r="D42" s="60" t="s">
        <v>19</v>
      </c>
      <c r="E42" s="60" t="s">
        <v>19</v>
      </c>
      <c r="F42" s="60" t="s">
        <v>19</v>
      </c>
      <c r="G42" s="60" t="s">
        <v>21</v>
      </c>
      <c r="H42" s="60" t="s">
        <v>19</v>
      </c>
      <c r="I42" s="60" t="s">
        <v>19</v>
      </c>
      <c r="J42" s="60" t="s">
        <v>19</v>
      </c>
      <c r="K42" s="60" t="s">
        <v>19</v>
      </c>
      <c r="L42" s="60" t="s">
        <v>19</v>
      </c>
      <c r="M42" s="60" t="s">
        <v>19</v>
      </c>
      <c r="N42" s="60" t="s">
        <v>19</v>
      </c>
      <c r="O42" s="60" t="s">
        <v>19</v>
      </c>
      <c r="P42" s="60" t="s">
        <v>19</v>
      </c>
      <c r="Q42" s="60" t="s">
        <v>19</v>
      </c>
      <c r="R42" s="60" t="s">
        <v>19</v>
      </c>
      <c r="S42" s="60" t="s">
        <v>19</v>
      </c>
      <c r="T42" s="60" t="s">
        <v>19</v>
      </c>
      <c r="U42" s="60" t="s">
        <v>19</v>
      </c>
      <c r="V42" s="60" t="s">
        <v>19</v>
      </c>
      <c r="W42" s="60" t="s">
        <v>19</v>
      </c>
      <c r="X42" s="60" t="s">
        <v>19</v>
      </c>
      <c r="Y42" s="60" t="s">
        <v>19</v>
      </c>
      <c r="Z42" s="60" t="s">
        <v>19</v>
      </c>
      <c r="AA42" s="60" t="s">
        <v>19</v>
      </c>
      <c r="AB42" s="60" t="s">
        <v>19</v>
      </c>
      <c r="AC42" s="60" t="s">
        <v>19</v>
      </c>
      <c r="AD42" s="60" t="s">
        <v>19</v>
      </c>
      <c r="AE42" s="60" t="s">
        <v>21</v>
      </c>
      <c r="AF42" s="60" t="s">
        <v>19</v>
      </c>
      <c r="AG42" s="60"/>
      <c r="AH42" s="87">
        <f t="shared" ref="AH42:AH43" si="26">COUNTIF(C42:AG42,"X")+COUNTIF(C42:AG42,"-")*0.5</f>
        <v>27</v>
      </c>
      <c r="AI42" s="87">
        <f t="shared" ref="AI42:AI44" si="27">SUM(C42:AG42)</f>
        <v>0</v>
      </c>
      <c r="AJ42" s="87">
        <f t="shared" ref="AJ42:AJ44" si="28">COUNTIF(C42:AG42,"LT")</f>
        <v>0</v>
      </c>
      <c r="AK42" s="87"/>
      <c r="AL42" s="88"/>
      <c r="AM42" s="88"/>
      <c r="AN42" s="88"/>
      <c r="AO42" s="88"/>
      <c r="AP42" s="88"/>
      <c r="AQ42" s="89"/>
    </row>
    <row r="43" spans="1:43" s="78" customFormat="1" ht="21.75" customHeight="1">
      <c r="A43" s="56"/>
      <c r="B43" s="86" t="s">
        <v>83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87">
        <f t="shared" si="26"/>
        <v>0</v>
      </c>
      <c r="AI43" s="87">
        <f t="shared" si="27"/>
        <v>0</v>
      </c>
      <c r="AJ43" s="87">
        <f t="shared" si="28"/>
        <v>0</v>
      </c>
      <c r="AK43" s="87">
        <f>COUNTIF(F43:AJ43,"X")+COUNTIF(F43:AJ43,"-")*0.5</f>
        <v>0</v>
      </c>
      <c r="AL43" s="87">
        <f>SUM(F43:AJ43)</f>
        <v>0</v>
      </c>
      <c r="AM43" s="87">
        <f>COUNTIF(F43:AJ43,"LT")</f>
        <v>0</v>
      </c>
      <c r="AN43" s="87">
        <f>COUNTIF(I43:AM43,"X")+COUNTIF(I43:AM43,"-")*0.5</f>
        <v>0</v>
      </c>
      <c r="AO43" s="87">
        <f>SUM(I43:AM43)</f>
        <v>0</v>
      </c>
      <c r="AP43" s="87">
        <f>COUNTIF(I43:AM43,"LT")</f>
        <v>0</v>
      </c>
      <c r="AQ43" s="89"/>
    </row>
    <row r="44" spans="1:43" ht="21.75" customHeight="1">
      <c r="A44" s="56"/>
      <c r="B44" s="92" t="s">
        <v>84</v>
      </c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87">
        <f t="shared" ref="AH44" si="29">COUNTIF(C44:AG44,"X")+COUNTIF(C44:AG44,"-")*0.5</f>
        <v>0</v>
      </c>
      <c r="AI44" s="87">
        <f t="shared" si="27"/>
        <v>0</v>
      </c>
      <c r="AJ44" s="87">
        <f t="shared" si="28"/>
        <v>0</v>
      </c>
      <c r="AK44" s="93"/>
      <c r="AL44" s="94"/>
      <c r="AM44" s="94"/>
      <c r="AN44" s="94"/>
      <c r="AO44" s="94"/>
      <c r="AP44" s="94"/>
      <c r="AQ44" s="89"/>
    </row>
    <row r="45" spans="1:43" ht="21.75" customHeight="1">
      <c r="A45" s="56" t="s">
        <v>85</v>
      </c>
      <c r="B45" s="71" t="s">
        <v>86</v>
      </c>
      <c r="C45" s="95" t="s">
        <v>19</v>
      </c>
      <c r="D45" s="95" t="s">
        <v>19</v>
      </c>
      <c r="E45" s="95" t="s">
        <v>19</v>
      </c>
      <c r="F45" s="95" t="s">
        <v>19</v>
      </c>
      <c r="G45" s="95" t="s">
        <v>19</v>
      </c>
      <c r="H45" s="95" t="s">
        <v>19</v>
      </c>
      <c r="I45" s="95" t="s">
        <v>19</v>
      </c>
      <c r="J45" s="95" t="s">
        <v>19</v>
      </c>
      <c r="K45" s="60" t="s">
        <v>19</v>
      </c>
      <c r="L45" s="60" t="s">
        <v>19</v>
      </c>
      <c r="M45" s="60" t="s">
        <v>19</v>
      </c>
      <c r="N45" s="95" t="s">
        <v>19</v>
      </c>
      <c r="O45" s="95" t="s">
        <v>19</v>
      </c>
      <c r="P45" s="95" t="s">
        <v>19</v>
      </c>
      <c r="Q45" s="95" t="s">
        <v>19</v>
      </c>
      <c r="R45" s="95" t="s">
        <v>19</v>
      </c>
      <c r="S45" s="95" t="s">
        <v>19</v>
      </c>
      <c r="T45" s="95" t="s">
        <v>19</v>
      </c>
      <c r="U45" s="95" t="s">
        <v>19</v>
      </c>
      <c r="V45" s="95" t="s">
        <v>19</v>
      </c>
      <c r="W45" s="95" t="s">
        <v>19</v>
      </c>
      <c r="X45" s="95" t="s">
        <v>19</v>
      </c>
      <c r="Y45" s="95" t="s">
        <v>19</v>
      </c>
      <c r="Z45" s="95" t="s">
        <v>19</v>
      </c>
      <c r="AA45" s="95" t="s">
        <v>19</v>
      </c>
      <c r="AB45" s="95" t="s">
        <v>19</v>
      </c>
      <c r="AC45" s="95" t="s">
        <v>19</v>
      </c>
      <c r="AD45" s="95" t="s">
        <v>19</v>
      </c>
      <c r="AE45" s="95" t="s">
        <v>19</v>
      </c>
      <c r="AF45" s="60" t="s">
        <v>21</v>
      </c>
      <c r="AG45" s="60"/>
      <c r="AH45" s="87">
        <f t="shared" ref="AH45:AH47" si="30">COUNTIF(C45:AG45,"X")+COUNTIF(C45:AG45,"-")*0.5</f>
        <v>29</v>
      </c>
      <c r="AI45" s="87">
        <f t="shared" ref="AI45:AI47" si="31">SUM(C45:AG45)</f>
        <v>0</v>
      </c>
      <c r="AJ45" s="87">
        <f t="shared" ref="AJ45:AJ48" si="32">COUNTIF(C45:AG45,"LT")</f>
        <v>0</v>
      </c>
      <c r="AK45" s="93"/>
      <c r="AL45" s="94"/>
      <c r="AM45" s="94"/>
      <c r="AN45" s="94"/>
      <c r="AO45" s="94"/>
      <c r="AP45" s="94"/>
      <c r="AQ45" s="89"/>
    </row>
    <row r="46" spans="1:43" ht="21.75" customHeight="1">
      <c r="A46" s="56" t="s">
        <v>87</v>
      </c>
      <c r="B46" s="71" t="s">
        <v>88</v>
      </c>
      <c r="C46" s="95" t="s">
        <v>19</v>
      </c>
      <c r="D46" s="95" t="s">
        <v>21</v>
      </c>
      <c r="E46" s="95" t="s">
        <v>21</v>
      </c>
      <c r="F46" s="95" t="s">
        <v>21</v>
      </c>
      <c r="G46" s="95" t="s">
        <v>19</v>
      </c>
      <c r="H46" s="95" t="s">
        <v>19</v>
      </c>
      <c r="I46" s="95" t="s">
        <v>19</v>
      </c>
      <c r="J46" s="95" t="s">
        <v>19</v>
      </c>
      <c r="K46" s="95" t="s">
        <v>19</v>
      </c>
      <c r="L46" s="95" t="s">
        <v>19</v>
      </c>
      <c r="M46" s="95" t="s">
        <v>19</v>
      </c>
      <c r="N46" s="95" t="s">
        <v>19</v>
      </c>
      <c r="O46" s="95" t="s">
        <v>19</v>
      </c>
      <c r="P46" s="95" t="s">
        <v>19</v>
      </c>
      <c r="Q46" s="95" t="s">
        <v>19</v>
      </c>
      <c r="R46" s="95" t="s">
        <v>19</v>
      </c>
      <c r="S46" s="95" t="s">
        <v>19</v>
      </c>
      <c r="T46" s="95" t="s">
        <v>19</v>
      </c>
      <c r="U46" s="95" t="s">
        <v>19</v>
      </c>
      <c r="V46" s="95" t="s">
        <v>19</v>
      </c>
      <c r="W46" s="95" t="s">
        <v>19</v>
      </c>
      <c r="X46" s="95" t="s">
        <v>19</v>
      </c>
      <c r="Y46" s="95" t="s">
        <v>19</v>
      </c>
      <c r="Z46" s="95" t="s">
        <v>19</v>
      </c>
      <c r="AA46" s="95" t="s">
        <v>19</v>
      </c>
      <c r="AB46" s="95" t="s">
        <v>19</v>
      </c>
      <c r="AC46" s="95" t="s">
        <v>19</v>
      </c>
      <c r="AD46" s="95" t="s">
        <v>19</v>
      </c>
      <c r="AE46" s="60" t="s">
        <v>21</v>
      </c>
      <c r="AF46" s="60" t="s">
        <v>21</v>
      </c>
      <c r="AG46" s="60"/>
      <c r="AH46" s="87">
        <f t="shared" si="30"/>
        <v>25</v>
      </c>
      <c r="AI46" s="87">
        <f t="shared" si="31"/>
        <v>0</v>
      </c>
      <c r="AJ46" s="87">
        <f t="shared" si="32"/>
        <v>0</v>
      </c>
      <c r="AK46" s="93"/>
      <c r="AL46" s="94"/>
      <c r="AM46" s="94"/>
      <c r="AN46" s="94"/>
      <c r="AO46" s="94"/>
      <c r="AP46" s="94"/>
      <c r="AQ46" s="89"/>
    </row>
    <row r="47" spans="1:43" ht="21.75" customHeight="1">
      <c r="A47" s="56" t="s">
        <v>89</v>
      </c>
      <c r="B47" s="71" t="s">
        <v>90</v>
      </c>
      <c r="C47" s="95" t="s">
        <v>21</v>
      </c>
      <c r="D47" s="95" t="s">
        <v>21</v>
      </c>
      <c r="E47" s="95" t="s">
        <v>21</v>
      </c>
      <c r="F47" s="95" t="s">
        <v>21</v>
      </c>
      <c r="G47" s="95" t="s">
        <v>21</v>
      </c>
      <c r="H47" s="95" t="s">
        <v>21</v>
      </c>
      <c r="I47" s="95" t="s">
        <v>21</v>
      </c>
      <c r="J47" s="95" t="s">
        <v>21</v>
      </c>
      <c r="K47" s="95" t="s">
        <v>21</v>
      </c>
      <c r="L47" s="95" t="s">
        <v>21</v>
      </c>
      <c r="M47" s="95" t="s">
        <v>21</v>
      </c>
      <c r="N47" s="95" t="s">
        <v>21</v>
      </c>
      <c r="O47" s="95" t="s">
        <v>21</v>
      </c>
      <c r="P47" s="95" t="s">
        <v>21</v>
      </c>
      <c r="Q47" s="95" t="s">
        <v>21</v>
      </c>
      <c r="R47" s="95" t="s">
        <v>21</v>
      </c>
      <c r="S47" s="95" t="s">
        <v>21</v>
      </c>
      <c r="T47" s="95" t="s">
        <v>21</v>
      </c>
      <c r="U47" s="95" t="s">
        <v>21</v>
      </c>
      <c r="V47" s="95" t="s">
        <v>21</v>
      </c>
      <c r="W47" s="95" t="s">
        <v>21</v>
      </c>
      <c r="X47" s="95" t="s">
        <v>19</v>
      </c>
      <c r="Y47" s="95" t="s">
        <v>19</v>
      </c>
      <c r="Z47" s="95" t="s">
        <v>19</v>
      </c>
      <c r="AA47" s="95" t="s">
        <v>19</v>
      </c>
      <c r="AB47" s="95" t="s">
        <v>19</v>
      </c>
      <c r="AC47" s="95" t="s">
        <v>19</v>
      </c>
      <c r="AD47" s="60" t="s">
        <v>19</v>
      </c>
      <c r="AE47" s="60" t="s">
        <v>19</v>
      </c>
      <c r="AF47" s="60" t="s">
        <v>19</v>
      </c>
      <c r="AG47" s="60"/>
      <c r="AH47" s="87">
        <f t="shared" si="30"/>
        <v>9</v>
      </c>
      <c r="AI47" s="87">
        <f t="shared" si="31"/>
        <v>0</v>
      </c>
      <c r="AJ47" s="87">
        <f t="shared" si="32"/>
        <v>0</v>
      </c>
      <c r="AK47" s="96"/>
      <c r="AL47" s="97"/>
      <c r="AM47" s="97"/>
      <c r="AN47" s="97"/>
      <c r="AO47" s="97"/>
      <c r="AP47" s="97"/>
      <c r="AQ47" s="98"/>
    </row>
    <row r="48" spans="1:43" ht="21.75" customHeight="1">
      <c r="A48" s="99"/>
      <c r="B48" s="100" t="s">
        <v>91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2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74"/>
      <c r="AE48" s="74"/>
      <c r="AF48" s="74"/>
      <c r="AG48" s="74"/>
      <c r="AH48" s="87">
        <f t="shared" ref="AH48" si="33">COUNTIF(C48:AD48,"X")+COUNTIF(C48:AG48,"-")*0.5</f>
        <v>0</v>
      </c>
      <c r="AI48" s="87">
        <f t="shared" ref="AI48" si="34">SUM(C48:AG48)</f>
        <v>0</v>
      </c>
      <c r="AJ48" s="87">
        <f t="shared" si="32"/>
        <v>0</v>
      </c>
      <c r="AK48" s="103">
        <f>SUM(AK9:AK44)</f>
        <v>0</v>
      </c>
      <c r="AL48" s="103" t="e">
        <f>SUM(#REF!)</f>
        <v>#REF!</v>
      </c>
      <c r="AM48" s="103" t="e">
        <f>SUM(#REF!)</f>
        <v>#REF!</v>
      </c>
      <c r="AN48" s="103" t="e">
        <f>SUM(#REF!)</f>
        <v>#REF!</v>
      </c>
      <c r="AO48" s="103" t="e">
        <f>SUM(#REF!)</f>
        <v>#REF!</v>
      </c>
      <c r="AP48" s="103" t="e">
        <f>SUM(#REF!)</f>
        <v>#REF!</v>
      </c>
      <c r="AQ48" s="103">
        <f>SUM(AQ9:AQ44)</f>
        <v>0</v>
      </c>
    </row>
    <row r="49" spans="2:45" ht="20.25" customHeight="1">
      <c r="C49" s="79"/>
      <c r="D49" s="79"/>
      <c r="F49" s="104"/>
      <c r="G49" s="79"/>
      <c r="H49" s="79"/>
      <c r="I49" s="79"/>
      <c r="J49" s="79"/>
      <c r="K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2:45" ht="21.75" customHeight="1">
      <c r="B50" s="41"/>
      <c r="C50" s="126" t="s">
        <v>92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8"/>
      <c r="AH50" s="41"/>
      <c r="AI50" s="41"/>
      <c r="AJ50" s="41"/>
      <c r="AK50" s="41"/>
      <c r="AL50" s="41"/>
      <c r="AM50" s="41"/>
      <c r="AN50" s="41"/>
      <c r="AO50" s="81"/>
      <c r="AP50" s="81"/>
    </row>
    <row r="51" spans="2:45" ht="21.75" customHeight="1">
      <c r="B51" s="105"/>
      <c r="C51" s="129" t="s">
        <v>93</v>
      </c>
      <c r="D51" s="130"/>
      <c r="E51" s="130"/>
      <c r="F51" s="130"/>
      <c r="G51" s="130"/>
      <c r="H51" s="106" t="s">
        <v>94</v>
      </c>
      <c r="I51" s="131" t="s">
        <v>95</v>
      </c>
      <c r="J51" s="132"/>
      <c r="K51" s="132"/>
      <c r="L51" s="132"/>
      <c r="M51" s="133"/>
      <c r="N51" s="107" t="s">
        <v>96</v>
      </c>
      <c r="O51" s="108"/>
      <c r="P51" s="156" t="s">
        <v>97</v>
      </c>
      <c r="Q51" s="157"/>
      <c r="R51" s="157"/>
      <c r="S51" s="157"/>
      <c r="T51" s="157"/>
      <c r="U51" s="157"/>
      <c r="V51" s="158"/>
      <c r="W51" s="156" t="s">
        <v>98</v>
      </c>
      <c r="X51" s="157"/>
      <c r="Y51" s="157"/>
      <c r="Z51" s="157"/>
      <c r="AA51" s="157"/>
      <c r="AB51" s="158"/>
      <c r="AC51" s="156" t="s">
        <v>99</v>
      </c>
      <c r="AD51" s="157"/>
      <c r="AE51" s="157"/>
      <c r="AF51" s="157"/>
      <c r="AG51" s="157"/>
      <c r="AH51" s="157"/>
      <c r="AI51" s="158"/>
      <c r="AN51" s="109"/>
      <c r="AO51" s="81"/>
      <c r="AP51" s="81"/>
    </row>
    <row r="52" spans="2:45">
      <c r="B52" s="105"/>
      <c r="C52" s="134" t="s">
        <v>100</v>
      </c>
      <c r="D52" s="135"/>
      <c r="E52" s="135"/>
      <c r="F52" s="135"/>
      <c r="G52" s="135"/>
      <c r="H52" s="106" t="s">
        <v>101</v>
      </c>
      <c r="I52" s="136" t="s">
        <v>102</v>
      </c>
      <c r="J52" s="137"/>
      <c r="K52" s="137"/>
      <c r="L52" s="137"/>
      <c r="M52" s="138"/>
      <c r="N52" s="107" t="s">
        <v>19</v>
      </c>
      <c r="O52" s="110"/>
      <c r="P52" s="159"/>
      <c r="Q52" s="160"/>
      <c r="R52" s="160"/>
      <c r="S52" s="160"/>
      <c r="T52" s="160"/>
      <c r="U52" s="160"/>
      <c r="V52" s="161"/>
      <c r="W52" s="159"/>
      <c r="X52" s="160"/>
      <c r="Y52" s="160"/>
      <c r="Z52" s="160"/>
      <c r="AA52" s="160"/>
      <c r="AB52" s="161"/>
      <c r="AC52" s="159"/>
      <c r="AD52" s="160"/>
      <c r="AE52" s="160"/>
      <c r="AF52" s="160"/>
      <c r="AG52" s="160"/>
      <c r="AH52" s="160"/>
      <c r="AI52" s="161"/>
      <c r="AN52" s="109"/>
      <c r="AO52" s="81"/>
      <c r="AP52" s="81"/>
    </row>
    <row r="53" spans="2:45" ht="16.5" customHeight="1">
      <c r="B53" s="105"/>
      <c r="C53" s="134" t="s">
        <v>103</v>
      </c>
      <c r="D53" s="135"/>
      <c r="E53" s="135"/>
      <c r="F53" s="135"/>
      <c r="G53" s="135"/>
      <c r="H53" s="106" t="s">
        <v>104</v>
      </c>
      <c r="I53" s="136" t="s">
        <v>105</v>
      </c>
      <c r="J53" s="137"/>
      <c r="K53" s="137"/>
      <c r="L53" s="137"/>
      <c r="M53" s="138"/>
      <c r="N53" s="119" t="s">
        <v>20</v>
      </c>
      <c r="O53" s="110"/>
      <c r="P53" s="162" t="s">
        <v>106</v>
      </c>
      <c r="Q53" s="163"/>
      <c r="R53" s="163"/>
      <c r="S53" s="163"/>
      <c r="T53" s="163"/>
      <c r="U53" s="163"/>
      <c r="V53" s="164"/>
      <c r="W53" s="162"/>
      <c r="X53" s="163"/>
      <c r="Y53" s="163"/>
      <c r="Z53" s="163"/>
      <c r="AA53" s="163"/>
      <c r="AB53" s="164"/>
      <c r="AC53" s="171"/>
      <c r="AD53" s="171"/>
      <c r="AE53" s="171"/>
      <c r="AF53" s="171"/>
      <c r="AG53" s="171"/>
      <c r="AH53" s="171"/>
      <c r="AI53" s="171"/>
      <c r="AN53" s="111"/>
      <c r="AO53" s="81"/>
      <c r="AP53" s="81"/>
      <c r="AS53" s="112"/>
    </row>
    <row r="54" spans="2:45" ht="18" customHeight="1">
      <c r="B54" s="105"/>
      <c r="C54" s="139" t="s">
        <v>107</v>
      </c>
      <c r="D54" s="140"/>
      <c r="E54" s="140"/>
      <c r="F54" s="140"/>
      <c r="G54" s="140"/>
      <c r="H54" s="106" t="s">
        <v>108</v>
      </c>
      <c r="I54" s="136" t="s">
        <v>109</v>
      </c>
      <c r="J54" s="137"/>
      <c r="K54" s="137"/>
      <c r="L54" s="137"/>
      <c r="M54" s="138"/>
      <c r="N54" s="107" t="s">
        <v>21</v>
      </c>
      <c r="O54" s="110"/>
      <c r="P54" s="165"/>
      <c r="Q54" s="166"/>
      <c r="R54" s="166"/>
      <c r="S54" s="166"/>
      <c r="T54" s="166"/>
      <c r="U54" s="166"/>
      <c r="V54" s="167"/>
      <c r="W54" s="165"/>
      <c r="X54" s="166"/>
      <c r="Y54" s="166"/>
      <c r="Z54" s="166"/>
      <c r="AA54" s="166"/>
      <c r="AB54" s="167"/>
      <c r="AC54" s="171"/>
      <c r="AD54" s="171"/>
      <c r="AE54" s="171"/>
      <c r="AF54" s="171"/>
      <c r="AG54" s="171"/>
      <c r="AH54" s="171"/>
      <c r="AI54" s="171"/>
      <c r="AN54" s="111"/>
      <c r="AS54" s="112"/>
    </row>
    <row r="55" spans="2:45" ht="33.75" customHeight="1">
      <c r="B55" s="105"/>
      <c r="C55" s="134" t="s">
        <v>110</v>
      </c>
      <c r="D55" s="135"/>
      <c r="E55" s="135"/>
      <c r="F55" s="135"/>
      <c r="G55" s="135"/>
      <c r="H55" s="106" t="s">
        <v>111</v>
      </c>
      <c r="I55" s="136" t="s">
        <v>112</v>
      </c>
      <c r="J55" s="137"/>
      <c r="K55" s="137"/>
      <c r="L55" s="137"/>
      <c r="M55" s="138"/>
      <c r="N55" s="107" t="s">
        <v>113</v>
      </c>
      <c r="O55" s="110"/>
      <c r="P55" s="165"/>
      <c r="Q55" s="166"/>
      <c r="R55" s="166"/>
      <c r="S55" s="166"/>
      <c r="T55" s="166"/>
      <c r="U55" s="166"/>
      <c r="V55" s="167"/>
      <c r="W55" s="165"/>
      <c r="X55" s="166"/>
      <c r="Y55" s="166"/>
      <c r="Z55" s="166"/>
      <c r="AA55" s="166"/>
      <c r="AB55" s="167"/>
      <c r="AC55" s="171"/>
      <c r="AD55" s="171"/>
      <c r="AE55" s="171"/>
      <c r="AF55" s="171"/>
      <c r="AG55" s="171"/>
      <c r="AH55" s="171"/>
      <c r="AI55" s="171"/>
      <c r="AN55" s="111"/>
      <c r="AS55" s="112"/>
    </row>
    <row r="56" spans="2:45" ht="31.5" customHeight="1">
      <c r="B56" s="105"/>
      <c r="C56" s="134"/>
      <c r="D56" s="135"/>
      <c r="E56" s="135"/>
      <c r="F56" s="135"/>
      <c r="G56" s="135"/>
      <c r="H56" s="106"/>
      <c r="I56" s="136" t="s">
        <v>114</v>
      </c>
      <c r="J56" s="137"/>
      <c r="K56" s="137"/>
      <c r="L56" s="137"/>
      <c r="M56" s="138"/>
      <c r="N56" s="107" t="s">
        <v>115</v>
      </c>
      <c r="O56" s="110"/>
      <c r="P56" s="168"/>
      <c r="Q56" s="169"/>
      <c r="R56" s="169"/>
      <c r="S56" s="169"/>
      <c r="T56" s="169"/>
      <c r="U56" s="169"/>
      <c r="V56" s="170"/>
      <c r="W56" s="168"/>
      <c r="X56" s="169"/>
      <c r="Y56" s="169"/>
      <c r="Z56" s="169"/>
      <c r="AA56" s="169"/>
      <c r="AB56" s="170"/>
      <c r="AC56" s="171"/>
      <c r="AD56" s="171"/>
      <c r="AE56" s="171"/>
      <c r="AF56" s="171"/>
      <c r="AG56" s="171"/>
      <c r="AH56" s="171"/>
      <c r="AI56" s="171"/>
      <c r="AN56" s="111"/>
      <c r="AS56" s="112"/>
    </row>
    <row r="57" spans="2:45" ht="30.75" customHeight="1">
      <c r="B57" s="105"/>
      <c r="C57" s="134"/>
      <c r="D57" s="135"/>
      <c r="E57" s="135"/>
      <c r="F57" s="135"/>
      <c r="G57" s="135"/>
      <c r="H57" s="106"/>
      <c r="I57" s="141" t="s">
        <v>116</v>
      </c>
      <c r="J57" s="142"/>
      <c r="K57" s="142"/>
      <c r="L57" s="142"/>
      <c r="M57" s="143"/>
      <c r="N57" s="107" t="s">
        <v>117</v>
      </c>
      <c r="O57" s="110"/>
      <c r="P57" s="172" t="s">
        <v>118</v>
      </c>
      <c r="Q57" s="173"/>
      <c r="R57" s="173"/>
      <c r="S57" s="173"/>
      <c r="T57" s="173"/>
      <c r="U57" s="173"/>
      <c r="V57" s="174"/>
      <c r="W57" s="172" t="s">
        <v>118</v>
      </c>
      <c r="X57" s="173"/>
      <c r="Y57" s="173"/>
      <c r="Z57" s="173"/>
      <c r="AA57" s="173"/>
      <c r="AB57" s="174"/>
      <c r="AC57" s="171" t="s">
        <v>119</v>
      </c>
      <c r="AD57" s="171"/>
      <c r="AE57" s="171"/>
      <c r="AF57" s="171"/>
      <c r="AG57" s="171"/>
      <c r="AH57" s="171"/>
      <c r="AI57" s="171"/>
      <c r="AN57" s="111"/>
      <c r="AS57" s="112"/>
    </row>
    <row r="58" spans="2:45" ht="25.5" customHeight="1">
      <c r="B58" s="105"/>
      <c r="C58" s="144"/>
      <c r="D58" s="145"/>
      <c r="E58" s="145"/>
      <c r="F58" s="145"/>
      <c r="G58" s="145"/>
      <c r="H58" s="113"/>
      <c r="I58" s="146" t="s">
        <v>120</v>
      </c>
      <c r="J58" s="147"/>
      <c r="K58" s="147"/>
      <c r="L58" s="147"/>
      <c r="M58" s="148"/>
      <c r="N58" s="114" t="s">
        <v>121</v>
      </c>
      <c r="O58" s="110"/>
      <c r="P58" s="175"/>
      <c r="Q58" s="176"/>
      <c r="R58" s="176"/>
      <c r="S58" s="176"/>
      <c r="T58" s="176"/>
      <c r="U58" s="176"/>
      <c r="V58" s="177"/>
      <c r="W58" s="175"/>
      <c r="X58" s="176"/>
      <c r="Y58" s="176"/>
      <c r="Z58" s="176"/>
      <c r="AA58" s="176"/>
      <c r="AB58" s="177"/>
      <c r="AC58" s="171"/>
      <c r="AD58" s="171"/>
      <c r="AE58" s="171"/>
      <c r="AF58" s="171"/>
      <c r="AG58" s="171"/>
      <c r="AH58" s="171"/>
      <c r="AI58" s="171"/>
      <c r="AN58" s="111"/>
      <c r="AS58" s="112"/>
    </row>
    <row r="59" spans="2:45" ht="25.5" customHeight="1">
      <c r="B59" s="105"/>
      <c r="C59" s="105"/>
      <c r="D59" s="105"/>
      <c r="E59" s="115"/>
      <c r="F59" s="116"/>
      <c r="G59" s="105"/>
      <c r="H59" s="105"/>
      <c r="I59" s="105"/>
      <c r="J59" s="105"/>
      <c r="K59" s="105"/>
      <c r="L59" s="11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77"/>
      <c r="AI59" s="77"/>
      <c r="AJ59" s="77"/>
      <c r="AK59" s="77"/>
      <c r="AL59" s="79"/>
      <c r="AM59" s="79"/>
    </row>
    <row r="60" spans="2:45" ht="31.5" customHeight="1">
      <c r="B60" s="117"/>
      <c r="C60" s="117" t="s">
        <v>122</v>
      </c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9"/>
      <c r="AM60" s="79"/>
    </row>
    <row r="61" spans="2:45" ht="27.75" customHeight="1">
      <c r="B61" s="117"/>
      <c r="C61" s="120" t="s">
        <v>123</v>
      </c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9"/>
      <c r="AM61" s="79"/>
    </row>
    <row r="62" spans="2:45">
      <c r="B62" s="117"/>
      <c r="C62" s="120" t="s">
        <v>124</v>
      </c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9"/>
      <c r="AM62" s="79"/>
    </row>
    <row r="63" spans="2:45">
      <c r="B63" s="117"/>
      <c r="C63" s="120" t="s">
        <v>125</v>
      </c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9"/>
      <c r="AM63" s="79"/>
    </row>
    <row r="64" spans="2:45">
      <c r="B64" s="11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9"/>
      <c r="AM64" s="79"/>
    </row>
    <row r="65" spans="2:39">
      <c r="B65" s="11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9"/>
      <c r="AM65" s="79"/>
    </row>
    <row r="66" spans="2:39">
      <c r="B66" s="11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9"/>
      <c r="AM66" s="79"/>
    </row>
    <row r="67" spans="2:39">
      <c r="B67" s="11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9"/>
      <c r="AM67" s="79"/>
    </row>
    <row r="68" spans="2:39">
      <c r="B68" s="11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9"/>
      <c r="AM68" s="79"/>
    </row>
    <row r="69" spans="2:39">
      <c r="B69" s="11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9"/>
      <c r="AM69" s="79"/>
    </row>
    <row r="70" spans="2:39">
      <c r="AH70" s="41"/>
      <c r="AI70" s="41"/>
    </row>
    <row r="71" spans="2:39">
      <c r="AH71" s="41"/>
      <c r="AI71" s="41"/>
    </row>
    <row r="72" spans="2:39">
      <c r="C72" s="79"/>
      <c r="D72" s="79"/>
      <c r="F72" s="104"/>
      <c r="G72" s="79"/>
      <c r="H72" s="79"/>
      <c r="I72" s="79"/>
      <c r="J72" s="79"/>
      <c r="K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</row>
    <row r="73" spans="2:39">
      <c r="C73" s="79"/>
      <c r="D73" s="79"/>
      <c r="F73" s="104"/>
      <c r="G73" s="79"/>
      <c r="H73" s="79"/>
      <c r="I73" s="79"/>
      <c r="J73" s="79"/>
      <c r="K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</row>
    <row r="74" spans="2:39">
      <c r="C74" s="79"/>
      <c r="D74" s="79"/>
      <c r="F74" s="104"/>
      <c r="G74" s="79"/>
      <c r="H74" s="79"/>
      <c r="I74" s="79"/>
      <c r="J74" s="79"/>
      <c r="K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</row>
    <row r="75" spans="2:39">
      <c r="C75" s="79"/>
      <c r="D75" s="79"/>
      <c r="F75" s="104"/>
      <c r="G75" s="79"/>
      <c r="H75" s="79"/>
      <c r="I75" s="79"/>
      <c r="J75" s="79"/>
      <c r="K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</row>
    <row r="76" spans="2:39">
      <c r="C76" s="79"/>
      <c r="D76" s="79"/>
      <c r="F76" s="104"/>
      <c r="G76" s="79"/>
      <c r="H76" s="79"/>
      <c r="I76" s="79"/>
      <c r="J76" s="79"/>
      <c r="K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</row>
    <row r="77" spans="2:39">
      <c r="C77" s="79"/>
      <c r="D77" s="79"/>
      <c r="F77" s="104"/>
      <c r="G77" s="79"/>
      <c r="H77" s="79"/>
      <c r="I77" s="79"/>
      <c r="J77" s="79"/>
      <c r="K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</row>
    <row r="78" spans="2:39">
      <c r="C78" s="79"/>
      <c r="D78" s="79"/>
      <c r="F78" s="104"/>
      <c r="G78" s="79"/>
      <c r="H78" s="79"/>
      <c r="I78" s="79"/>
      <c r="J78" s="79"/>
      <c r="K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</row>
    <row r="79" spans="2:39">
      <c r="C79" s="79"/>
      <c r="D79" s="79"/>
      <c r="F79" s="104"/>
      <c r="G79" s="79"/>
      <c r="H79" s="79"/>
      <c r="I79" s="79"/>
      <c r="J79" s="79"/>
      <c r="K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</row>
    <row r="80" spans="2:39">
      <c r="AH80" s="118"/>
    </row>
    <row r="81" spans="34:34">
      <c r="AH81" s="118"/>
    </row>
    <row r="82" spans="34:34">
      <c r="AH82" s="118"/>
    </row>
    <row r="83" spans="34:34">
      <c r="AH83" s="118"/>
    </row>
    <row r="84" spans="34:34">
      <c r="AH84" s="118"/>
    </row>
    <row r="85" spans="34:34">
      <c r="AH85" s="118"/>
    </row>
    <row r="86" spans="34:34">
      <c r="AH86" s="118"/>
    </row>
    <row r="87" spans="34:34">
      <c r="AH87" s="118"/>
    </row>
    <row r="88" spans="34:34">
      <c r="AH88" s="118"/>
    </row>
    <row r="89" spans="34:34">
      <c r="AH89" s="118"/>
    </row>
    <row r="90" spans="34:34">
      <c r="AH90" s="118"/>
    </row>
    <row r="91" spans="34:34">
      <c r="AH91" s="118"/>
    </row>
    <row r="92" spans="34:34">
      <c r="AH92" s="118"/>
    </row>
    <row r="93" spans="34:34">
      <c r="AH93" s="118"/>
    </row>
    <row r="94" spans="34:34">
      <c r="AH94" s="118"/>
    </row>
    <row r="95" spans="34:34">
      <c r="AH95" s="118"/>
    </row>
    <row r="96" spans="34:34">
      <c r="AH96" s="118"/>
    </row>
    <row r="97" spans="34:34">
      <c r="AH97" s="118"/>
    </row>
    <row r="98" spans="34:34">
      <c r="AH98" s="118"/>
    </row>
    <row r="99" spans="34:34">
      <c r="AH99" s="118"/>
    </row>
    <row r="100" spans="34:34">
      <c r="AH100" s="118"/>
    </row>
    <row r="101" spans="34:34">
      <c r="AH101" s="118"/>
    </row>
    <row r="102" spans="34:34">
      <c r="AH102" s="118"/>
    </row>
    <row r="103" spans="34:34">
      <c r="AH103" s="118"/>
    </row>
    <row r="104" spans="34:34">
      <c r="AH104" s="118"/>
    </row>
    <row r="105" spans="34:34">
      <c r="AH105" s="118"/>
    </row>
    <row r="106" spans="34:34">
      <c r="AH106" s="118"/>
    </row>
    <row r="107" spans="34:34">
      <c r="AH107" s="118"/>
    </row>
    <row r="108" spans="34:34">
      <c r="AH108" s="118"/>
    </row>
    <row r="109" spans="34:34">
      <c r="AH109" s="118"/>
    </row>
    <row r="110" spans="34:34">
      <c r="AH110" s="118"/>
    </row>
    <row r="111" spans="34:34">
      <c r="AH111" s="118"/>
    </row>
    <row r="112" spans="34:34">
      <c r="AH112" s="118"/>
    </row>
    <row r="113" spans="34:34">
      <c r="AH113" s="118"/>
    </row>
    <row r="114" spans="34:34">
      <c r="AH114" s="118"/>
    </row>
    <row r="115" spans="34:34">
      <c r="AH115" s="118"/>
    </row>
    <row r="116" spans="34:34">
      <c r="AH116" s="118"/>
    </row>
    <row r="117" spans="34:34">
      <c r="AH117" s="118"/>
    </row>
    <row r="118" spans="34:34">
      <c r="AH118" s="118"/>
    </row>
    <row r="119" spans="34:34">
      <c r="AH119" s="118"/>
    </row>
    <row r="120" spans="34:34">
      <c r="AH120" s="118"/>
    </row>
    <row r="121" spans="34:34">
      <c r="AH121" s="118"/>
    </row>
    <row r="122" spans="34:34">
      <c r="AH122" s="118"/>
    </row>
    <row r="123" spans="34:34">
      <c r="AH123" s="118"/>
    </row>
    <row r="124" spans="34:34">
      <c r="AH124" s="118"/>
    </row>
    <row r="125" spans="34:34">
      <c r="AH125" s="118"/>
    </row>
    <row r="126" spans="34:34">
      <c r="AH126" s="118"/>
    </row>
    <row r="127" spans="34:34">
      <c r="AH127" s="118"/>
    </row>
    <row r="128" spans="34:34">
      <c r="AH128" s="118"/>
    </row>
    <row r="129" spans="34:34">
      <c r="AH129" s="118"/>
    </row>
    <row r="130" spans="34:34">
      <c r="AH130" s="118"/>
    </row>
    <row r="131" spans="34:34">
      <c r="AH131" s="118"/>
    </row>
    <row r="132" spans="34:34">
      <c r="AH132" s="118"/>
    </row>
    <row r="133" spans="34:34">
      <c r="AH133" s="118"/>
    </row>
    <row r="134" spans="34:34">
      <c r="AH134" s="118"/>
    </row>
    <row r="135" spans="34:34">
      <c r="AH135" s="118"/>
    </row>
    <row r="136" spans="34:34">
      <c r="AH136" s="118"/>
    </row>
    <row r="137" spans="34:34">
      <c r="AH137" s="118"/>
    </row>
    <row r="138" spans="34:34">
      <c r="AH138" s="118"/>
    </row>
    <row r="139" spans="34:34">
      <c r="AH139" s="118"/>
    </row>
    <row r="140" spans="34:34">
      <c r="AH140" s="118"/>
    </row>
    <row r="141" spans="34:34">
      <c r="AH141" s="118"/>
    </row>
    <row r="142" spans="34:34">
      <c r="AH142" s="118"/>
    </row>
    <row r="143" spans="34:34">
      <c r="AH143" s="118"/>
    </row>
    <row r="144" spans="34:34">
      <c r="AH144" s="118"/>
    </row>
    <row r="145" spans="34:34">
      <c r="AH145" s="118"/>
    </row>
    <row r="146" spans="34:34">
      <c r="AH146" s="118"/>
    </row>
    <row r="147" spans="34:34">
      <c r="AH147" s="118"/>
    </row>
    <row r="148" spans="34:34">
      <c r="AH148" s="118"/>
    </row>
    <row r="149" spans="34:34">
      <c r="AH149" s="118"/>
    </row>
    <row r="150" spans="34:34">
      <c r="AH150" s="118"/>
    </row>
    <row r="151" spans="34:34">
      <c r="AH151" s="118"/>
    </row>
    <row r="152" spans="34:34">
      <c r="AH152" s="118"/>
    </row>
    <row r="153" spans="34:34">
      <c r="AH153" s="118"/>
    </row>
    <row r="154" spans="34:34">
      <c r="AH154" s="118"/>
    </row>
    <row r="155" spans="34:34">
      <c r="AH155" s="118"/>
    </row>
    <row r="156" spans="34:34">
      <c r="AH156" s="118"/>
    </row>
    <row r="157" spans="34:34">
      <c r="AH157" s="118"/>
    </row>
    <row r="158" spans="34:34">
      <c r="AH158" s="118"/>
    </row>
    <row r="159" spans="34:34">
      <c r="AH159" s="118"/>
    </row>
    <row r="160" spans="34:34">
      <c r="AH160" s="118"/>
    </row>
    <row r="161" spans="34:34">
      <c r="AH161" s="118"/>
    </row>
    <row r="162" spans="34:34">
      <c r="AH162" s="118"/>
    </row>
    <row r="163" spans="34:34">
      <c r="AH163" s="118"/>
    </row>
    <row r="164" spans="34:34">
      <c r="AH164" s="118"/>
    </row>
    <row r="165" spans="34:34">
      <c r="AH165" s="118"/>
    </row>
    <row r="166" spans="34:34">
      <c r="AH166" s="118"/>
    </row>
    <row r="167" spans="34:34">
      <c r="AH167" s="118"/>
    </row>
    <row r="168" spans="34:34">
      <c r="AH168" s="118"/>
    </row>
    <row r="169" spans="34:34">
      <c r="AH169" s="118"/>
    </row>
    <row r="170" spans="34:34">
      <c r="AH170" s="118"/>
    </row>
    <row r="171" spans="34:34">
      <c r="AH171" s="118"/>
    </row>
    <row r="172" spans="34:34">
      <c r="AH172" s="118"/>
    </row>
    <row r="173" spans="34:34">
      <c r="AH173" s="118"/>
    </row>
    <row r="174" spans="34:34">
      <c r="AH174" s="118"/>
    </row>
    <row r="175" spans="34:34">
      <c r="AH175" s="118"/>
    </row>
    <row r="176" spans="34:34">
      <c r="AH176" s="118"/>
    </row>
    <row r="177" spans="34:34">
      <c r="AH177" s="118"/>
    </row>
    <row r="178" spans="34:34">
      <c r="AH178" s="118"/>
    </row>
    <row r="179" spans="34:34">
      <c r="AH179" s="118"/>
    </row>
    <row r="180" spans="34:34">
      <c r="AH180" s="118"/>
    </row>
    <row r="181" spans="34:34">
      <c r="AH181" s="118"/>
    </row>
    <row r="182" spans="34:34">
      <c r="AH182" s="118"/>
    </row>
    <row r="183" spans="34:34">
      <c r="AH183" s="118"/>
    </row>
    <row r="184" spans="34:34">
      <c r="AH184" s="118"/>
    </row>
    <row r="185" spans="34:34">
      <c r="AH185" s="118"/>
    </row>
    <row r="186" spans="34:34">
      <c r="AH186" s="118"/>
    </row>
    <row r="187" spans="34:34">
      <c r="AH187" s="118"/>
    </row>
    <row r="188" spans="34:34">
      <c r="AH188" s="118"/>
    </row>
    <row r="189" spans="34:34">
      <c r="AH189" s="118"/>
    </row>
    <row r="190" spans="34:34">
      <c r="AH190" s="118"/>
    </row>
    <row r="191" spans="34:34">
      <c r="AH191" s="118"/>
    </row>
    <row r="192" spans="34:34">
      <c r="AH192" s="118"/>
    </row>
    <row r="193" spans="34:34">
      <c r="AH193" s="118"/>
    </row>
    <row r="194" spans="34:34">
      <c r="AH194" s="118"/>
    </row>
    <row r="195" spans="34:34">
      <c r="AH195" s="118"/>
    </row>
    <row r="196" spans="34:34">
      <c r="AH196" s="118"/>
    </row>
    <row r="197" spans="34:34">
      <c r="AH197" s="118"/>
    </row>
    <row r="198" spans="34:34">
      <c r="AH198" s="118"/>
    </row>
    <row r="199" spans="34:34">
      <c r="AH199" s="118"/>
    </row>
    <row r="200" spans="34:34">
      <c r="AH200" s="118"/>
    </row>
    <row r="201" spans="34:34">
      <c r="AH201" s="118"/>
    </row>
    <row r="202" spans="34:34">
      <c r="AH202" s="118"/>
    </row>
    <row r="203" spans="34:34">
      <c r="AH203" s="118"/>
    </row>
    <row r="204" spans="34:34">
      <c r="AH204" s="118"/>
    </row>
    <row r="205" spans="34:34">
      <c r="AH205" s="118"/>
    </row>
    <row r="206" spans="34:34">
      <c r="AH206" s="118"/>
    </row>
    <row r="207" spans="34:34">
      <c r="AH207" s="118"/>
    </row>
    <row r="208" spans="34:34">
      <c r="AH208" s="118"/>
    </row>
    <row r="209" spans="34:34">
      <c r="AH209" s="118"/>
    </row>
    <row r="210" spans="34:34">
      <c r="AH210" s="118"/>
    </row>
    <row r="211" spans="34:34">
      <c r="AH211" s="118"/>
    </row>
    <row r="212" spans="34:34">
      <c r="AH212" s="118"/>
    </row>
    <row r="213" spans="34:34">
      <c r="AH213" s="118"/>
    </row>
    <row r="214" spans="34:34">
      <c r="AH214" s="118"/>
    </row>
    <row r="215" spans="34:34">
      <c r="AH215" s="118"/>
    </row>
    <row r="216" spans="34:34">
      <c r="AH216" s="118"/>
    </row>
    <row r="217" spans="34:34">
      <c r="AH217" s="118"/>
    </row>
    <row r="218" spans="34:34">
      <c r="AH218" s="118"/>
    </row>
    <row r="219" spans="34:34">
      <c r="AH219" s="118"/>
    </row>
    <row r="220" spans="34:34">
      <c r="AH220" s="118"/>
    </row>
    <row r="221" spans="34:34">
      <c r="AH221" s="118"/>
    </row>
    <row r="222" spans="34:34">
      <c r="AH222" s="118"/>
    </row>
    <row r="223" spans="34:34">
      <c r="AH223" s="118"/>
    </row>
    <row r="224" spans="34:34">
      <c r="AH224" s="118"/>
    </row>
    <row r="225" spans="34:34">
      <c r="AH225" s="118"/>
    </row>
    <row r="226" spans="34:34">
      <c r="AH226" s="118"/>
    </row>
    <row r="227" spans="34:34">
      <c r="AH227" s="118"/>
    </row>
    <row r="228" spans="34:34">
      <c r="AH228" s="118"/>
    </row>
    <row r="229" spans="34:34">
      <c r="AH229" s="118"/>
    </row>
    <row r="230" spans="34:34">
      <c r="AH230" s="118"/>
    </row>
    <row r="231" spans="34:34">
      <c r="AH231" s="118"/>
    </row>
    <row r="232" spans="34:34">
      <c r="AH232" s="118"/>
    </row>
    <row r="233" spans="34:34">
      <c r="AH233" s="118"/>
    </row>
    <row r="234" spans="34:34">
      <c r="AH234" s="118"/>
    </row>
    <row r="235" spans="34:34">
      <c r="AH235" s="118"/>
    </row>
    <row r="236" spans="34:34">
      <c r="AH236" s="118"/>
    </row>
    <row r="237" spans="34:34">
      <c r="AH237" s="118"/>
    </row>
    <row r="238" spans="34:34">
      <c r="AH238" s="118"/>
    </row>
    <row r="239" spans="34:34">
      <c r="AH239" s="118"/>
    </row>
    <row r="240" spans="34:34">
      <c r="AH240" s="118"/>
    </row>
    <row r="241" spans="34:34">
      <c r="AH241" s="118"/>
    </row>
    <row r="242" spans="34:34">
      <c r="AH242" s="118"/>
    </row>
    <row r="243" spans="34:34">
      <c r="AH243" s="118"/>
    </row>
    <row r="244" spans="34:34">
      <c r="AH244" s="118"/>
    </row>
    <row r="245" spans="34:34">
      <c r="AH245" s="118"/>
    </row>
    <row r="246" spans="34:34">
      <c r="AH246" s="118"/>
    </row>
    <row r="247" spans="34:34">
      <c r="AH247" s="118"/>
    </row>
    <row r="248" spans="34:34">
      <c r="AH248" s="118"/>
    </row>
    <row r="249" spans="34:34">
      <c r="AH249" s="118"/>
    </row>
    <row r="250" spans="34:34">
      <c r="AH250" s="118"/>
    </row>
    <row r="251" spans="34:34">
      <c r="AH251" s="118"/>
    </row>
    <row r="252" spans="34:34">
      <c r="AH252" s="118"/>
    </row>
    <row r="253" spans="34:34">
      <c r="AH253" s="118"/>
    </row>
    <row r="254" spans="34:34">
      <c r="AH254" s="118"/>
    </row>
    <row r="255" spans="34:34">
      <c r="AH255" s="118"/>
    </row>
    <row r="256" spans="34:34">
      <c r="AH256" s="118"/>
    </row>
    <row r="257" spans="34:34">
      <c r="AH257" s="118"/>
    </row>
    <row r="258" spans="34:34">
      <c r="AH258" s="118"/>
    </row>
    <row r="259" spans="34:34">
      <c r="AH259" s="118"/>
    </row>
    <row r="260" spans="34:34">
      <c r="AH260" s="118"/>
    </row>
    <row r="261" spans="34:34">
      <c r="AH261" s="118"/>
    </row>
    <row r="262" spans="34:34">
      <c r="AH262" s="118"/>
    </row>
    <row r="263" spans="34:34">
      <c r="AH263" s="118"/>
    </row>
    <row r="264" spans="34:34">
      <c r="AH264" s="118"/>
    </row>
    <row r="265" spans="34:34">
      <c r="AH265" s="118"/>
    </row>
    <row r="266" spans="34:34">
      <c r="AH266" s="118"/>
    </row>
    <row r="267" spans="34:34">
      <c r="AH267" s="118"/>
    </row>
    <row r="268" spans="34:34">
      <c r="AH268" s="118"/>
    </row>
    <row r="269" spans="34:34">
      <c r="AH269" s="118"/>
    </row>
    <row r="270" spans="34:34">
      <c r="AH270" s="118"/>
    </row>
    <row r="271" spans="34:34">
      <c r="AH271" s="118"/>
    </row>
    <row r="272" spans="34:34">
      <c r="AH272" s="118"/>
    </row>
    <row r="273" spans="34:34">
      <c r="AH273" s="118"/>
    </row>
    <row r="274" spans="34:34">
      <c r="AH274" s="118"/>
    </row>
    <row r="275" spans="34:34">
      <c r="AH275" s="118"/>
    </row>
    <row r="276" spans="34:34">
      <c r="AH276" s="118"/>
    </row>
    <row r="277" spans="34:34">
      <c r="AH277" s="118"/>
    </row>
    <row r="278" spans="34:34">
      <c r="AH278" s="118"/>
    </row>
    <row r="279" spans="34:34">
      <c r="AH279" s="118"/>
    </row>
    <row r="280" spans="34:34">
      <c r="AH280" s="118"/>
    </row>
    <row r="281" spans="34:34">
      <c r="AH281" s="118"/>
    </row>
    <row r="282" spans="34:34">
      <c r="AH282" s="118"/>
    </row>
    <row r="283" spans="34:34">
      <c r="AH283" s="118"/>
    </row>
    <row r="284" spans="34:34">
      <c r="AH284" s="118"/>
    </row>
    <row r="285" spans="34:34">
      <c r="AH285" s="118"/>
    </row>
    <row r="286" spans="34:34">
      <c r="AH286" s="118"/>
    </row>
    <row r="287" spans="34:34">
      <c r="AH287" s="118"/>
    </row>
    <row r="288" spans="34:34">
      <c r="AH288" s="118"/>
    </row>
    <row r="289" spans="34:34">
      <c r="AH289" s="118"/>
    </row>
    <row r="290" spans="34:34">
      <c r="AH290" s="118"/>
    </row>
    <row r="291" spans="34:34">
      <c r="AH291" s="118"/>
    </row>
    <row r="292" spans="34:34">
      <c r="AH292" s="118"/>
    </row>
    <row r="293" spans="34:34">
      <c r="AH293" s="118"/>
    </row>
    <row r="294" spans="34:34">
      <c r="AH294" s="118"/>
    </row>
    <row r="295" spans="34:34">
      <c r="AH295" s="118"/>
    </row>
    <row r="296" spans="34:34">
      <c r="AH296" s="118"/>
    </row>
    <row r="297" spans="34:34">
      <c r="AH297" s="118"/>
    </row>
    <row r="298" spans="34:34">
      <c r="AH298" s="118"/>
    </row>
    <row r="299" spans="34:34">
      <c r="AH299" s="118"/>
    </row>
    <row r="300" spans="34:34">
      <c r="AH300" s="118"/>
    </row>
    <row r="301" spans="34:34">
      <c r="AH301" s="118"/>
    </row>
    <row r="302" spans="34:34">
      <c r="AH302" s="118"/>
    </row>
    <row r="303" spans="34:34">
      <c r="AH303" s="118"/>
    </row>
    <row r="304" spans="34:34">
      <c r="AH304" s="118"/>
    </row>
    <row r="305" spans="34:34">
      <c r="AH305" s="118"/>
    </row>
    <row r="306" spans="34:34">
      <c r="AH306" s="118"/>
    </row>
    <row r="307" spans="34:34">
      <c r="AH307" s="118"/>
    </row>
    <row r="308" spans="34:34">
      <c r="AH308" s="118"/>
    </row>
    <row r="309" spans="34:34">
      <c r="AH309" s="118"/>
    </row>
    <row r="310" spans="34:34">
      <c r="AH310" s="118"/>
    </row>
    <row r="311" spans="34:34">
      <c r="AH311" s="118"/>
    </row>
    <row r="312" spans="34:34">
      <c r="AH312" s="118"/>
    </row>
    <row r="313" spans="34:34">
      <c r="AH313" s="118"/>
    </row>
    <row r="314" spans="34:34">
      <c r="AH314" s="118"/>
    </row>
    <row r="315" spans="34:34">
      <c r="AH315" s="118"/>
    </row>
    <row r="316" spans="34:34">
      <c r="AH316" s="118"/>
    </row>
    <row r="317" spans="34:34">
      <c r="AH317" s="118"/>
    </row>
    <row r="318" spans="34:34">
      <c r="AH318" s="118"/>
    </row>
    <row r="319" spans="34:34">
      <c r="AH319" s="118"/>
    </row>
    <row r="320" spans="34:34">
      <c r="AH320" s="118"/>
    </row>
    <row r="321" spans="34:34">
      <c r="AH321" s="118"/>
    </row>
    <row r="322" spans="34:34">
      <c r="AH322" s="118"/>
    </row>
    <row r="323" spans="34:34">
      <c r="AH323" s="118"/>
    </row>
    <row r="324" spans="34:34">
      <c r="AH324" s="118"/>
    </row>
    <row r="325" spans="34:34">
      <c r="AH325" s="118"/>
    </row>
    <row r="326" spans="34:34">
      <c r="AH326" s="118"/>
    </row>
    <row r="327" spans="34:34">
      <c r="AH327" s="118"/>
    </row>
    <row r="328" spans="34:34">
      <c r="AH328" s="118"/>
    </row>
    <row r="329" spans="34:34">
      <c r="AH329" s="118"/>
    </row>
    <row r="330" spans="34:34">
      <c r="AH330" s="118"/>
    </row>
    <row r="331" spans="34:34">
      <c r="AH331" s="118"/>
    </row>
    <row r="332" spans="34:34">
      <c r="AH332" s="118"/>
    </row>
    <row r="333" spans="34:34">
      <c r="AH333" s="118"/>
    </row>
    <row r="334" spans="34:34">
      <c r="AH334" s="118"/>
    </row>
    <row r="335" spans="34:34">
      <c r="AH335" s="118"/>
    </row>
    <row r="336" spans="34:34">
      <c r="AH336" s="118"/>
    </row>
    <row r="337" spans="34:34">
      <c r="AH337" s="118"/>
    </row>
    <row r="338" spans="34:34">
      <c r="AH338" s="118"/>
    </row>
    <row r="339" spans="34:34">
      <c r="AH339" s="118"/>
    </row>
    <row r="340" spans="34:34">
      <c r="AH340" s="118"/>
    </row>
    <row r="341" spans="34:34">
      <c r="AH341" s="118"/>
    </row>
    <row r="342" spans="34:34">
      <c r="AH342" s="118"/>
    </row>
    <row r="343" spans="34:34">
      <c r="AH343" s="118"/>
    </row>
    <row r="344" spans="34:34">
      <c r="AH344" s="118"/>
    </row>
    <row r="345" spans="34:34">
      <c r="AH345" s="118"/>
    </row>
    <row r="346" spans="34:34">
      <c r="AH346" s="118"/>
    </row>
    <row r="347" spans="34:34">
      <c r="AH347" s="118"/>
    </row>
    <row r="348" spans="34:34">
      <c r="AH348" s="118"/>
    </row>
    <row r="349" spans="34:34">
      <c r="AH349" s="118"/>
    </row>
    <row r="350" spans="34:34">
      <c r="AH350" s="118"/>
    </row>
    <row r="351" spans="34:34">
      <c r="AH351" s="118"/>
    </row>
    <row r="352" spans="34:34">
      <c r="AH352" s="118"/>
    </row>
    <row r="353" spans="34:34">
      <c r="AH353" s="118"/>
    </row>
    <row r="354" spans="34:34">
      <c r="AH354" s="118"/>
    </row>
    <row r="355" spans="34:34">
      <c r="AH355" s="118"/>
    </row>
    <row r="356" spans="34:34">
      <c r="AH356" s="118"/>
    </row>
    <row r="357" spans="34:34">
      <c r="AH357" s="118"/>
    </row>
    <row r="358" spans="34:34">
      <c r="AH358" s="118"/>
    </row>
    <row r="359" spans="34:34">
      <c r="AH359" s="118"/>
    </row>
    <row r="360" spans="34:34">
      <c r="AH360" s="118"/>
    </row>
    <row r="361" spans="34:34">
      <c r="AH361" s="118"/>
    </row>
    <row r="362" spans="34:34">
      <c r="AH362" s="118"/>
    </row>
    <row r="363" spans="34:34">
      <c r="AH363" s="118"/>
    </row>
    <row r="364" spans="34:34">
      <c r="AH364" s="118"/>
    </row>
    <row r="365" spans="34:34">
      <c r="AH365" s="118"/>
    </row>
    <row r="366" spans="34:34">
      <c r="AH366" s="118"/>
    </row>
    <row r="367" spans="34:34">
      <c r="AH367" s="118"/>
    </row>
    <row r="368" spans="34:34">
      <c r="AH368" s="118"/>
    </row>
    <row r="369" spans="34:34">
      <c r="AH369" s="118"/>
    </row>
    <row r="370" spans="34:34">
      <c r="AH370" s="118"/>
    </row>
    <row r="371" spans="34:34">
      <c r="AH371" s="118"/>
    </row>
    <row r="372" spans="34:34">
      <c r="AH372" s="118"/>
    </row>
    <row r="373" spans="34:34">
      <c r="AH373" s="118"/>
    </row>
    <row r="374" spans="34:34">
      <c r="AH374" s="118"/>
    </row>
    <row r="375" spans="34:34">
      <c r="AH375" s="118"/>
    </row>
    <row r="376" spans="34:34">
      <c r="AH376" s="118"/>
    </row>
    <row r="377" spans="34:34">
      <c r="AH377" s="118"/>
    </row>
    <row r="378" spans="34:34">
      <c r="AH378" s="118"/>
    </row>
    <row r="379" spans="34:34">
      <c r="AH379" s="118"/>
    </row>
    <row r="380" spans="34:34">
      <c r="AH380" s="118"/>
    </row>
    <row r="381" spans="34:34">
      <c r="AH381" s="118"/>
    </row>
    <row r="382" spans="34:34">
      <c r="AH382" s="118"/>
    </row>
    <row r="383" spans="34:34">
      <c r="AH383" s="118"/>
    </row>
    <row r="384" spans="34:34">
      <c r="AH384" s="118"/>
    </row>
    <row r="385" spans="34:34">
      <c r="AH385" s="118"/>
    </row>
    <row r="386" spans="34:34">
      <c r="AH386" s="118"/>
    </row>
    <row r="387" spans="34:34">
      <c r="AH387" s="118"/>
    </row>
    <row r="388" spans="34:34">
      <c r="AH388" s="118"/>
    </row>
    <row r="389" spans="34:34">
      <c r="AH389" s="118"/>
    </row>
    <row r="390" spans="34:34">
      <c r="AH390" s="118"/>
    </row>
    <row r="391" spans="34:34">
      <c r="AH391" s="118"/>
    </row>
    <row r="392" spans="34:34">
      <c r="AH392" s="118"/>
    </row>
    <row r="393" spans="34:34">
      <c r="AH393" s="118"/>
    </row>
    <row r="394" spans="34:34">
      <c r="AH394" s="118"/>
    </row>
    <row r="395" spans="34:34">
      <c r="AH395" s="118"/>
    </row>
    <row r="396" spans="34:34">
      <c r="AH396" s="118"/>
    </row>
    <row r="397" spans="34:34">
      <c r="AH397" s="118"/>
    </row>
    <row r="398" spans="34:34">
      <c r="AH398" s="118"/>
    </row>
    <row r="399" spans="34:34">
      <c r="AH399" s="118"/>
    </row>
    <row r="400" spans="34:34">
      <c r="AH400" s="118"/>
    </row>
    <row r="401" spans="34:34">
      <c r="AH401" s="118"/>
    </row>
    <row r="402" spans="34:34">
      <c r="AH402" s="118"/>
    </row>
    <row r="403" spans="34:34">
      <c r="AH403" s="118"/>
    </row>
    <row r="404" spans="34:34">
      <c r="AH404" s="118"/>
    </row>
    <row r="405" spans="34:34">
      <c r="AH405" s="118"/>
    </row>
    <row r="406" spans="34:34">
      <c r="AH406" s="118"/>
    </row>
    <row r="407" spans="34:34">
      <c r="AH407" s="118"/>
    </row>
    <row r="408" spans="34:34">
      <c r="AH408" s="118"/>
    </row>
    <row r="409" spans="34:34">
      <c r="AH409" s="118"/>
    </row>
    <row r="410" spans="34:34">
      <c r="AH410" s="118"/>
    </row>
    <row r="411" spans="34:34">
      <c r="AH411" s="118"/>
    </row>
    <row r="412" spans="34:34">
      <c r="AH412" s="118"/>
    </row>
    <row r="413" spans="34:34">
      <c r="AH413" s="118"/>
    </row>
    <row r="414" spans="34:34">
      <c r="AH414" s="118"/>
    </row>
    <row r="415" spans="34:34">
      <c r="AH415" s="118"/>
    </row>
    <row r="416" spans="34:34">
      <c r="AH416" s="118"/>
    </row>
    <row r="417" spans="34:34">
      <c r="AH417" s="118"/>
    </row>
    <row r="418" spans="34:34">
      <c r="AH418" s="118"/>
    </row>
    <row r="419" spans="34:34">
      <c r="AH419" s="118"/>
    </row>
  </sheetData>
  <mergeCells count="41">
    <mergeCell ref="AN6:AN8"/>
    <mergeCell ref="AO6:AO8"/>
    <mergeCell ref="AP6:AP8"/>
    <mergeCell ref="AQ6:AQ8"/>
    <mergeCell ref="AC51:AI52"/>
    <mergeCell ref="AI6:AI8"/>
    <mergeCell ref="AJ6:AJ8"/>
    <mergeCell ref="AK6:AK8"/>
    <mergeCell ref="AL6:AL8"/>
    <mergeCell ref="AM6:AM8"/>
    <mergeCell ref="C58:G58"/>
    <mergeCell ref="I58:M58"/>
    <mergeCell ref="A6:A8"/>
    <mergeCell ref="B6:B8"/>
    <mergeCell ref="AH6:AH8"/>
    <mergeCell ref="P51:V52"/>
    <mergeCell ref="W51:AB52"/>
    <mergeCell ref="P53:V56"/>
    <mergeCell ref="W53:AB56"/>
    <mergeCell ref="AC53:AI56"/>
    <mergeCell ref="AC57:AI58"/>
    <mergeCell ref="P57:V58"/>
    <mergeCell ref="W57:AB58"/>
    <mergeCell ref="C55:G55"/>
    <mergeCell ref="I55:M55"/>
    <mergeCell ref="C56:G56"/>
    <mergeCell ref="I56:M56"/>
    <mergeCell ref="C57:G57"/>
    <mergeCell ref="I57:M57"/>
    <mergeCell ref="C52:G52"/>
    <mergeCell ref="I52:M52"/>
    <mergeCell ref="C53:G53"/>
    <mergeCell ref="I53:M53"/>
    <mergeCell ref="C54:G54"/>
    <mergeCell ref="I54:M54"/>
    <mergeCell ref="H5:M5"/>
    <mergeCell ref="N5:P5"/>
    <mergeCell ref="C6:AD6"/>
    <mergeCell ref="C50:N50"/>
    <mergeCell ref="C51:G51"/>
    <mergeCell ref="I51:M51"/>
  </mergeCells>
  <conditionalFormatting sqref="A9:A11">
    <cfRule type="duplicateValues" dxfId="342" priority="15705"/>
  </conditionalFormatting>
  <conditionalFormatting sqref="A48">
    <cfRule type="duplicateValues" dxfId="341" priority="278"/>
  </conditionalFormatting>
  <conditionalFormatting sqref="B10">
    <cfRule type="duplicateValues" dxfId="340" priority="96"/>
  </conditionalFormatting>
  <conditionalFormatting sqref="B27:B31">
    <cfRule type="duplicateValues" dxfId="339" priority="264"/>
  </conditionalFormatting>
  <conditionalFormatting sqref="B33:B38">
    <cfRule type="duplicateValues" dxfId="338" priority="15767"/>
  </conditionalFormatting>
  <conditionalFormatting sqref="B39">
    <cfRule type="duplicateValues" dxfId="337" priority="10099"/>
  </conditionalFormatting>
  <conditionalFormatting sqref="B40:B42">
    <cfRule type="duplicateValues" dxfId="336" priority="263"/>
  </conditionalFormatting>
  <conditionalFormatting sqref="B43">
    <cfRule type="duplicateValues" dxfId="335" priority="15718"/>
  </conditionalFormatting>
  <conditionalFormatting sqref="B44">
    <cfRule type="duplicateValues" dxfId="334" priority="9770"/>
  </conditionalFormatting>
  <conditionalFormatting sqref="B45:B47">
    <cfRule type="duplicateValues" dxfId="333" priority="15785"/>
  </conditionalFormatting>
  <conditionalFormatting sqref="C27:G27">
    <cfRule type="expression" dxfId="332" priority="152">
      <formula>C27="ĐCT"</formula>
    </cfRule>
    <cfRule type="expression" dxfId="331" priority="153">
      <formula>C27="ĐLNN"</formula>
    </cfRule>
    <cfRule type="expression" dxfId="330" priority="154">
      <formula>C27="TC"</formula>
    </cfRule>
    <cfRule type="expression" dxfId="329" priority="155">
      <formula>C27="ĐHĐ"</formula>
    </cfRule>
    <cfRule type="expression" dxfId="328" priority="156">
      <formula>C27="NHN"</formula>
    </cfRule>
    <cfRule type="expression" dxfId="327" priority="157">
      <formula>C27="CNLP"</formula>
    </cfRule>
    <cfRule type="expression" dxfId="326" priority="158">
      <formula>C27="ĐC"</formula>
    </cfRule>
    <cfRule type="expression" dxfId="325" priority="159">
      <formula>C27="XN"</formula>
    </cfRule>
    <cfRule type="containsText" dxfId="324" priority="160" operator="containsText" text="NN">
      <formula>NOT(ISERROR(SEARCH("NN",C27)))</formula>
    </cfRule>
    <cfRule type="containsText" dxfId="323" priority="161" operator="containsText" text="LP">
      <formula>NOT(ISERROR(SEARCH("LP",C27)))</formula>
    </cfRule>
    <cfRule type="containsText" dxfId="322" priority="162" operator="containsText" text="HN">
      <formula>NOT(ISERROR(SEARCH("HN",C27)))</formula>
    </cfRule>
  </conditionalFormatting>
  <conditionalFormatting sqref="C40:H40">
    <cfRule type="containsText" dxfId="321" priority="196" operator="containsText" text="NN">
      <formula>NOT(ISERROR(SEARCH("NN",C40)))</formula>
    </cfRule>
    <cfRule type="containsText" dxfId="320" priority="197" operator="containsText" text="LP">
      <formula>NOT(ISERROR(SEARCH("LP",C40)))</formula>
    </cfRule>
    <cfRule type="containsText" dxfId="319" priority="198" operator="containsText" text="HN">
      <formula>NOT(ISERROR(SEARCH("HN",C40)))</formula>
    </cfRule>
    <cfRule type="expression" dxfId="318" priority="199">
      <formula>C40="ĐCT"</formula>
    </cfRule>
    <cfRule type="expression" dxfId="317" priority="200">
      <formula>C40="ĐLNN"</formula>
    </cfRule>
    <cfRule type="expression" dxfId="316" priority="201">
      <formula>C40="TC"</formula>
    </cfRule>
    <cfRule type="expression" dxfId="315" priority="202">
      <formula>C40="ĐHĐ"</formula>
    </cfRule>
    <cfRule type="expression" dxfId="314" priority="203">
      <formula>C40="NHN"</formula>
    </cfRule>
    <cfRule type="expression" dxfId="313" priority="204">
      <formula>C40="CNLP"</formula>
    </cfRule>
    <cfRule type="expression" dxfId="312" priority="205">
      <formula>C40="ĐC"</formula>
    </cfRule>
    <cfRule type="expression" dxfId="311" priority="206">
      <formula>C40="XN"</formula>
    </cfRule>
  </conditionalFormatting>
  <conditionalFormatting sqref="C33:K33">
    <cfRule type="containsText" dxfId="310" priority="1480" operator="containsText" text="NN">
      <formula>NOT(ISERROR(SEARCH("NN",C33)))</formula>
    </cfRule>
    <cfRule type="containsText" dxfId="309" priority="9548" operator="containsText" text="LP">
      <formula>NOT(ISERROR(SEARCH("LP",C33)))</formula>
    </cfRule>
    <cfRule type="containsText" dxfId="308" priority="9549" operator="containsText" text="HN">
      <formula>NOT(ISERROR(SEARCH("HN",C33)))</formula>
    </cfRule>
  </conditionalFormatting>
  <conditionalFormatting sqref="C18:O18">
    <cfRule type="expression" dxfId="307" priority="76">
      <formula>C18="ĐCT"</formula>
    </cfRule>
  </conditionalFormatting>
  <conditionalFormatting sqref="C48:Z48">
    <cfRule type="expression" dxfId="306" priority="10214">
      <formula>#REF!=Nghỉ</formula>
    </cfRule>
  </conditionalFormatting>
  <conditionalFormatting sqref="C34:AG38">
    <cfRule type="containsText" dxfId="305" priority="215" operator="containsText" text="NN">
      <formula>NOT(ISERROR(SEARCH("NN",C34)))</formula>
    </cfRule>
    <cfRule type="containsText" dxfId="304" priority="216" operator="containsText" text="LP">
      <formula>NOT(ISERROR(SEARCH("LP",C34)))</formula>
    </cfRule>
    <cfRule type="containsText" dxfId="303" priority="217" operator="containsText" text="HN">
      <formula>NOT(ISERROR(SEARCH("HN",C34)))</formula>
    </cfRule>
  </conditionalFormatting>
  <conditionalFormatting sqref="C48:AG48">
    <cfRule type="expression" dxfId="302" priority="10216" stopIfTrue="1">
      <formula>IF(WEEKDAY(C$7)=1,TRUE,FALSE)</formula>
    </cfRule>
  </conditionalFormatting>
  <conditionalFormatting sqref="D44:AG44">
    <cfRule type="expression" dxfId="301" priority="10010">
      <formula>D44="P"</formula>
    </cfRule>
    <cfRule type="expression" dxfId="300" priority="10012">
      <formula>#REF!=Nghỉ</formula>
    </cfRule>
    <cfRule type="expression" dxfId="299" priority="10013" stopIfTrue="1">
      <formula>IF(WEEKDAY(D$7)=1,TRUE,FALSE)</formula>
    </cfRule>
  </conditionalFormatting>
  <conditionalFormatting sqref="H45:I45">
    <cfRule type="expression" dxfId="298" priority="174">
      <formula>H45="ĐCT"</formula>
    </cfRule>
    <cfRule type="expression" dxfId="297" priority="175">
      <formula>H45="ĐLNN"</formula>
    </cfRule>
    <cfRule type="expression" dxfId="296" priority="176">
      <formula>H45="TC"</formula>
    </cfRule>
    <cfRule type="expression" dxfId="295" priority="177">
      <formula>H45="ĐHĐ"</formula>
    </cfRule>
    <cfRule type="expression" dxfId="294" priority="178">
      <formula>H45="NHN"</formula>
    </cfRule>
    <cfRule type="expression" dxfId="293" priority="179">
      <formula>H45="CNLP"</formula>
    </cfRule>
    <cfRule type="expression" dxfId="292" priority="180">
      <formula>H45="ĐC"</formula>
    </cfRule>
    <cfRule type="expression" dxfId="291" priority="181">
      <formula>H45="XN"</formula>
    </cfRule>
    <cfRule type="containsText" dxfId="290" priority="182" operator="containsText" text="NN">
      <formula>NOT(ISERROR(SEARCH("NN",H45)))</formula>
    </cfRule>
    <cfRule type="containsText" dxfId="289" priority="183" operator="containsText" text="LP">
      <formula>NOT(ISERROR(SEARCH("LP",H45)))</formula>
    </cfRule>
    <cfRule type="containsText" dxfId="288" priority="184" operator="containsText" text="HN">
      <formula>NOT(ISERROR(SEARCH("HN",H45)))</formula>
    </cfRule>
  </conditionalFormatting>
  <conditionalFormatting sqref="I30">
    <cfRule type="expression" dxfId="287" priority="130">
      <formula>I30="ĐCT"</formula>
    </cfRule>
    <cfRule type="expression" dxfId="286" priority="131">
      <formula>I30="ĐLNN"</formula>
    </cfRule>
    <cfRule type="expression" dxfId="285" priority="132">
      <formula>I30="TC"</formula>
    </cfRule>
    <cfRule type="expression" dxfId="284" priority="133">
      <formula>I30="ĐHĐ"</formula>
    </cfRule>
    <cfRule type="expression" dxfId="283" priority="134">
      <formula>I30="NHN"</formula>
    </cfRule>
    <cfRule type="expression" dxfId="282" priority="135">
      <formula>I30="CNLP"</formula>
    </cfRule>
    <cfRule type="expression" dxfId="281" priority="136">
      <formula>I30="ĐC"</formula>
    </cfRule>
    <cfRule type="expression" dxfId="280" priority="137">
      <formula>I30="XN"</formula>
    </cfRule>
    <cfRule type="containsText" dxfId="279" priority="138" operator="containsText" text="NN">
      <formula>NOT(ISERROR(SEARCH("NN",I30)))</formula>
    </cfRule>
    <cfRule type="containsText" dxfId="278" priority="139" operator="containsText" text="LP">
      <formula>NOT(ISERROR(SEARCH("LP",I30)))</formula>
    </cfRule>
    <cfRule type="containsText" dxfId="277" priority="140" operator="containsText" text="HN">
      <formula>NOT(ISERROR(SEARCH("HN",I30)))</formula>
    </cfRule>
  </conditionalFormatting>
  <conditionalFormatting sqref="K45:M45">
    <cfRule type="containsText" dxfId="276" priority="85" operator="containsText" text="NN">
      <formula>NOT(ISERROR(SEARCH("NN",K45)))</formula>
    </cfRule>
    <cfRule type="containsText" dxfId="275" priority="86" operator="containsText" text="LP">
      <formula>NOT(ISERROR(SEARCH("LP",K45)))</formula>
    </cfRule>
    <cfRule type="containsText" dxfId="274" priority="87" operator="containsText" text="HN">
      <formula>NOT(ISERROR(SEARCH("HN",K45)))</formula>
    </cfRule>
    <cfRule type="expression" dxfId="273" priority="88">
      <formula>K45="ĐCT"</formula>
    </cfRule>
    <cfRule type="expression" dxfId="272" priority="89">
      <formula>K45="ĐLNN"</formula>
    </cfRule>
    <cfRule type="expression" dxfId="271" priority="90">
      <formula>K45="TC"</formula>
    </cfRule>
    <cfRule type="expression" dxfId="270" priority="91">
      <formula>K45="ĐHĐ"</formula>
    </cfRule>
    <cfRule type="expression" dxfId="269" priority="92">
      <formula>K45="NHN"</formula>
    </cfRule>
    <cfRule type="expression" dxfId="268" priority="93">
      <formula>K45="CNLP"</formula>
    </cfRule>
    <cfRule type="expression" dxfId="267" priority="94">
      <formula>K45="ĐC"</formula>
    </cfRule>
    <cfRule type="expression" dxfId="266" priority="95">
      <formula>K45="XN"</formula>
    </cfRule>
  </conditionalFormatting>
  <conditionalFormatting sqref="L33:S33">
    <cfRule type="expression" dxfId="265" priority="232">
      <formula>L33="P"</formula>
    </cfRule>
    <cfRule type="expression" dxfId="264" priority="233">
      <formula>#REF!=Nghỉ</formula>
    </cfRule>
    <cfRule type="expression" dxfId="263" priority="234" stopIfTrue="1">
      <formula>IF(WEEKDAY(L$7)=1,TRUE,FALSE)</formula>
    </cfRule>
  </conditionalFormatting>
  <conditionalFormatting sqref="M27:N27">
    <cfRule type="expression" dxfId="262" priority="252">
      <formula>M27="ĐCT"</formula>
    </cfRule>
    <cfRule type="expression" dxfId="261" priority="253">
      <formula>M27="ĐLNN"</formula>
    </cfRule>
    <cfRule type="expression" dxfId="260" priority="254">
      <formula>M27="TC"</formula>
    </cfRule>
    <cfRule type="expression" dxfId="259" priority="255">
      <formula>M27="ĐHĐ"</formula>
    </cfRule>
    <cfRule type="expression" dxfId="258" priority="256">
      <formula>M27="NHN"</formula>
    </cfRule>
    <cfRule type="expression" dxfId="257" priority="257">
      <formula>M27="CNLP"</formula>
    </cfRule>
    <cfRule type="expression" dxfId="256" priority="258">
      <formula>M27="ĐC"</formula>
    </cfRule>
    <cfRule type="expression" dxfId="255" priority="259">
      <formula>M27="XN"</formula>
    </cfRule>
    <cfRule type="containsText" dxfId="254" priority="260" operator="containsText" text="NN">
      <formula>NOT(ISERROR(SEARCH("NN",M27)))</formula>
    </cfRule>
    <cfRule type="containsText" dxfId="253" priority="261" operator="containsText" text="LP">
      <formula>NOT(ISERROR(SEARCH("LP",M27)))</formula>
    </cfRule>
    <cfRule type="containsText" dxfId="252" priority="262" operator="containsText" text="HN">
      <formula>NOT(ISERROR(SEARCH("HN",M27)))</formula>
    </cfRule>
  </conditionalFormatting>
  <conditionalFormatting sqref="N18:O18">
    <cfRule type="containsText" dxfId="251" priority="73" operator="containsText" text="NN">
      <formula>NOT(ISERROR(SEARCH("NN",N18)))</formula>
    </cfRule>
    <cfRule type="containsText" dxfId="250" priority="74" operator="containsText" text="LP">
      <formula>NOT(ISERROR(SEARCH("LP",N18)))</formula>
    </cfRule>
    <cfRule type="containsText" dxfId="249" priority="75" operator="containsText" text="HN">
      <formula>NOT(ISERROR(SEARCH("HN",N18)))</formula>
    </cfRule>
    <cfRule type="expression" dxfId="248" priority="77">
      <formula>N18="ĐLNN"</formula>
    </cfRule>
    <cfRule type="expression" dxfId="247" priority="78">
      <formula>N18="TC"</formula>
    </cfRule>
    <cfRule type="expression" dxfId="246" priority="79">
      <formula>N18="ĐHĐ"</formula>
    </cfRule>
    <cfRule type="expression" dxfId="245" priority="80">
      <formula>N18="NHN"</formula>
    </cfRule>
    <cfRule type="expression" dxfId="244" priority="81">
      <formula>N18="CNLP"</formula>
    </cfRule>
    <cfRule type="expression" dxfId="243" priority="82">
      <formula>N18="ĐC"</formula>
    </cfRule>
    <cfRule type="expression" dxfId="242" priority="83">
      <formula>N18="XN"</formula>
    </cfRule>
  </conditionalFormatting>
  <conditionalFormatting sqref="Q48">
    <cfRule type="expression" dxfId="241" priority="10221" stopIfTrue="1">
      <formula>IF(WEEKDAY(Q$7)=1,TRUE,FALSE)</formula>
    </cfRule>
  </conditionalFormatting>
  <conditionalFormatting sqref="Q21:S22">
    <cfRule type="expression" dxfId="240" priority="24">
      <formula>Q21="ĐCT"</formula>
    </cfRule>
  </conditionalFormatting>
  <conditionalFormatting sqref="R20:T20">
    <cfRule type="expression" dxfId="239" priority="26">
      <formula>R20="ĐCT"</formula>
    </cfRule>
  </conditionalFormatting>
  <conditionalFormatting sqref="S17:U17">
    <cfRule type="expression" dxfId="238" priority="28">
      <formula>S17="ĐCT"</formula>
    </cfRule>
  </conditionalFormatting>
  <conditionalFormatting sqref="S19:U19">
    <cfRule type="expression" dxfId="237" priority="27">
      <formula>S19="ĐCT"</formula>
    </cfRule>
  </conditionalFormatting>
  <conditionalFormatting sqref="T22:T25">
    <cfRule type="expression" dxfId="236" priority="12">
      <formula>T22="ĐCT"</formula>
    </cfRule>
  </conditionalFormatting>
  <conditionalFormatting sqref="T23:T25">
    <cfRule type="expression" dxfId="235" priority="13">
      <formula>T23="ĐLNN"</formula>
    </cfRule>
    <cfRule type="expression" dxfId="234" priority="14">
      <formula>T23="TC"</formula>
    </cfRule>
    <cfRule type="expression" dxfId="233" priority="15">
      <formula>T23="ĐHĐ"</formula>
    </cfRule>
    <cfRule type="expression" dxfId="232" priority="16">
      <formula>T23="NHN"</formula>
    </cfRule>
    <cfRule type="expression" dxfId="231" priority="17">
      <formula>T23="CNLP"</formula>
    </cfRule>
    <cfRule type="expression" dxfId="230" priority="18">
      <formula>T23="ĐC"</formula>
    </cfRule>
    <cfRule type="expression" dxfId="229" priority="19">
      <formula>T23="XN"</formula>
    </cfRule>
    <cfRule type="containsText" dxfId="228" priority="20" operator="containsText" text="NN">
      <formula>NOT(ISERROR(SEARCH("NN",T23)))</formula>
    </cfRule>
    <cfRule type="containsText" dxfId="227" priority="21" operator="containsText" text="LP">
      <formula>NOT(ISERROR(SEARCH("LP",T23)))</formula>
    </cfRule>
    <cfRule type="containsText" dxfId="226" priority="22" operator="containsText" text="HN">
      <formula>NOT(ISERROR(SEARCH("HN",T23)))</formula>
    </cfRule>
  </conditionalFormatting>
  <conditionalFormatting sqref="T33">
    <cfRule type="expression" dxfId="225" priority="218">
      <formula>T33="ĐCT"</formula>
    </cfRule>
    <cfRule type="expression" dxfId="224" priority="219">
      <formula>T33="ĐLNN"</formula>
    </cfRule>
    <cfRule type="expression" dxfId="223" priority="220">
      <formula>T33="TC"</formula>
    </cfRule>
    <cfRule type="expression" dxfId="222" priority="221">
      <formula>T33="ĐHĐ"</formula>
    </cfRule>
    <cfRule type="expression" dxfId="221" priority="222">
      <formula>T33="NHN"</formula>
    </cfRule>
    <cfRule type="expression" dxfId="220" priority="223">
      <formula>T33="CNLP"</formula>
    </cfRule>
    <cfRule type="expression" dxfId="219" priority="224">
      <formula>T33="ĐC"</formula>
    </cfRule>
    <cfRule type="expression" dxfId="218" priority="225">
      <formula>T33="XN"</formula>
    </cfRule>
    <cfRule type="containsText" dxfId="217" priority="226" operator="containsText" text="NN">
      <formula>NOT(ISERROR(SEARCH("NN",T33)))</formula>
    </cfRule>
    <cfRule type="containsText" dxfId="216" priority="227" operator="containsText" text="LP">
      <formula>NOT(ISERROR(SEARCH("LP",T33)))</formula>
    </cfRule>
    <cfRule type="containsText" dxfId="215" priority="228" operator="containsText" text="HN">
      <formula>NOT(ISERROR(SEARCH("HN",T33)))</formula>
    </cfRule>
  </conditionalFormatting>
  <conditionalFormatting sqref="U33">
    <cfRule type="expression" dxfId="214" priority="229">
      <formula>U33="P"</formula>
    </cfRule>
    <cfRule type="expression" dxfId="213" priority="230">
      <formula>#REF!=Nghỉ</formula>
    </cfRule>
    <cfRule type="expression" dxfId="212" priority="231" stopIfTrue="1">
      <formula>IF(WEEKDAY(U$7)=1,TRUE,FALSE)</formula>
    </cfRule>
  </conditionalFormatting>
  <conditionalFormatting sqref="V33:AG33">
    <cfRule type="containsText" dxfId="211" priority="612" operator="containsText" text="NN">
      <formula>NOT(ISERROR(SEARCH("NN",V33)))</formula>
    </cfRule>
    <cfRule type="containsText" dxfId="210" priority="6978" operator="containsText" text="NN">
      <formula>NOT(ISERROR(SEARCH("NN",V33)))</formula>
    </cfRule>
    <cfRule type="containsText" dxfId="209" priority="6979" operator="containsText" text="LP">
      <formula>NOT(ISERROR(SEARCH("LP",V33)))</formula>
    </cfRule>
    <cfRule type="containsText" dxfId="208" priority="6980" operator="containsText" text="HN">
      <formula>NOT(ISERROR(SEARCH("HN",V33)))</formula>
    </cfRule>
  </conditionalFormatting>
  <conditionalFormatting sqref="W17">
    <cfRule type="containsText" dxfId="207" priority="62" operator="containsText" text="NN">
      <formula>NOT(ISERROR(SEARCH("NN",W17)))</formula>
    </cfRule>
    <cfRule type="containsText" dxfId="206" priority="63" operator="containsText" text="LP">
      <formula>NOT(ISERROR(SEARCH("LP",W17)))</formula>
    </cfRule>
    <cfRule type="containsText" dxfId="205" priority="64" operator="containsText" text="HN">
      <formula>NOT(ISERROR(SEARCH("HN",W17)))</formula>
    </cfRule>
    <cfRule type="expression" dxfId="204" priority="66">
      <formula>W17="ĐLNN"</formula>
    </cfRule>
    <cfRule type="expression" dxfId="203" priority="67">
      <formula>W17="TC"</formula>
    </cfRule>
    <cfRule type="expression" dxfId="202" priority="68">
      <formula>W17="ĐHĐ"</formula>
    </cfRule>
    <cfRule type="expression" dxfId="201" priority="69">
      <formula>W17="NHN"</formula>
    </cfRule>
    <cfRule type="expression" dxfId="200" priority="70">
      <formula>W17="CNLP"</formula>
    </cfRule>
    <cfRule type="expression" dxfId="199" priority="71">
      <formula>W17="ĐC"</formula>
    </cfRule>
    <cfRule type="expression" dxfId="198" priority="72">
      <formula>W17="XN"</formula>
    </cfRule>
  </conditionalFormatting>
  <conditionalFormatting sqref="X23:Z25">
    <cfRule type="expression" dxfId="197" priority="1">
      <formula>X23="ĐCT"</formula>
    </cfRule>
    <cfRule type="expression" dxfId="196" priority="2">
      <formula>X23="ĐLNN"</formula>
    </cfRule>
    <cfRule type="expression" dxfId="195" priority="3">
      <formula>X23="TC"</formula>
    </cfRule>
    <cfRule type="expression" dxfId="194" priority="4">
      <formula>X23="ĐHĐ"</formula>
    </cfRule>
    <cfRule type="expression" dxfId="193" priority="5">
      <formula>X23="NHN"</formula>
    </cfRule>
    <cfRule type="expression" dxfId="192" priority="6">
      <formula>X23="CNLP"</formula>
    </cfRule>
    <cfRule type="expression" dxfId="191" priority="7">
      <formula>X23="ĐC"</formula>
    </cfRule>
    <cfRule type="expression" dxfId="190" priority="8">
      <formula>X23="XN"</formula>
    </cfRule>
    <cfRule type="containsText" dxfId="189" priority="9" operator="containsText" text="NN">
      <formula>NOT(ISERROR(SEARCH("NN",X23)))</formula>
    </cfRule>
    <cfRule type="containsText" dxfId="188" priority="10" operator="containsText" text="LP">
      <formula>NOT(ISERROR(SEARCH("LP",X23)))</formula>
    </cfRule>
    <cfRule type="containsText" dxfId="187" priority="11" operator="containsText" text="HN">
      <formula>NOT(ISERROR(SEARCH("HN",X23)))</formula>
    </cfRule>
  </conditionalFormatting>
  <conditionalFormatting sqref="AA48:AG48">
    <cfRule type="expression" dxfId="186" priority="10218">
      <formula>#REF!=Nghỉ</formula>
    </cfRule>
  </conditionalFormatting>
  <conditionalFormatting sqref="AB31:AD31">
    <cfRule type="expression" dxfId="185" priority="108">
      <formula>AB31="ĐCT"</formula>
    </cfRule>
    <cfRule type="expression" dxfId="184" priority="109">
      <formula>AB31="ĐLNN"</formula>
    </cfRule>
    <cfRule type="expression" dxfId="183" priority="110">
      <formula>AB31="TC"</formula>
    </cfRule>
    <cfRule type="expression" dxfId="182" priority="111">
      <formula>AB31="ĐHĐ"</formula>
    </cfRule>
    <cfRule type="expression" dxfId="181" priority="112">
      <formula>AB31="NHN"</formula>
    </cfRule>
    <cfRule type="expression" dxfId="180" priority="113">
      <formula>AB31="CNLP"</formula>
    </cfRule>
    <cfRule type="expression" dxfId="179" priority="114">
      <formula>AB31="ĐC"</formula>
    </cfRule>
    <cfRule type="expression" dxfId="178" priority="115">
      <formula>AB31="XN"</formula>
    </cfRule>
    <cfRule type="containsText" dxfId="177" priority="116" operator="containsText" text="NN">
      <formula>NOT(ISERROR(SEARCH("NN",AB31)))</formula>
    </cfRule>
    <cfRule type="containsText" dxfId="176" priority="117" operator="containsText" text="LP">
      <formula>NOT(ISERROR(SEARCH("LP",AB31)))</formula>
    </cfRule>
    <cfRule type="containsText" dxfId="175" priority="118" operator="containsText" text="HN">
      <formula>NOT(ISERROR(SEARCH("HN",AB31)))</formula>
    </cfRule>
  </conditionalFormatting>
  <conditionalFormatting sqref="AC17">
    <cfRule type="containsText" dxfId="174" priority="51" operator="containsText" text="NN">
      <formula>NOT(ISERROR(SEARCH("NN",AC17)))</formula>
    </cfRule>
    <cfRule type="containsText" dxfId="173" priority="52" operator="containsText" text="LP">
      <formula>NOT(ISERROR(SEARCH("LP",AC17)))</formula>
    </cfRule>
    <cfRule type="containsText" dxfId="172" priority="53" operator="containsText" text="HN">
      <formula>NOT(ISERROR(SEARCH("HN",AC17)))</formula>
    </cfRule>
    <cfRule type="expression" dxfId="171" priority="54">
      <formula>AC17="ĐCT"</formula>
    </cfRule>
    <cfRule type="expression" dxfId="170" priority="55">
      <formula>AC17="ĐLNN"</formula>
    </cfRule>
    <cfRule type="expression" dxfId="169" priority="56">
      <formula>AC17="TC"</formula>
    </cfRule>
    <cfRule type="expression" dxfId="168" priority="57">
      <formula>AC17="ĐHĐ"</formula>
    </cfRule>
    <cfRule type="expression" dxfId="167" priority="58">
      <formula>AC17="NHN"</formula>
    </cfRule>
    <cfRule type="expression" dxfId="166" priority="59">
      <formula>AC17="CNLP"</formula>
    </cfRule>
    <cfRule type="expression" dxfId="165" priority="60">
      <formula>AC17="ĐC"</formula>
    </cfRule>
    <cfRule type="expression" dxfId="164" priority="61">
      <formula>AC17="XN"</formula>
    </cfRule>
  </conditionalFormatting>
  <conditionalFormatting sqref="AC30">
    <cfRule type="expression" dxfId="163" priority="241">
      <formula>AC30="ĐCT"</formula>
    </cfRule>
    <cfRule type="expression" dxfId="162" priority="242">
      <formula>AC30="ĐLNN"</formula>
    </cfRule>
    <cfRule type="expression" dxfId="161" priority="243">
      <formula>AC30="TC"</formula>
    </cfRule>
    <cfRule type="expression" dxfId="160" priority="244">
      <formula>AC30="ĐHĐ"</formula>
    </cfRule>
    <cfRule type="expression" dxfId="159" priority="245">
      <formula>AC30="NHN"</formula>
    </cfRule>
    <cfRule type="expression" dxfId="158" priority="246">
      <formula>AC30="CNLP"</formula>
    </cfRule>
    <cfRule type="expression" dxfId="157" priority="247">
      <formula>AC30="ĐC"</formula>
    </cfRule>
    <cfRule type="expression" dxfId="156" priority="248">
      <formula>AC30="XN"</formula>
    </cfRule>
    <cfRule type="containsText" dxfId="155" priority="249" operator="containsText" text="NN">
      <formula>NOT(ISERROR(SEARCH("NN",AC30)))</formula>
    </cfRule>
    <cfRule type="containsText" dxfId="154" priority="250" operator="containsText" text="LP">
      <formula>NOT(ISERROR(SEARCH("LP",AC30)))</formula>
    </cfRule>
    <cfRule type="containsText" dxfId="153" priority="251" operator="containsText" text="HN">
      <formula>NOT(ISERROR(SEARCH("HN",AC30)))</formula>
    </cfRule>
  </conditionalFormatting>
  <conditionalFormatting sqref="AC44">
    <cfRule type="expression" dxfId="152" priority="9772">
      <formula>AC44="P"</formula>
    </cfRule>
    <cfRule type="expression" dxfId="151" priority="9773">
      <formula>#REF!=Nghỉ</formula>
    </cfRule>
    <cfRule type="expression" dxfId="150" priority="9775" stopIfTrue="1">
      <formula>IF(WEEKDAY(AC$7)=1,TRUE,FALSE)</formula>
    </cfRule>
    <cfRule type="expression" dxfId="149" priority="9801">
      <formula>#REF!=Nghỉ</formula>
    </cfRule>
  </conditionalFormatting>
  <conditionalFormatting sqref="AC33:AG33">
    <cfRule type="expression" dxfId="148" priority="6970">
      <formula>AC33="ĐCT"</formula>
    </cfRule>
    <cfRule type="expression" dxfId="147" priority="6971">
      <formula>AC33="ĐLNN"</formula>
    </cfRule>
    <cfRule type="expression" dxfId="146" priority="6972">
      <formula>AC33="TC"</formula>
    </cfRule>
    <cfRule type="expression" dxfId="145" priority="6973">
      <formula>AC33="ĐHĐ"</formula>
    </cfRule>
    <cfRule type="expression" dxfId="144" priority="6974">
      <formula>AC33="NHN"</formula>
    </cfRule>
    <cfRule type="expression" dxfId="143" priority="6975">
      <formula>AC33="CNLP"</formula>
    </cfRule>
    <cfRule type="expression" dxfId="142" priority="6976">
      <formula>AC33="ĐC"</formula>
    </cfRule>
    <cfRule type="expression" dxfId="141" priority="6977">
      <formula>AC33="XN"</formula>
    </cfRule>
  </conditionalFormatting>
  <conditionalFormatting sqref="AF41:AG41">
    <cfRule type="expression" dxfId="140" priority="185">
      <formula>AF41="ĐCT"</formula>
    </cfRule>
    <cfRule type="expression" dxfId="139" priority="186">
      <formula>AF41="ĐLNN"</formula>
    </cfRule>
    <cfRule type="expression" dxfId="138" priority="187">
      <formula>AF41="TC"</formula>
    </cfRule>
    <cfRule type="expression" dxfId="137" priority="188">
      <formula>AF41="ĐHĐ"</formula>
    </cfRule>
    <cfRule type="expression" dxfId="136" priority="189">
      <formula>AF41="NHN"</formula>
    </cfRule>
    <cfRule type="expression" dxfId="135" priority="190">
      <formula>AF41="CNLP"</formula>
    </cfRule>
    <cfRule type="expression" dxfId="134" priority="191">
      <formula>AF41="ĐC"</formula>
    </cfRule>
    <cfRule type="expression" dxfId="133" priority="192">
      <formula>AF41="XN"</formula>
    </cfRule>
    <cfRule type="containsText" dxfId="132" priority="193" operator="containsText" text="NN">
      <formula>NOT(ISERROR(SEARCH("NN",AF41)))</formula>
    </cfRule>
    <cfRule type="containsText" dxfId="131" priority="194" operator="containsText" text="LP">
      <formula>NOT(ISERROR(SEARCH("LP",AF41)))</formula>
    </cfRule>
    <cfRule type="containsText" dxfId="130" priority="195" operator="containsText" text="HN">
      <formula>NOT(ISERROR(SEARCH("HN",AF41)))</formula>
    </cfRule>
  </conditionalFormatting>
  <conditionalFormatting sqref="AK48:AQ48">
    <cfRule type="expression" dxfId="129" priority="10215">
      <formula>WEEKDAY(#REF!)=1</formula>
    </cfRule>
    <cfRule type="expression" dxfId="128" priority="10217">
      <formula>#REF!=Nghỉ</formula>
    </cfRule>
    <cfRule type="expression" dxfId="127" priority="10219">
      <formula>#REF!=2</formula>
    </cfRule>
  </conditionalFormatting>
  <dataValidations count="1">
    <dataValidation type="list" allowBlank="1" showErrorMessage="1" sqref="C27:G27 M27:N27 I30 AC30 AB31:AD31 C33:K33 T33 V33:AG33 C40:H40 C11:AG25 C34:AG38 C41:AG42 C45:AG47" xr:uid="{00000000-0002-0000-0100-000000000000}">
      <formula1>CHAMCONG</formula1>
    </dataValidation>
  </dataValidations>
  <pageMargins left="1" right="0.16" top="0.2" bottom="0.2" header="0.2" footer="0.2"/>
  <pageSetup paperSize="9" scale="45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L73"/>
  <sheetViews>
    <sheetView zoomScale="85" zoomScaleNormal="85" zoomScaleSheetLayoutView="85" workbookViewId="0">
      <pane xSplit="2" ySplit="5" topLeftCell="C6" activePane="bottomRight" state="frozen"/>
      <selection pane="topRight"/>
      <selection pane="bottomLeft"/>
      <selection pane="bottomRight" activeCell="A54" sqref="A54"/>
    </sheetView>
  </sheetViews>
  <sheetFormatPr defaultColWidth="9.140625" defaultRowHeight="12.75"/>
  <cols>
    <col min="1" max="1" width="8.140625" style="41" customWidth="1"/>
    <col min="2" max="2" width="33.42578125" style="42" customWidth="1"/>
    <col min="3" max="7" width="5.85546875" style="41" customWidth="1"/>
    <col min="8" max="8" width="6.140625" style="41" customWidth="1"/>
    <col min="9" max="10" width="5.85546875" style="41" customWidth="1"/>
    <col min="11" max="11" width="6.140625" style="41" customWidth="1"/>
    <col min="12" max="12" width="5.85546875" style="41" customWidth="1"/>
    <col min="13" max="13" width="5.7109375" style="41" customWidth="1"/>
    <col min="14" max="15" width="5.42578125" style="41" customWidth="1"/>
    <col min="16" max="16" width="5.5703125" style="41" customWidth="1"/>
    <col min="17" max="17" width="5.85546875" style="41" customWidth="1"/>
    <col min="18" max="18" width="5.7109375" style="41" customWidth="1"/>
    <col min="19" max="19" width="5.85546875" style="41" customWidth="1"/>
    <col min="20" max="21" width="5.7109375" style="41" customWidth="1"/>
    <col min="22" max="22" width="6.140625" style="41" customWidth="1"/>
    <col min="23" max="23" width="5.7109375" style="41" customWidth="1"/>
    <col min="24" max="24" width="5.85546875" style="41" customWidth="1"/>
    <col min="25" max="25" width="6.140625" style="41" customWidth="1"/>
    <col min="26" max="26" width="5.85546875" style="41" customWidth="1"/>
    <col min="27" max="27" width="5.5703125" style="41" customWidth="1"/>
    <col min="28" max="28" width="6" style="41" customWidth="1"/>
    <col min="29" max="29" width="6.140625" style="41" customWidth="1"/>
    <col min="30" max="33" width="5.7109375" style="41" customWidth="1"/>
    <col min="34" max="34" width="5.140625" style="43" customWidth="1"/>
    <col min="35" max="35" width="5.5703125" style="43" customWidth="1"/>
    <col min="36" max="37" width="5.28515625" style="43" customWidth="1"/>
    <col min="38" max="16384" width="9.140625" style="42"/>
  </cols>
  <sheetData>
    <row r="1" spans="1:38" s="39" customFormat="1" ht="24" customHeight="1">
      <c r="A1" s="178" t="s">
        <v>126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44"/>
      <c r="AF1" s="44"/>
      <c r="AG1" s="44"/>
      <c r="AH1" s="44"/>
      <c r="AI1" s="44"/>
      <c r="AJ1" s="44"/>
      <c r="AK1" s="44"/>
    </row>
    <row r="2" spans="1:38" ht="18" customHeight="1">
      <c r="I2" s="43"/>
      <c r="N2" s="179">
        <v>46174</v>
      </c>
      <c r="O2" s="179"/>
      <c r="P2" s="179"/>
    </row>
    <row r="3" spans="1:38" ht="17.25" customHeight="1">
      <c r="A3" s="125" t="s">
        <v>3</v>
      </c>
      <c r="B3" s="149" t="s">
        <v>4</v>
      </c>
      <c r="C3" s="180" t="s">
        <v>5</v>
      </c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45"/>
      <c r="AF3" s="45"/>
      <c r="AG3" s="45"/>
      <c r="AH3" s="185" t="s">
        <v>127</v>
      </c>
      <c r="AI3" s="188" t="s">
        <v>128</v>
      </c>
      <c r="AJ3" s="188" t="s">
        <v>129</v>
      </c>
      <c r="AK3" s="188" t="s">
        <v>130</v>
      </c>
      <c r="AL3" s="188" t="s">
        <v>131</v>
      </c>
    </row>
    <row r="4" spans="1:38">
      <c r="A4" s="125"/>
      <c r="B4" s="150"/>
      <c r="C4" s="47">
        <f>N2</f>
        <v>46174</v>
      </c>
      <c r="D4" s="48">
        <f>+C4+1</f>
        <v>46175</v>
      </c>
      <c r="E4" s="48">
        <f t="shared" ref="E4:AD4" si="0">+D4+1</f>
        <v>46176</v>
      </c>
      <c r="F4" s="48">
        <f t="shared" si="0"/>
        <v>46177</v>
      </c>
      <c r="G4" s="48">
        <f t="shared" si="0"/>
        <v>46178</v>
      </c>
      <c r="H4" s="48">
        <f t="shared" si="0"/>
        <v>46179</v>
      </c>
      <c r="I4" s="48">
        <f t="shared" si="0"/>
        <v>46180</v>
      </c>
      <c r="J4" s="48">
        <f t="shared" si="0"/>
        <v>46181</v>
      </c>
      <c r="K4" s="48">
        <f t="shared" si="0"/>
        <v>46182</v>
      </c>
      <c r="L4" s="48">
        <f t="shared" si="0"/>
        <v>46183</v>
      </c>
      <c r="M4" s="48">
        <f t="shared" si="0"/>
        <v>46184</v>
      </c>
      <c r="N4" s="48">
        <f t="shared" si="0"/>
        <v>46185</v>
      </c>
      <c r="O4" s="48">
        <f t="shared" si="0"/>
        <v>46186</v>
      </c>
      <c r="P4" s="48">
        <f t="shared" si="0"/>
        <v>46187</v>
      </c>
      <c r="Q4" s="48">
        <f t="shared" si="0"/>
        <v>46188</v>
      </c>
      <c r="R4" s="48">
        <f t="shared" si="0"/>
        <v>46189</v>
      </c>
      <c r="S4" s="48">
        <f t="shared" si="0"/>
        <v>46190</v>
      </c>
      <c r="T4" s="48">
        <f t="shared" si="0"/>
        <v>46191</v>
      </c>
      <c r="U4" s="48">
        <f t="shared" si="0"/>
        <v>46192</v>
      </c>
      <c r="V4" s="48">
        <f t="shared" si="0"/>
        <v>46193</v>
      </c>
      <c r="W4" s="48">
        <f t="shared" si="0"/>
        <v>46194</v>
      </c>
      <c r="X4" s="48">
        <f t="shared" si="0"/>
        <v>46195</v>
      </c>
      <c r="Y4" s="47">
        <f t="shared" si="0"/>
        <v>46196</v>
      </c>
      <c r="Z4" s="47">
        <f t="shared" si="0"/>
        <v>46197</v>
      </c>
      <c r="AA4" s="47">
        <f t="shared" si="0"/>
        <v>46198</v>
      </c>
      <c r="AB4" s="47">
        <f t="shared" si="0"/>
        <v>46199</v>
      </c>
      <c r="AC4" s="47">
        <f t="shared" si="0"/>
        <v>46200</v>
      </c>
      <c r="AD4" s="47">
        <f t="shared" si="0"/>
        <v>46201</v>
      </c>
      <c r="AE4" s="49">
        <f t="shared" ref="AE4:AG4" si="1">+AD4+1</f>
        <v>46202</v>
      </c>
      <c r="AF4" s="49">
        <f t="shared" si="1"/>
        <v>46203</v>
      </c>
      <c r="AG4" s="49">
        <f t="shared" si="1"/>
        <v>46204</v>
      </c>
      <c r="AH4" s="186"/>
      <c r="AI4" s="189"/>
      <c r="AJ4" s="189"/>
      <c r="AK4" s="189"/>
      <c r="AL4" s="189"/>
    </row>
    <row r="5" spans="1:38" ht="19.5" customHeight="1">
      <c r="A5" s="184"/>
      <c r="B5" s="150"/>
      <c r="C5" s="50" t="str">
        <f t="shared" ref="C5:AD5" si="2">+CHOOSE(WEEKDAY(C4),"C.Nhật","T.Hai","T.Ba","T.Tư","T.Năm","T.Sáu","T.Bảy")</f>
        <v>T.Hai</v>
      </c>
      <c r="D5" s="50" t="str">
        <f t="shared" si="2"/>
        <v>T.Ba</v>
      </c>
      <c r="E5" s="50" t="str">
        <f t="shared" si="2"/>
        <v>T.Tư</v>
      </c>
      <c r="F5" s="50" t="str">
        <f t="shared" si="2"/>
        <v>T.Năm</v>
      </c>
      <c r="G5" s="50" t="str">
        <f t="shared" si="2"/>
        <v>T.Sáu</v>
      </c>
      <c r="H5" s="50" t="str">
        <f t="shared" si="2"/>
        <v>T.Bảy</v>
      </c>
      <c r="I5" s="50" t="str">
        <f t="shared" si="2"/>
        <v>C.Nhật</v>
      </c>
      <c r="J5" s="50" t="str">
        <f t="shared" si="2"/>
        <v>T.Hai</v>
      </c>
      <c r="K5" s="50" t="str">
        <f t="shared" si="2"/>
        <v>T.Ba</v>
      </c>
      <c r="L5" s="50" t="str">
        <f t="shared" si="2"/>
        <v>T.Tư</v>
      </c>
      <c r="M5" s="50" t="str">
        <f t="shared" si="2"/>
        <v>T.Năm</v>
      </c>
      <c r="N5" s="50" t="str">
        <f t="shared" si="2"/>
        <v>T.Sáu</v>
      </c>
      <c r="O5" s="50" t="str">
        <f t="shared" si="2"/>
        <v>T.Bảy</v>
      </c>
      <c r="P5" s="50" t="str">
        <f t="shared" si="2"/>
        <v>C.Nhật</v>
      </c>
      <c r="Q5" s="50" t="str">
        <f t="shared" si="2"/>
        <v>T.Hai</v>
      </c>
      <c r="R5" s="50" t="str">
        <f t="shared" si="2"/>
        <v>T.Ba</v>
      </c>
      <c r="S5" s="50" t="str">
        <f t="shared" si="2"/>
        <v>T.Tư</v>
      </c>
      <c r="T5" s="50" t="str">
        <f t="shared" si="2"/>
        <v>T.Năm</v>
      </c>
      <c r="U5" s="50" t="str">
        <f t="shared" si="2"/>
        <v>T.Sáu</v>
      </c>
      <c r="V5" s="50" t="str">
        <f t="shared" si="2"/>
        <v>T.Bảy</v>
      </c>
      <c r="W5" s="50" t="str">
        <f t="shared" si="2"/>
        <v>C.Nhật</v>
      </c>
      <c r="X5" s="50" t="str">
        <f t="shared" si="2"/>
        <v>T.Hai</v>
      </c>
      <c r="Y5" s="50" t="str">
        <f t="shared" si="2"/>
        <v>T.Ba</v>
      </c>
      <c r="Z5" s="50" t="str">
        <f t="shared" si="2"/>
        <v>T.Tư</v>
      </c>
      <c r="AA5" s="50" t="str">
        <f t="shared" si="2"/>
        <v>T.Năm</v>
      </c>
      <c r="AB5" s="50" t="str">
        <f t="shared" si="2"/>
        <v>T.Sáu</v>
      </c>
      <c r="AC5" s="50" t="str">
        <f t="shared" si="2"/>
        <v>T.Bảy</v>
      </c>
      <c r="AD5" s="50" t="str">
        <f t="shared" si="2"/>
        <v>C.Nhật</v>
      </c>
      <c r="AE5" s="50" t="str">
        <f t="shared" ref="AE5:AG5" si="3">+CHOOSE(WEEKDAY(AE4),"C.Nhật","T.Hai","T.Ba","T.Tư","T.Năm","T.Sáu","T.Bảy")</f>
        <v>T.Hai</v>
      </c>
      <c r="AF5" s="50" t="str">
        <f t="shared" si="3"/>
        <v>T.Ba</v>
      </c>
      <c r="AG5" s="50" t="str">
        <f t="shared" si="3"/>
        <v>T.Tư</v>
      </c>
      <c r="AH5" s="187"/>
      <c r="AI5" s="190"/>
      <c r="AJ5" s="190"/>
      <c r="AK5" s="190"/>
      <c r="AL5" s="190"/>
    </row>
    <row r="6" spans="1:38" ht="21.75" customHeight="1">
      <c r="A6" s="51"/>
      <c r="B6" s="52" t="s">
        <v>16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4"/>
      <c r="AI6" s="55"/>
      <c r="AJ6" s="55"/>
      <c r="AK6" s="55"/>
      <c r="AL6" s="55"/>
    </row>
    <row r="7" spans="1:38" ht="21.75" customHeight="1">
      <c r="A7" s="56" t="s">
        <v>17</v>
      </c>
      <c r="B7" s="57" t="s">
        <v>18</v>
      </c>
      <c r="C7" s="53">
        <v>6</v>
      </c>
      <c r="D7" s="53">
        <v>3</v>
      </c>
      <c r="E7" s="53">
        <v>3</v>
      </c>
      <c r="F7" s="53">
        <v>5</v>
      </c>
      <c r="G7" s="53">
        <v>5</v>
      </c>
      <c r="H7" s="53">
        <v>6</v>
      </c>
      <c r="I7" s="53">
        <v>6</v>
      </c>
      <c r="J7" s="53">
        <v>1</v>
      </c>
      <c r="K7" s="53"/>
      <c r="L7" s="53"/>
      <c r="M7" s="53">
        <v>2</v>
      </c>
      <c r="N7" s="53">
        <v>3</v>
      </c>
      <c r="O7" s="53">
        <v>6</v>
      </c>
      <c r="P7" s="53">
        <v>6</v>
      </c>
      <c r="Q7" s="53">
        <v>6</v>
      </c>
      <c r="R7" s="53">
        <v>6</v>
      </c>
      <c r="S7" s="53">
        <v>4</v>
      </c>
      <c r="T7" s="53"/>
      <c r="U7" s="53">
        <v>5</v>
      </c>
      <c r="V7" s="53">
        <v>6</v>
      </c>
      <c r="W7" s="53">
        <v>3</v>
      </c>
      <c r="X7" s="53">
        <v>6</v>
      </c>
      <c r="Y7" s="53">
        <v>4</v>
      </c>
      <c r="Z7" s="53">
        <v>5</v>
      </c>
      <c r="AA7" s="53">
        <v>3</v>
      </c>
      <c r="AB7" s="53">
        <v>6</v>
      </c>
      <c r="AC7" s="53">
        <v>4</v>
      </c>
      <c r="AD7" s="53">
        <v>6</v>
      </c>
      <c r="AE7" s="53">
        <v>3</v>
      </c>
      <c r="AF7" s="53"/>
      <c r="AG7" s="53"/>
      <c r="AH7" s="58">
        <f t="shared" ref="AH7" si="4">SUM(C7:AG7)</f>
        <v>119</v>
      </c>
      <c r="AI7" s="59">
        <f t="shared" ref="AI7" si="5">+COUNTIF(C7:AG7,"&gt;4")</f>
        <v>15</v>
      </c>
      <c r="AJ7" s="59">
        <f t="shared" ref="AJ7" si="6">+COUNTIF(C7:AG7,"&gt;5")</f>
        <v>11</v>
      </c>
      <c r="AK7" s="59">
        <f t="shared" ref="AK7" si="7">+COUNTIF(C7:AG7,"&gt;6")</f>
        <v>0</v>
      </c>
      <c r="AL7" s="59">
        <f t="shared" ref="AL7" si="8">+COUNTIF(C7:AG7,"&gt;7")</f>
        <v>0</v>
      </c>
    </row>
    <row r="8" spans="1:38" ht="21.75" customHeight="1">
      <c r="A8" s="56" t="s">
        <v>22</v>
      </c>
      <c r="B8" s="56" t="s">
        <v>23</v>
      </c>
      <c r="C8" s="53">
        <v>6</v>
      </c>
      <c r="D8" s="53">
        <v>2</v>
      </c>
      <c r="E8" s="53"/>
      <c r="F8" s="53">
        <v>5</v>
      </c>
      <c r="G8" s="60">
        <v>5</v>
      </c>
      <c r="H8" s="53">
        <v>6</v>
      </c>
      <c r="I8" s="53">
        <v>6</v>
      </c>
      <c r="J8" s="53">
        <v>4</v>
      </c>
      <c r="K8" s="53">
        <v>6</v>
      </c>
      <c r="L8" s="53">
        <v>3</v>
      </c>
      <c r="M8" s="53"/>
      <c r="N8" s="53">
        <v>6</v>
      </c>
      <c r="O8" s="53">
        <v>7</v>
      </c>
      <c r="P8" s="53">
        <v>7</v>
      </c>
      <c r="Q8" s="53">
        <v>5</v>
      </c>
      <c r="R8" s="53">
        <v>5</v>
      </c>
      <c r="S8" s="53">
        <v>6</v>
      </c>
      <c r="T8" s="53">
        <v>4</v>
      </c>
      <c r="U8" s="53">
        <v>6</v>
      </c>
      <c r="V8" s="53">
        <v>7</v>
      </c>
      <c r="W8" s="53">
        <v>5</v>
      </c>
      <c r="X8" s="53"/>
      <c r="Y8" s="53"/>
      <c r="Z8" s="53"/>
      <c r="AA8" s="53">
        <v>5</v>
      </c>
      <c r="AB8" s="53">
        <v>1</v>
      </c>
      <c r="AC8" s="53"/>
      <c r="AD8" s="53">
        <v>6</v>
      </c>
      <c r="AE8" s="53">
        <v>5</v>
      </c>
      <c r="AF8" s="53">
        <v>4</v>
      </c>
      <c r="AG8" s="53"/>
      <c r="AH8" s="61">
        <f t="shared" ref="AH8:AH11" si="9">SUM(C8:AG8)</f>
        <v>122</v>
      </c>
      <c r="AI8" s="62">
        <f t="shared" ref="AI8:AI11" si="10">+COUNTIF(C8:AG8,"&gt;4")</f>
        <v>18</v>
      </c>
      <c r="AJ8" s="62">
        <f t="shared" ref="AJ8:AJ11" si="11">+COUNTIF(C8:AG8,"&gt;5")</f>
        <v>11</v>
      </c>
      <c r="AK8" s="62">
        <f t="shared" ref="AK8:AK11" si="12">+COUNTIF(C8:AG8,"&gt;6")</f>
        <v>3</v>
      </c>
      <c r="AL8" s="62">
        <f t="shared" ref="AL8:AL11" si="13">+COUNTIF(C8:AG8,"&gt;7")</f>
        <v>0</v>
      </c>
    </row>
    <row r="9" spans="1:38" ht="21.75" customHeight="1">
      <c r="A9" s="56" t="s">
        <v>24</v>
      </c>
      <c r="B9" s="56" t="s">
        <v>25</v>
      </c>
      <c r="C9" s="53">
        <v>1</v>
      </c>
      <c r="D9" s="53"/>
      <c r="E9" s="53"/>
      <c r="F9" s="60">
        <v>4</v>
      </c>
      <c r="G9" s="53">
        <v>5</v>
      </c>
      <c r="H9" s="53">
        <v>6</v>
      </c>
      <c r="I9" s="53">
        <v>6</v>
      </c>
      <c r="J9" s="53">
        <v>2</v>
      </c>
      <c r="K9" s="53">
        <v>6</v>
      </c>
      <c r="L9" s="53">
        <v>6</v>
      </c>
      <c r="M9" s="53">
        <v>5</v>
      </c>
      <c r="N9" s="53">
        <v>5</v>
      </c>
      <c r="O9" s="53">
        <v>6</v>
      </c>
      <c r="P9" s="53">
        <v>6</v>
      </c>
      <c r="Q9" s="53">
        <v>3</v>
      </c>
      <c r="R9" s="53"/>
      <c r="S9" s="53"/>
      <c r="T9" s="53">
        <v>6</v>
      </c>
      <c r="U9" s="53">
        <v>6</v>
      </c>
      <c r="V9" s="53">
        <v>6</v>
      </c>
      <c r="W9" s="53">
        <v>6</v>
      </c>
      <c r="X9" s="53">
        <v>5</v>
      </c>
      <c r="Y9" s="53">
        <v>3</v>
      </c>
      <c r="Z9" s="53">
        <v>4</v>
      </c>
      <c r="AA9" s="53">
        <v>5</v>
      </c>
      <c r="AB9" s="53">
        <v>5</v>
      </c>
      <c r="AC9" s="53">
        <v>6</v>
      </c>
      <c r="AD9" s="53">
        <v>6</v>
      </c>
      <c r="AE9" s="53">
        <v>1</v>
      </c>
      <c r="AF9" s="53"/>
      <c r="AG9" s="53"/>
      <c r="AH9" s="61">
        <f t="shared" si="9"/>
        <v>120</v>
      </c>
      <c r="AI9" s="62">
        <f t="shared" si="10"/>
        <v>18</v>
      </c>
      <c r="AJ9" s="62">
        <f t="shared" si="11"/>
        <v>12</v>
      </c>
      <c r="AK9" s="62">
        <f t="shared" si="12"/>
        <v>0</v>
      </c>
      <c r="AL9" s="62">
        <f t="shared" si="13"/>
        <v>0</v>
      </c>
    </row>
    <row r="10" spans="1:38" ht="21.75" customHeight="1">
      <c r="A10" s="56" t="s">
        <v>26</v>
      </c>
      <c r="B10" s="56" t="s">
        <v>27</v>
      </c>
      <c r="C10" s="53">
        <v>6</v>
      </c>
      <c r="D10" s="53"/>
      <c r="E10" s="53"/>
      <c r="F10" s="53">
        <v>4</v>
      </c>
      <c r="G10" s="60">
        <v>6</v>
      </c>
      <c r="H10" s="53">
        <v>6</v>
      </c>
      <c r="I10" s="53">
        <v>6</v>
      </c>
      <c r="J10" s="53">
        <v>4</v>
      </c>
      <c r="K10" s="53"/>
      <c r="L10" s="53"/>
      <c r="M10" s="53"/>
      <c r="N10" s="53">
        <v>6</v>
      </c>
      <c r="O10" s="53">
        <v>8</v>
      </c>
      <c r="P10" s="53">
        <v>6</v>
      </c>
      <c r="Q10" s="53"/>
      <c r="R10" s="53"/>
      <c r="S10" s="53">
        <v>6</v>
      </c>
      <c r="T10" s="53">
        <v>6</v>
      </c>
      <c r="U10" s="53"/>
      <c r="V10" s="53"/>
      <c r="W10" s="53">
        <v>6</v>
      </c>
      <c r="X10" s="53">
        <v>4</v>
      </c>
      <c r="Y10" s="53"/>
      <c r="Z10" s="53"/>
      <c r="AA10" s="53"/>
      <c r="AB10" s="53">
        <v>6</v>
      </c>
      <c r="AC10" s="53">
        <v>6</v>
      </c>
      <c r="AD10" s="53">
        <v>6</v>
      </c>
      <c r="AE10" s="53"/>
      <c r="AF10" s="53"/>
      <c r="AG10" s="53"/>
      <c r="AH10" s="61">
        <f t="shared" si="9"/>
        <v>92</v>
      </c>
      <c r="AI10" s="62">
        <f t="shared" si="10"/>
        <v>13</v>
      </c>
      <c r="AJ10" s="62">
        <f t="shared" si="11"/>
        <v>13</v>
      </c>
      <c r="AK10" s="62">
        <f t="shared" si="12"/>
        <v>1</v>
      </c>
      <c r="AL10" s="62">
        <f t="shared" si="13"/>
        <v>1</v>
      </c>
    </row>
    <row r="11" spans="1:38" ht="21.75" customHeight="1">
      <c r="A11" s="56" t="s">
        <v>28</v>
      </c>
      <c r="B11" s="56" t="s">
        <v>29</v>
      </c>
      <c r="C11" s="53">
        <v>5</v>
      </c>
      <c r="D11" s="53">
        <v>5</v>
      </c>
      <c r="E11" s="53"/>
      <c r="F11" s="53">
        <v>5</v>
      </c>
      <c r="G11" s="60">
        <v>5</v>
      </c>
      <c r="H11" s="53">
        <v>6</v>
      </c>
      <c r="I11" s="53">
        <v>6</v>
      </c>
      <c r="J11" s="53">
        <v>3</v>
      </c>
      <c r="K11" s="53"/>
      <c r="L11" s="53">
        <v>5</v>
      </c>
      <c r="M11" s="53">
        <v>5</v>
      </c>
      <c r="N11" s="53">
        <v>3</v>
      </c>
      <c r="O11" s="53">
        <v>6</v>
      </c>
      <c r="P11" s="53">
        <v>6</v>
      </c>
      <c r="Q11" s="53">
        <v>3</v>
      </c>
      <c r="R11" s="53"/>
      <c r="S11" s="53">
        <v>5</v>
      </c>
      <c r="T11" s="53">
        <v>4</v>
      </c>
      <c r="U11" s="53">
        <v>6</v>
      </c>
      <c r="V11" s="53">
        <v>4</v>
      </c>
      <c r="W11" s="53">
        <v>6</v>
      </c>
      <c r="X11" s="53">
        <v>3</v>
      </c>
      <c r="Y11" s="53"/>
      <c r="Z11" s="53">
        <v>4</v>
      </c>
      <c r="AA11" s="53">
        <v>3</v>
      </c>
      <c r="AB11" s="53">
        <v>6</v>
      </c>
      <c r="AC11" s="53">
        <v>4</v>
      </c>
      <c r="AD11" s="53">
        <v>6</v>
      </c>
      <c r="AE11" s="53">
        <v>5</v>
      </c>
      <c r="AF11" s="53">
        <v>3</v>
      </c>
      <c r="AG11" s="53"/>
      <c r="AH11" s="61">
        <f t="shared" si="9"/>
        <v>122</v>
      </c>
      <c r="AI11" s="62">
        <f t="shared" si="10"/>
        <v>16</v>
      </c>
      <c r="AJ11" s="62">
        <f t="shared" si="11"/>
        <v>8</v>
      </c>
      <c r="AK11" s="62">
        <f t="shared" si="12"/>
        <v>0</v>
      </c>
      <c r="AL11" s="62">
        <f t="shared" si="13"/>
        <v>0</v>
      </c>
    </row>
    <row r="12" spans="1:38" ht="21.75" customHeight="1">
      <c r="A12" s="56" t="s">
        <v>30</v>
      </c>
      <c r="B12" s="56" t="s">
        <v>31</v>
      </c>
      <c r="C12" s="53">
        <v>6</v>
      </c>
      <c r="D12" s="53">
        <v>1</v>
      </c>
      <c r="E12" s="53"/>
      <c r="F12" s="60">
        <v>2</v>
      </c>
      <c r="G12" s="53">
        <v>5</v>
      </c>
      <c r="H12" s="53">
        <v>6</v>
      </c>
      <c r="I12" s="53">
        <v>6</v>
      </c>
      <c r="J12" s="53">
        <v>5</v>
      </c>
      <c r="K12" s="53">
        <v>3</v>
      </c>
      <c r="L12" s="53">
        <v>6</v>
      </c>
      <c r="M12" s="53">
        <v>4</v>
      </c>
      <c r="N12" s="53">
        <v>6</v>
      </c>
      <c r="O12" s="53">
        <v>6</v>
      </c>
      <c r="P12" s="53">
        <v>6</v>
      </c>
      <c r="Q12" s="53">
        <v>6</v>
      </c>
      <c r="R12" s="53">
        <v>1</v>
      </c>
      <c r="S12" s="53">
        <v>3</v>
      </c>
      <c r="T12" s="53">
        <v>2</v>
      </c>
      <c r="U12" s="53">
        <v>6</v>
      </c>
      <c r="V12" s="53">
        <v>6</v>
      </c>
      <c r="W12" s="53">
        <v>6</v>
      </c>
      <c r="X12" s="53">
        <v>5</v>
      </c>
      <c r="Y12" s="53">
        <v>2</v>
      </c>
      <c r="Z12" s="53"/>
      <c r="AA12" s="53"/>
      <c r="AB12" s="53">
        <v>5</v>
      </c>
      <c r="AC12" s="53">
        <v>6</v>
      </c>
      <c r="AD12" s="53">
        <v>6</v>
      </c>
      <c r="AE12" s="53">
        <v>2</v>
      </c>
      <c r="AF12" s="53">
        <v>5</v>
      </c>
      <c r="AG12" s="53"/>
      <c r="AH12" s="61">
        <f t="shared" ref="AH12" si="14">SUM(C12:AG12)</f>
        <v>123</v>
      </c>
      <c r="AI12" s="62">
        <f t="shared" ref="AI12" si="15">+COUNTIF(C12:AG12,"&gt;4")</f>
        <v>18</v>
      </c>
      <c r="AJ12" s="62">
        <f t="shared" ref="AJ12" si="16">+COUNTIF(C12:AG12,"&gt;5")</f>
        <v>13</v>
      </c>
      <c r="AK12" s="62">
        <f t="shared" ref="AK12" si="17">+COUNTIF(C12:AG12,"&gt;6")</f>
        <v>0</v>
      </c>
      <c r="AL12" s="62">
        <f t="shared" ref="AL12" si="18">+COUNTIF(C12:AG12,"&gt;7")</f>
        <v>0</v>
      </c>
    </row>
    <row r="13" spans="1:38" ht="21.75" customHeight="1">
      <c r="A13" s="56" t="s">
        <v>32</v>
      </c>
      <c r="B13" s="56" t="s">
        <v>33</v>
      </c>
      <c r="C13" s="53">
        <v>6</v>
      </c>
      <c r="D13" s="53">
        <v>2</v>
      </c>
      <c r="E13" s="53">
        <v>5</v>
      </c>
      <c r="F13" s="53">
        <v>4</v>
      </c>
      <c r="G13" s="60">
        <v>5</v>
      </c>
      <c r="H13" s="53">
        <v>6</v>
      </c>
      <c r="I13" s="53">
        <v>6</v>
      </c>
      <c r="J13" s="53">
        <v>6</v>
      </c>
      <c r="K13" s="53">
        <v>4</v>
      </c>
      <c r="L13" s="53">
        <v>6</v>
      </c>
      <c r="M13" s="53">
        <v>4</v>
      </c>
      <c r="N13" s="53">
        <v>4</v>
      </c>
      <c r="O13" s="53">
        <v>6</v>
      </c>
      <c r="P13" s="53">
        <v>6</v>
      </c>
      <c r="Q13" s="53">
        <v>3</v>
      </c>
      <c r="R13" s="53"/>
      <c r="S13" s="53"/>
      <c r="T13" s="53"/>
      <c r="U13" s="53"/>
      <c r="V13" s="53">
        <v>5</v>
      </c>
      <c r="W13" s="53">
        <v>6</v>
      </c>
      <c r="X13" s="53">
        <v>5</v>
      </c>
      <c r="Y13" s="53">
        <v>5</v>
      </c>
      <c r="Z13" s="53">
        <v>4</v>
      </c>
      <c r="AA13" s="53">
        <v>4</v>
      </c>
      <c r="AB13" s="53"/>
      <c r="AC13" s="53"/>
      <c r="AD13" s="53"/>
      <c r="AE13" s="53"/>
      <c r="AF13" s="53"/>
      <c r="AG13" s="53"/>
      <c r="AH13" s="61">
        <f t="shared" ref="AH13:AH14" si="19">SUM(C13:AG13)</f>
        <v>102</v>
      </c>
      <c r="AI13" s="62">
        <f t="shared" ref="AI13:AI14" si="20">+COUNTIF(C13:AG13,"&gt;4")</f>
        <v>13</v>
      </c>
      <c r="AJ13" s="62">
        <f t="shared" ref="AJ13:AJ14" si="21">+COUNTIF(C13:AG13,"&gt;5")</f>
        <v>8</v>
      </c>
      <c r="AK13" s="62">
        <f t="shared" ref="AK13:AK14" si="22">+COUNTIF(C13:AG13,"&gt;6")</f>
        <v>0</v>
      </c>
      <c r="AL13" s="62">
        <f t="shared" ref="AL13:AL14" si="23">+COUNTIF(C13:AG13,"&gt;7")</f>
        <v>0</v>
      </c>
    </row>
    <row r="14" spans="1:38" ht="21.75" customHeight="1">
      <c r="A14" s="56" t="s">
        <v>34</v>
      </c>
      <c r="B14" s="56" t="s">
        <v>35</v>
      </c>
      <c r="C14" s="53">
        <v>2</v>
      </c>
      <c r="D14" s="53">
        <v>5</v>
      </c>
      <c r="E14" s="53">
        <v>5</v>
      </c>
      <c r="F14" s="53">
        <v>4</v>
      </c>
      <c r="G14" s="60">
        <v>4</v>
      </c>
      <c r="H14" s="53">
        <v>6</v>
      </c>
      <c r="I14" s="53">
        <v>6</v>
      </c>
      <c r="J14" s="53">
        <v>5</v>
      </c>
      <c r="K14" s="53">
        <v>6</v>
      </c>
      <c r="L14" s="53">
        <v>5</v>
      </c>
      <c r="M14" s="53">
        <v>2</v>
      </c>
      <c r="N14" s="53">
        <v>6</v>
      </c>
      <c r="O14" s="53">
        <v>6</v>
      </c>
      <c r="P14" s="53">
        <v>6</v>
      </c>
      <c r="Q14" s="53">
        <v>6</v>
      </c>
      <c r="R14" s="53">
        <v>4</v>
      </c>
      <c r="S14" s="53"/>
      <c r="T14" s="53"/>
      <c r="U14" s="53">
        <v>1</v>
      </c>
      <c r="V14" s="53">
        <v>6</v>
      </c>
      <c r="W14" s="53">
        <v>6</v>
      </c>
      <c r="X14" s="53">
        <v>3</v>
      </c>
      <c r="Y14" s="53"/>
      <c r="Z14" s="53"/>
      <c r="AA14" s="53">
        <v>4</v>
      </c>
      <c r="AB14" s="53">
        <v>5</v>
      </c>
      <c r="AC14" s="53">
        <v>6</v>
      </c>
      <c r="AD14" s="53">
        <v>6</v>
      </c>
      <c r="AE14" s="53">
        <v>5</v>
      </c>
      <c r="AF14" s="53">
        <v>3</v>
      </c>
      <c r="AG14" s="53"/>
      <c r="AH14" s="61">
        <f t="shared" si="19"/>
        <v>123</v>
      </c>
      <c r="AI14" s="62">
        <f t="shared" si="20"/>
        <v>17</v>
      </c>
      <c r="AJ14" s="62">
        <f t="shared" si="21"/>
        <v>11</v>
      </c>
      <c r="AK14" s="62">
        <f t="shared" si="22"/>
        <v>0</v>
      </c>
      <c r="AL14" s="62">
        <f t="shared" si="23"/>
        <v>0</v>
      </c>
    </row>
    <row r="15" spans="1:38" ht="21.75" customHeight="1">
      <c r="A15" s="56" t="s">
        <v>36</v>
      </c>
      <c r="B15" s="56" t="s">
        <v>37</v>
      </c>
      <c r="C15" s="53"/>
      <c r="D15" s="53">
        <v>6</v>
      </c>
      <c r="E15" s="53">
        <v>4</v>
      </c>
      <c r="F15" s="60">
        <v>4</v>
      </c>
      <c r="G15" s="53">
        <v>4</v>
      </c>
      <c r="H15" s="53">
        <v>6</v>
      </c>
      <c r="I15" s="53">
        <v>6</v>
      </c>
      <c r="J15" s="53">
        <v>6</v>
      </c>
      <c r="K15" s="53"/>
      <c r="L15" s="53">
        <v>6</v>
      </c>
      <c r="M15" s="53">
        <v>4</v>
      </c>
      <c r="N15" s="53">
        <v>6</v>
      </c>
      <c r="O15" s="53">
        <v>6</v>
      </c>
      <c r="P15" s="53">
        <v>6</v>
      </c>
      <c r="Q15" s="53">
        <v>4</v>
      </c>
      <c r="R15" s="53">
        <v>4</v>
      </c>
      <c r="S15" s="53">
        <v>6</v>
      </c>
      <c r="T15" s="53">
        <v>4</v>
      </c>
      <c r="U15" s="53">
        <v>6</v>
      </c>
      <c r="V15" s="53">
        <v>6</v>
      </c>
      <c r="W15" s="53">
        <v>6</v>
      </c>
      <c r="X15" s="53"/>
      <c r="Y15" s="53">
        <v>6</v>
      </c>
      <c r="Z15" s="53">
        <v>4</v>
      </c>
      <c r="AA15" s="53">
        <v>4</v>
      </c>
      <c r="AB15" s="53">
        <v>6</v>
      </c>
      <c r="AC15" s="53">
        <v>6</v>
      </c>
      <c r="AD15" s="53">
        <v>4</v>
      </c>
      <c r="AE15" s="53">
        <v>4</v>
      </c>
      <c r="AF15" s="53"/>
      <c r="AG15" s="53"/>
      <c r="AH15" s="61">
        <f t="shared" ref="AH15:AH26" si="24">SUM(C15:AG15)</f>
        <v>134</v>
      </c>
      <c r="AI15" s="62">
        <f t="shared" ref="AI15:AI26" si="25">+COUNTIF(C15:AG15,"&gt;4")</f>
        <v>15</v>
      </c>
      <c r="AJ15" s="62">
        <f t="shared" ref="AJ15:AJ26" si="26">+COUNTIF(C15:AG15,"&gt;5")</f>
        <v>15</v>
      </c>
      <c r="AK15" s="62">
        <f t="shared" ref="AK15:AK26" si="27">+COUNTIF(C15:AG15,"&gt;6")</f>
        <v>0</v>
      </c>
      <c r="AL15" s="62">
        <f t="shared" ref="AL15:AL26" si="28">+COUNTIF(C15:AG15,"&gt;7")</f>
        <v>0</v>
      </c>
    </row>
    <row r="16" spans="1:38" ht="21.75" customHeight="1">
      <c r="A16" s="56" t="s">
        <v>38</v>
      </c>
      <c r="B16" s="56" t="s">
        <v>39</v>
      </c>
      <c r="C16" s="53">
        <v>6</v>
      </c>
      <c r="D16" s="53">
        <v>5</v>
      </c>
      <c r="E16" s="53">
        <v>5</v>
      </c>
      <c r="F16" s="53">
        <v>3</v>
      </c>
      <c r="G16" s="60">
        <v>4</v>
      </c>
      <c r="H16" s="53">
        <v>6</v>
      </c>
      <c r="I16" s="53">
        <v>6</v>
      </c>
      <c r="J16" s="53">
        <v>4</v>
      </c>
      <c r="K16" s="53"/>
      <c r="L16" s="53"/>
      <c r="M16" s="53">
        <v>3</v>
      </c>
      <c r="N16" s="53">
        <v>3</v>
      </c>
      <c r="O16" s="53">
        <v>6</v>
      </c>
      <c r="P16" s="53">
        <v>6</v>
      </c>
      <c r="Q16" s="53">
        <v>5</v>
      </c>
      <c r="R16" s="53">
        <v>6</v>
      </c>
      <c r="S16" s="53">
        <v>1</v>
      </c>
      <c r="T16" s="53"/>
      <c r="U16" s="53">
        <v>2</v>
      </c>
      <c r="V16" s="53">
        <v>6</v>
      </c>
      <c r="W16" s="53">
        <v>6</v>
      </c>
      <c r="X16" s="53">
        <v>6</v>
      </c>
      <c r="Y16" s="53">
        <v>4</v>
      </c>
      <c r="Z16" s="53">
        <v>5</v>
      </c>
      <c r="AA16" s="53">
        <v>4</v>
      </c>
      <c r="AB16" s="53">
        <v>5</v>
      </c>
      <c r="AC16" s="53">
        <v>6</v>
      </c>
      <c r="AD16" s="53">
        <v>6</v>
      </c>
      <c r="AE16" s="53">
        <v>5</v>
      </c>
      <c r="AF16" s="53">
        <v>3</v>
      </c>
      <c r="AG16" s="53"/>
      <c r="AH16" s="61">
        <f t="shared" si="24"/>
        <v>127</v>
      </c>
      <c r="AI16" s="62">
        <f t="shared" si="25"/>
        <v>17</v>
      </c>
      <c r="AJ16" s="62">
        <f t="shared" si="26"/>
        <v>11</v>
      </c>
      <c r="AK16" s="62">
        <f t="shared" si="27"/>
        <v>0</v>
      </c>
      <c r="AL16" s="62">
        <f t="shared" si="28"/>
        <v>0</v>
      </c>
    </row>
    <row r="17" spans="1:38" ht="21.75" customHeight="1">
      <c r="A17" s="56" t="s">
        <v>40</v>
      </c>
      <c r="B17" s="56" t="s">
        <v>41</v>
      </c>
      <c r="C17" s="53"/>
      <c r="D17" s="53"/>
      <c r="E17" s="53"/>
      <c r="F17" s="53"/>
      <c r="G17" s="60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>
        <v>5</v>
      </c>
      <c r="V17" s="53">
        <v>6</v>
      </c>
      <c r="W17" s="53">
        <v>6</v>
      </c>
      <c r="X17" s="53">
        <v>4</v>
      </c>
      <c r="Y17" s="53">
        <v>5</v>
      </c>
      <c r="Z17" s="53">
        <v>3</v>
      </c>
      <c r="AA17" s="53">
        <v>5</v>
      </c>
      <c r="AB17" s="53">
        <v>5</v>
      </c>
      <c r="AC17" s="53">
        <v>6</v>
      </c>
      <c r="AD17" s="53">
        <v>6</v>
      </c>
      <c r="AE17" s="53">
        <v>5</v>
      </c>
      <c r="AF17" s="53">
        <v>4</v>
      </c>
      <c r="AG17" s="53"/>
      <c r="AH17" s="61">
        <f t="shared" si="24"/>
        <v>60</v>
      </c>
      <c r="AI17" s="62">
        <f t="shared" si="25"/>
        <v>9</v>
      </c>
      <c r="AJ17" s="62">
        <f t="shared" si="26"/>
        <v>4</v>
      </c>
      <c r="AK17" s="62">
        <f t="shared" si="27"/>
        <v>0</v>
      </c>
      <c r="AL17" s="62">
        <f t="shared" si="28"/>
        <v>0</v>
      </c>
    </row>
    <row r="18" spans="1:38" ht="21.75" customHeight="1">
      <c r="A18" s="56" t="s">
        <v>42</v>
      </c>
      <c r="B18" s="56" t="s">
        <v>43</v>
      </c>
      <c r="C18" s="53"/>
      <c r="D18" s="53"/>
      <c r="E18" s="53"/>
      <c r="F18" s="53"/>
      <c r="G18" s="60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>
        <v>3</v>
      </c>
      <c r="V18" s="53">
        <v>6</v>
      </c>
      <c r="W18" s="53">
        <v>6</v>
      </c>
      <c r="X18" s="53">
        <v>5</v>
      </c>
      <c r="Y18" s="53">
        <v>3</v>
      </c>
      <c r="Z18" s="53">
        <v>4</v>
      </c>
      <c r="AA18" s="53">
        <v>4</v>
      </c>
      <c r="AB18" s="53">
        <v>5</v>
      </c>
      <c r="AC18" s="53">
        <v>3</v>
      </c>
      <c r="AD18" s="53">
        <v>6</v>
      </c>
      <c r="AE18" s="53">
        <v>2</v>
      </c>
      <c r="AF18" s="53">
        <v>4</v>
      </c>
      <c r="AG18" s="53"/>
      <c r="AH18" s="61">
        <f t="shared" si="24"/>
        <v>51</v>
      </c>
      <c r="AI18" s="62">
        <f t="shared" si="25"/>
        <v>5</v>
      </c>
      <c r="AJ18" s="62">
        <f t="shared" si="26"/>
        <v>3</v>
      </c>
      <c r="AK18" s="62">
        <f t="shared" si="27"/>
        <v>0</v>
      </c>
      <c r="AL18" s="62">
        <f t="shared" si="28"/>
        <v>0</v>
      </c>
    </row>
    <row r="19" spans="1:38" ht="21.75" customHeight="1">
      <c r="A19" s="56" t="s">
        <v>44</v>
      </c>
      <c r="B19" s="56" t="s">
        <v>45</v>
      </c>
      <c r="C19" s="53"/>
      <c r="D19" s="53"/>
      <c r="E19" s="53"/>
      <c r="F19" s="53"/>
      <c r="G19" s="60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>
        <v>3</v>
      </c>
      <c r="V19" s="53">
        <v>6</v>
      </c>
      <c r="W19" s="53">
        <v>6</v>
      </c>
      <c r="X19" s="53">
        <v>4</v>
      </c>
      <c r="Y19" s="53">
        <v>5</v>
      </c>
      <c r="Z19" s="53">
        <v>5</v>
      </c>
      <c r="AA19" s="53">
        <v>4</v>
      </c>
      <c r="AB19" s="53">
        <v>5</v>
      </c>
      <c r="AC19" s="53">
        <v>5</v>
      </c>
      <c r="AD19" s="53">
        <v>6</v>
      </c>
      <c r="AE19" s="53">
        <v>4</v>
      </c>
      <c r="AF19" s="53">
        <v>4</v>
      </c>
      <c r="AG19" s="53"/>
      <c r="AH19" s="61">
        <f t="shared" si="24"/>
        <v>57</v>
      </c>
      <c r="AI19" s="62">
        <f t="shared" si="25"/>
        <v>7</v>
      </c>
      <c r="AJ19" s="62">
        <f t="shared" si="26"/>
        <v>3</v>
      </c>
      <c r="AK19" s="62">
        <f t="shared" si="27"/>
        <v>0</v>
      </c>
      <c r="AL19" s="62">
        <f t="shared" si="28"/>
        <v>0</v>
      </c>
    </row>
    <row r="20" spans="1:38" ht="21.75" customHeight="1">
      <c r="A20" s="56" t="s">
        <v>46</v>
      </c>
      <c r="B20" s="56" t="s">
        <v>47</v>
      </c>
      <c r="C20" s="53"/>
      <c r="D20" s="53"/>
      <c r="E20" s="53"/>
      <c r="F20" s="53"/>
      <c r="G20" s="60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>
        <v>3</v>
      </c>
      <c r="AB20" s="53">
        <v>4</v>
      </c>
      <c r="AC20" s="53">
        <v>6</v>
      </c>
      <c r="AD20" s="53">
        <v>6</v>
      </c>
      <c r="AE20" s="53">
        <v>6</v>
      </c>
      <c r="AF20" s="53">
        <v>4</v>
      </c>
      <c r="AG20" s="53"/>
      <c r="AH20" s="61">
        <f t="shared" si="24"/>
        <v>29</v>
      </c>
      <c r="AI20" s="62">
        <f t="shared" si="25"/>
        <v>3</v>
      </c>
      <c r="AJ20" s="62">
        <f t="shared" si="26"/>
        <v>3</v>
      </c>
      <c r="AK20" s="62">
        <f t="shared" si="27"/>
        <v>0</v>
      </c>
      <c r="AL20" s="62">
        <f t="shared" si="28"/>
        <v>0</v>
      </c>
    </row>
    <row r="21" spans="1:38" ht="21.75" customHeight="1">
      <c r="A21" s="56" t="s">
        <v>48</v>
      </c>
      <c r="B21" s="56" t="s">
        <v>49</v>
      </c>
      <c r="C21" s="53"/>
      <c r="D21" s="53"/>
      <c r="E21" s="53"/>
      <c r="F21" s="53"/>
      <c r="G21" s="60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>
        <v>3</v>
      </c>
      <c r="AB21" s="53"/>
      <c r="AC21" s="53"/>
      <c r="AD21" s="53"/>
      <c r="AE21" s="53"/>
      <c r="AF21" s="53"/>
      <c r="AG21" s="53"/>
      <c r="AH21" s="61">
        <f t="shared" si="24"/>
        <v>3</v>
      </c>
      <c r="AI21" s="62">
        <f t="shared" si="25"/>
        <v>0</v>
      </c>
      <c r="AJ21" s="62">
        <f t="shared" si="26"/>
        <v>0</v>
      </c>
      <c r="AK21" s="62">
        <f t="shared" si="27"/>
        <v>0</v>
      </c>
      <c r="AL21" s="62">
        <f t="shared" si="28"/>
        <v>0</v>
      </c>
    </row>
    <row r="22" spans="1:38" ht="21.75" customHeight="1">
      <c r="A22" s="56" t="s">
        <v>50</v>
      </c>
      <c r="B22" s="56" t="s">
        <v>51</v>
      </c>
      <c r="C22" s="53"/>
      <c r="D22" s="53"/>
      <c r="E22" s="53"/>
      <c r="F22" s="53"/>
      <c r="G22" s="60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>
        <v>3</v>
      </c>
      <c r="AB22" s="53">
        <v>5</v>
      </c>
      <c r="AC22" s="53">
        <v>5</v>
      </c>
      <c r="AD22" s="53">
        <v>6</v>
      </c>
      <c r="AE22" s="53">
        <v>1</v>
      </c>
      <c r="AF22" s="53">
        <v>5</v>
      </c>
      <c r="AG22" s="53"/>
      <c r="AH22" s="61">
        <f t="shared" si="24"/>
        <v>25</v>
      </c>
      <c r="AI22" s="62">
        <f t="shared" si="25"/>
        <v>4</v>
      </c>
      <c r="AJ22" s="62">
        <f t="shared" si="26"/>
        <v>1</v>
      </c>
      <c r="AK22" s="62">
        <f t="shared" si="27"/>
        <v>0</v>
      </c>
      <c r="AL22" s="62">
        <f t="shared" si="28"/>
        <v>0</v>
      </c>
    </row>
    <row r="23" spans="1:38" ht="21.75" customHeight="1">
      <c r="A23" s="56"/>
      <c r="B23" s="63" t="s">
        <v>52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61">
        <f t="shared" si="24"/>
        <v>0</v>
      </c>
      <c r="AI23" s="62">
        <f t="shared" si="25"/>
        <v>0</v>
      </c>
      <c r="AJ23" s="62">
        <f t="shared" si="26"/>
        <v>0</v>
      </c>
      <c r="AK23" s="62">
        <f t="shared" si="27"/>
        <v>0</v>
      </c>
      <c r="AL23" s="62">
        <f t="shared" si="28"/>
        <v>0</v>
      </c>
    </row>
    <row r="24" spans="1:38" ht="21.75" customHeight="1">
      <c r="A24" s="56" t="s">
        <v>53</v>
      </c>
      <c r="B24" s="64" t="s">
        <v>54</v>
      </c>
      <c r="C24" s="53">
        <v>4</v>
      </c>
      <c r="D24" s="53"/>
      <c r="E24" s="53"/>
      <c r="F24" s="53"/>
      <c r="G24" s="53"/>
      <c r="H24" s="53">
        <v>4</v>
      </c>
      <c r="I24" s="53">
        <v>7</v>
      </c>
      <c r="J24" s="53">
        <v>4</v>
      </c>
      <c r="K24" s="53">
        <v>1</v>
      </c>
      <c r="L24" s="53">
        <v>5</v>
      </c>
      <c r="M24" s="53">
        <v>1</v>
      </c>
      <c r="N24" s="53">
        <v>4</v>
      </c>
      <c r="O24" s="53">
        <v>6</v>
      </c>
      <c r="P24" s="53"/>
      <c r="Q24" s="53"/>
      <c r="R24" s="53"/>
      <c r="S24" s="53">
        <v>5</v>
      </c>
      <c r="T24" s="53">
        <v>5</v>
      </c>
      <c r="U24" s="53">
        <v>5</v>
      </c>
      <c r="V24" s="53">
        <v>1</v>
      </c>
      <c r="W24" s="53">
        <v>4</v>
      </c>
      <c r="X24" s="53"/>
      <c r="Y24" s="53"/>
      <c r="Z24" s="53"/>
      <c r="AA24" s="53"/>
      <c r="AB24" s="53">
        <v>4</v>
      </c>
      <c r="AC24" s="53">
        <v>5</v>
      </c>
      <c r="AD24" s="53"/>
      <c r="AE24" s="53"/>
      <c r="AF24" s="53"/>
      <c r="AG24" s="53"/>
      <c r="AH24" s="61">
        <f t="shared" si="24"/>
        <v>65</v>
      </c>
      <c r="AI24" s="62">
        <f t="shared" si="25"/>
        <v>7</v>
      </c>
      <c r="AJ24" s="62">
        <f t="shared" si="26"/>
        <v>2</v>
      </c>
      <c r="AK24" s="62">
        <f t="shared" si="27"/>
        <v>1</v>
      </c>
      <c r="AL24" s="62">
        <f t="shared" si="28"/>
        <v>0</v>
      </c>
    </row>
    <row r="25" spans="1:38" ht="21.75" customHeight="1">
      <c r="A25" s="56" t="s">
        <v>55</v>
      </c>
      <c r="B25" s="64" t="s">
        <v>132</v>
      </c>
      <c r="C25" s="53">
        <v>6</v>
      </c>
      <c r="D25" s="53">
        <v>5</v>
      </c>
      <c r="E25" s="53">
        <v>5</v>
      </c>
      <c r="F25" s="53">
        <v>6</v>
      </c>
      <c r="G25" s="53">
        <v>6</v>
      </c>
      <c r="H25" s="53">
        <v>5</v>
      </c>
      <c r="I25" s="53">
        <v>5</v>
      </c>
      <c r="J25" s="53">
        <v>3</v>
      </c>
      <c r="K25" s="53"/>
      <c r="L25" s="53"/>
      <c r="M25" s="53"/>
      <c r="N25" s="53">
        <v>4</v>
      </c>
      <c r="O25" s="53">
        <v>4</v>
      </c>
      <c r="P25" s="53">
        <v>6</v>
      </c>
      <c r="Q25" s="53">
        <v>6</v>
      </c>
      <c r="R25" s="53">
        <v>5</v>
      </c>
      <c r="S25" s="53">
        <v>5</v>
      </c>
      <c r="T25" s="53">
        <v>6</v>
      </c>
      <c r="U25" s="53">
        <v>5</v>
      </c>
      <c r="V25" s="53">
        <v>5</v>
      </c>
      <c r="W25" s="53">
        <v>6</v>
      </c>
      <c r="X25" s="53">
        <v>5</v>
      </c>
      <c r="Y25" s="53">
        <v>5</v>
      </c>
      <c r="Z25" s="53">
        <v>6</v>
      </c>
      <c r="AA25" s="53">
        <v>4</v>
      </c>
      <c r="AB25" s="53">
        <v>5</v>
      </c>
      <c r="AC25" s="53">
        <v>5</v>
      </c>
      <c r="AD25" s="53">
        <v>6</v>
      </c>
      <c r="AE25" s="53">
        <v>1</v>
      </c>
      <c r="AF25" s="53"/>
      <c r="AG25" s="53"/>
      <c r="AH25" s="61">
        <f t="shared" si="24"/>
        <v>130</v>
      </c>
      <c r="AI25" s="62">
        <f t="shared" si="25"/>
        <v>21</v>
      </c>
      <c r="AJ25" s="62">
        <f t="shared" si="26"/>
        <v>9</v>
      </c>
      <c r="AK25" s="62">
        <f t="shared" si="27"/>
        <v>0</v>
      </c>
      <c r="AL25" s="62">
        <f t="shared" si="28"/>
        <v>0</v>
      </c>
    </row>
    <row r="26" spans="1:38" ht="21.75" customHeight="1">
      <c r="A26" s="56" t="s">
        <v>55</v>
      </c>
      <c r="B26" s="64" t="s">
        <v>133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>
        <v>1</v>
      </c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61">
        <f t="shared" si="24"/>
        <v>1</v>
      </c>
      <c r="AI26" s="62">
        <f t="shared" si="25"/>
        <v>0</v>
      </c>
      <c r="AJ26" s="62">
        <f t="shared" si="26"/>
        <v>0</v>
      </c>
      <c r="AK26" s="62">
        <f t="shared" si="27"/>
        <v>0</v>
      </c>
      <c r="AL26" s="62">
        <f t="shared" si="28"/>
        <v>0</v>
      </c>
    </row>
    <row r="27" spans="1:38" ht="21.75" customHeight="1">
      <c r="A27" s="56" t="s">
        <v>57</v>
      </c>
      <c r="B27" s="64" t="s">
        <v>134</v>
      </c>
      <c r="C27" s="53">
        <v>4</v>
      </c>
      <c r="D27" s="53">
        <v>6</v>
      </c>
      <c r="E27" s="53">
        <v>5</v>
      </c>
      <c r="F27" s="53">
        <v>5</v>
      </c>
      <c r="G27" s="53">
        <v>6</v>
      </c>
      <c r="H27" s="53">
        <v>6</v>
      </c>
      <c r="I27" s="53">
        <v>6</v>
      </c>
      <c r="J27" s="53">
        <v>5</v>
      </c>
      <c r="K27" s="53">
        <v>6</v>
      </c>
      <c r="L27" s="53">
        <v>4</v>
      </c>
      <c r="M27" s="53">
        <v>6</v>
      </c>
      <c r="N27" s="53">
        <v>5</v>
      </c>
      <c r="O27" s="53">
        <v>4</v>
      </c>
      <c r="P27" s="53">
        <v>6</v>
      </c>
      <c r="Q27" s="53">
        <v>6</v>
      </c>
      <c r="R27" s="53">
        <v>5</v>
      </c>
      <c r="S27" s="53">
        <v>5</v>
      </c>
      <c r="T27" s="53">
        <v>6</v>
      </c>
      <c r="U27" s="53">
        <v>5</v>
      </c>
      <c r="V27" s="53">
        <v>4</v>
      </c>
      <c r="W27" s="53">
        <v>6</v>
      </c>
      <c r="X27" s="53">
        <v>4</v>
      </c>
      <c r="Y27" s="53">
        <v>6</v>
      </c>
      <c r="Z27" s="53">
        <v>5</v>
      </c>
      <c r="AA27" s="53">
        <v>6</v>
      </c>
      <c r="AB27" s="53">
        <v>5</v>
      </c>
      <c r="AC27" s="53">
        <v>4</v>
      </c>
      <c r="AD27" s="53">
        <v>6</v>
      </c>
      <c r="AE27" s="53">
        <v>3</v>
      </c>
      <c r="AF27" s="53"/>
      <c r="AG27" s="53"/>
      <c r="AH27" s="61">
        <f t="shared" ref="AH27:AH39" si="29">SUM(C27:AG27)</f>
        <v>150</v>
      </c>
      <c r="AI27" s="62">
        <f t="shared" ref="AI27:AI39" si="30">+COUNTIF(C27:AG27,"&gt;4")</f>
        <v>22</v>
      </c>
      <c r="AJ27" s="62">
        <f t="shared" ref="AJ27:AJ39" si="31">+COUNTIF(C27:AG27,"&gt;5")</f>
        <v>13</v>
      </c>
      <c r="AK27" s="62">
        <f t="shared" ref="AK27:AK39" si="32">+COUNTIF(C27:AG27,"&gt;6")</f>
        <v>0</v>
      </c>
      <c r="AL27" s="62">
        <f t="shared" ref="AL27:AL39" si="33">+COUNTIF(C27:AG27,"&gt;7")</f>
        <v>0</v>
      </c>
    </row>
    <row r="28" spans="1:38" ht="21.75" customHeight="1">
      <c r="A28" s="56" t="s">
        <v>57</v>
      </c>
      <c r="B28" s="64" t="s">
        <v>135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>
        <v>1</v>
      </c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61">
        <f t="shared" si="29"/>
        <v>1</v>
      </c>
      <c r="AI28" s="62">
        <f t="shared" si="30"/>
        <v>0</v>
      </c>
      <c r="AJ28" s="62">
        <f t="shared" si="31"/>
        <v>0</v>
      </c>
      <c r="AK28" s="62">
        <f t="shared" si="32"/>
        <v>0</v>
      </c>
      <c r="AL28" s="62">
        <f t="shared" si="33"/>
        <v>0</v>
      </c>
    </row>
    <row r="29" spans="1:38" ht="21.75" customHeight="1">
      <c r="A29" s="56" t="s">
        <v>59</v>
      </c>
      <c r="B29" s="64" t="s">
        <v>60</v>
      </c>
      <c r="C29" s="53">
        <v>4</v>
      </c>
      <c r="D29" s="53">
        <v>6</v>
      </c>
      <c r="E29" s="53">
        <v>6</v>
      </c>
      <c r="F29" s="53">
        <v>5</v>
      </c>
      <c r="G29" s="53">
        <v>5</v>
      </c>
      <c r="H29" s="53">
        <v>6</v>
      </c>
      <c r="I29" s="53">
        <v>5</v>
      </c>
      <c r="J29" s="53">
        <v>2</v>
      </c>
      <c r="K29" s="53"/>
      <c r="L29" s="53">
        <v>6</v>
      </c>
      <c r="M29" s="53">
        <v>5</v>
      </c>
      <c r="N29" s="53">
        <v>5</v>
      </c>
      <c r="O29" s="53">
        <v>6</v>
      </c>
      <c r="P29" s="53">
        <v>6</v>
      </c>
      <c r="Q29" s="53">
        <v>2</v>
      </c>
      <c r="R29" s="53">
        <v>5</v>
      </c>
      <c r="S29" s="53">
        <v>5</v>
      </c>
      <c r="T29" s="53">
        <v>3</v>
      </c>
      <c r="U29" s="53">
        <v>3</v>
      </c>
      <c r="V29" s="53">
        <v>6</v>
      </c>
      <c r="W29" s="53">
        <v>6</v>
      </c>
      <c r="X29" s="53">
        <v>1</v>
      </c>
      <c r="Y29" s="53"/>
      <c r="Z29" s="53"/>
      <c r="AA29" s="53">
        <v>3</v>
      </c>
      <c r="AB29" s="53">
        <v>5</v>
      </c>
      <c r="AC29" s="53">
        <v>5</v>
      </c>
      <c r="AD29" s="53"/>
      <c r="AE29" s="53">
        <v>4</v>
      </c>
      <c r="AF29" s="53">
        <v>5</v>
      </c>
      <c r="AG29" s="53"/>
      <c r="AH29" s="61">
        <f t="shared" si="29"/>
        <v>120</v>
      </c>
      <c r="AI29" s="62">
        <f t="shared" si="30"/>
        <v>18</v>
      </c>
      <c r="AJ29" s="62">
        <f t="shared" si="31"/>
        <v>8</v>
      </c>
      <c r="AK29" s="62">
        <f t="shared" si="32"/>
        <v>0</v>
      </c>
      <c r="AL29" s="62">
        <f t="shared" si="33"/>
        <v>0</v>
      </c>
    </row>
    <row r="30" spans="1:38" ht="21.75" customHeight="1">
      <c r="A30" s="56" t="s">
        <v>61</v>
      </c>
      <c r="B30" s="64" t="s">
        <v>62</v>
      </c>
      <c r="C30" s="53">
        <v>5</v>
      </c>
      <c r="D30" s="53">
        <v>6</v>
      </c>
      <c r="E30" s="53">
        <v>4</v>
      </c>
      <c r="F30" s="53">
        <v>6</v>
      </c>
      <c r="G30" s="53">
        <v>3</v>
      </c>
      <c r="H30" s="53">
        <v>6</v>
      </c>
      <c r="I30" s="53">
        <v>7</v>
      </c>
      <c r="J30" s="53">
        <v>5</v>
      </c>
      <c r="K30" s="53">
        <v>5</v>
      </c>
      <c r="L30" s="53">
        <v>6</v>
      </c>
      <c r="M30" s="53">
        <v>4</v>
      </c>
      <c r="N30" s="53">
        <v>6</v>
      </c>
      <c r="O30" s="53">
        <v>5</v>
      </c>
      <c r="P30" s="53">
        <v>5</v>
      </c>
      <c r="Q30" s="53">
        <v>6</v>
      </c>
      <c r="R30" s="53">
        <v>5</v>
      </c>
      <c r="S30" s="53"/>
      <c r="T30" s="53"/>
      <c r="U30" s="53">
        <v>1</v>
      </c>
      <c r="V30" s="53">
        <v>6</v>
      </c>
      <c r="W30" s="53">
        <v>6</v>
      </c>
      <c r="X30" s="53">
        <v>5</v>
      </c>
      <c r="Y30" s="53">
        <v>5</v>
      </c>
      <c r="Z30" s="53">
        <v>6</v>
      </c>
      <c r="AA30" s="53"/>
      <c r="AB30" s="53">
        <v>4</v>
      </c>
      <c r="AC30" s="53">
        <v>5</v>
      </c>
      <c r="AD30" s="53">
        <v>6</v>
      </c>
      <c r="AE30" s="53">
        <v>2</v>
      </c>
      <c r="AF30" s="53">
        <v>6</v>
      </c>
      <c r="AG30" s="53"/>
      <c r="AH30" s="61">
        <f t="shared" si="29"/>
        <v>136</v>
      </c>
      <c r="AI30" s="62">
        <f t="shared" si="30"/>
        <v>21</v>
      </c>
      <c r="AJ30" s="62">
        <f t="shared" si="31"/>
        <v>12</v>
      </c>
      <c r="AK30" s="62">
        <f t="shared" si="32"/>
        <v>1</v>
      </c>
      <c r="AL30" s="62">
        <f t="shared" si="33"/>
        <v>0</v>
      </c>
    </row>
    <row r="31" spans="1:38" ht="21.75" customHeight="1">
      <c r="A31" s="56"/>
      <c r="B31" s="63" t="s">
        <v>63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61">
        <f t="shared" si="29"/>
        <v>0</v>
      </c>
      <c r="AI31" s="62">
        <f t="shared" si="30"/>
        <v>0</v>
      </c>
      <c r="AJ31" s="62">
        <f t="shared" si="31"/>
        <v>0</v>
      </c>
      <c r="AK31" s="62">
        <f t="shared" si="32"/>
        <v>0</v>
      </c>
      <c r="AL31" s="62">
        <f t="shared" si="33"/>
        <v>0</v>
      </c>
    </row>
    <row r="32" spans="1:38" ht="21.75" customHeight="1">
      <c r="A32" s="56" t="s">
        <v>64</v>
      </c>
      <c r="B32" s="65" t="s">
        <v>136</v>
      </c>
      <c r="C32" s="53">
        <v>6</v>
      </c>
      <c r="D32" s="53">
        <v>4</v>
      </c>
      <c r="E32" s="53">
        <v>5</v>
      </c>
      <c r="F32" s="53">
        <v>4</v>
      </c>
      <c r="G32" s="53">
        <v>5</v>
      </c>
      <c r="H32" s="60">
        <v>6</v>
      </c>
      <c r="I32" s="60">
        <v>6</v>
      </c>
      <c r="J32" s="53">
        <v>1</v>
      </c>
      <c r="K32" s="60"/>
      <c r="L32" s="53"/>
      <c r="M32" s="53">
        <v>4</v>
      </c>
      <c r="N32" s="53">
        <v>5</v>
      </c>
      <c r="O32" s="53">
        <v>5</v>
      </c>
      <c r="P32" s="53">
        <v>6</v>
      </c>
      <c r="Q32" s="53">
        <v>4</v>
      </c>
      <c r="R32" s="53">
        <v>5</v>
      </c>
      <c r="S32" s="53">
        <v>1</v>
      </c>
      <c r="T32" s="53">
        <v>4</v>
      </c>
      <c r="U32" s="53">
        <v>5</v>
      </c>
      <c r="V32" s="53">
        <v>5</v>
      </c>
      <c r="W32" s="53">
        <v>6</v>
      </c>
      <c r="X32" s="53">
        <v>6</v>
      </c>
      <c r="Y32" s="53">
        <v>2</v>
      </c>
      <c r="Z32" s="53">
        <v>3</v>
      </c>
      <c r="AA32" s="53">
        <v>5</v>
      </c>
      <c r="AB32" s="53">
        <v>5</v>
      </c>
      <c r="AC32" s="60">
        <v>6</v>
      </c>
      <c r="AD32" s="53">
        <v>4</v>
      </c>
      <c r="AE32" s="53"/>
      <c r="AF32" s="53"/>
      <c r="AG32" s="53"/>
      <c r="AH32" s="61">
        <f t="shared" si="29"/>
        <v>118</v>
      </c>
      <c r="AI32" s="62">
        <f t="shared" si="30"/>
        <v>16</v>
      </c>
      <c r="AJ32" s="62">
        <f t="shared" si="31"/>
        <v>7</v>
      </c>
      <c r="AK32" s="62">
        <f t="shared" si="32"/>
        <v>0</v>
      </c>
      <c r="AL32" s="62">
        <f t="shared" si="33"/>
        <v>0</v>
      </c>
    </row>
    <row r="33" spans="1:38" ht="21.75" customHeight="1">
      <c r="A33" s="56" t="s">
        <v>64</v>
      </c>
      <c r="B33" s="65" t="s">
        <v>137</v>
      </c>
      <c r="C33" s="53"/>
      <c r="D33" s="53"/>
      <c r="E33" s="53"/>
      <c r="F33" s="53"/>
      <c r="G33" s="53"/>
      <c r="H33" s="60"/>
      <c r="I33" s="60"/>
      <c r="J33" s="53"/>
      <c r="K33" s="60"/>
      <c r="L33" s="53"/>
      <c r="M33" s="53"/>
      <c r="N33" s="53"/>
      <c r="O33" s="53">
        <v>1</v>
      </c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60"/>
      <c r="AD33" s="53"/>
      <c r="AE33" s="53"/>
      <c r="AF33" s="53"/>
      <c r="AG33" s="53"/>
      <c r="AH33" s="61">
        <f t="shared" si="29"/>
        <v>1</v>
      </c>
      <c r="AI33" s="62">
        <f t="shared" si="30"/>
        <v>0</v>
      </c>
      <c r="AJ33" s="62">
        <f t="shared" si="31"/>
        <v>0</v>
      </c>
      <c r="AK33" s="62">
        <f t="shared" si="32"/>
        <v>0</v>
      </c>
      <c r="AL33" s="62">
        <f t="shared" si="33"/>
        <v>0</v>
      </c>
    </row>
    <row r="34" spans="1:38" ht="21.75" customHeight="1">
      <c r="A34" s="56" t="s">
        <v>64</v>
      </c>
      <c r="B34" s="65" t="s">
        <v>138</v>
      </c>
      <c r="C34" s="53"/>
      <c r="D34" s="53"/>
      <c r="E34" s="53"/>
      <c r="F34" s="53"/>
      <c r="G34" s="53"/>
      <c r="H34" s="60"/>
      <c r="I34" s="60"/>
      <c r="J34" s="53"/>
      <c r="K34" s="60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>
        <v>1</v>
      </c>
      <c r="AA34" s="53"/>
      <c r="AB34" s="53"/>
      <c r="AC34" s="60"/>
      <c r="AD34" s="53"/>
      <c r="AE34" s="53"/>
      <c r="AF34" s="53"/>
      <c r="AG34" s="53"/>
      <c r="AH34" s="61">
        <f t="shared" si="29"/>
        <v>1</v>
      </c>
      <c r="AI34" s="62">
        <f t="shared" si="30"/>
        <v>0</v>
      </c>
      <c r="AJ34" s="62">
        <f t="shared" si="31"/>
        <v>0</v>
      </c>
      <c r="AK34" s="62">
        <f t="shared" si="32"/>
        <v>0</v>
      </c>
      <c r="AL34" s="62">
        <f t="shared" si="33"/>
        <v>0</v>
      </c>
    </row>
    <row r="35" spans="1:38" ht="21.75" customHeight="1">
      <c r="A35" s="56" t="s">
        <v>66</v>
      </c>
      <c r="B35" s="66" t="s">
        <v>139</v>
      </c>
      <c r="C35" s="53">
        <v>5</v>
      </c>
      <c r="D35" s="53">
        <v>3</v>
      </c>
      <c r="E35" s="53">
        <v>4</v>
      </c>
      <c r="F35" s="53">
        <v>4</v>
      </c>
      <c r="G35" s="53">
        <v>4</v>
      </c>
      <c r="H35" s="53">
        <v>1</v>
      </c>
      <c r="I35" s="53">
        <v>2</v>
      </c>
      <c r="J35" s="60">
        <v>1</v>
      </c>
      <c r="K35" s="53"/>
      <c r="L35" s="60"/>
      <c r="M35" s="60"/>
      <c r="N35" s="53">
        <v>4</v>
      </c>
      <c r="O35" s="53">
        <v>2</v>
      </c>
      <c r="P35" s="53">
        <v>5</v>
      </c>
      <c r="Q35" s="53">
        <v>5</v>
      </c>
      <c r="R35" s="53">
        <v>3</v>
      </c>
      <c r="S35" s="53"/>
      <c r="T35" s="53"/>
      <c r="U35" s="53">
        <v>2</v>
      </c>
      <c r="V35" s="53">
        <v>1</v>
      </c>
      <c r="W35" s="53">
        <v>4</v>
      </c>
      <c r="X35" s="53">
        <v>5</v>
      </c>
      <c r="Y35" s="53">
        <v>3</v>
      </c>
      <c r="Z35" s="53">
        <v>4</v>
      </c>
      <c r="AA35" s="53">
        <v>3</v>
      </c>
      <c r="AB35" s="53">
        <v>4</v>
      </c>
      <c r="AC35" s="53">
        <v>3</v>
      </c>
      <c r="AD35" s="53">
        <v>3</v>
      </c>
      <c r="AE35" s="53">
        <v>4</v>
      </c>
      <c r="AF35" s="53">
        <v>4</v>
      </c>
      <c r="AG35" s="53"/>
      <c r="AH35" s="61">
        <f t="shared" si="29"/>
        <v>83</v>
      </c>
      <c r="AI35" s="62">
        <f t="shared" si="30"/>
        <v>4</v>
      </c>
      <c r="AJ35" s="62">
        <f t="shared" si="31"/>
        <v>0</v>
      </c>
      <c r="AK35" s="62">
        <f t="shared" si="32"/>
        <v>0</v>
      </c>
      <c r="AL35" s="62">
        <f t="shared" si="33"/>
        <v>0</v>
      </c>
    </row>
    <row r="36" spans="1:38" ht="21.75" customHeight="1">
      <c r="A36" s="56" t="s">
        <v>66</v>
      </c>
      <c r="B36" s="66" t="s">
        <v>140</v>
      </c>
      <c r="C36" s="53"/>
      <c r="D36" s="53"/>
      <c r="E36" s="53"/>
      <c r="F36" s="53"/>
      <c r="G36" s="53"/>
      <c r="H36" s="53"/>
      <c r="I36" s="53"/>
      <c r="J36" s="60"/>
      <c r="K36" s="53"/>
      <c r="L36" s="60"/>
      <c r="M36" s="60"/>
      <c r="N36" s="53"/>
      <c r="O36" s="53">
        <v>4</v>
      </c>
      <c r="P36" s="53"/>
      <c r="Q36" s="53"/>
      <c r="R36" s="53"/>
      <c r="S36" s="53"/>
      <c r="T36" s="53"/>
      <c r="U36" s="53"/>
      <c r="V36" s="53">
        <v>5</v>
      </c>
      <c r="W36" s="53">
        <v>2</v>
      </c>
      <c r="X36" s="53"/>
      <c r="Y36" s="53"/>
      <c r="Z36" s="53"/>
      <c r="AA36" s="53">
        <v>1</v>
      </c>
      <c r="AB36" s="53"/>
      <c r="AC36" s="53">
        <v>3</v>
      </c>
      <c r="AD36" s="53">
        <v>3</v>
      </c>
      <c r="AE36" s="53"/>
      <c r="AF36" s="53"/>
      <c r="AG36" s="53"/>
      <c r="AH36" s="61">
        <f t="shared" si="29"/>
        <v>18</v>
      </c>
      <c r="AI36" s="62">
        <f t="shared" si="30"/>
        <v>1</v>
      </c>
      <c r="AJ36" s="62">
        <f t="shared" si="31"/>
        <v>0</v>
      </c>
      <c r="AK36" s="62">
        <f t="shared" si="32"/>
        <v>0</v>
      </c>
      <c r="AL36" s="62">
        <f t="shared" si="33"/>
        <v>0</v>
      </c>
    </row>
    <row r="37" spans="1:38" ht="21.75" customHeight="1">
      <c r="A37" s="56" t="s">
        <v>66</v>
      </c>
      <c r="B37" s="66" t="s">
        <v>141</v>
      </c>
      <c r="C37" s="53"/>
      <c r="D37" s="53"/>
      <c r="E37" s="53"/>
      <c r="F37" s="53"/>
      <c r="G37" s="53"/>
      <c r="H37" s="53">
        <v>5</v>
      </c>
      <c r="I37" s="53">
        <v>4</v>
      </c>
      <c r="J37" s="60"/>
      <c r="K37" s="53"/>
      <c r="L37" s="60"/>
      <c r="M37" s="60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61">
        <f t="shared" si="29"/>
        <v>9</v>
      </c>
      <c r="AI37" s="62">
        <f t="shared" si="30"/>
        <v>1</v>
      </c>
      <c r="AJ37" s="62">
        <f t="shared" si="31"/>
        <v>0</v>
      </c>
      <c r="AK37" s="62">
        <f t="shared" si="32"/>
        <v>0</v>
      </c>
      <c r="AL37" s="62">
        <f t="shared" si="33"/>
        <v>0</v>
      </c>
    </row>
    <row r="38" spans="1:38" ht="21.75" customHeight="1">
      <c r="A38" s="56" t="s">
        <v>68</v>
      </c>
      <c r="B38" s="66" t="s">
        <v>142</v>
      </c>
      <c r="C38" s="53">
        <v>5</v>
      </c>
      <c r="D38" s="53">
        <v>4</v>
      </c>
      <c r="E38" s="53">
        <v>5</v>
      </c>
      <c r="F38" s="53">
        <v>2</v>
      </c>
      <c r="G38" s="53">
        <v>4</v>
      </c>
      <c r="H38" s="53">
        <v>6</v>
      </c>
      <c r="I38" s="53">
        <v>6</v>
      </c>
      <c r="J38" s="60">
        <v>4</v>
      </c>
      <c r="K38" s="53">
        <v>5</v>
      </c>
      <c r="L38" s="60">
        <v>2</v>
      </c>
      <c r="M38" s="60">
        <v>4</v>
      </c>
      <c r="N38" s="53">
        <v>3</v>
      </c>
      <c r="O38" s="53">
        <v>7</v>
      </c>
      <c r="P38" s="53">
        <v>5</v>
      </c>
      <c r="Q38" s="53">
        <v>6</v>
      </c>
      <c r="R38" s="53">
        <v>1</v>
      </c>
      <c r="S38" s="53"/>
      <c r="T38" s="53"/>
      <c r="U38" s="53"/>
      <c r="V38" s="53"/>
      <c r="W38" s="53">
        <v>1</v>
      </c>
      <c r="X38" s="53">
        <v>5</v>
      </c>
      <c r="Y38" s="53">
        <v>5</v>
      </c>
      <c r="Z38" s="53"/>
      <c r="AA38" s="53">
        <v>1</v>
      </c>
      <c r="AB38" s="53"/>
      <c r="AC38" s="53"/>
      <c r="AD38" s="53"/>
      <c r="AE38" s="53"/>
      <c r="AF38" s="53"/>
      <c r="AG38" s="53"/>
      <c r="AH38" s="61">
        <f t="shared" si="29"/>
        <v>81</v>
      </c>
      <c r="AI38" s="62">
        <f t="shared" si="30"/>
        <v>10</v>
      </c>
      <c r="AJ38" s="62">
        <f t="shared" si="31"/>
        <v>4</v>
      </c>
      <c r="AK38" s="62">
        <f t="shared" si="32"/>
        <v>1</v>
      </c>
      <c r="AL38" s="62">
        <f t="shared" si="33"/>
        <v>0</v>
      </c>
    </row>
    <row r="39" spans="1:38" ht="21.75" customHeight="1">
      <c r="A39" s="56" t="s">
        <v>68</v>
      </c>
      <c r="B39" s="66" t="s">
        <v>143</v>
      </c>
      <c r="C39" s="53"/>
      <c r="D39" s="53"/>
      <c r="E39" s="53"/>
      <c r="F39" s="53"/>
      <c r="G39" s="53"/>
      <c r="H39" s="53"/>
      <c r="I39" s="53"/>
      <c r="J39" s="60"/>
      <c r="K39" s="53"/>
      <c r="L39" s="60">
        <v>3</v>
      </c>
      <c r="M39" s="60"/>
      <c r="N39" s="53">
        <v>1</v>
      </c>
      <c r="O39" s="53"/>
      <c r="P39" s="53"/>
      <c r="Q39" s="53"/>
      <c r="R39" s="53"/>
      <c r="S39" s="53"/>
      <c r="T39" s="53"/>
      <c r="U39" s="53">
        <v>1</v>
      </c>
      <c r="V39" s="53"/>
      <c r="W39" s="53">
        <v>3</v>
      </c>
      <c r="X39" s="53"/>
      <c r="Y39" s="53"/>
      <c r="Z39" s="53">
        <v>5</v>
      </c>
      <c r="AA39" s="53"/>
      <c r="AB39" s="53"/>
      <c r="AC39" s="53"/>
      <c r="AD39" s="53"/>
      <c r="AE39" s="53"/>
      <c r="AF39" s="53"/>
      <c r="AG39" s="53"/>
      <c r="AH39" s="61">
        <f t="shared" si="29"/>
        <v>13</v>
      </c>
      <c r="AI39" s="62">
        <f t="shared" si="30"/>
        <v>1</v>
      </c>
      <c r="AJ39" s="62">
        <f t="shared" si="31"/>
        <v>0</v>
      </c>
      <c r="AK39" s="62">
        <f t="shared" si="32"/>
        <v>0</v>
      </c>
      <c r="AL39" s="62">
        <f t="shared" si="33"/>
        <v>0</v>
      </c>
    </row>
    <row r="40" spans="1:38" ht="21.75" customHeight="1">
      <c r="A40" s="56" t="s">
        <v>70</v>
      </c>
      <c r="B40" s="66" t="s">
        <v>71</v>
      </c>
      <c r="C40" s="53">
        <v>4</v>
      </c>
      <c r="D40" s="53">
        <v>5</v>
      </c>
      <c r="E40" s="53">
        <v>4</v>
      </c>
      <c r="F40" s="53">
        <v>3</v>
      </c>
      <c r="G40" s="53">
        <v>4</v>
      </c>
      <c r="H40" s="53">
        <v>6</v>
      </c>
      <c r="I40" s="53">
        <v>6</v>
      </c>
      <c r="J40" s="60">
        <v>1</v>
      </c>
      <c r="K40" s="53"/>
      <c r="L40" s="60"/>
      <c r="M40" s="60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61">
        <f t="shared" ref="AH40:AH47" si="34">SUM(C40:AG40)</f>
        <v>33</v>
      </c>
      <c r="AI40" s="62">
        <f t="shared" ref="AI40:AI47" si="35">+COUNTIF(C40:AG40,"&gt;4")</f>
        <v>3</v>
      </c>
      <c r="AJ40" s="62">
        <f t="shared" ref="AJ40:AJ47" si="36">+COUNTIF(C40:AG40,"&gt;5")</f>
        <v>2</v>
      </c>
      <c r="AK40" s="62">
        <f t="shared" ref="AK40:AK47" si="37">+COUNTIF(C40:AG40,"&gt;6")</f>
        <v>0</v>
      </c>
      <c r="AL40" s="62">
        <f t="shared" ref="AL40:AL47" si="38">+COUNTIF(C40:AG40,"&gt;7")</f>
        <v>0</v>
      </c>
    </row>
    <row r="41" spans="1:38" ht="21.75" customHeight="1">
      <c r="A41" s="56" t="s">
        <v>72</v>
      </c>
      <c r="B41" s="66" t="s">
        <v>73</v>
      </c>
      <c r="C41" s="53"/>
      <c r="D41" s="53"/>
      <c r="E41" s="53"/>
      <c r="F41" s="53"/>
      <c r="G41" s="53">
        <v>3</v>
      </c>
      <c r="H41" s="53">
        <v>4</v>
      </c>
      <c r="I41" s="53">
        <v>6</v>
      </c>
      <c r="J41" s="60">
        <v>4</v>
      </c>
      <c r="K41" s="53">
        <v>5</v>
      </c>
      <c r="L41" s="60">
        <v>4</v>
      </c>
      <c r="M41" s="60">
        <v>3</v>
      </c>
      <c r="N41" s="53">
        <v>4</v>
      </c>
      <c r="O41" s="53">
        <v>6</v>
      </c>
      <c r="P41" s="53">
        <v>6</v>
      </c>
      <c r="Q41" s="53">
        <v>5</v>
      </c>
      <c r="R41" s="53">
        <v>2</v>
      </c>
      <c r="S41" s="53"/>
      <c r="T41" s="53"/>
      <c r="U41" s="53">
        <v>1</v>
      </c>
      <c r="V41" s="53">
        <v>4</v>
      </c>
      <c r="W41" s="53">
        <v>6</v>
      </c>
      <c r="X41" s="53">
        <v>3</v>
      </c>
      <c r="Y41" s="53"/>
      <c r="Z41" s="53"/>
      <c r="AA41" s="53">
        <v>3</v>
      </c>
      <c r="AB41" s="53">
        <v>4</v>
      </c>
      <c r="AC41" s="53">
        <v>5</v>
      </c>
      <c r="AD41" s="53">
        <v>7</v>
      </c>
      <c r="AE41" s="53">
        <v>4</v>
      </c>
      <c r="AF41" s="53">
        <v>4</v>
      </c>
      <c r="AG41" s="53"/>
      <c r="AH41" s="61">
        <f t="shared" si="34"/>
        <v>93</v>
      </c>
      <c r="AI41" s="62">
        <f t="shared" si="35"/>
        <v>8</v>
      </c>
      <c r="AJ41" s="62">
        <f t="shared" si="36"/>
        <v>5</v>
      </c>
      <c r="AK41" s="62">
        <f t="shared" si="37"/>
        <v>1</v>
      </c>
      <c r="AL41" s="62">
        <f t="shared" si="38"/>
        <v>0</v>
      </c>
    </row>
    <row r="42" spans="1:38" ht="21.75" customHeight="1">
      <c r="A42" s="56" t="s">
        <v>74</v>
      </c>
      <c r="B42" s="66" t="s">
        <v>144</v>
      </c>
      <c r="C42" s="53"/>
      <c r="D42" s="53"/>
      <c r="E42" s="53"/>
      <c r="F42" s="53"/>
      <c r="G42" s="53"/>
      <c r="H42" s="53"/>
      <c r="I42" s="53"/>
      <c r="J42" s="60"/>
      <c r="K42" s="53"/>
      <c r="L42" s="60"/>
      <c r="M42" s="60"/>
      <c r="N42" s="53"/>
      <c r="O42" s="53">
        <v>5</v>
      </c>
      <c r="P42" s="53">
        <v>5</v>
      </c>
      <c r="Q42" s="53">
        <v>6</v>
      </c>
      <c r="R42" s="53">
        <v>3</v>
      </c>
      <c r="S42" s="53"/>
      <c r="T42" s="53"/>
      <c r="U42" s="53">
        <v>6</v>
      </c>
      <c r="V42" s="53">
        <v>6</v>
      </c>
      <c r="W42" s="53">
        <v>3</v>
      </c>
      <c r="X42" s="53">
        <v>5</v>
      </c>
      <c r="Y42" s="53"/>
      <c r="Z42" s="53">
        <v>4</v>
      </c>
      <c r="AA42" s="53">
        <v>3</v>
      </c>
      <c r="AB42" s="53">
        <v>5</v>
      </c>
      <c r="AC42" s="53">
        <v>2</v>
      </c>
      <c r="AD42" s="53">
        <v>6</v>
      </c>
      <c r="AE42" s="53">
        <v>5</v>
      </c>
      <c r="AF42" s="53">
        <v>4</v>
      </c>
      <c r="AG42" s="53"/>
      <c r="AH42" s="61">
        <f t="shared" si="34"/>
        <v>68</v>
      </c>
      <c r="AI42" s="62">
        <f t="shared" si="35"/>
        <v>9</v>
      </c>
      <c r="AJ42" s="62">
        <f t="shared" si="36"/>
        <v>4</v>
      </c>
      <c r="AK42" s="62">
        <f t="shared" si="37"/>
        <v>0</v>
      </c>
      <c r="AL42" s="62">
        <f t="shared" si="38"/>
        <v>0</v>
      </c>
    </row>
    <row r="43" spans="1:38" ht="21.75" customHeight="1">
      <c r="A43" s="56" t="s">
        <v>74</v>
      </c>
      <c r="B43" s="66" t="s">
        <v>145</v>
      </c>
      <c r="C43" s="53"/>
      <c r="D43" s="53"/>
      <c r="E43" s="53"/>
      <c r="F43" s="53"/>
      <c r="G43" s="53"/>
      <c r="H43" s="53"/>
      <c r="I43" s="53"/>
      <c r="J43" s="60"/>
      <c r="K43" s="53"/>
      <c r="L43" s="60"/>
      <c r="M43" s="60"/>
      <c r="N43" s="53"/>
      <c r="O43" s="53"/>
      <c r="P43" s="53"/>
      <c r="Q43" s="53"/>
      <c r="R43" s="53">
        <v>1</v>
      </c>
      <c r="S43" s="53">
        <v>5</v>
      </c>
      <c r="T43" s="53">
        <v>3</v>
      </c>
      <c r="U43" s="53"/>
      <c r="V43" s="53"/>
      <c r="W43" s="53">
        <v>3</v>
      </c>
      <c r="X43" s="53"/>
      <c r="Y43" s="53">
        <v>3</v>
      </c>
      <c r="Z43" s="53"/>
      <c r="AA43" s="53"/>
      <c r="AB43" s="53"/>
      <c r="AC43" s="53">
        <v>2</v>
      </c>
      <c r="AD43" s="53"/>
      <c r="AE43" s="53"/>
      <c r="AF43" s="53"/>
      <c r="AG43" s="53"/>
      <c r="AH43" s="61">
        <f t="shared" si="34"/>
        <v>17</v>
      </c>
      <c r="AI43" s="62">
        <f t="shared" si="35"/>
        <v>1</v>
      </c>
      <c r="AJ43" s="62">
        <f t="shared" si="36"/>
        <v>0</v>
      </c>
      <c r="AK43" s="62">
        <f t="shared" si="37"/>
        <v>0</v>
      </c>
      <c r="AL43" s="62">
        <f t="shared" si="38"/>
        <v>0</v>
      </c>
    </row>
    <row r="44" spans="1:38" ht="21.75" customHeight="1">
      <c r="A44" s="56"/>
      <c r="B44" s="67" t="s">
        <v>76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61">
        <f t="shared" si="34"/>
        <v>0</v>
      </c>
      <c r="AI44" s="62">
        <f t="shared" si="35"/>
        <v>0</v>
      </c>
      <c r="AJ44" s="62">
        <f t="shared" si="36"/>
        <v>0</v>
      </c>
      <c r="AK44" s="62">
        <f t="shared" si="37"/>
        <v>0</v>
      </c>
      <c r="AL44" s="62">
        <f t="shared" si="38"/>
        <v>0</v>
      </c>
    </row>
    <row r="45" spans="1:38" ht="21.75" customHeight="1">
      <c r="A45" s="56" t="s">
        <v>77</v>
      </c>
      <c r="B45" s="64" t="s">
        <v>146</v>
      </c>
      <c r="C45" s="53">
        <v>3</v>
      </c>
      <c r="D45" s="53"/>
      <c r="E45" s="53"/>
      <c r="F45" s="53">
        <v>4</v>
      </c>
      <c r="G45" s="53">
        <v>5</v>
      </c>
      <c r="H45" s="53">
        <v>6</v>
      </c>
      <c r="I45" s="53">
        <v>4</v>
      </c>
      <c r="J45" s="53">
        <v>6</v>
      </c>
      <c r="K45" s="53">
        <v>4</v>
      </c>
      <c r="L45" s="53">
        <v>4</v>
      </c>
      <c r="M45" s="53">
        <v>2</v>
      </c>
      <c r="N45" s="53">
        <v>5</v>
      </c>
      <c r="O45" s="53">
        <v>5</v>
      </c>
      <c r="P45" s="53">
        <v>1</v>
      </c>
      <c r="Q45" s="53">
        <v>5</v>
      </c>
      <c r="R45" s="53">
        <v>4</v>
      </c>
      <c r="S45" s="53">
        <v>4</v>
      </c>
      <c r="T45" s="53">
        <v>3</v>
      </c>
      <c r="U45" s="53">
        <v>4</v>
      </c>
      <c r="V45" s="53">
        <v>6</v>
      </c>
      <c r="W45" s="53">
        <v>6</v>
      </c>
      <c r="X45" s="53">
        <v>5</v>
      </c>
      <c r="Y45" s="53">
        <v>5</v>
      </c>
      <c r="Z45" s="53"/>
      <c r="AA45" s="53">
        <v>6</v>
      </c>
      <c r="AB45" s="53">
        <v>4</v>
      </c>
      <c r="AC45" s="53">
        <v>5</v>
      </c>
      <c r="AD45" s="53">
        <v>5</v>
      </c>
      <c r="AE45" s="53">
        <v>6</v>
      </c>
      <c r="AF45" s="53">
        <v>4</v>
      </c>
      <c r="AG45" s="53"/>
      <c r="AH45" s="61">
        <f t="shared" si="34"/>
        <v>121</v>
      </c>
      <c r="AI45" s="62">
        <f t="shared" si="35"/>
        <v>14</v>
      </c>
      <c r="AJ45" s="62">
        <f t="shared" si="36"/>
        <v>6</v>
      </c>
      <c r="AK45" s="62">
        <f t="shared" si="37"/>
        <v>0</v>
      </c>
      <c r="AL45" s="62">
        <f t="shared" si="38"/>
        <v>0</v>
      </c>
    </row>
    <row r="46" spans="1:38" ht="21.75" customHeight="1">
      <c r="A46" s="56" t="s">
        <v>77</v>
      </c>
      <c r="B46" s="64" t="s">
        <v>147</v>
      </c>
      <c r="C46" s="53"/>
      <c r="D46" s="53"/>
      <c r="E46" s="53"/>
      <c r="F46" s="53"/>
      <c r="G46" s="53"/>
      <c r="H46" s="53"/>
      <c r="I46" s="53"/>
      <c r="J46" s="53"/>
      <c r="K46" s="53">
        <v>1</v>
      </c>
      <c r="L46" s="53">
        <v>1</v>
      </c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61">
        <f t="shared" si="34"/>
        <v>2</v>
      </c>
      <c r="AI46" s="62">
        <f t="shared" si="35"/>
        <v>0</v>
      </c>
      <c r="AJ46" s="62">
        <f t="shared" si="36"/>
        <v>0</v>
      </c>
      <c r="AK46" s="62">
        <f t="shared" si="37"/>
        <v>0</v>
      </c>
      <c r="AL46" s="62">
        <f t="shared" si="38"/>
        <v>0</v>
      </c>
    </row>
    <row r="47" spans="1:38" ht="21.75" customHeight="1">
      <c r="A47" s="56" t="s">
        <v>79</v>
      </c>
      <c r="B47" s="64" t="s">
        <v>80</v>
      </c>
      <c r="C47" s="53">
        <v>1</v>
      </c>
      <c r="D47" s="53"/>
      <c r="E47" s="53"/>
      <c r="F47" s="53">
        <v>4</v>
      </c>
      <c r="G47" s="53">
        <v>4</v>
      </c>
      <c r="H47" s="53">
        <v>4</v>
      </c>
      <c r="I47" s="53">
        <v>5</v>
      </c>
      <c r="J47" s="53">
        <v>1</v>
      </c>
      <c r="K47" s="53">
        <v>5</v>
      </c>
      <c r="L47" s="53">
        <v>5</v>
      </c>
      <c r="M47" s="53">
        <v>5</v>
      </c>
      <c r="N47" s="53">
        <v>5</v>
      </c>
      <c r="O47" s="53">
        <v>4</v>
      </c>
      <c r="P47" s="53">
        <v>6</v>
      </c>
      <c r="Q47" s="53">
        <v>6</v>
      </c>
      <c r="R47" s="53">
        <v>2</v>
      </c>
      <c r="S47" s="53">
        <v>5</v>
      </c>
      <c r="T47" s="53">
        <v>5</v>
      </c>
      <c r="U47" s="53">
        <v>5</v>
      </c>
      <c r="V47" s="53">
        <v>5</v>
      </c>
      <c r="W47" s="53">
        <v>6</v>
      </c>
      <c r="X47" s="53">
        <v>5</v>
      </c>
      <c r="Y47" s="53">
        <v>5</v>
      </c>
      <c r="Z47" s="53">
        <v>4</v>
      </c>
      <c r="AA47" s="53">
        <v>2</v>
      </c>
      <c r="AB47" s="53">
        <v>4</v>
      </c>
      <c r="AC47" s="53">
        <v>6</v>
      </c>
      <c r="AD47" s="53">
        <v>4</v>
      </c>
      <c r="AE47" s="53">
        <v>6</v>
      </c>
      <c r="AF47" s="53">
        <v>4</v>
      </c>
      <c r="AG47" s="53"/>
      <c r="AH47" s="61">
        <f t="shared" si="34"/>
        <v>123</v>
      </c>
      <c r="AI47" s="62">
        <f t="shared" si="35"/>
        <v>16</v>
      </c>
      <c r="AJ47" s="62">
        <f t="shared" si="36"/>
        <v>5</v>
      </c>
      <c r="AK47" s="62">
        <f t="shared" si="37"/>
        <v>0</v>
      </c>
      <c r="AL47" s="62">
        <f t="shared" si="38"/>
        <v>0</v>
      </c>
    </row>
    <row r="48" spans="1:38" ht="21.75" customHeight="1">
      <c r="A48" s="56" t="s">
        <v>81</v>
      </c>
      <c r="B48" s="64" t="s">
        <v>148</v>
      </c>
      <c r="C48" s="53"/>
      <c r="D48" s="53">
        <v>4</v>
      </c>
      <c r="E48" s="53">
        <v>6</v>
      </c>
      <c r="F48" s="53">
        <v>3</v>
      </c>
      <c r="G48" s="53"/>
      <c r="H48" s="53">
        <v>4</v>
      </c>
      <c r="I48" s="53">
        <v>5</v>
      </c>
      <c r="J48" s="53">
        <v>4</v>
      </c>
      <c r="K48" s="53">
        <v>4</v>
      </c>
      <c r="L48" s="53">
        <v>5</v>
      </c>
      <c r="M48" s="53">
        <v>5</v>
      </c>
      <c r="N48" s="53">
        <v>2</v>
      </c>
      <c r="O48" s="53">
        <v>5</v>
      </c>
      <c r="P48" s="53">
        <v>5</v>
      </c>
      <c r="Q48" s="53">
        <v>6</v>
      </c>
      <c r="R48" s="53">
        <v>5</v>
      </c>
      <c r="S48" s="53">
        <v>5</v>
      </c>
      <c r="T48" s="53">
        <v>5</v>
      </c>
      <c r="U48" s="53">
        <v>5</v>
      </c>
      <c r="V48" s="53">
        <v>6</v>
      </c>
      <c r="W48" s="53">
        <v>4</v>
      </c>
      <c r="X48" s="53">
        <v>5</v>
      </c>
      <c r="Y48" s="53">
        <v>3</v>
      </c>
      <c r="Z48" s="53">
        <v>5</v>
      </c>
      <c r="AA48" s="53">
        <v>5</v>
      </c>
      <c r="AB48" s="53">
        <v>4</v>
      </c>
      <c r="AC48" s="53">
        <v>4</v>
      </c>
      <c r="AD48" s="53">
        <v>6</v>
      </c>
      <c r="AE48" s="53"/>
      <c r="AF48" s="53">
        <v>6</v>
      </c>
      <c r="AG48" s="53"/>
      <c r="AH48" s="61">
        <f t="shared" ref="AH48:AH50" si="39">SUM(C48:AG48)</f>
        <v>126</v>
      </c>
      <c r="AI48" s="62">
        <f t="shared" ref="AI48:AI50" si="40">+COUNTIF(C48:AG48,"&gt;4")</f>
        <v>17</v>
      </c>
      <c r="AJ48" s="62">
        <f t="shared" ref="AJ48:AJ50" si="41">+COUNTIF(C48:AG48,"&gt;5")</f>
        <v>5</v>
      </c>
      <c r="AK48" s="62">
        <f t="shared" ref="AK48:AK50" si="42">+COUNTIF(C48:AG48,"&gt;6")</f>
        <v>0</v>
      </c>
      <c r="AL48" s="62">
        <f t="shared" ref="AL48:AL50" si="43">+COUNTIF(C48:AG48,"&gt;7")</f>
        <v>0</v>
      </c>
    </row>
    <row r="49" spans="1:38" ht="21.75" customHeight="1">
      <c r="A49" s="56" t="s">
        <v>81</v>
      </c>
      <c r="B49" s="64" t="s">
        <v>149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>
        <v>2</v>
      </c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61">
        <f t="shared" si="39"/>
        <v>2</v>
      </c>
      <c r="AI49" s="62">
        <f t="shared" si="40"/>
        <v>0</v>
      </c>
      <c r="AJ49" s="62">
        <f t="shared" si="41"/>
        <v>0</v>
      </c>
      <c r="AK49" s="62">
        <f t="shared" si="42"/>
        <v>0</v>
      </c>
      <c r="AL49" s="62">
        <f t="shared" si="43"/>
        <v>0</v>
      </c>
    </row>
    <row r="50" spans="1:38" ht="22.15" customHeight="1">
      <c r="A50" s="56"/>
      <c r="B50" s="68" t="s">
        <v>83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61">
        <f t="shared" si="39"/>
        <v>0</v>
      </c>
      <c r="AI50" s="62">
        <f t="shared" si="40"/>
        <v>0</v>
      </c>
      <c r="AJ50" s="62">
        <f t="shared" si="41"/>
        <v>0</v>
      </c>
      <c r="AK50" s="62">
        <f t="shared" si="42"/>
        <v>0</v>
      </c>
      <c r="AL50" s="62">
        <f t="shared" si="43"/>
        <v>0</v>
      </c>
    </row>
    <row r="51" spans="1:38" ht="21.6" customHeight="1">
      <c r="A51" s="56"/>
      <c r="B51" s="68" t="s">
        <v>84</v>
      </c>
      <c r="C51" s="53"/>
      <c r="D51" s="53"/>
      <c r="E51" s="53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1">
        <f t="shared" ref="AH51:AH54" si="44">SUM(C51:AG51)</f>
        <v>0</v>
      </c>
      <c r="AI51" s="62">
        <f t="shared" ref="AI51:AI54" si="45">+COUNTIF(C51:AG51,"&gt;4")</f>
        <v>0</v>
      </c>
      <c r="AJ51" s="62">
        <f t="shared" ref="AJ51:AJ54" si="46">+COUNTIF(C51:AG51,"&gt;5")</f>
        <v>0</v>
      </c>
      <c r="AK51" s="62">
        <f t="shared" ref="AK51:AK54" si="47">+COUNTIF(C51:AG51,"&gt;6")</f>
        <v>0</v>
      </c>
      <c r="AL51" s="62">
        <f t="shared" ref="AL51:AL54" si="48">+COUNTIF(C51:AG51,"&gt;7")</f>
        <v>0</v>
      </c>
    </row>
    <row r="52" spans="1:38" ht="21.6" customHeight="1">
      <c r="A52" s="56" t="s">
        <v>85</v>
      </c>
      <c r="B52" s="70" t="s">
        <v>86</v>
      </c>
      <c r="C52" s="53">
        <v>4</v>
      </c>
      <c r="D52" s="53">
        <v>2</v>
      </c>
      <c r="E52" s="69">
        <v>4</v>
      </c>
      <c r="F52" s="69">
        <v>4</v>
      </c>
      <c r="G52" s="69">
        <v>4</v>
      </c>
      <c r="H52" s="60">
        <v>4</v>
      </c>
      <c r="I52" s="69">
        <v>4</v>
      </c>
      <c r="J52" s="69">
        <v>4</v>
      </c>
      <c r="K52" s="69">
        <v>4</v>
      </c>
      <c r="L52" s="69">
        <v>4</v>
      </c>
      <c r="M52" s="69">
        <v>4</v>
      </c>
      <c r="N52" s="69">
        <v>4</v>
      </c>
      <c r="O52" s="69">
        <v>4</v>
      </c>
      <c r="P52" s="69">
        <v>4</v>
      </c>
      <c r="Q52" s="69">
        <v>3</v>
      </c>
      <c r="R52" s="69">
        <v>4</v>
      </c>
      <c r="S52" s="69">
        <v>1</v>
      </c>
      <c r="T52" s="69">
        <v>4</v>
      </c>
      <c r="U52" s="69">
        <v>4</v>
      </c>
      <c r="V52" s="69">
        <v>4</v>
      </c>
      <c r="W52" s="69">
        <v>4</v>
      </c>
      <c r="X52" s="69">
        <v>4</v>
      </c>
      <c r="Y52" s="69">
        <v>2</v>
      </c>
      <c r="Z52" s="69">
        <v>4</v>
      </c>
      <c r="AA52" s="69">
        <v>4</v>
      </c>
      <c r="AB52" s="69">
        <v>4</v>
      </c>
      <c r="AC52" s="69">
        <v>4</v>
      </c>
      <c r="AD52" s="69">
        <v>4</v>
      </c>
      <c r="AE52" s="69">
        <v>2</v>
      </c>
      <c r="AF52" s="69"/>
      <c r="AG52" s="69"/>
      <c r="AH52" s="61">
        <f t="shared" si="44"/>
        <v>106</v>
      </c>
      <c r="AI52" s="62">
        <f t="shared" si="45"/>
        <v>0</v>
      </c>
      <c r="AJ52" s="62">
        <f t="shared" si="46"/>
        <v>0</v>
      </c>
      <c r="AK52" s="62">
        <f t="shared" si="47"/>
        <v>0</v>
      </c>
      <c r="AL52" s="62">
        <f t="shared" si="48"/>
        <v>0</v>
      </c>
    </row>
    <row r="53" spans="1:38" ht="21.6" customHeight="1">
      <c r="A53" s="56" t="s">
        <v>87</v>
      </c>
      <c r="B53" s="70" t="s">
        <v>88</v>
      </c>
      <c r="C53" s="53">
        <v>1</v>
      </c>
      <c r="D53" s="69"/>
      <c r="E53" s="69"/>
      <c r="F53" s="69"/>
      <c r="G53" s="60">
        <v>2</v>
      </c>
      <c r="H53" s="69">
        <v>4</v>
      </c>
      <c r="I53" s="69">
        <v>4</v>
      </c>
      <c r="J53" s="69">
        <v>4</v>
      </c>
      <c r="K53" s="69">
        <v>4</v>
      </c>
      <c r="L53" s="69">
        <v>4</v>
      </c>
      <c r="M53" s="69">
        <v>3</v>
      </c>
      <c r="N53" s="69">
        <v>5</v>
      </c>
      <c r="O53" s="69">
        <v>4</v>
      </c>
      <c r="P53" s="69">
        <v>4</v>
      </c>
      <c r="Q53" s="69">
        <v>4</v>
      </c>
      <c r="R53" s="69">
        <v>4</v>
      </c>
      <c r="S53" s="69">
        <v>4</v>
      </c>
      <c r="T53" s="69">
        <v>2</v>
      </c>
      <c r="U53" s="69">
        <v>4</v>
      </c>
      <c r="V53" s="69">
        <v>4</v>
      </c>
      <c r="W53" s="69">
        <v>4</v>
      </c>
      <c r="X53" s="69">
        <v>4</v>
      </c>
      <c r="Y53" s="69">
        <v>4</v>
      </c>
      <c r="Z53" s="69">
        <v>3</v>
      </c>
      <c r="AA53" s="69">
        <v>3</v>
      </c>
      <c r="AB53" s="69">
        <v>4</v>
      </c>
      <c r="AC53" s="69">
        <v>4</v>
      </c>
      <c r="AD53" s="69">
        <v>4</v>
      </c>
      <c r="AE53" s="69"/>
      <c r="AF53" s="69"/>
      <c r="AG53" s="69"/>
      <c r="AH53" s="61">
        <f t="shared" ref="AH53" si="49">SUM(C53:AG53)</f>
        <v>91</v>
      </c>
      <c r="AI53" s="62">
        <f t="shared" ref="AI53" si="50">+COUNTIF(C53:AG53,"&gt;4")</f>
        <v>1</v>
      </c>
      <c r="AJ53" s="62">
        <f t="shared" ref="AJ53" si="51">+COUNTIF(C53:AG53,"&gt;5")</f>
        <v>0</v>
      </c>
      <c r="AK53" s="62">
        <f t="shared" ref="AK53" si="52">+COUNTIF(C53:AG53,"&gt;6")</f>
        <v>0</v>
      </c>
      <c r="AL53" s="62">
        <f t="shared" ref="AL53" si="53">+COUNTIF(C53:AG53,"&gt;7")</f>
        <v>0</v>
      </c>
    </row>
    <row r="54" spans="1:38" ht="21.6" customHeight="1">
      <c r="A54" s="56" t="s">
        <v>89</v>
      </c>
      <c r="B54" s="71" t="s">
        <v>90</v>
      </c>
      <c r="C54" s="53"/>
      <c r="D54" s="53"/>
      <c r="E54" s="53"/>
      <c r="F54" s="69"/>
      <c r="G54" s="69"/>
      <c r="H54" s="69"/>
      <c r="I54" s="69"/>
      <c r="J54" s="69"/>
      <c r="K54" s="69"/>
      <c r="L54" s="69"/>
      <c r="M54" s="69"/>
      <c r="N54" s="69"/>
      <c r="O54" s="60"/>
      <c r="P54" s="69"/>
      <c r="Q54" s="69"/>
      <c r="R54" s="69"/>
      <c r="S54" s="69"/>
      <c r="T54" s="69"/>
      <c r="U54" s="69"/>
      <c r="V54" s="69"/>
      <c r="W54" s="69"/>
      <c r="X54" s="69"/>
      <c r="Y54" s="60">
        <v>1</v>
      </c>
      <c r="Z54" s="69">
        <v>4</v>
      </c>
      <c r="AA54" s="69">
        <v>4</v>
      </c>
      <c r="AB54" s="69">
        <v>4</v>
      </c>
      <c r="AC54" s="69">
        <v>4</v>
      </c>
      <c r="AD54" s="69">
        <v>4</v>
      </c>
      <c r="AE54" s="69">
        <v>3</v>
      </c>
      <c r="AF54" s="69">
        <v>3</v>
      </c>
      <c r="AG54" s="69"/>
      <c r="AH54" s="61">
        <f t="shared" si="44"/>
        <v>27</v>
      </c>
      <c r="AI54" s="62">
        <f t="shared" si="45"/>
        <v>0</v>
      </c>
      <c r="AJ54" s="62">
        <f t="shared" si="46"/>
        <v>0</v>
      </c>
      <c r="AK54" s="62">
        <f t="shared" si="47"/>
        <v>0</v>
      </c>
      <c r="AL54" s="62">
        <f t="shared" si="48"/>
        <v>0</v>
      </c>
    </row>
    <row r="55" spans="1:38" ht="21.75" customHeight="1">
      <c r="A55" s="72"/>
      <c r="B55" s="73" t="s">
        <v>150</v>
      </c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53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61">
        <f t="shared" ref="AH55" si="54">SUM(A55:AG55)</f>
        <v>0</v>
      </c>
      <c r="AI55" s="62">
        <f t="shared" ref="AI55" si="55">+COUNTIF(C55:AG55,"&gt;4")</f>
        <v>0</v>
      </c>
      <c r="AJ55" s="62">
        <f t="shared" ref="AJ55" si="56">+COUNTIF(C55:AG55,"&gt;5")</f>
        <v>0</v>
      </c>
      <c r="AK55" s="62">
        <f t="shared" ref="AK55" si="57">+COUNTIF(C55:AG55,"&gt;6")</f>
        <v>0</v>
      </c>
      <c r="AL55" s="62">
        <f t="shared" ref="AL55" si="58">+COUNTIF(C55:AG55,"&gt;7")</f>
        <v>0</v>
      </c>
    </row>
    <row r="56" spans="1:38" ht="21.75" customHeight="1"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</row>
    <row r="57" spans="1:38" ht="21.75" customHeight="1">
      <c r="B57" s="76"/>
      <c r="C57" s="182" t="s">
        <v>151</v>
      </c>
      <c r="D57" s="182"/>
      <c r="E57" s="182"/>
      <c r="F57" s="182"/>
      <c r="G57" s="182"/>
      <c r="H57" s="77"/>
      <c r="I57" s="77"/>
      <c r="J57" s="77"/>
      <c r="K57" s="182" t="s">
        <v>152</v>
      </c>
      <c r="L57" s="182"/>
      <c r="M57" s="182"/>
      <c r="N57" s="182"/>
      <c r="O57" s="182"/>
      <c r="P57" s="77"/>
      <c r="Q57" s="77"/>
      <c r="R57" s="77"/>
      <c r="S57" s="182" t="s">
        <v>153</v>
      </c>
      <c r="T57" s="182"/>
      <c r="U57" s="182"/>
      <c r="V57" s="182"/>
      <c r="W57" s="182"/>
      <c r="X57" s="77"/>
      <c r="Y57" s="77"/>
      <c r="Z57" s="77"/>
      <c r="AA57" s="77"/>
      <c r="AB57" s="77"/>
      <c r="AC57" s="77"/>
      <c r="AD57" s="77"/>
      <c r="AE57" s="77"/>
      <c r="AF57" s="77"/>
      <c r="AG57" s="77"/>
    </row>
    <row r="58" spans="1:38" ht="21.75" customHeight="1">
      <c r="B58" s="76"/>
      <c r="C58" s="183" t="s">
        <v>154</v>
      </c>
      <c r="D58" s="183"/>
      <c r="E58" s="183"/>
      <c r="F58" s="183"/>
      <c r="G58" s="183"/>
      <c r="H58" s="77"/>
      <c r="I58" s="77"/>
      <c r="J58" s="77"/>
      <c r="K58" s="183" t="s">
        <v>154</v>
      </c>
      <c r="L58" s="183"/>
      <c r="M58" s="183"/>
      <c r="N58" s="183"/>
      <c r="O58" s="183"/>
      <c r="P58" s="77"/>
      <c r="Q58" s="77"/>
      <c r="R58" s="77"/>
      <c r="S58" s="183" t="s">
        <v>154</v>
      </c>
      <c r="T58" s="183"/>
      <c r="U58" s="183"/>
      <c r="V58" s="183"/>
      <c r="W58" s="183"/>
      <c r="X58" s="77"/>
      <c r="Y58" s="77"/>
      <c r="Z58" s="77"/>
      <c r="AA58" s="77"/>
      <c r="AB58" s="77"/>
      <c r="AC58" s="77"/>
      <c r="AD58" s="77"/>
      <c r="AE58" s="77"/>
      <c r="AF58" s="77"/>
      <c r="AG58" s="77"/>
    </row>
    <row r="59" spans="1:38">
      <c r="B59" s="76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</row>
    <row r="60" spans="1:38">
      <c r="B60" s="76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</row>
    <row r="63" spans="1:38"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</row>
    <row r="64" spans="1:38"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</row>
    <row r="65" spans="1:37"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</row>
    <row r="66" spans="1:37" s="40" customFormat="1">
      <c r="A66" s="41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3"/>
      <c r="AI66" s="43"/>
      <c r="AJ66" s="43"/>
      <c r="AK66" s="43"/>
    </row>
    <row r="67" spans="1:37" s="40" customFormat="1">
      <c r="A67" s="41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3"/>
      <c r="AI67" s="43"/>
      <c r="AJ67" s="43"/>
      <c r="AK67" s="43"/>
    </row>
    <row r="68" spans="1:37" s="40" customFormat="1">
      <c r="A68" s="41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3"/>
      <c r="AI68" s="43"/>
      <c r="AJ68" s="43"/>
      <c r="AK68" s="43"/>
    </row>
    <row r="69" spans="1:37" s="40" customFormat="1">
      <c r="A69" s="41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3"/>
      <c r="AI69" s="43"/>
      <c r="AJ69" s="43"/>
      <c r="AK69" s="43"/>
    </row>
    <row r="70" spans="1:37" s="40" customFormat="1">
      <c r="A70" s="41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3"/>
      <c r="AI70" s="43"/>
      <c r="AJ70" s="43"/>
      <c r="AK70" s="43"/>
    </row>
    <row r="71" spans="1:37" s="40" customFormat="1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3"/>
      <c r="AI71" s="43"/>
      <c r="AJ71" s="43"/>
      <c r="AK71" s="43"/>
    </row>
    <row r="72" spans="1:37" s="40" customFormat="1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3"/>
      <c r="AI72" s="43"/>
      <c r="AJ72" s="43"/>
      <c r="AK72" s="43"/>
    </row>
    <row r="73" spans="1:37" s="40" customFormat="1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3"/>
      <c r="AI73" s="43"/>
      <c r="AJ73" s="43"/>
      <c r="AK73" s="43"/>
    </row>
  </sheetData>
  <mergeCells count="16">
    <mergeCell ref="AH3:AH5"/>
    <mergeCell ref="AI3:AI5"/>
    <mergeCell ref="AJ3:AJ5"/>
    <mergeCell ref="AK3:AK5"/>
    <mergeCell ref="AL3:AL5"/>
    <mergeCell ref="C58:G58"/>
    <mergeCell ref="K58:O58"/>
    <mergeCell ref="S58:W58"/>
    <mergeCell ref="A3:A5"/>
    <mergeCell ref="B3:B5"/>
    <mergeCell ref="A1:AD1"/>
    <mergeCell ref="N2:P2"/>
    <mergeCell ref="C3:AD3"/>
    <mergeCell ref="C57:G57"/>
    <mergeCell ref="K57:O57"/>
    <mergeCell ref="S57:W57"/>
  </mergeCells>
  <conditionalFormatting sqref="A6">
    <cfRule type="duplicateValues" dxfId="126" priority="3879"/>
  </conditionalFormatting>
  <conditionalFormatting sqref="A7:A8">
    <cfRule type="duplicateValues" dxfId="125" priority="1"/>
  </conditionalFormatting>
  <conditionalFormatting sqref="B7">
    <cfRule type="duplicateValues" dxfId="124" priority="72"/>
  </conditionalFormatting>
  <conditionalFormatting sqref="B26">
    <cfRule type="duplicateValues" dxfId="123" priority="29"/>
  </conditionalFormatting>
  <conditionalFormatting sqref="B28">
    <cfRule type="duplicateValues" dxfId="122" priority="28"/>
  </conditionalFormatting>
  <conditionalFormatting sqref="B36">
    <cfRule type="duplicateValues" dxfId="121" priority="27"/>
  </conditionalFormatting>
  <conditionalFormatting sqref="B37">
    <cfRule type="duplicateValues" dxfId="120" priority="26"/>
  </conditionalFormatting>
  <conditionalFormatting sqref="B39">
    <cfRule type="duplicateValues" dxfId="119" priority="25"/>
  </conditionalFormatting>
  <conditionalFormatting sqref="B44">
    <cfRule type="duplicateValues" dxfId="118" priority="5394"/>
  </conditionalFormatting>
  <conditionalFormatting sqref="B46">
    <cfRule type="duplicateValues" dxfId="117" priority="24"/>
  </conditionalFormatting>
  <conditionalFormatting sqref="B49">
    <cfRule type="duplicateValues" dxfId="116" priority="23"/>
  </conditionalFormatting>
  <conditionalFormatting sqref="B50">
    <cfRule type="duplicateValues" dxfId="115" priority="483"/>
  </conditionalFormatting>
  <conditionalFormatting sqref="B51">
    <cfRule type="duplicateValues" dxfId="114" priority="435"/>
  </conditionalFormatting>
  <conditionalFormatting sqref="B52:B53">
    <cfRule type="duplicateValues" dxfId="113" priority="267"/>
  </conditionalFormatting>
  <conditionalFormatting sqref="B54">
    <cfRule type="duplicateValues" dxfId="112" priority="15602"/>
  </conditionalFormatting>
  <conditionalFormatting sqref="C9:E9">
    <cfRule type="expression" dxfId="111" priority="69">
      <formula>#REF!=Nghỉ</formula>
    </cfRule>
    <cfRule type="expression" dxfId="110" priority="70">
      <formula>C9="P"</formula>
    </cfRule>
    <cfRule type="expression" dxfId="109" priority="71" stopIfTrue="1">
      <formula>IF(WEEKDAY(C$4)=1,TRUE,FALSE)</formula>
    </cfRule>
  </conditionalFormatting>
  <conditionalFormatting sqref="C12:E12">
    <cfRule type="expression" dxfId="108" priority="55">
      <formula>#REF!=Nghỉ</formula>
    </cfRule>
    <cfRule type="expression" dxfId="107" priority="56">
      <formula>C12="P"</formula>
    </cfRule>
    <cfRule type="expression" dxfId="106" priority="57" stopIfTrue="1">
      <formula>IF(WEEKDAY(C$4)=1,TRUE,FALSE)</formula>
    </cfRule>
  </conditionalFormatting>
  <conditionalFormatting sqref="C53:F53">
    <cfRule type="expression" dxfId="105" priority="20">
      <formula>#REF!=Nghỉ</formula>
    </cfRule>
    <cfRule type="expression" dxfId="104" priority="21">
      <formula>C53="P"</formula>
    </cfRule>
    <cfRule type="expression" dxfId="103" priority="22" stopIfTrue="1">
      <formula>IF(WEEKDAY(C$4)=1,TRUE,FALSE)</formula>
    </cfRule>
  </conditionalFormatting>
  <conditionalFormatting sqref="C55:Z55">
    <cfRule type="expression" dxfId="102" priority="490">
      <formula>#REF!=Nghỉ</formula>
    </cfRule>
  </conditionalFormatting>
  <conditionalFormatting sqref="C44:AG51">
    <cfRule type="expression" dxfId="101" priority="74">
      <formula>#REF!=Nghỉ</formula>
    </cfRule>
  </conditionalFormatting>
  <conditionalFormatting sqref="C55:AG55">
    <cfRule type="expression" dxfId="100" priority="491" stopIfTrue="1">
      <formula>IF(WEEKDAY(C$4)=1,TRUE,FALSE)</formula>
    </cfRule>
  </conditionalFormatting>
  <conditionalFormatting sqref="D15:E15">
    <cfRule type="expression" dxfId="99" priority="41">
      <formula>#REF!=Nghỉ</formula>
    </cfRule>
    <cfRule type="expression" dxfId="98" priority="42">
      <formula>D15="P"</formula>
    </cfRule>
    <cfRule type="expression" dxfId="97" priority="43" stopIfTrue="1">
      <formula>IF(WEEKDAY(D$4)=1,TRUE,FALSE)</formula>
    </cfRule>
  </conditionalFormatting>
  <conditionalFormatting sqref="F9">
    <cfRule type="containsText" dxfId="96" priority="58" operator="containsText" text="NN">
      <formula>NOT(ISERROR(SEARCH("NN",F9)))</formula>
    </cfRule>
    <cfRule type="containsText" dxfId="95" priority="59" operator="containsText" text="LP">
      <formula>NOT(ISERROR(SEARCH("LP",F9)))</formula>
    </cfRule>
    <cfRule type="containsText" dxfId="94" priority="60" operator="containsText" text="HN">
      <formula>NOT(ISERROR(SEARCH("HN",F9)))</formula>
    </cfRule>
    <cfRule type="expression" dxfId="93" priority="61">
      <formula>F9="ĐCT"</formula>
    </cfRule>
    <cfRule type="expression" dxfId="92" priority="62">
      <formula>F9="ĐLNN"</formula>
    </cfRule>
    <cfRule type="expression" dxfId="91" priority="63">
      <formula>F9="TC"</formula>
    </cfRule>
    <cfRule type="expression" dxfId="90" priority="64">
      <formula>F9="ĐHĐ"</formula>
    </cfRule>
    <cfRule type="expression" dxfId="89" priority="65">
      <formula>F9="NHN"</formula>
    </cfRule>
    <cfRule type="expression" dxfId="88" priority="66">
      <formula>F9="CNLP"</formula>
    </cfRule>
    <cfRule type="expression" dxfId="87" priority="67">
      <formula>F9="ĐC"</formula>
    </cfRule>
    <cfRule type="expression" dxfId="86" priority="68">
      <formula>F9="XN"</formula>
    </cfRule>
  </conditionalFormatting>
  <conditionalFormatting sqref="F12">
    <cfRule type="containsText" dxfId="85" priority="44" operator="containsText" text="NN">
      <formula>NOT(ISERROR(SEARCH("NN",F12)))</formula>
    </cfRule>
    <cfRule type="containsText" dxfId="84" priority="45" operator="containsText" text="LP">
      <formula>NOT(ISERROR(SEARCH("LP",F12)))</formula>
    </cfRule>
    <cfRule type="containsText" dxfId="83" priority="46" operator="containsText" text="HN">
      <formula>NOT(ISERROR(SEARCH("HN",F12)))</formula>
    </cfRule>
    <cfRule type="expression" dxfId="82" priority="47">
      <formula>F12="ĐCT"</formula>
    </cfRule>
    <cfRule type="expression" dxfId="81" priority="48">
      <formula>F12="ĐLNN"</formula>
    </cfRule>
    <cfRule type="expression" dxfId="80" priority="49">
      <formula>F12="TC"</formula>
    </cfRule>
    <cfRule type="expression" dxfId="79" priority="50">
      <formula>F12="ĐHĐ"</formula>
    </cfRule>
    <cfRule type="expression" dxfId="78" priority="51">
      <formula>F12="NHN"</formula>
    </cfRule>
    <cfRule type="expression" dxfId="77" priority="52">
      <formula>F12="CNLP"</formula>
    </cfRule>
    <cfRule type="expression" dxfId="76" priority="53">
      <formula>F12="ĐC"</formula>
    </cfRule>
    <cfRule type="expression" dxfId="75" priority="54">
      <formula>F12="XN"</formula>
    </cfRule>
  </conditionalFormatting>
  <conditionalFormatting sqref="F15">
    <cfRule type="containsText" dxfId="74" priority="30" operator="containsText" text="NN">
      <formula>NOT(ISERROR(SEARCH("NN",F15)))</formula>
    </cfRule>
    <cfRule type="containsText" dxfId="73" priority="31" operator="containsText" text="LP">
      <formula>NOT(ISERROR(SEARCH("LP",F15)))</formula>
    </cfRule>
    <cfRule type="containsText" dxfId="72" priority="32" operator="containsText" text="HN">
      <formula>NOT(ISERROR(SEARCH("HN",F15)))</formula>
    </cfRule>
    <cfRule type="expression" dxfId="71" priority="33">
      <formula>F15="ĐCT"</formula>
    </cfRule>
    <cfRule type="expression" dxfId="70" priority="34">
      <formula>F15="ĐLNN"</formula>
    </cfRule>
    <cfRule type="expression" dxfId="69" priority="35">
      <formula>F15="TC"</formula>
    </cfRule>
    <cfRule type="expression" dxfId="68" priority="36">
      <formula>F15="ĐHĐ"</formula>
    </cfRule>
    <cfRule type="expression" dxfId="67" priority="37">
      <formula>F15="NHN"</formula>
    </cfRule>
    <cfRule type="expression" dxfId="66" priority="38">
      <formula>F15="CNLP"</formula>
    </cfRule>
    <cfRule type="expression" dxfId="65" priority="39">
      <formula>F15="ĐC"</formula>
    </cfRule>
    <cfRule type="expression" dxfId="64" priority="40">
      <formula>F15="XN"</formula>
    </cfRule>
  </conditionalFormatting>
  <conditionalFormatting sqref="G53">
    <cfRule type="containsText" dxfId="63" priority="11" operator="containsText" text="HN">
      <formula>NOT(ISERROR(SEARCH("HN",G53)))</formula>
    </cfRule>
    <cfRule type="expression" dxfId="62" priority="12">
      <formula>G53="ĐCT"</formula>
    </cfRule>
    <cfRule type="expression" dxfId="61" priority="13">
      <formula>G53="ĐLNN"</formula>
    </cfRule>
    <cfRule type="expression" dxfId="60" priority="14">
      <formula>G53="TC"</formula>
    </cfRule>
    <cfRule type="expression" dxfId="59" priority="15">
      <formula>G53="ĐHĐ"</formula>
    </cfRule>
    <cfRule type="expression" dxfId="58" priority="16">
      <formula>G53="NHN"</formula>
    </cfRule>
    <cfRule type="expression" dxfId="57" priority="17">
      <formula>G53="CNLP"</formula>
    </cfRule>
    <cfRule type="expression" dxfId="56" priority="18">
      <formula>G53="ĐC"</formula>
    </cfRule>
    <cfRule type="expression" dxfId="55" priority="19">
      <formula>G53="XN"</formula>
    </cfRule>
  </conditionalFormatting>
  <conditionalFormatting sqref="H32:I34">
    <cfRule type="containsText" dxfId="54" priority="211" operator="containsText" text="NN">
      <formula>NOT(ISERROR(SEARCH("NN",H32)))</formula>
    </cfRule>
    <cfRule type="containsText" dxfId="53" priority="212" operator="containsText" text="LP">
      <formula>NOT(ISERROR(SEARCH("LP",H32)))</formula>
    </cfRule>
    <cfRule type="containsText" dxfId="52" priority="213" operator="containsText" text="HN">
      <formula>NOT(ISERROR(SEARCH("HN",H32)))</formula>
    </cfRule>
    <cfRule type="expression" dxfId="51" priority="214">
      <formula>H32="ĐCT"</formula>
    </cfRule>
    <cfRule type="expression" dxfId="50" priority="215">
      <formula>H32="ĐLNN"</formula>
    </cfRule>
    <cfRule type="expression" dxfId="49" priority="216">
      <formula>H32="TC"</formula>
    </cfRule>
    <cfRule type="expression" dxfId="48" priority="217">
      <formula>H32="ĐHĐ"</formula>
    </cfRule>
    <cfRule type="expression" dxfId="47" priority="218">
      <formula>H32="NHN"</formula>
    </cfRule>
    <cfRule type="expression" dxfId="46" priority="219">
      <formula>H32="CNLP"</formula>
    </cfRule>
    <cfRule type="expression" dxfId="45" priority="220">
      <formula>H32="ĐC"</formula>
    </cfRule>
    <cfRule type="expression" dxfId="44" priority="221">
      <formula>H32="XN"</formula>
    </cfRule>
  </conditionalFormatting>
  <conditionalFormatting sqref="K32:K34">
    <cfRule type="containsText" dxfId="43" priority="293" operator="containsText" text="HN">
      <formula>NOT(ISERROR(SEARCH("HN",K32)))</formula>
    </cfRule>
    <cfRule type="expression" dxfId="42" priority="294">
      <formula>K32="ĐCT"</formula>
    </cfRule>
    <cfRule type="expression" dxfId="41" priority="295">
      <formula>K32="ĐLNN"</formula>
    </cfRule>
    <cfRule type="expression" dxfId="40" priority="296">
      <formula>K32="TC"</formula>
    </cfRule>
    <cfRule type="expression" dxfId="39" priority="297">
      <formula>K32="ĐHĐ"</formula>
    </cfRule>
    <cfRule type="expression" dxfId="38" priority="298">
      <formula>K32="NHN"</formula>
    </cfRule>
    <cfRule type="expression" dxfId="37" priority="299">
      <formula>K32="CNLP"</formula>
    </cfRule>
    <cfRule type="expression" dxfId="36" priority="300">
      <formula>K32="ĐC"</formula>
    </cfRule>
    <cfRule type="expression" dxfId="35" priority="301">
      <formula>K32="XN"</formula>
    </cfRule>
  </conditionalFormatting>
  <conditionalFormatting sqref="K45:K46">
    <cfRule type="expression" dxfId="34" priority="73">
      <formula>K45="P"</formula>
    </cfRule>
    <cfRule type="expression" dxfId="33" priority="75" stopIfTrue="1">
      <formula>IF(WEEKDAY(K$8)=1,TRUE,FALSE)</formula>
    </cfRule>
  </conditionalFormatting>
  <conditionalFormatting sqref="O54">
    <cfRule type="containsText" dxfId="32" priority="105" operator="containsText" text="HN">
      <formula>NOT(ISERROR(SEARCH("HN",O54)))</formula>
    </cfRule>
    <cfRule type="expression" dxfId="31" priority="106">
      <formula>O54="ĐCT"</formula>
    </cfRule>
    <cfRule type="expression" dxfId="30" priority="107">
      <formula>O54="ĐLNN"</formula>
    </cfRule>
    <cfRule type="expression" dxfId="29" priority="108">
      <formula>O54="TC"</formula>
    </cfRule>
    <cfRule type="expression" dxfId="28" priority="109">
      <formula>O54="ĐHĐ"</formula>
    </cfRule>
    <cfRule type="expression" dxfId="27" priority="110">
      <formula>O54="NHN"</formula>
    </cfRule>
    <cfRule type="expression" dxfId="26" priority="111">
      <formula>O54="CNLP"</formula>
    </cfRule>
    <cfRule type="expression" dxfId="25" priority="112">
      <formula>O54="ĐC"</formula>
    </cfRule>
    <cfRule type="expression" dxfId="24" priority="113">
      <formula>O54="XN"</formula>
    </cfRule>
  </conditionalFormatting>
  <conditionalFormatting sqref="Q55">
    <cfRule type="expression" dxfId="23" priority="493">
      <formula>#REF!=Nghỉ</formula>
    </cfRule>
  </conditionalFormatting>
  <conditionalFormatting sqref="Y54">
    <cfRule type="containsText" dxfId="22" priority="2" operator="containsText" text="HN">
      <formula>NOT(ISERROR(SEARCH("HN",Y54)))</formula>
    </cfRule>
    <cfRule type="expression" dxfId="21" priority="3">
      <formula>Y54="ĐCT"</formula>
    </cfRule>
    <cfRule type="expression" dxfId="20" priority="4">
      <formula>Y54="ĐLNN"</formula>
    </cfRule>
    <cfRule type="expression" dxfId="19" priority="5">
      <formula>Y54="TC"</formula>
    </cfRule>
    <cfRule type="expression" dxfId="18" priority="6">
      <formula>Y54="ĐHĐ"</formula>
    </cfRule>
    <cfRule type="expression" dxfId="17" priority="7">
      <formula>Y54="NHN"</formula>
    </cfRule>
    <cfRule type="expression" dxfId="16" priority="8">
      <formula>Y54="CNLP"</formula>
    </cfRule>
    <cfRule type="expression" dxfId="15" priority="9">
      <formula>Y54="ĐC"</formula>
    </cfRule>
    <cfRule type="expression" dxfId="14" priority="10">
      <formula>Y54="XN"</formula>
    </cfRule>
  </conditionalFormatting>
  <conditionalFormatting sqref="AA55:AG55">
    <cfRule type="expression" dxfId="13" priority="492">
      <formula>#REF!=Nghỉ</formula>
    </cfRule>
  </conditionalFormatting>
  <conditionalFormatting sqref="AC32:AC34">
    <cfRule type="expression" dxfId="12" priority="87">
      <formula>AC32="ĐCT"</formula>
    </cfRule>
    <cfRule type="expression" dxfId="11" priority="88">
      <formula>AC32="ĐLNN"</formula>
    </cfRule>
    <cfRule type="expression" dxfId="10" priority="89">
      <formula>AC32="TC"</formula>
    </cfRule>
    <cfRule type="expression" dxfId="9" priority="90">
      <formula>AC32="ĐHĐ"</formula>
    </cfRule>
    <cfRule type="expression" dxfId="8" priority="91">
      <formula>AC32="NHN"</formula>
    </cfRule>
    <cfRule type="expression" dxfId="7" priority="92">
      <formula>AC32="CNLP"</formula>
    </cfRule>
    <cfRule type="expression" dxfId="6" priority="93">
      <formula>AC32="ĐC"</formula>
    </cfRule>
    <cfRule type="expression" dxfId="5" priority="94">
      <formula>AC32="XN"</formula>
    </cfRule>
    <cfRule type="containsText" dxfId="4" priority="95" operator="containsText" text="NN">
      <formula>NOT(ISERROR(SEARCH("NN",AC32)))</formula>
    </cfRule>
    <cfRule type="containsText" dxfId="3" priority="96" operator="containsText" text="LP">
      <formula>NOT(ISERROR(SEARCH("LP",AC32)))</formula>
    </cfRule>
    <cfRule type="containsText" dxfId="2" priority="97" operator="containsText" text="HN">
      <formula>NOT(ISERROR(SEARCH("HN",AC32)))</formula>
    </cfRule>
  </conditionalFormatting>
  <conditionalFormatting sqref="AH8:AH55">
    <cfRule type="expression" dxfId="1" priority="447">
      <formula>#REF!=Nghỉ</formula>
    </cfRule>
    <cfRule type="expression" dxfId="0" priority="450" stopIfTrue="1">
      <formula>IF(WEEKDAY(AH$4)=1,TRUE,FALSE)</formula>
    </cfRule>
  </conditionalFormatting>
  <dataValidations count="1">
    <dataValidation type="list" allowBlank="1" showErrorMessage="1" sqref="G8 F9 F12 F15 H52 G53 O54 Y54 G10:G11 G13:G14 G16:G22 J35:J43 K32:K34 AC32:AC34 H32:I34 L35:M43" xr:uid="{00000000-0002-0000-0200-000000000000}">
      <formula1>CHAMCONG</formula1>
    </dataValidation>
  </dataValidations>
  <pageMargins left="1" right="0.25" top="0.75" bottom="0.75" header="0.3" footer="0.3"/>
  <pageSetup paperSize="9" scale="4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5"/>
  <sheetViews>
    <sheetView tabSelected="1" zoomScale="85" zoomScaleNormal="85" workbookViewId="0">
      <pane ySplit="2" topLeftCell="A75" activePane="bottomLeft" state="frozen"/>
      <selection pane="bottomLeft" activeCell="E59" sqref="E59"/>
    </sheetView>
  </sheetViews>
  <sheetFormatPr defaultColWidth="9.140625" defaultRowHeight="15"/>
  <cols>
    <col min="1" max="1" width="4" style="2" customWidth="1"/>
    <col min="2" max="2" width="10.85546875" style="2" customWidth="1"/>
    <col min="3" max="3" width="10.5703125" style="2" customWidth="1"/>
    <col min="4" max="4" width="11.140625" style="3" customWidth="1"/>
    <col min="5" max="5" width="37" style="2" customWidth="1"/>
    <col min="6" max="6" width="15" style="4" customWidth="1"/>
    <col min="7" max="7" width="9.140625" style="2" customWidth="1"/>
    <col min="8" max="8" width="36.28515625" style="2" customWidth="1"/>
    <col min="9" max="9" width="9.140625" style="2" customWidth="1"/>
    <col min="10" max="10" width="13" style="4" customWidth="1"/>
    <col min="11" max="11" width="57" style="4" customWidth="1"/>
    <col min="12" max="13" width="9.140625" style="2"/>
    <col min="14" max="14" width="21.28515625" style="2" customWidth="1"/>
    <col min="15" max="15" width="9.140625" style="2"/>
    <col min="16" max="16" width="11.7109375" style="2" customWidth="1"/>
    <col min="17" max="16384" width="9.140625" style="2"/>
  </cols>
  <sheetData>
    <row r="1" spans="1:17" ht="22.5">
      <c r="A1" s="121" t="s">
        <v>155</v>
      </c>
      <c r="B1" s="121"/>
      <c r="C1" s="121"/>
      <c r="D1" s="121"/>
      <c r="E1" s="121"/>
      <c r="F1" s="121"/>
      <c r="G1" s="121"/>
      <c r="H1" s="121"/>
      <c r="I1" s="121"/>
      <c r="J1" s="122"/>
    </row>
    <row r="2" spans="1:17" s="1" customFormat="1" ht="34.5" customHeight="1">
      <c r="A2" s="5" t="s">
        <v>156</v>
      </c>
      <c r="B2" s="5" t="s">
        <v>3</v>
      </c>
      <c r="C2" s="5" t="s">
        <v>157</v>
      </c>
      <c r="D2" s="5" t="s">
        <v>158</v>
      </c>
      <c r="E2" s="5" t="s">
        <v>159</v>
      </c>
      <c r="F2" s="6" t="s">
        <v>160</v>
      </c>
      <c r="G2" s="6" t="s">
        <v>161</v>
      </c>
      <c r="H2" s="5" t="s">
        <v>162</v>
      </c>
      <c r="I2" s="7" t="s">
        <v>163</v>
      </c>
      <c r="J2" s="5" t="s">
        <v>164</v>
      </c>
      <c r="K2" s="5" t="s">
        <v>165</v>
      </c>
      <c r="L2" s="7" t="s">
        <v>166</v>
      </c>
      <c r="M2" s="7" t="s">
        <v>167</v>
      </c>
      <c r="N2" s="8" t="s">
        <v>168</v>
      </c>
      <c r="Q2" s="1" t="s">
        <v>169</v>
      </c>
    </row>
    <row r="3" spans="1:17">
      <c r="A3" s="10">
        <f>ROW()-3</f>
        <v>0</v>
      </c>
      <c r="B3" s="11" t="s">
        <v>170</v>
      </c>
      <c r="C3" s="12">
        <v>46087</v>
      </c>
      <c r="D3" s="13" t="s">
        <v>171</v>
      </c>
      <c r="E3" s="14" t="s">
        <v>172</v>
      </c>
      <c r="F3" s="15" t="s">
        <v>173</v>
      </c>
      <c r="G3" s="9"/>
      <c r="H3" s="9" t="s">
        <v>174</v>
      </c>
      <c r="I3" s="16"/>
      <c r="J3" s="17">
        <v>2800000</v>
      </c>
      <c r="K3" s="18" t="s">
        <v>175</v>
      </c>
      <c r="L3" s="19"/>
      <c r="M3" s="19"/>
      <c r="N3" s="19"/>
    </row>
    <row r="4" spans="1:17">
      <c r="A4" s="10">
        <f t="shared" ref="A4:A31" si="0">ROW()-3</f>
        <v>1</v>
      </c>
      <c r="B4" s="11" t="s">
        <v>176</v>
      </c>
      <c r="C4" s="12">
        <v>46179</v>
      </c>
      <c r="D4" s="13" t="s">
        <v>177</v>
      </c>
      <c r="E4" s="14" t="s">
        <v>178</v>
      </c>
      <c r="F4" s="15" t="s">
        <v>179</v>
      </c>
      <c r="G4" s="9"/>
      <c r="H4" s="9" t="s">
        <v>180</v>
      </c>
      <c r="J4" s="17">
        <v>1900000</v>
      </c>
      <c r="K4" s="18" t="s">
        <v>181</v>
      </c>
      <c r="L4" s="19"/>
      <c r="M4" s="19"/>
      <c r="N4" s="19"/>
    </row>
    <row r="5" spans="1:17">
      <c r="A5" s="10">
        <f t="shared" si="0"/>
        <v>2</v>
      </c>
      <c r="B5" s="11" t="s">
        <v>28</v>
      </c>
      <c r="C5" s="12">
        <v>46209</v>
      </c>
      <c r="D5" s="13" t="s">
        <v>182</v>
      </c>
      <c r="E5" s="14" t="s">
        <v>29</v>
      </c>
      <c r="F5" s="20" t="s">
        <v>183</v>
      </c>
      <c r="G5" s="21"/>
      <c r="H5" s="9" t="s">
        <v>184</v>
      </c>
      <c r="I5" s="21"/>
      <c r="J5" s="17">
        <v>1900000</v>
      </c>
      <c r="K5" s="18" t="s">
        <v>181</v>
      </c>
      <c r="L5" s="19"/>
      <c r="M5" s="19"/>
      <c r="N5" s="19"/>
    </row>
    <row r="6" spans="1:17">
      <c r="A6" s="10">
        <f t="shared" si="0"/>
        <v>3</v>
      </c>
      <c r="B6" s="11" t="s">
        <v>28</v>
      </c>
      <c r="C6" s="12">
        <v>46240</v>
      </c>
      <c r="D6" s="13" t="s">
        <v>182</v>
      </c>
      <c r="E6" s="14" t="s">
        <v>29</v>
      </c>
      <c r="F6" s="20" t="s">
        <v>185</v>
      </c>
      <c r="G6" s="21"/>
      <c r="H6" s="9" t="s">
        <v>180</v>
      </c>
      <c r="I6" s="21"/>
      <c r="J6" s="17">
        <v>1900000</v>
      </c>
      <c r="K6" s="18" t="s">
        <v>181</v>
      </c>
      <c r="L6" s="19"/>
      <c r="M6" s="19"/>
      <c r="N6" s="19"/>
    </row>
    <row r="7" spans="1:17">
      <c r="A7" s="10">
        <f t="shared" si="0"/>
        <v>4</v>
      </c>
      <c r="B7" s="11" t="s">
        <v>22</v>
      </c>
      <c r="C7" s="12">
        <v>46240</v>
      </c>
      <c r="D7" s="13" t="s">
        <v>186</v>
      </c>
      <c r="E7" s="14" t="s">
        <v>23</v>
      </c>
      <c r="F7" s="15" t="s">
        <v>179</v>
      </c>
      <c r="G7" s="21"/>
      <c r="H7" s="9" t="s">
        <v>180</v>
      </c>
      <c r="I7" s="21"/>
      <c r="J7" s="17">
        <v>2000000</v>
      </c>
      <c r="K7" s="18" t="s">
        <v>181</v>
      </c>
      <c r="L7" s="19"/>
      <c r="M7" s="19"/>
      <c r="N7" s="19"/>
    </row>
    <row r="8" spans="1:17">
      <c r="A8" s="10">
        <f t="shared" si="0"/>
        <v>5</v>
      </c>
      <c r="B8" s="11" t="s">
        <v>176</v>
      </c>
      <c r="C8" s="12">
        <v>46301</v>
      </c>
      <c r="D8" s="13" t="s">
        <v>177</v>
      </c>
      <c r="E8" s="14" t="s">
        <v>178</v>
      </c>
      <c r="F8" s="20" t="s">
        <v>187</v>
      </c>
      <c r="G8" s="21"/>
      <c r="H8" s="9" t="s">
        <v>184</v>
      </c>
      <c r="I8" s="21"/>
      <c r="J8" s="17">
        <v>2000000</v>
      </c>
      <c r="K8" s="18" t="s">
        <v>181</v>
      </c>
      <c r="L8" s="19"/>
      <c r="M8" s="19"/>
      <c r="N8" s="19"/>
    </row>
    <row r="9" spans="1:17">
      <c r="A9" s="10">
        <v>7</v>
      </c>
      <c r="B9" s="11" t="s">
        <v>188</v>
      </c>
      <c r="C9" s="12">
        <v>46301</v>
      </c>
      <c r="D9" s="22" t="s">
        <v>189</v>
      </c>
      <c r="E9" s="23" t="s">
        <v>190</v>
      </c>
      <c r="F9" s="20" t="s">
        <v>191</v>
      </c>
      <c r="G9" s="21"/>
      <c r="H9" s="9" t="s">
        <v>192</v>
      </c>
      <c r="I9" s="21"/>
      <c r="J9" s="17"/>
      <c r="K9" s="18" t="s">
        <v>193</v>
      </c>
      <c r="L9" s="19"/>
      <c r="M9" s="19"/>
      <c r="N9" s="19"/>
    </row>
    <row r="10" spans="1:17">
      <c r="A10" s="10">
        <f t="shared" si="0"/>
        <v>7</v>
      </c>
      <c r="B10" s="11" t="s">
        <v>194</v>
      </c>
      <c r="C10" s="12">
        <v>46301</v>
      </c>
      <c r="D10" s="13" t="s">
        <v>195</v>
      </c>
      <c r="E10" s="9" t="s">
        <v>196</v>
      </c>
      <c r="F10" s="20" t="s">
        <v>191</v>
      </c>
      <c r="G10" s="21"/>
      <c r="H10" s="9" t="s">
        <v>192</v>
      </c>
      <c r="I10" s="21"/>
      <c r="J10" s="17"/>
      <c r="K10" s="18" t="s">
        <v>193</v>
      </c>
      <c r="L10" s="19"/>
      <c r="M10" s="19"/>
      <c r="N10" s="19"/>
    </row>
    <row r="11" spans="1:17">
      <c r="A11" s="10">
        <f t="shared" si="0"/>
        <v>8</v>
      </c>
      <c r="B11" s="11" t="s">
        <v>197</v>
      </c>
      <c r="C11" s="12">
        <v>46332</v>
      </c>
      <c r="D11" s="13" t="s">
        <v>198</v>
      </c>
      <c r="E11" s="14" t="s">
        <v>199</v>
      </c>
      <c r="F11" s="20" t="s">
        <v>185</v>
      </c>
      <c r="G11" s="21"/>
      <c r="H11" s="23" t="s">
        <v>180</v>
      </c>
      <c r="I11" s="21"/>
      <c r="J11" s="17"/>
      <c r="K11" s="18" t="s">
        <v>200</v>
      </c>
      <c r="L11" s="19"/>
      <c r="M11" s="19"/>
      <c r="N11" s="19"/>
    </row>
    <row r="12" spans="1:17">
      <c r="A12" s="10">
        <f t="shared" si="0"/>
        <v>9</v>
      </c>
      <c r="B12" s="11" t="s">
        <v>201</v>
      </c>
      <c r="C12" s="12">
        <v>111</v>
      </c>
      <c r="D12" s="22" t="s">
        <v>202</v>
      </c>
      <c r="E12" s="23" t="s">
        <v>203</v>
      </c>
      <c r="F12" s="20" t="s">
        <v>204</v>
      </c>
      <c r="G12" s="21"/>
      <c r="H12" s="9" t="s">
        <v>192</v>
      </c>
      <c r="I12" s="21"/>
      <c r="J12" s="17">
        <v>2200000</v>
      </c>
      <c r="K12" s="18" t="s">
        <v>181</v>
      </c>
      <c r="L12" s="19"/>
      <c r="M12" s="19"/>
      <c r="N12" s="19"/>
    </row>
    <row r="13" spans="1:17">
      <c r="A13" s="10">
        <f t="shared" si="0"/>
        <v>10</v>
      </c>
      <c r="B13" s="11" t="s">
        <v>176</v>
      </c>
      <c r="C13" s="12">
        <v>2</v>
      </c>
      <c r="D13" s="13" t="s">
        <v>177</v>
      </c>
      <c r="E13" s="14" t="s">
        <v>178</v>
      </c>
      <c r="F13" s="20" t="s">
        <v>205</v>
      </c>
      <c r="G13" s="21"/>
      <c r="H13" s="9" t="s">
        <v>180</v>
      </c>
      <c r="I13" s="21"/>
      <c r="J13" s="17">
        <v>2000000</v>
      </c>
      <c r="K13" s="18" t="s">
        <v>181</v>
      </c>
      <c r="L13" s="19"/>
      <c r="M13" s="19"/>
      <c r="N13" s="19"/>
    </row>
    <row r="14" spans="1:17">
      <c r="A14" s="10">
        <f t="shared" si="0"/>
        <v>11</v>
      </c>
      <c r="B14" s="11" t="s">
        <v>206</v>
      </c>
      <c r="C14" s="12">
        <v>14</v>
      </c>
      <c r="D14" s="13" t="s">
        <v>207</v>
      </c>
      <c r="E14" s="14" t="s">
        <v>208</v>
      </c>
      <c r="F14" s="20" t="s">
        <v>209</v>
      </c>
      <c r="G14" s="21"/>
      <c r="H14" s="9" t="s">
        <v>192</v>
      </c>
      <c r="I14" s="21"/>
      <c r="J14" s="17"/>
      <c r="K14" s="18" t="s">
        <v>193</v>
      </c>
      <c r="L14" s="19"/>
      <c r="M14" s="19"/>
      <c r="N14" s="19"/>
    </row>
    <row r="15" spans="1:17">
      <c r="A15" s="10"/>
      <c r="B15" s="11" t="s">
        <v>210</v>
      </c>
      <c r="C15" s="12" t="s">
        <v>211</v>
      </c>
      <c r="D15" s="13" t="s">
        <v>212</v>
      </c>
      <c r="E15" s="14" t="s">
        <v>213</v>
      </c>
      <c r="F15" s="20" t="s">
        <v>209</v>
      </c>
      <c r="G15" s="21"/>
      <c r="H15" s="9" t="s">
        <v>192</v>
      </c>
      <c r="I15" s="21"/>
      <c r="J15" s="17"/>
      <c r="K15" s="18" t="s">
        <v>193</v>
      </c>
      <c r="L15" s="19"/>
      <c r="M15" s="19"/>
      <c r="N15" s="19"/>
    </row>
    <row r="16" spans="1:17">
      <c r="A16" s="10">
        <f t="shared" si="0"/>
        <v>13</v>
      </c>
      <c r="B16" s="11" t="s">
        <v>201</v>
      </c>
      <c r="C16" s="12" t="s">
        <v>214</v>
      </c>
      <c r="D16" s="22" t="s">
        <v>202</v>
      </c>
      <c r="E16" s="23" t="s">
        <v>203</v>
      </c>
      <c r="F16" s="20" t="s">
        <v>215</v>
      </c>
      <c r="G16" s="21"/>
      <c r="H16" s="9" t="s">
        <v>192</v>
      </c>
      <c r="I16" s="21"/>
      <c r="J16" s="17">
        <v>2400000</v>
      </c>
      <c r="K16" s="18" t="s">
        <v>181</v>
      </c>
      <c r="L16" s="19"/>
      <c r="M16" s="19"/>
      <c r="N16" s="19"/>
    </row>
    <row r="17" spans="1:14">
      <c r="A17" s="10">
        <f t="shared" si="0"/>
        <v>14</v>
      </c>
      <c r="B17" s="11" t="s">
        <v>216</v>
      </c>
      <c r="C17" s="12" t="s">
        <v>214</v>
      </c>
      <c r="D17" s="13" t="s">
        <v>217</v>
      </c>
      <c r="E17" s="23" t="s">
        <v>218</v>
      </c>
      <c r="F17" s="20" t="s">
        <v>219</v>
      </c>
      <c r="G17" s="21"/>
      <c r="H17" s="9" t="s">
        <v>174</v>
      </c>
      <c r="I17" s="21"/>
      <c r="J17" s="17">
        <v>2200000</v>
      </c>
      <c r="K17" s="18" t="s">
        <v>181</v>
      </c>
      <c r="L17" s="19"/>
      <c r="M17" s="19"/>
      <c r="N17" s="19"/>
    </row>
    <row r="18" spans="1:14">
      <c r="A18" s="10">
        <f t="shared" si="0"/>
        <v>15</v>
      </c>
      <c r="B18" s="11" t="s">
        <v>194</v>
      </c>
      <c r="C18" s="12" t="s">
        <v>220</v>
      </c>
      <c r="D18" s="13" t="s">
        <v>195</v>
      </c>
      <c r="E18" s="9" t="s">
        <v>196</v>
      </c>
      <c r="F18" s="20" t="s">
        <v>221</v>
      </c>
      <c r="G18" s="21"/>
      <c r="H18" s="23" t="s">
        <v>184</v>
      </c>
      <c r="I18" s="21"/>
      <c r="J18" s="17">
        <v>2000000</v>
      </c>
      <c r="K18" s="18" t="s">
        <v>181</v>
      </c>
      <c r="L18" s="19"/>
      <c r="M18" s="19"/>
      <c r="N18" s="19"/>
    </row>
    <row r="19" spans="1:14">
      <c r="A19" s="10">
        <f t="shared" si="0"/>
        <v>16</v>
      </c>
      <c r="B19" s="11" t="s">
        <v>210</v>
      </c>
      <c r="C19" s="12" t="s">
        <v>222</v>
      </c>
      <c r="D19" s="13" t="s">
        <v>212</v>
      </c>
      <c r="E19" s="14" t="s">
        <v>213</v>
      </c>
      <c r="F19" s="20" t="s">
        <v>223</v>
      </c>
      <c r="G19" s="21"/>
      <c r="H19" s="9" t="s">
        <v>192</v>
      </c>
      <c r="I19" s="21"/>
      <c r="J19" s="17">
        <v>2500000</v>
      </c>
      <c r="K19" s="18" t="s">
        <v>181</v>
      </c>
      <c r="L19" s="19"/>
      <c r="M19" s="19"/>
      <c r="N19" s="19"/>
    </row>
    <row r="20" spans="1:14">
      <c r="A20" s="10">
        <f t="shared" si="0"/>
        <v>17</v>
      </c>
      <c r="B20" s="11" t="s">
        <v>24</v>
      </c>
      <c r="C20" s="12" t="s">
        <v>222</v>
      </c>
      <c r="D20" s="13" t="s">
        <v>224</v>
      </c>
      <c r="E20" s="14" t="s">
        <v>25</v>
      </c>
      <c r="F20" s="20" t="s">
        <v>225</v>
      </c>
      <c r="G20" s="21"/>
      <c r="H20" s="9" t="s">
        <v>174</v>
      </c>
      <c r="I20" s="21"/>
      <c r="J20" s="17">
        <v>2400000</v>
      </c>
      <c r="K20" s="18" t="s">
        <v>181</v>
      </c>
      <c r="L20" s="19"/>
      <c r="M20" s="19"/>
      <c r="N20" s="19"/>
    </row>
    <row r="21" spans="1:14">
      <c r="A21" s="10">
        <v>18</v>
      </c>
      <c r="B21" s="11" t="s">
        <v>226</v>
      </c>
      <c r="C21" s="12" t="s">
        <v>227</v>
      </c>
      <c r="D21" s="13" t="s">
        <v>228</v>
      </c>
      <c r="E21" s="23" t="s">
        <v>229</v>
      </c>
      <c r="F21" s="20" t="s">
        <v>230</v>
      </c>
      <c r="G21" s="21"/>
      <c r="H21" s="9" t="s">
        <v>231</v>
      </c>
      <c r="I21" s="21"/>
      <c r="J21" s="17"/>
      <c r="K21" s="18" t="s">
        <v>232</v>
      </c>
      <c r="L21" s="19"/>
      <c r="M21" s="19"/>
      <c r="N21" s="19"/>
    </row>
    <row r="22" spans="1:14">
      <c r="A22" s="10">
        <f t="shared" si="0"/>
        <v>19</v>
      </c>
      <c r="B22" s="11" t="s">
        <v>233</v>
      </c>
      <c r="C22" s="12" t="s">
        <v>234</v>
      </c>
      <c r="D22" s="13" t="s">
        <v>228</v>
      </c>
      <c r="E22" s="24" t="s">
        <v>235</v>
      </c>
      <c r="F22" s="20" t="s">
        <v>236</v>
      </c>
      <c r="G22" s="21"/>
      <c r="H22" s="9" t="s">
        <v>237</v>
      </c>
      <c r="I22" s="21"/>
      <c r="J22" s="17"/>
      <c r="K22" s="18" t="s">
        <v>232</v>
      </c>
      <c r="L22" s="19"/>
      <c r="M22" s="19"/>
      <c r="N22" s="19"/>
    </row>
    <row r="23" spans="1:14">
      <c r="A23" s="10">
        <f t="shared" si="0"/>
        <v>20</v>
      </c>
      <c r="B23" s="11" t="s">
        <v>238</v>
      </c>
      <c r="C23" s="12" t="s">
        <v>234</v>
      </c>
      <c r="D23" s="13" t="s">
        <v>239</v>
      </c>
      <c r="E23" s="24" t="s">
        <v>240</v>
      </c>
      <c r="F23" s="20" t="s">
        <v>236</v>
      </c>
      <c r="G23" s="21"/>
      <c r="H23" s="23" t="s">
        <v>180</v>
      </c>
      <c r="I23" s="21"/>
      <c r="J23" s="17">
        <v>2200000</v>
      </c>
      <c r="K23" s="18" t="s">
        <v>181</v>
      </c>
      <c r="L23" s="19"/>
      <c r="M23" s="19"/>
      <c r="N23" s="19"/>
    </row>
    <row r="24" spans="1:14">
      <c r="A24" s="10">
        <f t="shared" si="0"/>
        <v>21</v>
      </c>
      <c r="B24" s="11" t="s">
        <v>176</v>
      </c>
      <c r="C24" s="12" t="s">
        <v>241</v>
      </c>
      <c r="D24" s="13" t="s">
        <v>177</v>
      </c>
      <c r="E24" s="14" t="s">
        <v>178</v>
      </c>
      <c r="F24" s="20" t="s">
        <v>242</v>
      </c>
      <c r="G24" s="21"/>
      <c r="H24" s="23" t="s">
        <v>180</v>
      </c>
      <c r="I24" s="21"/>
      <c r="J24" s="17">
        <v>5508000</v>
      </c>
      <c r="K24" s="18" t="s">
        <v>243</v>
      </c>
      <c r="L24" s="19"/>
      <c r="M24" s="19"/>
      <c r="N24" s="19"/>
    </row>
    <row r="25" spans="1:14">
      <c r="A25" s="10">
        <f t="shared" si="0"/>
        <v>22</v>
      </c>
      <c r="B25" s="11" t="s">
        <v>22</v>
      </c>
      <c r="C25" s="12" t="s">
        <v>244</v>
      </c>
      <c r="D25" s="13" t="s">
        <v>186</v>
      </c>
      <c r="E25" s="14" t="s">
        <v>23</v>
      </c>
      <c r="F25" s="20" t="s">
        <v>205</v>
      </c>
      <c r="G25" s="21"/>
      <c r="H25" s="23" t="s">
        <v>180</v>
      </c>
      <c r="I25" s="21"/>
      <c r="J25" s="17">
        <v>3000000</v>
      </c>
      <c r="K25" s="18" t="s">
        <v>175</v>
      </c>
      <c r="L25" s="19"/>
      <c r="M25" s="19"/>
      <c r="N25" s="19"/>
    </row>
    <row r="26" spans="1:14">
      <c r="A26" s="10">
        <f t="shared" si="0"/>
        <v>23</v>
      </c>
      <c r="B26" s="11" t="s">
        <v>245</v>
      </c>
      <c r="C26" s="12" t="s">
        <v>244</v>
      </c>
      <c r="D26" s="13" t="s">
        <v>246</v>
      </c>
      <c r="E26" s="22" t="s">
        <v>247</v>
      </c>
      <c r="F26" s="20" t="s">
        <v>215</v>
      </c>
      <c r="G26" s="21"/>
      <c r="H26" s="23" t="s">
        <v>180</v>
      </c>
      <c r="I26" s="21"/>
      <c r="J26" s="17">
        <v>2400000</v>
      </c>
      <c r="K26" s="18" t="s">
        <v>181</v>
      </c>
      <c r="L26" s="19"/>
      <c r="M26" s="19"/>
      <c r="N26" s="19"/>
    </row>
    <row r="27" spans="1:14">
      <c r="A27" s="10">
        <f t="shared" si="0"/>
        <v>24</v>
      </c>
      <c r="B27" s="11" t="s">
        <v>197</v>
      </c>
      <c r="C27" s="12" t="s">
        <v>244</v>
      </c>
      <c r="D27" s="13" t="s">
        <v>248</v>
      </c>
      <c r="E27" s="22" t="s">
        <v>199</v>
      </c>
      <c r="F27" s="20" t="s">
        <v>230</v>
      </c>
      <c r="G27" s="21"/>
      <c r="H27" s="23" t="s">
        <v>249</v>
      </c>
      <c r="I27" s="21"/>
      <c r="J27" s="17"/>
      <c r="K27" s="18" t="s">
        <v>250</v>
      </c>
      <c r="L27" s="19"/>
      <c r="M27" s="19"/>
      <c r="N27" s="19"/>
    </row>
    <row r="28" spans="1:14">
      <c r="A28" s="10">
        <f t="shared" si="0"/>
        <v>25</v>
      </c>
      <c r="B28" s="11" t="s">
        <v>251</v>
      </c>
      <c r="C28" s="12" t="s">
        <v>252</v>
      </c>
      <c r="D28" s="13" t="s">
        <v>253</v>
      </c>
      <c r="E28" s="23" t="s">
        <v>254</v>
      </c>
      <c r="F28" s="20" t="s">
        <v>230</v>
      </c>
      <c r="G28" s="21"/>
      <c r="H28" s="23" t="s">
        <v>255</v>
      </c>
      <c r="I28" s="21"/>
      <c r="J28" s="17">
        <v>2400000</v>
      </c>
      <c r="K28" s="18" t="s">
        <v>181</v>
      </c>
      <c r="L28" s="19"/>
      <c r="M28" s="19"/>
      <c r="N28" s="19"/>
    </row>
    <row r="29" spans="1:14">
      <c r="A29" s="10">
        <f t="shared" si="0"/>
        <v>26</v>
      </c>
      <c r="B29" s="11" t="s">
        <v>17</v>
      </c>
      <c r="C29" s="12" t="s">
        <v>256</v>
      </c>
      <c r="D29" s="13" t="s">
        <v>257</v>
      </c>
      <c r="E29" s="23" t="s">
        <v>18</v>
      </c>
      <c r="F29" s="20" t="s">
        <v>230</v>
      </c>
      <c r="G29" s="21"/>
      <c r="H29" s="23" t="s">
        <v>255</v>
      </c>
      <c r="I29" s="21"/>
      <c r="J29" s="17">
        <v>3000000</v>
      </c>
      <c r="K29" s="18" t="s">
        <v>175</v>
      </c>
      <c r="L29" s="19"/>
      <c r="M29" s="19"/>
      <c r="N29" s="19"/>
    </row>
    <row r="30" spans="1:14">
      <c r="A30" s="10">
        <f t="shared" si="0"/>
        <v>27</v>
      </c>
      <c r="B30" s="11" t="s">
        <v>24</v>
      </c>
      <c r="C30" s="12" t="s">
        <v>258</v>
      </c>
      <c r="D30" s="13" t="s">
        <v>224</v>
      </c>
      <c r="E30" s="14" t="s">
        <v>25</v>
      </c>
      <c r="F30" s="20" t="s">
        <v>259</v>
      </c>
      <c r="G30" s="21"/>
      <c r="H30" s="23"/>
      <c r="I30" s="21"/>
      <c r="J30" s="17"/>
      <c r="K30" s="18" t="s">
        <v>260</v>
      </c>
      <c r="L30" s="19"/>
      <c r="M30" s="19"/>
      <c r="N30" s="19"/>
    </row>
    <row r="31" spans="1:14">
      <c r="A31" s="10">
        <f t="shared" si="0"/>
        <v>28</v>
      </c>
      <c r="B31" s="11" t="s">
        <v>210</v>
      </c>
      <c r="C31" s="12" t="s">
        <v>258</v>
      </c>
      <c r="D31" s="13" t="s">
        <v>212</v>
      </c>
      <c r="E31" s="14" t="s">
        <v>213</v>
      </c>
      <c r="F31" s="20"/>
      <c r="G31" s="21"/>
      <c r="H31" s="23"/>
      <c r="I31" s="21"/>
      <c r="J31" s="17"/>
      <c r="K31" s="18" t="s">
        <v>260</v>
      </c>
      <c r="L31" s="19"/>
      <c r="M31" s="19"/>
      <c r="N31" s="19"/>
    </row>
    <row r="32" spans="1:14">
      <c r="A32" s="10">
        <v>1</v>
      </c>
      <c r="B32" s="11" t="s">
        <v>261</v>
      </c>
      <c r="C32" s="12">
        <v>46028</v>
      </c>
      <c r="D32" s="22" t="s">
        <v>262</v>
      </c>
      <c r="E32" s="24" t="s">
        <v>263</v>
      </c>
      <c r="F32" s="20" t="s">
        <v>264</v>
      </c>
      <c r="G32" s="21"/>
      <c r="H32" s="14" t="s">
        <v>265</v>
      </c>
      <c r="I32" s="21"/>
      <c r="J32" s="17">
        <v>2300000</v>
      </c>
      <c r="K32" s="18" t="s">
        <v>181</v>
      </c>
      <c r="L32" s="19"/>
      <c r="M32" s="19"/>
      <c r="N32" s="19"/>
    </row>
    <row r="33" spans="1:14">
      <c r="A33" s="10">
        <v>2</v>
      </c>
      <c r="B33" s="11" t="s">
        <v>57</v>
      </c>
      <c r="C33" s="12">
        <v>46059</v>
      </c>
      <c r="D33" s="23" t="s">
        <v>266</v>
      </c>
      <c r="E33" s="24" t="s">
        <v>58</v>
      </c>
      <c r="F33" s="20" t="s">
        <v>209</v>
      </c>
      <c r="G33" s="21"/>
      <c r="H33" s="14" t="s">
        <v>267</v>
      </c>
      <c r="I33" s="21"/>
      <c r="J33" s="17">
        <v>2400000</v>
      </c>
      <c r="K33" s="18" t="s">
        <v>181</v>
      </c>
      <c r="L33" s="19"/>
      <c r="M33" s="19"/>
      <c r="N33" s="19"/>
    </row>
    <row r="34" spans="1:14">
      <c r="A34" s="10">
        <v>3</v>
      </c>
      <c r="B34" s="11" t="s">
        <v>268</v>
      </c>
      <c r="C34" s="12">
        <v>46087</v>
      </c>
      <c r="D34" s="23" t="s">
        <v>269</v>
      </c>
      <c r="E34" s="24" t="s">
        <v>270</v>
      </c>
      <c r="F34" s="20" t="s">
        <v>271</v>
      </c>
      <c r="G34" s="21"/>
      <c r="H34" s="14" t="s">
        <v>267</v>
      </c>
      <c r="I34" s="21"/>
      <c r="J34" s="17">
        <v>2300000</v>
      </c>
      <c r="K34" s="18" t="s">
        <v>181</v>
      </c>
      <c r="L34" s="19"/>
      <c r="M34" s="19"/>
      <c r="N34" s="19"/>
    </row>
    <row r="35" spans="1:14">
      <c r="A35" s="10">
        <v>4</v>
      </c>
      <c r="B35" s="11" t="s">
        <v>272</v>
      </c>
      <c r="C35" s="12">
        <v>46118</v>
      </c>
      <c r="D35" s="13" t="s">
        <v>273</v>
      </c>
      <c r="E35" s="14" t="s">
        <v>274</v>
      </c>
      <c r="F35" s="15" t="s">
        <v>209</v>
      </c>
      <c r="G35" s="9"/>
      <c r="H35" s="14" t="s">
        <v>265</v>
      </c>
      <c r="I35" s="21"/>
      <c r="J35" s="17">
        <v>2700000</v>
      </c>
      <c r="K35" s="18" t="s">
        <v>181</v>
      </c>
      <c r="L35" s="19"/>
      <c r="M35" s="19"/>
      <c r="N35" s="19"/>
    </row>
    <row r="36" spans="1:14">
      <c r="A36" s="10">
        <v>5</v>
      </c>
      <c r="B36" s="25" t="s">
        <v>275</v>
      </c>
      <c r="C36" s="12">
        <v>46362</v>
      </c>
      <c r="D36" s="23" t="s">
        <v>276</v>
      </c>
      <c r="E36" s="24" t="s">
        <v>277</v>
      </c>
      <c r="F36" s="20" t="s">
        <v>236</v>
      </c>
      <c r="G36" s="21"/>
      <c r="H36" s="14" t="s">
        <v>265</v>
      </c>
      <c r="I36" s="21"/>
      <c r="J36" s="17">
        <v>2500000</v>
      </c>
      <c r="K36" s="18" t="s">
        <v>181</v>
      </c>
      <c r="L36" s="19"/>
      <c r="M36" s="19"/>
      <c r="N36" s="19"/>
    </row>
    <row r="37" spans="1:14">
      <c r="A37" s="10">
        <v>6</v>
      </c>
      <c r="B37" s="26" t="s">
        <v>59</v>
      </c>
      <c r="C37" s="12" t="s">
        <v>211</v>
      </c>
      <c r="D37" s="22" t="s">
        <v>278</v>
      </c>
      <c r="E37" s="23" t="s">
        <v>60</v>
      </c>
      <c r="F37" s="20" t="s">
        <v>279</v>
      </c>
      <c r="G37" s="21"/>
      <c r="H37" s="23" t="s">
        <v>280</v>
      </c>
      <c r="I37" s="21"/>
      <c r="J37" s="17">
        <v>2100000</v>
      </c>
      <c r="K37" s="18" t="s">
        <v>181</v>
      </c>
      <c r="L37" s="19"/>
      <c r="M37" s="19"/>
      <c r="N37" s="19"/>
    </row>
    <row r="38" spans="1:14">
      <c r="A38" s="10">
        <v>7</v>
      </c>
      <c r="B38" s="11" t="s">
        <v>57</v>
      </c>
      <c r="C38" s="12" t="s">
        <v>281</v>
      </c>
      <c r="D38" s="23" t="s">
        <v>266</v>
      </c>
      <c r="E38" s="24" t="s">
        <v>58</v>
      </c>
      <c r="F38" s="20" t="s">
        <v>282</v>
      </c>
      <c r="G38" s="21"/>
      <c r="H38" s="14" t="s">
        <v>265</v>
      </c>
      <c r="I38" s="21"/>
      <c r="J38" s="17">
        <v>2200000</v>
      </c>
      <c r="K38" s="18" t="s">
        <v>181</v>
      </c>
      <c r="L38" s="19"/>
      <c r="M38" s="19"/>
      <c r="N38" s="19"/>
    </row>
    <row r="39" spans="1:14">
      <c r="A39" s="10">
        <v>8</v>
      </c>
      <c r="B39" s="11" t="s">
        <v>197</v>
      </c>
      <c r="C39" s="12" t="s">
        <v>227</v>
      </c>
      <c r="D39" s="22" t="s">
        <v>198</v>
      </c>
      <c r="E39" s="23" t="s">
        <v>199</v>
      </c>
      <c r="F39" s="20" t="s">
        <v>205</v>
      </c>
      <c r="G39" s="21"/>
      <c r="H39" s="14" t="s">
        <v>280</v>
      </c>
      <c r="I39" s="21"/>
      <c r="J39" s="17"/>
      <c r="K39" s="18" t="s">
        <v>283</v>
      </c>
      <c r="L39" s="19"/>
      <c r="M39" s="19"/>
      <c r="N39" s="19"/>
    </row>
    <row r="40" spans="1:14">
      <c r="A40" s="10">
        <v>9</v>
      </c>
      <c r="B40" s="27" t="s">
        <v>284</v>
      </c>
      <c r="C40" s="12" t="s">
        <v>234</v>
      </c>
      <c r="D40" s="22" t="s">
        <v>285</v>
      </c>
      <c r="E40" s="24" t="s">
        <v>286</v>
      </c>
      <c r="F40" s="20" t="s">
        <v>279</v>
      </c>
      <c r="G40" s="21"/>
      <c r="H40" s="14" t="s">
        <v>265</v>
      </c>
      <c r="I40" s="21"/>
      <c r="J40" s="17">
        <v>2300000</v>
      </c>
      <c r="K40" s="18" t="s">
        <v>181</v>
      </c>
      <c r="L40" s="19"/>
      <c r="M40" s="19"/>
      <c r="N40" s="19"/>
    </row>
    <row r="41" spans="1:14">
      <c r="A41" s="10"/>
      <c r="B41" s="28" t="s">
        <v>287</v>
      </c>
      <c r="C41" s="12" t="s">
        <v>258</v>
      </c>
      <c r="D41" s="22" t="s">
        <v>288</v>
      </c>
      <c r="E41" s="23" t="s">
        <v>289</v>
      </c>
      <c r="F41" s="20" t="s">
        <v>290</v>
      </c>
      <c r="G41" s="21"/>
      <c r="H41" s="14" t="s">
        <v>291</v>
      </c>
      <c r="I41" s="21"/>
      <c r="J41" s="17">
        <v>2300000</v>
      </c>
      <c r="K41" s="18" t="s">
        <v>181</v>
      </c>
      <c r="L41" s="19"/>
      <c r="M41" s="19"/>
      <c r="N41" s="19"/>
    </row>
    <row r="42" spans="1:14">
      <c r="A42" s="10">
        <v>1</v>
      </c>
      <c r="B42" s="11" t="s">
        <v>292</v>
      </c>
      <c r="C42" s="12" t="s">
        <v>211</v>
      </c>
      <c r="D42" s="13" t="s">
        <v>293</v>
      </c>
      <c r="E42" s="14" t="s">
        <v>294</v>
      </c>
      <c r="F42" s="20" t="s">
        <v>264</v>
      </c>
      <c r="G42" s="21"/>
      <c r="H42" s="23" t="s">
        <v>295</v>
      </c>
      <c r="I42" s="16"/>
      <c r="J42" s="29">
        <v>8000000</v>
      </c>
      <c r="K42" s="18" t="s">
        <v>296</v>
      </c>
      <c r="L42" s="19"/>
      <c r="M42" s="19"/>
      <c r="N42" s="19"/>
    </row>
    <row r="43" spans="1:14">
      <c r="A43" s="10">
        <v>2</v>
      </c>
      <c r="B43" s="11" t="s">
        <v>292</v>
      </c>
      <c r="C43" s="12">
        <v>46271</v>
      </c>
      <c r="D43" s="13" t="s">
        <v>297</v>
      </c>
      <c r="E43" s="14" t="s">
        <v>294</v>
      </c>
      <c r="F43" s="20" t="s">
        <v>298</v>
      </c>
      <c r="G43" s="16"/>
      <c r="H43" s="23" t="s">
        <v>299</v>
      </c>
      <c r="I43" s="21"/>
      <c r="J43" s="29">
        <v>2000000</v>
      </c>
      <c r="K43" s="18" t="s">
        <v>181</v>
      </c>
      <c r="L43" s="19"/>
      <c r="M43" s="19"/>
      <c r="N43" s="19"/>
    </row>
    <row r="44" spans="1:14">
      <c r="A44" s="10">
        <v>3</v>
      </c>
      <c r="B44" s="11" t="s">
        <v>300</v>
      </c>
      <c r="C44" s="12">
        <v>46059</v>
      </c>
      <c r="D44" s="13" t="s">
        <v>301</v>
      </c>
      <c r="E44" s="14" t="s">
        <v>302</v>
      </c>
      <c r="F44" s="20" t="s">
        <v>303</v>
      </c>
      <c r="G44" s="16"/>
      <c r="H44" s="23" t="s">
        <v>304</v>
      </c>
      <c r="I44" s="21"/>
      <c r="J44" s="29">
        <v>2200000</v>
      </c>
      <c r="K44" s="18" t="s">
        <v>181</v>
      </c>
      <c r="L44" s="19"/>
      <c r="M44" s="19"/>
      <c r="N44" s="19"/>
    </row>
    <row r="45" spans="1:14">
      <c r="A45" s="10">
        <v>4</v>
      </c>
      <c r="B45" s="11" t="s">
        <v>305</v>
      </c>
      <c r="C45" s="12">
        <v>46118</v>
      </c>
      <c r="D45" s="13" t="s">
        <v>306</v>
      </c>
      <c r="E45" s="14" t="s">
        <v>307</v>
      </c>
      <c r="F45" s="20" t="s">
        <v>205</v>
      </c>
      <c r="G45" s="21"/>
      <c r="H45" s="14" t="s">
        <v>308</v>
      </c>
      <c r="I45" s="21"/>
      <c r="J45" s="17">
        <v>3000000</v>
      </c>
      <c r="K45" s="18" t="s">
        <v>175</v>
      </c>
      <c r="L45" s="19"/>
      <c r="M45" s="19"/>
      <c r="N45" s="19"/>
    </row>
    <row r="46" spans="1:14">
      <c r="A46" s="10">
        <v>5</v>
      </c>
      <c r="B46" s="11" t="s">
        <v>309</v>
      </c>
      <c r="C46" s="12" t="s">
        <v>281</v>
      </c>
      <c r="D46" s="13" t="s">
        <v>293</v>
      </c>
      <c r="E46" s="14" t="s">
        <v>310</v>
      </c>
      <c r="F46" s="20" t="s">
        <v>219</v>
      </c>
      <c r="G46" s="21"/>
      <c r="H46" s="14" t="s">
        <v>311</v>
      </c>
      <c r="I46" s="21"/>
      <c r="J46" s="29">
        <v>2200000</v>
      </c>
      <c r="K46" s="18" t="s">
        <v>181</v>
      </c>
      <c r="L46" s="19"/>
      <c r="M46" s="19"/>
      <c r="N46" s="19"/>
    </row>
    <row r="47" spans="1:14">
      <c r="A47" s="10">
        <v>6</v>
      </c>
      <c r="B47" s="11" t="s">
        <v>292</v>
      </c>
      <c r="C47" s="12" t="s">
        <v>227</v>
      </c>
      <c r="D47" s="13" t="s">
        <v>312</v>
      </c>
      <c r="E47" s="30" t="s">
        <v>294</v>
      </c>
      <c r="F47" s="15" t="s">
        <v>187</v>
      </c>
      <c r="G47" s="16"/>
      <c r="H47" s="14" t="s">
        <v>304</v>
      </c>
      <c r="I47" s="21"/>
      <c r="J47" s="29">
        <v>2100000</v>
      </c>
      <c r="K47" s="18" t="s">
        <v>181</v>
      </c>
      <c r="L47" s="19"/>
      <c r="M47" s="19"/>
      <c r="N47" s="19"/>
    </row>
    <row r="48" spans="1:14">
      <c r="A48" s="10">
        <v>7</v>
      </c>
      <c r="B48" s="2" t="s">
        <v>313</v>
      </c>
      <c r="C48" s="12" t="s">
        <v>227</v>
      </c>
      <c r="D48" s="13" t="s">
        <v>314</v>
      </c>
      <c r="E48" s="14" t="s">
        <v>315</v>
      </c>
      <c r="F48" s="15" t="s">
        <v>209</v>
      </c>
      <c r="G48" s="21"/>
      <c r="H48" s="23" t="s">
        <v>316</v>
      </c>
      <c r="I48" s="21"/>
      <c r="J48" s="29">
        <v>2500000</v>
      </c>
      <c r="K48" s="18" t="s">
        <v>175</v>
      </c>
      <c r="L48" s="19"/>
      <c r="M48" s="19"/>
      <c r="N48" s="19"/>
    </row>
    <row r="49" spans="1:14">
      <c r="A49" s="10">
        <v>8</v>
      </c>
      <c r="B49" s="11" t="s">
        <v>300</v>
      </c>
      <c r="C49" s="12" t="s">
        <v>227</v>
      </c>
      <c r="D49" s="13" t="s">
        <v>317</v>
      </c>
      <c r="E49" s="14" t="s">
        <v>302</v>
      </c>
      <c r="F49" s="20" t="s">
        <v>318</v>
      </c>
      <c r="G49" s="21"/>
      <c r="H49" s="14" t="s">
        <v>319</v>
      </c>
      <c r="I49" s="21"/>
      <c r="J49" s="17">
        <v>2800000</v>
      </c>
      <c r="K49" s="18" t="s">
        <v>175</v>
      </c>
      <c r="L49" s="19"/>
      <c r="M49" s="19"/>
      <c r="N49" s="19"/>
    </row>
    <row r="50" spans="1:14">
      <c r="A50" s="10">
        <v>10</v>
      </c>
      <c r="B50" s="11" t="s">
        <v>309</v>
      </c>
      <c r="C50" s="12" t="s">
        <v>320</v>
      </c>
      <c r="D50" s="13" t="s">
        <v>293</v>
      </c>
      <c r="E50" s="14" t="s">
        <v>310</v>
      </c>
      <c r="F50" s="20" t="s">
        <v>321</v>
      </c>
      <c r="G50" s="21"/>
      <c r="H50" s="14" t="s">
        <v>322</v>
      </c>
      <c r="I50" s="21"/>
      <c r="J50" s="17">
        <v>2900000</v>
      </c>
      <c r="K50" s="18" t="s">
        <v>175</v>
      </c>
      <c r="L50" s="19"/>
      <c r="M50" s="19"/>
      <c r="N50" s="19"/>
    </row>
    <row r="51" spans="1:14">
      <c r="A51" s="10">
        <v>9</v>
      </c>
      <c r="B51" s="11" t="s">
        <v>309</v>
      </c>
      <c r="C51" s="12" t="s">
        <v>234</v>
      </c>
      <c r="D51" s="13" t="s">
        <v>293</v>
      </c>
      <c r="E51" s="14" t="s">
        <v>310</v>
      </c>
      <c r="F51" s="20" t="s">
        <v>323</v>
      </c>
      <c r="G51" s="21"/>
      <c r="H51" s="14" t="s">
        <v>324</v>
      </c>
      <c r="I51" s="21"/>
      <c r="J51" s="17">
        <v>2900000</v>
      </c>
      <c r="K51" s="18" t="s">
        <v>175</v>
      </c>
      <c r="L51" s="19"/>
      <c r="M51" s="19"/>
      <c r="N51" s="19"/>
    </row>
    <row r="52" spans="1:14">
      <c r="A52" s="10">
        <v>1</v>
      </c>
      <c r="B52" s="31" t="s">
        <v>325</v>
      </c>
      <c r="C52" s="12" t="s">
        <v>326</v>
      </c>
      <c r="D52" s="13" t="s">
        <v>327</v>
      </c>
      <c r="E52" s="14" t="s">
        <v>328</v>
      </c>
      <c r="F52" s="15" t="s">
        <v>230</v>
      </c>
      <c r="G52" s="16"/>
      <c r="H52" s="14" t="s">
        <v>329</v>
      </c>
      <c r="I52" s="21"/>
      <c r="J52" s="17">
        <v>1800000</v>
      </c>
      <c r="K52" s="18" t="s">
        <v>181</v>
      </c>
      <c r="L52" s="19"/>
      <c r="M52" s="19"/>
      <c r="N52" s="19"/>
    </row>
    <row r="53" spans="1:14">
      <c r="A53" s="10">
        <v>2</v>
      </c>
      <c r="B53" s="31" t="s">
        <v>330</v>
      </c>
      <c r="C53" s="12">
        <v>46240</v>
      </c>
      <c r="D53" s="13" t="s">
        <v>331</v>
      </c>
      <c r="E53" s="14" t="s">
        <v>332</v>
      </c>
      <c r="F53" s="15" t="s">
        <v>333</v>
      </c>
      <c r="G53" s="16"/>
      <c r="H53" s="14"/>
      <c r="I53" s="21"/>
      <c r="J53" s="17"/>
      <c r="K53" s="18" t="s">
        <v>334</v>
      </c>
      <c r="L53" s="19"/>
      <c r="M53" s="19"/>
      <c r="N53" s="19"/>
    </row>
    <row r="54" spans="1:14">
      <c r="A54" s="10">
        <v>3</v>
      </c>
      <c r="B54" s="31" t="s">
        <v>335</v>
      </c>
      <c r="C54" s="12" t="s">
        <v>336</v>
      </c>
      <c r="D54" s="13" t="s">
        <v>337</v>
      </c>
      <c r="E54" s="14" t="s">
        <v>338</v>
      </c>
      <c r="F54" s="15" t="s">
        <v>323</v>
      </c>
      <c r="G54" s="16"/>
      <c r="H54" s="14"/>
      <c r="I54" s="21"/>
      <c r="J54" s="17"/>
      <c r="K54" s="18" t="s">
        <v>334</v>
      </c>
      <c r="L54" s="19"/>
      <c r="M54" s="19"/>
      <c r="N54" s="19"/>
    </row>
    <row r="55" spans="1:14">
      <c r="A55" s="10">
        <v>4</v>
      </c>
      <c r="B55" s="31" t="s">
        <v>339</v>
      </c>
      <c r="C55" s="12" t="s">
        <v>241</v>
      </c>
      <c r="D55" s="13" t="s">
        <v>340</v>
      </c>
      <c r="E55" s="14" t="s">
        <v>341</v>
      </c>
      <c r="F55" s="15" t="s">
        <v>342</v>
      </c>
      <c r="G55" s="16"/>
      <c r="H55" s="14"/>
      <c r="I55" s="21"/>
      <c r="J55" s="17"/>
      <c r="K55" s="18" t="s">
        <v>334</v>
      </c>
      <c r="L55" s="19"/>
      <c r="M55" s="19"/>
      <c r="N55" s="19"/>
    </row>
    <row r="56" spans="1:14">
      <c r="A56" s="10">
        <v>5</v>
      </c>
      <c r="B56" s="31" t="s">
        <v>343</v>
      </c>
      <c r="C56" s="12">
        <v>46028</v>
      </c>
      <c r="D56" s="13" t="s">
        <v>344</v>
      </c>
      <c r="E56" s="14" t="s">
        <v>345</v>
      </c>
      <c r="F56" s="20" t="s">
        <v>346</v>
      </c>
      <c r="G56" s="21"/>
      <c r="H56" s="9"/>
      <c r="I56" s="21"/>
      <c r="J56" s="17"/>
      <c r="K56" s="18" t="s">
        <v>260</v>
      </c>
      <c r="L56" s="19"/>
      <c r="M56" s="19"/>
      <c r="N56" s="19"/>
    </row>
    <row r="57" spans="1:14">
      <c r="A57" s="10">
        <v>6</v>
      </c>
      <c r="B57" s="31" t="s">
        <v>347</v>
      </c>
      <c r="C57" s="12">
        <v>46240</v>
      </c>
      <c r="D57" s="13" t="s">
        <v>348</v>
      </c>
      <c r="E57" s="14" t="s">
        <v>349</v>
      </c>
      <c r="F57" s="15" t="s">
        <v>183</v>
      </c>
      <c r="G57" s="16"/>
      <c r="H57" s="23"/>
      <c r="I57" s="21"/>
      <c r="J57" s="17"/>
      <c r="K57" s="18" t="s">
        <v>260</v>
      </c>
      <c r="L57" s="19"/>
      <c r="M57" s="19"/>
      <c r="N57" s="19"/>
    </row>
    <row r="58" spans="1:14">
      <c r="A58" s="10">
        <v>7</v>
      </c>
      <c r="B58" s="31" t="s">
        <v>347</v>
      </c>
      <c r="C58" s="12">
        <v>46332</v>
      </c>
      <c r="D58" s="13" t="s">
        <v>348</v>
      </c>
      <c r="E58" s="14" t="s">
        <v>349</v>
      </c>
      <c r="F58" s="15" t="s">
        <v>342</v>
      </c>
      <c r="G58" s="16"/>
      <c r="I58" s="21"/>
      <c r="J58" s="17"/>
      <c r="K58" s="18" t="s">
        <v>260</v>
      </c>
      <c r="L58" s="19"/>
      <c r="M58" s="19"/>
      <c r="N58" s="19"/>
    </row>
    <row r="59" spans="1:14">
      <c r="A59" s="10">
        <v>8</v>
      </c>
      <c r="B59" s="11" t="s">
        <v>350</v>
      </c>
      <c r="C59" s="12" t="s">
        <v>336</v>
      </c>
      <c r="D59" s="13" t="s">
        <v>351</v>
      </c>
      <c r="E59" s="14" t="s">
        <v>352</v>
      </c>
      <c r="F59" s="15" t="s">
        <v>321</v>
      </c>
      <c r="G59" s="9"/>
      <c r="H59" s="14" t="s">
        <v>353</v>
      </c>
      <c r="I59" s="21"/>
      <c r="J59" s="17">
        <v>6372000</v>
      </c>
      <c r="K59" s="18" t="s">
        <v>243</v>
      </c>
      <c r="L59" s="19"/>
      <c r="M59" s="19"/>
      <c r="N59" s="19"/>
    </row>
    <row r="60" spans="1:14">
      <c r="A60" s="10">
        <v>1</v>
      </c>
      <c r="B60" s="12" t="s">
        <v>354</v>
      </c>
      <c r="C60" s="12">
        <v>46240</v>
      </c>
      <c r="D60" s="13" t="s">
        <v>355</v>
      </c>
      <c r="E60" s="9" t="s">
        <v>356</v>
      </c>
      <c r="F60" s="15" t="s">
        <v>303</v>
      </c>
      <c r="G60" s="9"/>
      <c r="H60" s="9" t="s">
        <v>357</v>
      </c>
      <c r="I60" s="9"/>
      <c r="J60" s="17">
        <v>5400000</v>
      </c>
      <c r="K60" s="18" t="s">
        <v>243</v>
      </c>
      <c r="L60" s="19"/>
      <c r="M60" s="19"/>
      <c r="N60" s="19"/>
    </row>
    <row r="61" spans="1:14">
      <c r="A61" s="10">
        <v>2</v>
      </c>
      <c r="B61" s="12" t="s">
        <v>354</v>
      </c>
      <c r="C61" s="12">
        <v>46301</v>
      </c>
      <c r="D61" s="13" t="s">
        <v>355</v>
      </c>
      <c r="E61" s="9" t="s">
        <v>356</v>
      </c>
      <c r="F61" s="32" t="s">
        <v>321</v>
      </c>
      <c r="G61" s="33"/>
      <c r="H61" s="9" t="s">
        <v>358</v>
      </c>
      <c r="I61" s="33"/>
      <c r="J61" s="17">
        <v>5400000</v>
      </c>
      <c r="K61" s="18" t="s">
        <v>243</v>
      </c>
      <c r="L61" s="34"/>
      <c r="M61" s="34"/>
      <c r="N61" s="35"/>
    </row>
    <row r="62" spans="1:14">
      <c r="A62" s="10">
        <v>3</v>
      </c>
      <c r="B62" s="11" t="s">
        <v>359</v>
      </c>
      <c r="C62" s="12" t="s">
        <v>281</v>
      </c>
      <c r="D62" s="36" t="s">
        <v>360</v>
      </c>
      <c r="E62" s="33" t="s">
        <v>361</v>
      </c>
      <c r="F62" s="15" t="s">
        <v>205</v>
      </c>
      <c r="G62" s="21"/>
      <c r="H62" s="9" t="s">
        <v>362</v>
      </c>
      <c r="I62" s="21"/>
      <c r="J62" s="29">
        <v>7500000</v>
      </c>
      <c r="K62" s="18" t="s">
        <v>243</v>
      </c>
      <c r="L62" s="34"/>
      <c r="M62" s="34"/>
      <c r="N62" s="35"/>
    </row>
    <row r="63" spans="1:14">
      <c r="A63" s="10">
        <v>4</v>
      </c>
      <c r="B63" s="11" t="s">
        <v>363</v>
      </c>
      <c r="C63" s="12" t="s">
        <v>244</v>
      </c>
      <c r="D63" s="13" t="s">
        <v>364</v>
      </c>
      <c r="E63" s="9" t="s">
        <v>365</v>
      </c>
      <c r="F63" s="2" t="s">
        <v>264</v>
      </c>
      <c r="H63" s="2" t="s">
        <v>366</v>
      </c>
      <c r="J63" s="29">
        <v>5300000</v>
      </c>
      <c r="K63" s="18" t="s">
        <v>243</v>
      </c>
      <c r="L63" s="34"/>
      <c r="M63" s="34"/>
      <c r="N63" s="35"/>
    </row>
    <row r="64" spans="1:14">
      <c r="A64" s="10">
        <v>5</v>
      </c>
      <c r="B64" s="12" t="s">
        <v>354</v>
      </c>
      <c r="C64" s="12" t="s">
        <v>367</v>
      </c>
      <c r="D64" s="13" t="s">
        <v>355</v>
      </c>
      <c r="E64" s="9" t="s">
        <v>356</v>
      </c>
      <c r="F64" s="15" t="s">
        <v>205</v>
      </c>
      <c r="G64" s="16"/>
      <c r="H64" s="14" t="s">
        <v>368</v>
      </c>
      <c r="I64" s="21"/>
      <c r="J64" s="29">
        <v>5300000</v>
      </c>
      <c r="K64" s="18" t="s">
        <v>243</v>
      </c>
      <c r="L64" s="34"/>
      <c r="M64" s="34"/>
      <c r="N64" s="35"/>
    </row>
    <row r="65" spans="1:14">
      <c r="A65" s="10">
        <v>6</v>
      </c>
      <c r="B65" s="11" t="s">
        <v>369</v>
      </c>
      <c r="C65" s="12" t="s">
        <v>258</v>
      </c>
      <c r="D65" s="13" t="s">
        <v>370</v>
      </c>
      <c r="E65" s="9" t="s">
        <v>371</v>
      </c>
      <c r="F65" s="20"/>
      <c r="G65" s="21"/>
      <c r="H65" s="14"/>
      <c r="I65" s="21"/>
      <c r="J65" s="17"/>
      <c r="K65" s="18" t="s">
        <v>372</v>
      </c>
      <c r="L65" s="34"/>
      <c r="M65" s="34"/>
      <c r="N65" s="35"/>
    </row>
    <row r="66" spans="1:14">
      <c r="A66" s="10">
        <v>1</v>
      </c>
      <c r="B66" s="2" t="s">
        <v>373</v>
      </c>
      <c r="C66" s="12">
        <v>46028</v>
      </c>
      <c r="D66" s="13" t="s">
        <v>374</v>
      </c>
      <c r="E66" s="14" t="s">
        <v>375</v>
      </c>
      <c r="F66" s="15" t="s">
        <v>376</v>
      </c>
      <c r="G66" s="16"/>
      <c r="H66" s="14"/>
      <c r="I66" s="16"/>
      <c r="J66" s="29"/>
      <c r="K66" s="18" t="s">
        <v>334</v>
      </c>
      <c r="L66" s="19"/>
      <c r="M66" s="19"/>
      <c r="N66" s="19"/>
    </row>
    <row r="67" spans="1:14">
      <c r="A67" s="10">
        <v>2</v>
      </c>
      <c r="B67" s="2" t="s">
        <v>377</v>
      </c>
      <c r="C67" s="12">
        <v>46059</v>
      </c>
      <c r="D67" s="13" t="s">
        <v>378</v>
      </c>
      <c r="E67" s="14" t="s">
        <v>379</v>
      </c>
      <c r="F67" s="15" t="s">
        <v>209</v>
      </c>
      <c r="G67" s="16"/>
      <c r="H67" s="14"/>
      <c r="I67" s="21"/>
      <c r="J67" s="29"/>
      <c r="K67" s="18" t="s">
        <v>334</v>
      </c>
      <c r="L67" s="19"/>
      <c r="M67" s="19"/>
      <c r="N67" s="19"/>
    </row>
    <row r="68" spans="1:14">
      <c r="A68" s="10">
        <v>3</v>
      </c>
      <c r="B68" s="37" t="s">
        <v>77</v>
      </c>
      <c r="C68" s="12">
        <v>46148</v>
      </c>
      <c r="D68" s="13" t="s">
        <v>380</v>
      </c>
      <c r="E68" s="14" t="s">
        <v>78</v>
      </c>
      <c r="F68" s="15" t="s">
        <v>215</v>
      </c>
      <c r="G68" s="16"/>
      <c r="H68" s="14"/>
      <c r="I68" s="21"/>
      <c r="J68" s="29"/>
      <c r="K68" s="18" t="s">
        <v>334</v>
      </c>
      <c r="L68" s="19"/>
      <c r="M68" s="19"/>
      <c r="N68" s="19"/>
    </row>
    <row r="69" spans="1:14">
      <c r="A69" s="10">
        <v>4</v>
      </c>
      <c r="B69" s="2" t="s">
        <v>381</v>
      </c>
      <c r="C69" s="12">
        <v>46209</v>
      </c>
      <c r="D69" s="13" t="s">
        <v>382</v>
      </c>
      <c r="E69" s="14" t="s">
        <v>383</v>
      </c>
      <c r="F69" s="15" t="s">
        <v>384</v>
      </c>
      <c r="G69" s="16"/>
      <c r="H69" s="14"/>
      <c r="I69" s="21"/>
      <c r="J69" s="29"/>
      <c r="K69" s="18" t="s">
        <v>334</v>
      </c>
      <c r="L69" s="19"/>
      <c r="M69" s="19"/>
      <c r="N69" s="19"/>
    </row>
    <row r="70" spans="1:14">
      <c r="A70" s="10">
        <v>5</v>
      </c>
      <c r="B70" s="2" t="s">
        <v>385</v>
      </c>
      <c r="C70" s="12">
        <v>46271</v>
      </c>
      <c r="D70" s="13" t="s">
        <v>386</v>
      </c>
      <c r="E70" s="14" t="s">
        <v>387</v>
      </c>
      <c r="F70" s="15" t="s">
        <v>376</v>
      </c>
      <c r="G70" s="16"/>
      <c r="H70" s="14"/>
      <c r="I70" s="21"/>
      <c r="J70" s="29"/>
      <c r="K70" s="18" t="s">
        <v>334</v>
      </c>
      <c r="L70" s="19"/>
      <c r="M70" s="19"/>
      <c r="N70" s="19"/>
    </row>
    <row r="71" spans="1:14">
      <c r="A71" s="10">
        <v>6</v>
      </c>
      <c r="B71" s="2" t="s">
        <v>79</v>
      </c>
      <c r="C71" s="12">
        <v>46271</v>
      </c>
      <c r="D71" s="13" t="s">
        <v>388</v>
      </c>
      <c r="E71" s="14" t="s">
        <v>80</v>
      </c>
      <c r="F71" s="15" t="s">
        <v>209</v>
      </c>
      <c r="G71" s="16"/>
      <c r="H71" s="14"/>
      <c r="I71" s="21"/>
      <c r="J71" s="29"/>
      <c r="K71" s="18" t="s">
        <v>334</v>
      </c>
      <c r="L71" s="19"/>
      <c r="M71" s="19"/>
      <c r="N71" s="19"/>
    </row>
    <row r="72" spans="1:14">
      <c r="A72" s="10">
        <v>7</v>
      </c>
      <c r="B72" s="2" t="s">
        <v>389</v>
      </c>
      <c r="C72" s="12">
        <v>46301</v>
      </c>
      <c r="D72" s="13" t="s">
        <v>390</v>
      </c>
      <c r="E72" s="14" t="s">
        <v>391</v>
      </c>
      <c r="F72" s="15" t="s">
        <v>191</v>
      </c>
      <c r="G72" s="16"/>
      <c r="H72" s="14"/>
      <c r="I72" s="21"/>
      <c r="J72" s="29"/>
      <c r="K72" s="18" t="s">
        <v>334</v>
      </c>
      <c r="L72" s="19"/>
      <c r="M72" s="19"/>
      <c r="N72" s="19"/>
    </row>
    <row r="73" spans="1:14">
      <c r="A73" s="10">
        <v>8</v>
      </c>
      <c r="B73" s="2" t="s">
        <v>385</v>
      </c>
      <c r="C73" s="12">
        <v>46332</v>
      </c>
      <c r="D73" s="13" t="s">
        <v>386</v>
      </c>
      <c r="E73" s="14" t="s">
        <v>387</v>
      </c>
      <c r="F73" s="15" t="s">
        <v>323</v>
      </c>
      <c r="G73" s="16"/>
      <c r="H73" s="14"/>
      <c r="I73" s="21"/>
      <c r="J73" s="29"/>
      <c r="K73" s="18" t="s">
        <v>334</v>
      </c>
      <c r="L73" s="19"/>
      <c r="M73" s="19"/>
      <c r="N73" s="19"/>
    </row>
    <row r="74" spans="1:14">
      <c r="A74" s="10">
        <v>9</v>
      </c>
      <c r="B74" s="2" t="s">
        <v>392</v>
      </c>
      <c r="C74" s="12">
        <v>46332</v>
      </c>
      <c r="D74" s="13" t="s">
        <v>393</v>
      </c>
      <c r="E74" s="14" t="s">
        <v>394</v>
      </c>
      <c r="F74" s="15" t="s">
        <v>219</v>
      </c>
      <c r="G74" s="16"/>
      <c r="H74" s="14"/>
      <c r="I74" s="21"/>
      <c r="J74" s="29"/>
      <c r="K74" s="18" t="s">
        <v>334</v>
      </c>
      <c r="L74" s="19"/>
      <c r="M74" s="19"/>
      <c r="N74" s="19"/>
    </row>
    <row r="75" spans="1:14">
      <c r="A75" s="10">
        <v>10</v>
      </c>
      <c r="B75" s="2" t="s">
        <v>395</v>
      </c>
      <c r="C75" s="12">
        <v>46332</v>
      </c>
      <c r="D75" s="13" t="s">
        <v>396</v>
      </c>
      <c r="E75" s="14" t="s">
        <v>397</v>
      </c>
      <c r="F75" s="15" t="s">
        <v>342</v>
      </c>
      <c r="G75" s="16"/>
      <c r="H75" s="14"/>
      <c r="I75" s="21"/>
      <c r="J75" s="29"/>
      <c r="K75" s="18" t="s">
        <v>334</v>
      </c>
      <c r="L75" s="19"/>
      <c r="M75" s="19"/>
      <c r="N75" s="19"/>
    </row>
    <row r="76" spans="1:14">
      <c r="A76" s="10">
        <v>11</v>
      </c>
      <c r="B76" s="2" t="s">
        <v>398</v>
      </c>
      <c r="C76" s="12">
        <v>46362</v>
      </c>
      <c r="D76" s="13" t="s">
        <v>399</v>
      </c>
      <c r="E76" s="14" t="s">
        <v>400</v>
      </c>
      <c r="F76" s="15" t="s">
        <v>384</v>
      </c>
      <c r="G76" s="16"/>
      <c r="H76" s="14"/>
      <c r="I76" s="21"/>
      <c r="J76" s="29"/>
      <c r="K76" s="18" t="s">
        <v>334</v>
      </c>
      <c r="L76" s="19"/>
      <c r="M76" s="19"/>
      <c r="N76" s="19"/>
    </row>
    <row r="77" spans="1:14">
      <c r="A77" s="10">
        <v>12</v>
      </c>
      <c r="B77" s="2" t="s">
        <v>377</v>
      </c>
      <c r="C77" s="12" t="s">
        <v>211</v>
      </c>
      <c r="D77" s="13" t="s">
        <v>378</v>
      </c>
      <c r="E77" s="14" t="s">
        <v>379</v>
      </c>
      <c r="F77" s="15" t="s">
        <v>183</v>
      </c>
      <c r="G77" s="16"/>
      <c r="H77" s="14"/>
      <c r="I77" s="21"/>
      <c r="J77" s="29"/>
      <c r="K77" s="18" t="s">
        <v>334</v>
      </c>
      <c r="L77" s="19"/>
      <c r="M77" s="19"/>
      <c r="N77" s="19"/>
    </row>
    <row r="78" spans="1:14">
      <c r="A78" s="10">
        <v>13</v>
      </c>
      <c r="B78" s="2" t="s">
        <v>81</v>
      </c>
      <c r="C78" s="12" t="s">
        <v>214</v>
      </c>
      <c r="D78" s="13" t="s">
        <v>401</v>
      </c>
      <c r="E78" s="14" t="s">
        <v>82</v>
      </c>
      <c r="F78" s="15" t="s">
        <v>219</v>
      </c>
      <c r="G78" s="16"/>
      <c r="H78" s="14"/>
      <c r="I78" s="21"/>
      <c r="J78" s="29"/>
      <c r="K78" s="18" t="s">
        <v>334</v>
      </c>
      <c r="L78" s="19"/>
      <c r="M78" s="19"/>
      <c r="N78" s="19"/>
    </row>
    <row r="79" spans="1:14">
      <c r="A79" s="10">
        <v>14</v>
      </c>
      <c r="B79" s="2" t="s">
        <v>402</v>
      </c>
      <c r="C79" s="12" t="s">
        <v>214</v>
      </c>
      <c r="D79" s="13" t="s">
        <v>403</v>
      </c>
      <c r="E79" s="14" t="s">
        <v>404</v>
      </c>
      <c r="F79" s="15" t="s">
        <v>342</v>
      </c>
      <c r="G79" s="16"/>
      <c r="H79" s="14"/>
      <c r="I79" s="21"/>
      <c r="J79" s="29"/>
      <c r="K79" s="18" t="s">
        <v>334</v>
      </c>
      <c r="L79" s="19"/>
      <c r="M79" s="19"/>
      <c r="N79" s="19"/>
    </row>
    <row r="80" spans="1:14">
      <c r="A80" s="10">
        <v>15</v>
      </c>
      <c r="B80" s="2" t="s">
        <v>79</v>
      </c>
      <c r="C80" s="12" t="s">
        <v>336</v>
      </c>
      <c r="D80" s="13" t="s">
        <v>388</v>
      </c>
      <c r="E80" s="14" t="s">
        <v>80</v>
      </c>
      <c r="F80" s="15" t="s">
        <v>204</v>
      </c>
      <c r="G80" s="16"/>
      <c r="H80" s="14"/>
      <c r="I80" s="21"/>
      <c r="J80" s="29"/>
      <c r="K80" s="18" t="s">
        <v>334</v>
      </c>
      <c r="L80" s="19"/>
      <c r="M80" s="19"/>
      <c r="N80" s="19"/>
    </row>
    <row r="81" spans="1:14">
      <c r="A81" s="10">
        <v>16</v>
      </c>
      <c r="B81" s="2" t="s">
        <v>377</v>
      </c>
      <c r="C81" s="12" t="s">
        <v>281</v>
      </c>
      <c r="D81" s="13" t="s">
        <v>378</v>
      </c>
      <c r="E81" s="14" t="s">
        <v>379</v>
      </c>
      <c r="F81" s="15" t="s">
        <v>384</v>
      </c>
      <c r="G81" s="16"/>
      <c r="H81" s="14"/>
      <c r="I81" s="21"/>
      <c r="J81" s="29"/>
      <c r="K81" s="18" t="s">
        <v>334</v>
      </c>
      <c r="L81" s="19"/>
      <c r="M81" s="19"/>
      <c r="N81" s="19"/>
    </row>
    <row r="82" spans="1:14">
      <c r="A82" s="10">
        <v>17</v>
      </c>
      <c r="B82" s="2" t="s">
        <v>81</v>
      </c>
      <c r="C82" s="12" t="s">
        <v>227</v>
      </c>
      <c r="D82" s="13" t="s">
        <v>401</v>
      </c>
      <c r="E82" s="14" t="s">
        <v>82</v>
      </c>
      <c r="F82" s="15" t="s">
        <v>342</v>
      </c>
      <c r="G82" s="16"/>
      <c r="H82" s="14"/>
      <c r="I82" s="21"/>
      <c r="J82" s="29"/>
      <c r="K82" s="18" t="s">
        <v>334</v>
      </c>
      <c r="L82" s="19"/>
      <c r="M82" s="19"/>
      <c r="N82" s="19"/>
    </row>
    <row r="83" spans="1:14">
      <c r="A83" s="10">
        <v>18</v>
      </c>
      <c r="B83" s="2" t="s">
        <v>381</v>
      </c>
      <c r="C83" s="12" t="s">
        <v>320</v>
      </c>
      <c r="D83" s="13" t="s">
        <v>382</v>
      </c>
      <c r="E83" s="14" t="s">
        <v>383</v>
      </c>
      <c r="F83" s="15" t="s">
        <v>376</v>
      </c>
      <c r="G83" s="16"/>
      <c r="H83" s="14"/>
      <c r="I83" s="21"/>
      <c r="J83" s="29"/>
      <c r="K83" s="18" t="s">
        <v>334</v>
      </c>
      <c r="L83" s="19"/>
      <c r="M83" s="19"/>
      <c r="N83" s="19"/>
    </row>
    <row r="84" spans="1:14">
      <c r="A84" s="10">
        <v>19</v>
      </c>
      <c r="B84" s="2" t="s">
        <v>377</v>
      </c>
      <c r="C84" s="12" t="s">
        <v>241</v>
      </c>
      <c r="D84" s="13" t="s">
        <v>378</v>
      </c>
      <c r="E84" s="14" t="s">
        <v>379</v>
      </c>
      <c r="F84" s="15" t="s">
        <v>191</v>
      </c>
      <c r="G84" s="16"/>
      <c r="H84" s="14"/>
      <c r="I84" s="21"/>
      <c r="J84" s="29"/>
      <c r="K84" s="18" t="s">
        <v>334</v>
      </c>
      <c r="L84" s="19"/>
      <c r="M84" s="19"/>
      <c r="N84" s="19"/>
    </row>
    <row r="85" spans="1:14">
      <c r="A85" s="10">
        <v>20</v>
      </c>
      <c r="B85" s="2" t="s">
        <v>405</v>
      </c>
      <c r="C85" s="12" t="s">
        <v>406</v>
      </c>
      <c r="D85" s="13" t="s">
        <v>407</v>
      </c>
      <c r="E85" s="14" t="s">
        <v>408</v>
      </c>
      <c r="F85" s="15" t="s">
        <v>219</v>
      </c>
      <c r="G85" s="16"/>
      <c r="H85" s="14"/>
      <c r="I85" s="21"/>
      <c r="J85" s="29"/>
      <c r="K85" s="18" t="s">
        <v>334</v>
      </c>
      <c r="L85" s="19"/>
      <c r="M85" s="19"/>
      <c r="N85" s="19"/>
    </row>
    <row r="86" spans="1:14">
      <c r="A86" s="10">
        <v>21</v>
      </c>
      <c r="B86" s="2" t="s">
        <v>409</v>
      </c>
      <c r="C86" s="12">
        <v>46028</v>
      </c>
      <c r="D86" s="13" t="s">
        <v>410</v>
      </c>
      <c r="E86" s="14" t="s">
        <v>411</v>
      </c>
      <c r="F86" s="15" t="s">
        <v>209</v>
      </c>
      <c r="G86" s="16"/>
      <c r="H86" s="14"/>
      <c r="I86" s="21"/>
      <c r="J86" s="29"/>
      <c r="K86" s="18" t="s">
        <v>260</v>
      </c>
      <c r="L86" s="19"/>
      <c r="M86" s="19"/>
      <c r="N86" s="19"/>
    </row>
    <row r="87" spans="1:14">
      <c r="A87" s="10">
        <v>22</v>
      </c>
      <c r="B87" s="2" t="s">
        <v>409</v>
      </c>
      <c r="C87" s="12">
        <v>46028</v>
      </c>
      <c r="D87" s="13" t="s">
        <v>410</v>
      </c>
      <c r="E87" s="14" t="s">
        <v>411</v>
      </c>
      <c r="F87" s="15" t="s">
        <v>290</v>
      </c>
      <c r="G87" s="16"/>
      <c r="H87" s="14"/>
      <c r="I87" s="21"/>
      <c r="J87" s="29"/>
      <c r="K87" s="18" t="s">
        <v>260</v>
      </c>
      <c r="L87" s="19"/>
      <c r="M87" s="19"/>
      <c r="N87" s="19"/>
    </row>
    <row r="88" spans="1:14">
      <c r="A88" s="10">
        <v>23</v>
      </c>
      <c r="B88" s="2" t="s">
        <v>395</v>
      </c>
      <c r="C88" s="12">
        <v>46059</v>
      </c>
      <c r="D88" s="13" t="s">
        <v>396</v>
      </c>
      <c r="E88" s="14" t="s">
        <v>397</v>
      </c>
      <c r="F88" s="15" t="s">
        <v>412</v>
      </c>
      <c r="G88" s="16"/>
      <c r="H88" s="14"/>
      <c r="I88" s="21"/>
      <c r="J88" s="29"/>
      <c r="K88" s="18" t="s">
        <v>260</v>
      </c>
      <c r="L88" s="19"/>
      <c r="M88" s="19"/>
      <c r="N88" s="19"/>
    </row>
    <row r="89" spans="1:14">
      <c r="A89" s="10">
        <v>24</v>
      </c>
      <c r="B89" s="2" t="s">
        <v>381</v>
      </c>
      <c r="C89" s="12">
        <v>46059</v>
      </c>
      <c r="D89" s="13" t="s">
        <v>382</v>
      </c>
      <c r="E89" s="14" t="s">
        <v>383</v>
      </c>
      <c r="F89" s="15" t="s">
        <v>183</v>
      </c>
      <c r="G89" s="16"/>
      <c r="H89" s="14"/>
      <c r="I89" s="21"/>
      <c r="J89" s="29"/>
      <c r="K89" s="18" t="s">
        <v>260</v>
      </c>
      <c r="L89" s="19"/>
      <c r="M89" s="19"/>
      <c r="N89" s="19"/>
    </row>
    <row r="90" spans="1:14">
      <c r="A90" s="10">
        <v>25</v>
      </c>
      <c r="B90" s="2" t="s">
        <v>409</v>
      </c>
      <c r="C90" s="12">
        <v>46087</v>
      </c>
      <c r="D90" s="13" t="s">
        <v>410</v>
      </c>
      <c r="E90" s="14" t="s">
        <v>411</v>
      </c>
      <c r="F90" s="15" t="s">
        <v>342</v>
      </c>
      <c r="G90" s="16"/>
      <c r="H90" s="14"/>
      <c r="I90" s="21"/>
      <c r="J90" s="29"/>
      <c r="K90" s="18" t="s">
        <v>260</v>
      </c>
      <c r="L90" s="19"/>
      <c r="M90" s="19"/>
      <c r="N90" s="19"/>
    </row>
    <row r="91" spans="1:14">
      <c r="A91" s="10">
        <v>26</v>
      </c>
      <c r="B91" s="37" t="s">
        <v>81</v>
      </c>
      <c r="C91" s="12">
        <v>46087</v>
      </c>
      <c r="D91" s="13" t="s">
        <v>401</v>
      </c>
      <c r="E91" s="14" t="s">
        <v>82</v>
      </c>
      <c r="F91" s="15" t="s">
        <v>290</v>
      </c>
      <c r="G91" s="16"/>
      <c r="H91" s="14"/>
      <c r="I91" s="21"/>
      <c r="J91" s="29"/>
      <c r="K91" s="18" t="s">
        <v>260</v>
      </c>
      <c r="L91" s="19"/>
      <c r="M91" s="19"/>
      <c r="N91" s="19"/>
    </row>
    <row r="92" spans="1:14">
      <c r="A92" s="10">
        <v>27</v>
      </c>
      <c r="B92" s="2" t="s">
        <v>409</v>
      </c>
      <c r="C92" s="12">
        <v>46118</v>
      </c>
      <c r="D92" s="13" t="s">
        <v>410</v>
      </c>
      <c r="E92" s="14" t="s">
        <v>411</v>
      </c>
      <c r="F92" s="15" t="s">
        <v>219</v>
      </c>
      <c r="G92" s="16"/>
      <c r="H92" s="14"/>
      <c r="I92" s="21"/>
      <c r="J92" s="29"/>
      <c r="K92" s="18" t="s">
        <v>260</v>
      </c>
      <c r="L92" s="19"/>
      <c r="M92" s="19"/>
      <c r="N92" s="19"/>
    </row>
    <row r="93" spans="1:14">
      <c r="A93" s="10">
        <v>28</v>
      </c>
      <c r="B93" s="1" t="s">
        <v>413</v>
      </c>
      <c r="C93" s="12">
        <v>46209</v>
      </c>
      <c r="D93" s="13" t="s">
        <v>414</v>
      </c>
      <c r="E93" s="14" t="s">
        <v>415</v>
      </c>
      <c r="F93" s="15" t="s">
        <v>342</v>
      </c>
      <c r="G93" s="16"/>
      <c r="H93" s="14"/>
      <c r="I93" s="21"/>
      <c r="J93" s="29"/>
      <c r="K93" s="18" t="s">
        <v>260</v>
      </c>
      <c r="L93" s="19"/>
      <c r="M93" s="19"/>
      <c r="N93" s="19"/>
    </row>
    <row r="94" spans="1:14">
      <c r="A94" s="10">
        <v>29</v>
      </c>
      <c r="B94" s="37" t="s">
        <v>77</v>
      </c>
      <c r="C94" s="12">
        <v>46209</v>
      </c>
      <c r="D94" s="13" t="s">
        <v>380</v>
      </c>
      <c r="E94" s="14" t="s">
        <v>78</v>
      </c>
      <c r="F94" s="15" t="s">
        <v>290</v>
      </c>
      <c r="G94" s="16"/>
      <c r="H94" s="14"/>
      <c r="I94" s="21"/>
      <c r="J94" s="29"/>
      <c r="K94" s="18" t="s">
        <v>260</v>
      </c>
      <c r="L94" s="19"/>
      <c r="M94" s="19"/>
      <c r="N94" s="19"/>
    </row>
    <row r="95" spans="1:14">
      <c r="A95" s="10">
        <v>30</v>
      </c>
      <c r="B95" s="2" t="s">
        <v>373</v>
      </c>
      <c r="C95" s="12">
        <v>46209</v>
      </c>
      <c r="D95" s="13" t="s">
        <v>374</v>
      </c>
      <c r="E95" s="14" t="s">
        <v>375</v>
      </c>
      <c r="F95" s="15" t="s">
        <v>346</v>
      </c>
      <c r="G95" s="16"/>
      <c r="H95" s="14"/>
      <c r="I95" s="21"/>
      <c r="J95" s="29"/>
      <c r="K95" s="18" t="s">
        <v>260</v>
      </c>
      <c r="L95" s="19"/>
      <c r="M95" s="19"/>
      <c r="N95" s="19"/>
    </row>
    <row r="96" spans="1:14">
      <c r="A96" s="10">
        <v>31</v>
      </c>
      <c r="B96" s="2" t="s">
        <v>409</v>
      </c>
      <c r="C96" s="12">
        <v>46240</v>
      </c>
      <c r="D96" s="13" t="s">
        <v>410</v>
      </c>
      <c r="E96" s="14" t="s">
        <v>411</v>
      </c>
      <c r="F96" s="15" t="s">
        <v>215</v>
      </c>
      <c r="G96" s="16"/>
      <c r="H96" s="14"/>
      <c r="I96" s="21"/>
      <c r="J96" s="29"/>
      <c r="K96" s="18" t="s">
        <v>260</v>
      </c>
      <c r="L96" s="19"/>
      <c r="M96" s="19"/>
      <c r="N96" s="19"/>
    </row>
    <row r="97" spans="1:14">
      <c r="A97" s="10">
        <v>32</v>
      </c>
      <c r="B97" s="2" t="s">
        <v>392</v>
      </c>
      <c r="C97" s="12">
        <v>46332</v>
      </c>
      <c r="D97" s="13" t="s">
        <v>393</v>
      </c>
      <c r="E97" s="14" t="s">
        <v>394</v>
      </c>
      <c r="F97" s="15" t="s">
        <v>412</v>
      </c>
      <c r="G97" s="16"/>
      <c r="H97" s="14"/>
      <c r="I97" s="21"/>
      <c r="J97" s="29"/>
      <c r="K97" s="18" t="s">
        <v>260</v>
      </c>
      <c r="L97" s="19"/>
      <c r="M97" s="19"/>
      <c r="N97" s="19"/>
    </row>
    <row r="98" spans="1:14">
      <c r="A98" s="10">
        <v>33</v>
      </c>
      <c r="B98" s="1" t="s">
        <v>416</v>
      </c>
      <c r="C98" s="12">
        <v>46332</v>
      </c>
      <c r="D98" s="13" t="s">
        <v>417</v>
      </c>
      <c r="E98" s="14" t="s">
        <v>418</v>
      </c>
      <c r="F98" s="15" t="s">
        <v>204</v>
      </c>
      <c r="G98" s="16"/>
      <c r="H98" s="14"/>
      <c r="I98" s="21"/>
      <c r="J98" s="29"/>
      <c r="K98" s="18" t="s">
        <v>260</v>
      </c>
      <c r="L98" s="19"/>
      <c r="M98" s="19"/>
      <c r="N98" s="19"/>
    </row>
    <row r="99" spans="1:14">
      <c r="A99" s="10">
        <v>34</v>
      </c>
      <c r="B99" s="2" t="s">
        <v>79</v>
      </c>
      <c r="C99" s="12" t="s">
        <v>281</v>
      </c>
      <c r="D99" s="13" t="s">
        <v>388</v>
      </c>
      <c r="E99" s="14" t="s">
        <v>80</v>
      </c>
      <c r="F99" s="15" t="s">
        <v>342</v>
      </c>
      <c r="G99" s="16"/>
      <c r="H99" s="14"/>
      <c r="I99" s="21"/>
      <c r="J99" s="29"/>
      <c r="K99" s="18" t="s">
        <v>260</v>
      </c>
      <c r="L99" s="19"/>
      <c r="M99" s="19"/>
      <c r="N99" s="19"/>
    </row>
    <row r="100" spans="1:14">
      <c r="A100" s="10">
        <v>35</v>
      </c>
      <c r="B100" s="2" t="s">
        <v>377</v>
      </c>
      <c r="C100" s="12" t="s">
        <v>281</v>
      </c>
      <c r="D100" s="13" t="s">
        <v>378</v>
      </c>
      <c r="E100" s="14" t="s">
        <v>379</v>
      </c>
      <c r="F100" s="15" t="s">
        <v>290</v>
      </c>
      <c r="G100" s="16"/>
      <c r="H100" s="14"/>
      <c r="I100" s="21"/>
      <c r="J100" s="29"/>
      <c r="K100" s="18" t="s">
        <v>260</v>
      </c>
      <c r="L100" s="19"/>
      <c r="M100" s="19"/>
      <c r="N100" s="19"/>
    </row>
    <row r="101" spans="1:14">
      <c r="A101" s="10">
        <v>36</v>
      </c>
      <c r="C101" s="12"/>
      <c r="D101" s="13"/>
      <c r="E101" s="14"/>
      <c r="F101" s="15"/>
      <c r="G101" s="16"/>
      <c r="H101" s="14"/>
      <c r="I101" s="21"/>
      <c r="J101" s="29"/>
      <c r="K101" s="18"/>
      <c r="L101" s="19"/>
      <c r="M101" s="19"/>
      <c r="N101" s="19"/>
    </row>
    <row r="102" spans="1:14">
      <c r="A102" s="10">
        <v>37</v>
      </c>
      <c r="C102" s="12"/>
      <c r="D102" s="13"/>
      <c r="E102" s="14"/>
      <c r="F102" s="15"/>
      <c r="G102" s="16"/>
      <c r="H102" s="14"/>
      <c r="I102" s="21"/>
      <c r="J102" s="29"/>
      <c r="K102" s="18"/>
      <c r="L102" s="19"/>
      <c r="M102" s="19"/>
      <c r="N102" s="19"/>
    </row>
    <row r="103" spans="1:14">
      <c r="A103" s="10">
        <v>38</v>
      </c>
      <c r="C103" s="12"/>
      <c r="D103" s="13"/>
      <c r="E103" s="14"/>
      <c r="F103" s="15"/>
      <c r="G103" s="16"/>
      <c r="H103" s="14"/>
      <c r="I103" s="21"/>
      <c r="J103" s="29"/>
      <c r="K103" s="18"/>
      <c r="L103" s="19"/>
      <c r="M103" s="19"/>
      <c r="N103" s="19"/>
    </row>
    <row r="104" spans="1:14">
      <c r="A104" s="10">
        <v>39</v>
      </c>
      <c r="C104" s="12"/>
      <c r="D104" s="13"/>
      <c r="E104" s="14"/>
      <c r="F104" s="15"/>
      <c r="G104" s="16"/>
      <c r="H104" s="14"/>
      <c r="I104" s="21"/>
      <c r="J104" s="29"/>
      <c r="K104" s="18"/>
      <c r="L104" s="19"/>
      <c r="M104" s="19"/>
      <c r="N104" s="19"/>
    </row>
    <row r="105" spans="1:14">
      <c r="A105" s="10">
        <v>40</v>
      </c>
      <c r="C105" s="12"/>
      <c r="D105" s="13"/>
      <c r="E105" s="14"/>
      <c r="F105" s="15"/>
      <c r="G105" s="16"/>
      <c r="H105" s="14"/>
      <c r="I105" s="21"/>
      <c r="J105" s="29"/>
      <c r="K105" s="18"/>
      <c r="L105" s="19"/>
      <c r="M105" s="19"/>
      <c r="N105" s="19"/>
    </row>
    <row r="106" spans="1:14">
      <c r="A106" s="10">
        <v>41</v>
      </c>
      <c r="B106" s="1"/>
      <c r="C106" s="12"/>
      <c r="D106" s="13"/>
      <c r="E106" s="14"/>
      <c r="F106" s="15"/>
      <c r="G106" s="16"/>
      <c r="H106" s="14"/>
      <c r="I106" s="21"/>
      <c r="J106" s="29"/>
      <c r="K106" s="18"/>
      <c r="L106" s="19"/>
      <c r="M106" s="19"/>
      <c r="N106" s="19"/>
    </row>
    <row r="107" spans="1:14">
      <c r="A107" s="10">
        <v>42</v>
      </c>
      <c r="B107" s="1"/>
      <c r="C107" s="12"/>
      <c r="D107" s="13"/>
      <c r="E107" s="14"/>
      <c r="F107" s="15"/>
      <c r="G107" s="16"/>
      <c r="H107" s="14"/>
      <c r="I107" s="21"/>
      <c r="J107" s="29"/>
      <c r="K107" s="18"/>
      <c r="L107" s="19"/>
      <c r="M107" s="19"/>
      <c r="N107" s="19"/>
    </row>
    <row r="108" spans="1:14">
      <c r="A108" s="10">
        <v>43</v>
      </c>
      <c r="C108" s="12"/>
      <c r="D108" s="13"/>
      <c r="E108" s="14"/>
      <c r="F108" s="15"/>
      <c r="G108" s="16"/>
      <c r="H108" s="14"/>
      <c r="I108" s="21"/>
      <c r="J108" s="29"/>
      <c r="K108" s="18"/>
      <c r="L108" s="19"/>
      <c r="M108" s="19"/>
      <c r="N108" s="19"/>
    </row>
    <row r="109" spans="1:14">
      <c r="A109" s="10">
        <v>44</v>
      </c>
      <c r="C109" s="12"/>
      <c r="D109" s="13"/>
      <c r="E109" s="14"/>
      <c r="F109" s="15"/>
      <c r="G109" s="16"/>
      <c r="H109" s="14"/>
      <c r="I109" s="21"/>
      <c r="J109" s="29"/>
      <c r="K109" s="18"/>
      <c r="L109" s="19"/>
      <c r="M109" s="19"/>
      <c r="N109" s="19"/>
    </row>
    <row r="110" spans="1:14">
      <c r="A110" s="10">
        <v>45</v>
      </c>
      <c r="B110" s="1"/>
      <c r="C110" s="12"/>
      <c r="D110" s="13"/>
      <c r="E110" s="14"/>
      <c r="F110" s="15"/>
      <c r="G110" s="16"/>
      <c r="H110" s="14"/>
      <c r="I110" s="21"/>
      <c r="J110" s="29"/>
      <c r="K110" s="18"/>
      <c r="L110" s="19"/>
      <c r="M110" s="19"/>
      <c r="N110" s="19"/>
    </row>
    <row r="111" spans="1:14">
      <c r="A111" s="10">
        <v>46</v>
      </c>
      <c r="C111" s="12"/>
      <c r="D111" s="13"/>
      <c r="E111" s="14"/>
      <c r="F111" s="15"/>
      <c r="G111" s="16"/>
      <c r="H111" s="14"/>
      <c r="I111" s="21"/>
      <c r="J111" s="29"/>
      <c r="K111" s="18"/>
      <c r="L111" s="19"/>
      <c r="M111" s="19"/>
      <c r="N111" s="19"/>
    </row>
    <row r="112" spans="1:14">
      <c r="A112" s="10">
        <v>47</v>
      </c>
      <c r="C112" s="12"/>
      <c r="D112" s="13"/>
      <c r="E112" s="14"/>
      <c r="F112" s="15"/>
      <c r="G112" s="16"/>
      <c r="H112" s="14"/>
      <c r="I112" s="21"/>
      <c r="J112" s="29"/>
      <c r="K112" s="18"/>
      <c r="L112" s="19"/>
      <c r="M112" s="19"/>
      <c r="N112" s="19"/>
    </row>
    <row r="113" spans="1:14">
      <c r="A113" s="10">
        <v>48</v>
      </c>
      <c r="B113" s="1"/>
      <c r="C113" s="12"/>
      <c r="D113" s="13"/>
      <c r="E113" s="14"/>
      <c r="F113" s="15"/>
      <c r="G113" s="16"/>
      <c r="H113" s="14"/>
      <c r="I113" s="21"/>
      <c r="J113" s="29"/>
      <c r="K113" s="18"/>
      <c r="L113" s="19"/>
      <c r="M113" s="19"/>
      <c r="N113" s="19"/>
    </row>
    <row r="114" spans="1:14">
      <c r="A114" s="10">
        <v>49</v>
      </c>
      <c r="C114" s="12"/>
      <c r="D114" s="13"/>
      <c r="E114" s="14"/>
      <c r="F114" s="15"/>
      <c r="G114" s="16"/>
      <c r="H114" s="14"/>
      <c r="I114" s="21"/>
      <c r="J114" s="29"/>
      <c r="K114" s="18"/>
      <c r="L114" s="19"/>
      <c r="M114" s="19"/>
      <c r="N114" s="19"/>
    </row>
    <row r="115" spans="1:14">
      <c r="A115" s="10">
        <v>50</v>
      </c>
      <c r="C115" s="12"/>
      <c r="D115" s="13"/>
      <c r="E115" s="14"/>
      <c r="F115" s="15"/>
      <c r="G115" s="16"/>
      <c r="H115" s="14"/>
      <c r="I115" s="21"/>
      <c r="J115" s="29"/>
      <c r="K115" s="18"/>
      <c r="L115" s="19"/>
      <c r="M115" s="19"/>
      <c r="N115" s="19"/>
    </row>
    <row r="116" spans="1:14">
      <c r="A116" s="10">
        <v>51</v>
      </c>
      <c r="C116" s="12"/>
      <c r="D116" s="13"/>
      <c r="E116" s="14"/>
      <c r="F116" s="15"/>
      <c r="G116" s="16"/>
      <c r="H116" s="14"/>
      <c r="I116" s="21"/>
      <c r="J116" s="29"/>
      <c r="K116" s="18"/>
      <c r="L116" s="19"/>
      <c r="M116" s="19"/>
      <c r="N116" s="19"/>
    </row>
    <row r="117" spans="1:14">
      <c r="A117" s="10">
        <v>52</v>
      </c>
      <c r="C117" s="12"/>
      <c r="D117" s="13"/>
      <c r="E117" s="14"/>
      <c r="F117" s="15"/>
      <c r="G117" s="16"/>
      <c r="H117" s="14"/>
      <c r="I117" s="21"/>
      <c r="J117" s="29"/>
      <c r="K117" s="18"/>
      <c r="L117" s="19"/>
      <c r="M117" s="19"/>
      <c r="N117" s="19"/>
    </row>
    <row r="118" spans="1:14">
      <c r="A118" s="10">
        <v>53</v>
      </c>
      <c r="B118" s="1"/>
      <c r="C118" s="12"/>
      <c r="D118" s="13"/>
      <c r="E118" s="14"/>
      <c r="F118" s="15"/>
      <c r="G118" s="16"/>
      <c r="H118" s="14"/>
      <c r="I118" s="21"/>
      <c r="J118" s="29"/>
      <c r="K118" s="18"/>
      <c r="L118" s="19"/>
      <c r="M118" s="19"/>
      <c r="N118" s="19"/>
    </row>
    <row r="119" spans="1:14">
      <c r="A119" s="10">
        <v>54</v>
      </c>
      <c r="C119" s="12"/>
      <c r="D119" s="13"/>
      <c r="E119" s="14"/>
      <c r="F119" s="15"/>
      <c r="G119" s="16"/>
      <c r="H119" s="14"/>
      <c r="I119" s="21"/>
      <c r="J119" s="29"/>
      <c r="K119" s="18"/>
      <c r="L119" s="19"/>
      <c r="M119" s="19"/>
      <c r="N119" s="19"/>
    </row>
    <row r="120" spans="1:14">
      <c r="A120" s="10">
        <v>55</v>
      </c>
      <c r="C120" s="12"/>
      <c r="D120" s="13"/>
      <c r="E120" s="14"/>
      <c r="F120" s="15"/>
      <c r="G120" s="16"/>
      <c r="H120" s="14"/>
      <c r="I120" s="21"/>
      <c r="J120" s="29"/>
      <c r="K120" s="18"/>
      <c r="L120" s="19"/>
      <c r="M120" s="19"/>
      <c r="N120" s="19"/>
    </row>
    <row r="121" spans="1:14">
      <c r="A121" s="10">
        <v>56</v>
      </c>
      <c r="B121" s="1"/>
      <c r="C121" s="12"/>
      <c r="D121" s="13"/>
      <c r="E121" s="14"/>
      <c r="F121" s="15"/>
      <c r="G121" s="16"/>
      <c r="H121" s="14"/>
      <c r="I121" s="21"/>
      <c r="J121" s="29"/>
      <c r="K121" s="18"/>
      <c r="L121" s="19"/>
      <c r="M121" s="19"/>
      <c r="N121" s="19"/>
    </row>
    <row r="122" spans="1:14">
      <c r="A122" s="10">
        <v>57</v>
      </c>
      <c r="B122" s="1"/>
      <c r="C122" s="12"/>
      <c r="D122" s="13"/>
      <c r="E122" s="14"/>
      <c r="F122" s="15"/>
      <c r="G122" s="16"/>
      <c r="H122" s="14"/>
      <c r="I122" s="21"/>
      <c r="J122" s="29"/>
      <c r="K122" s="18"/>
      <c r="L122" s="19"/>
      <c r="M122" s="19"/>
      <c r="N122" s="19"/>
    </row>
    <row r="123" spans="1:14">
      <c r="A123" s="10">
        <v>58</v>
      </c>
      <c r="C123" s="12"/>
      <c r="D123" s="13"/>
      <c r="E123" s="14"/>
      <c r="F123" s="15"/>
      <c r="G123" s="16"/>
      <c r="H123" s="14"/>
      <c r="I123" s="21"/>
      <c r="J123" s="29"/>
      <c r="K123" s="18"/>
      <c r="L123" s="19"/>
      <c r="M123" s="19"/>
      <c r="N123" s="19"/>
    </row>
    <row r="124" spans="1:14">
      <c r="A124" s="10">
        <v>59</v>
      </c>
      <c r="C124" s="12"/>
      <c r="D124" s="13"/>
      <c r="E124" s="14"/>
      <c r="F124" s="15"/>
      <c r="G124" s="16"/>
      <c r="H124" s="14"/>
      <c r="I124" s="21"/>
      <c r="J124" s="29"/>
      <c r="K124" s="18"/>
      <c r="L124" s="19"/>
      <c r="M124" s="19"/>
      <c r="N124" s="19"/>
    </row>
    <row r="125" spans="1:14">
      <c r="A125" s="10">
        <v>60</v>
      </c>
      <c r="C125" s="12"/>
      <c r="D125" s="13"/>
      <c r="E125" s="14"/>
      <c r="F125" s="15"/>
      <c r="G125" s="16"/>
      <c r="H125" s="14"/>
      <c r="I125" s="21"/>
      <c r="J125" s="29"/>
      <c r="K125" s="18"/>
      <c r="L125" s="19"/>
      <c r="M125" s="19"/>
      <c r="N125" s="19"/>
    </row>
    <row r="126" spans="1:14">
      <c r="A126" s="10">
        <v>61</v>
      </c>
      <c r="C126" s="12"/>
      <c r="D126" s="13"/>
      <c r="E126" s="14"/>
      <c r="F126" s="15"/>
      <c r="G126" s="16"/>
      <c r="H126" s="14"/>
      <c r="I126" s="21"/>
      <c r="J126" s="29"/>
      <c r="K126" s="18"/>
      <c r="L126" s="19"/>
      <c r="M126" s="19"/>
      <c r="N126" s="19"/>
    </row>
    <row r="127" spans="1:14">
      <c r="A127" s="10">
        <v>62</v>
      </c>
      <c r="C127" s="12"/>
      <c r="D127" s="13"/>
      <c r="E127" s="14"/>
      <c r="F127" s="15"/>
      <c r="G127" s="16"/>
      <c r="H127" s="14"/>
      <c r="I127" s="21"/>
      <c r="J127" s="29"/>
      <c r="K127" s="18"/>
      <c r="L127" s="19"/>
      <c r="M127" s="19"/>
      <c r="N127" s="19"/>
    </row>
    <row r="128" spans="1:14">
      <c r="A128" s="10">
        <v>63</v>
      </c>
      <c r="C128" s="12"/>
      <c r="D128" s="13"/>
      <c r="E128" s="14"/>
      <c r="F128" s="15"/>
      <c r="G128" s="16"/>
      <c r="H128" s="14"/>
      <c r="I128" s="21"/>
      <c r="J128" s="29"/>
      <c r="K128" s="18"/>
      <c r="L128" s="19"/>
      <c r="M128" s="19"/>
      <c r="N128" s="19"/>
    </row>
    <row r="129" spans="1:14">
      <c r="A129" s="10">
        <v>64</v>
      </c>
      <c r="C129" s="12"/>
      <c r="D129" s="13"/>
      <c r="E129" s="14"/>
      <c r="F129" s="15"/>
      <c r="G129" s="16"/>
      <c r="H129" s="14"/>
      <c r="I129" s="21"/>
      <c r="J129" s="29"/>
      <c r="K129" s="18"/>
      <c r="L129" s="19"/>
      <c r="M129" s="19"/>
      <c r="N129" s="19"/>
    </row>
    <row r="130" spans="1:14">
      <c r="A130" s="10">
        <v>65</v>
      </c>
      <c r="C130" s="12"/>
      <c r="D130" s="13"/>
      <c r="E130" s="14"/>
      <c r="F130" s="15"/>
      <c r="G130" s="16"/>
      <c r="H130" s="14"/>
      <c r="I130" s="21"/>
      <c r="J130" s="29"/>
      <c r="K130" s="18"/>
      <c r="L130" s="19"/>
      <c r="M130" s="19"/>
      <c r="N130" s="19"/>
    </row>
    <row r="131" spans="1:14">
      <c r="A131" s="10">
        <v>66</v>
      </c>
      <c r="C131" s="12"/>
      <c r="D131" s="13"/>
      <c r="E131" s="14"/>
      <c r="F131" s="15"/>
      <c r="G131" s="16"/>
      <c r="H131" s="14"/>
      <c r="I131" s="21"/>
      <c r="J131" s="29"/>
      <c r="K131" s="18"/>
      <c r="L131" s="19"/>
      <c r="M131" s="19"/>
      <c r="N131" s="19"/>
    </row>
    <row r="132" spans="1:14">
      <c r="A132" s="10">
        <v>67</v>
      </c>
      <c r="C132" s="12"/>
      <c r="D132" s="13"/>
      <c r="E132" s="14"/>
      <c r="F132" s="38"/>
      <c r="G132" s="16"/>
      <c r="H132" s="14"/>
      <c r="I132" s="21"/>
      <c r="J132" s="29"/>
      <c r="K132" s="18"/>
      <c r="L132" s="19"/>
      <c r="M132" s="19"/>
      <c r="N132" s="19"/>
    </row>
    <row r="133" spans="1:14">
      <c r="A133" s="10">
        <v>68</v>
      </c>
      <c r="C133" s="12"/>
      <c r="D133" s="13"/>
      <c r="E133" s="14"/>
      <c r="F133" s="15"/>
      <c r="G133" s="16"/>
      <c r="H133" s="14"/>
      <c r="I133" s="21"/>
      <c r="J133" s="29"/>
      <c r="K133" s="18"/>
      <c r="L133" s="19"/>
      <c r="M133" s="19"/>
      <c r="N133" s="19"/>
    </row>
    <row r="134" spans="1:14">
      <c r="A134" s="10">
        <v>69</v>
      </c>
      <c r="C134" s="12"/>
      <c r="D134" s="13"/>
      <c r="E134" s="14"/>
      <c r="F134" s="15"/>
      <c r="G134" s="16"/>
      <c r="H134" s="14"/>
      <c r="I134" s="21"/>
      <c r="J134" s="29"/>
      <c r="K134" s="18"/>
      <c r="L134" s="19"/>
      <c r="M134" s="19"/>
      <c r="N134" s="19"/>
    </row>
    <row r="135" spans="1:14">
      <c r="A135" s="10">
        <v>70</v>
      </c>
      <c r="C135" s="12"/>
      <c r="D135" s="13"/>
      <c r="E135" s="14"/>
      <c r="F135" s="15"/>
      <c r="G135" s="16"/>
      <c r="H135" s="14"/>
      <c r="I135" s="21"/>
      <c r="J135" s="29"/>
      <c r="K135" s="18"/>
      <c r="L135" s="19"/>
      <c r="M135" s="19"/>
      <c r="N135" s="19"/>
    </row>
    <row r="136" spans="1:14">
      <c r="A136" s="10">
        <v>71</v>
      </c>
      <c r="B136" s="1"/>
      <c r="C136" s="12"/>
      <c r="D136" s="13"/>
      <c r="E136" s="14"/>
      <c r="F136" s="15"/>
      <c r="G136" s="16"/>
      <c r="H136" s="14"/>
      <c r="I136" s="21"/>
      <c r="J136" s="29"/>
      <c r="K136" s="18"/>
      <c r="L136" s="19"/>
      <c r="M136" s="19"/>
      <c r="N136" s="19"/>
    </row>
    <row r="137" spans="1:14">
      <c r="A137" s="10">
        <v>72</v>
      </c>
      <c r="C137" s="12"/>
      <c r="D137" s="13"/>
      <c r="E137" s="14"/>
      <c r="F137" s="15"/>
      <c r="G137" s="16"/>
      <c r="H137" s="14"/>
      <c r="I137" s="21"/>
      <c r="J137" s="29"/>
      <c r="K137" s="18"/>
      <c r="L137" s="19"/>
      <c r="M137" s="19"/>
      <c r="N137" s="19"/>
    </row>
    <row r="138" spans="1:14">
      <c r="A138" s="10">
        <v>73</v>
      </c>
      <c r="C138" s="12"/>
      <c r="D138" s="13"/>
      <c r="E138" s="14"/>
      <c r="F138" s="15"/>
      <c r="G138" s="16"/>
      <c r="H138" s="14"/>
      <c r="I138" s="21"/>
      <c r="J138" s="29"/>
      <c r="K138" s="18"/>
      <c r="L138" s="19"/>
      <c r="M138" s="19"/>
      <c r="N138" s="19"/>
    </row>
    <row r="139" spans="1:14">
      <c r="A139" s="10">
        <v>74</v>
      </c>
      <c r="C139" s="12"/>
      <c r="D139" s="13"/>
      <c r="E139" s="14"/>
      <c r="F139" s="15"/>
      <c r="G139" s="16"/>
      <c r="H139" s="14"/>
      <c r="I139" s="21"/>
      <c r="J139" s="29"/>
      <c r="K139" s="18"/>
      <c r="L139" s="19"/>
      <c r="M139" s="19"/>
      <c r="N139" s="19"/>
    </row>
    <row r="140" spans="1:14">
      <c r="A140" s="10">
        <v>75</v>
      </c>
      <c r="C140" s="12"/>
      <c r="D140" s="13"/>
      <c r="E140" s="14"/>
      <c r="F140" s="15"/>
      <c r="G140" s="16"/>
      <c r="H140" s="14"/>
      <c r="I140" s="21"/>
      <c r="J140" s="29"/>
      <c r="K140" s="18"/>
      <c r="L140" s="19"/>
      <c r="M140" s="19"/>
      <c r="N140" s="19"/>
    </row>
    <row r="141" spans="1:14">
      <c r="A141" s="10">
        <v>76</v>
      </c>
      <c r="C141" s="12"/>
      <c r="D141" s="13"/>
      <c r="E141" s="14"/>
      <c r="F141" s="15"/>
      <c r="G141" s="16"/>
      <c r="H141" s="14"/>
      <c r="I141" s="21"/>
      <c r="J141" s="29"/>
      <c r="K141" s="18"/>
      <c r="L141" s="19"/>
      <c r="M141" s="19"/>
      <c r="N141" s="19"/>
    </row>
    <row r="142" spans="1:14">
      <c r="A142" s="10">
        <v>77</v>
      </c>
      <c r="C142" s="12"/>
      <c r="D142" s="13"/>
      <c r="E142" s="14"/>
      <c r="F142" s="15"/>
      <c r="G142" s="16"/>
      <c r="H142" s="14"/>
      <c r="I142" s="21"/>
      <c r="J142" s="29"/>
      <c r="K142" s="18"/>
      <c r="L142" s="19"/>
      <c r="M142" s="19"/>
      <c r="N142" s="19"/>
    </row>
    <row r="143" spans="1:14">
      <c r="A143" s="10">
        <v>78</v>
      </c>
      <c r="C143" s="12"/>
      <c r="D143" s="13"/>
      <c r="E143" s="14"/>
      <c r="F143" s="15"/>
      <c r="G143" s="16"/>
      <c r="H143" s="14"/>
      <c r="I143" s="21"/>
      <c r="J143" s="29"/>
      <c r="K143" s="18"/>
      <c r="L143" s="19"/>
      <c r="M143" s="19"/>
      <c r="N143" s="19"/>
    </row>
    <row r="144" spans="1:14">
      <c r="A144" s="10">
        <v>79</v>
      </c>
      <c r="C144" s="12"/>
      <c r="D144" s="13"/>
      <c r="E144" s="14"/>
      <c r="F144" s="15"/>
      <c r="G144" s="16"/>
      <c r="H144" s="14"/>
      <c r="I144" s="21"/>
      <c r="J144" s="29"/>
      <c r="K144" s="18"/>
      <c r="L144" s="19"/>
      <c r="M144" s="19"/>
      <c r="N144" s="19"/>
    </row>
    <row r="145" spans="1:14">
      <c r="A145" s="10">
        <v>80</v>
      </c>
      <c r="C145" s="12"/>
      <c r="D145" s="13"/>
      <c r="E145" s="14"/>
      <c r="F145" s="15"/>
      <c r="G145" s="16"/>
      <c r="H145" s="14"/>
      <c r="I145" s="21"/>
      <c r="J145" s="29"/>
      <c r="K145" s="18"/>
      <c r="L145" s="19"/>
      <c r="M145" s="19"/>
      <c r="N145" s="19"/>
    </row>
    <row r="146" spans="1:14">
      <c r="A146" s="10">
        <v>81</v>
      </c>
      <c r="B146" s="1"/>
      <c r="C146" s="12"/>
      <c r="D146" s="13"/>
      <c r="E146" s="14"/>
      <c r="F146" s="15"/>
      <c r="G146" s="16"/>
      <c r="H146" s="14"/>
      <c r="I146" s="21"/>
      <c r="J146" s="29"/>
      <c r="K146" s="18"/>
      <c r="L146" s="19"/>
      <c r="M146" s="19"/>
      <c r="N146" s="19"/>
    </row>
    <row r="147" spans="1:14">
      <c r="A147" s="10">
        <v>82</v>
      </c>
      <c r="C147" s="12"/>
      <c r="D147" s="13"/>
      <c r="E147" s="14"/>
      <c r="F147" s="15"/>
      <c r="G147" s="16"/>
      <c r="H147" s="14"/>
      <c r="I147" s="21"/>
      <c r="J147" s="29"/>
      <c r="K147" s="18"/>
      <c r="L147" s="19"/>
      <c r="M147" s="19"/>
      <c r="N147" s="19"/>
    </row>
    <row r="148" spans="1:14">
      <c r="A148" s="10">
        <v>83</v>
      </c>
      <c r="B148" s="1"/>
      <c r="C148" s="12"/>
      <c r="D148" s="13"/>
      <c r="E148" s="14"/>
      <c r="F148" s="15"/>
      <c r="G148" s="16"/>
      <c r="H148" s="14"/>
      <c r="I148" s="21"/>
      <c r="J148" s="29"/>
      <c r="K148" s="18"/>
      <c r="L148" s="19"/>
      <c r="M148" s="19"/>
      <c r="N148" s="19"/>
    </row>
    <row r="149" spans="1:14">
      <c r="A149" s="10">
        <v>84</v>
      </c>
      <c r="C149" s="12"/>
      <c r="D149" s="13"/>
      <c r="E149" s="14"/>
      <c r="F149" s="15"/>
      <c r="G149" s="16"/>
      <c r="H149" s="14"/>
      <c r="I149" s="21"/>
      <c r="J149" s="29"/>
      <c r="K149" s="18"/>
      <c r="L149" s="19"/>
      <c r="M149" s="19"/>
      <c r="N149" s="19"/>
    </row>
    <row r="150" spans="1:14">
      <c r="A150" s="10">
        <v>85</v>
      </c>
      <c r="B150" s="1"/>
      <c r="C150" s="12"/>
      <c r="D150" s="13"/>
      <c r="E150" s="14"/>
      <c r="F150" s="15"/>
      <c r="G150" s="16"/>
      <c r="H150" s="14"/>
      <c r="I150" s="21"/>
      <c r="J150" s="29"/>
      <c r="K150" s="18"/>
      <c r="L150" s="19"/>
      <c r="M150" s="19"/>
      <c r="N150" s="19"/>
    </row>
    <row r="151" spans="1:14">
      <c r="A151" s="10">
        <v>86</v>
      </c>
      <c r="C151" s="12"/>
      <c r="D151" s="13"/>
      <c r="E151" s="14"/>
      <c r="F151" s="15"/>
      <c r="G151" s="16"/>
      <c r="H151" s="14"/>
      <c r="I151" s="21"/>
      <c r="J151" s="29"/>
      <c r="K151" s="18"/>
      <c r="L151" s="19"/>
      <c r="M151" s="19"/>
      <c r="N151" s="19"/>
    </row>
    <row r="152" spans="1:14">
      <c r="A152" s="10">
        <v>87</v>
      </c>
      <c r="B152" s="1"/>
      <c r="C152" s="12"/>
      <c r="D152" s="13"/>
      <c r="E152" s="14"/>
      <c r="F152" s="15"/>
      <c r="G152" s="16"/>
      <c r="H152" s="14"/>
      <c r="I152" s="21"/>
      <c r="J152" s="29"/>
      <c r="K152" s="18"/>
      <c r="L152" s="19"/>
      <c r="M152" s="19"/>
      <c r="N152" s="19"/>
    </row>
    <row r="153" spans="1:14">
      <c r="A153" s="10">
        <v>88</v>
      </c>
      <c r="C153" s="12"/>
      <c r="D153" s="13"/>
      <c r="E153" s="14"/>
      <c r="F153" s="15"/>
      <c r="G153" s="16"/>
      <c r="H153" s="14"/>
      <c r="I153" s="21"/>
      <c r="J153" s="29"/>
      <c r="K153" s="18"/>
      <c r="L153" s="19"/>
      <c r="M153" s="19"/>
      <c r="N153" s="19"/>
    </row>
    <row r="154" spans="1:14">
      <c r="A154" s="10">
        <v>89</v>
      </c>
      <c r="C154" s="12"/>
      <c r="D154" s="13"/>
      <c r="E154" s="14"/>
      <c r="F154" s="15"/>
      <c r="G154" s="16"/>
      <c r="H154" s="14"/>
      <c r="I154" s="21"/>
      <c r="J154" s="29"/>
      <c r="K154" s="18"/>
      <c r="L154" s="19"/>
      <c r="M154" s="19"/>
      <c r="N154" s="19"/>
    </row>
    <row r="155" spans="1:14">
      <c r="A155" s="10">
        <v>90</v>
      </c>
      <c r="C155" s="12"/>
      <c r="D155" s="13"/>
      <c r="E155" s="14"/>
      <c r="F155" s="15"/>
      <c r="G155" s="16"/>
      <c r="H155" s="14"/>
      <c r="I155" s="21"/>
      <c r="J155" s="29"/>
      <c r="K155" s="18"/>
      <c r="L155" s="19"/>
      <c r="M155" s="19"/>
      <c r="N155" s="19"/>
    </row>
    <row r="156" spans="1:14">
      <c r="A156" s="10">
        <v>91</v>
      </c>
      <c r="C156" s="12"/>
      <c r="D156" s="13"/>
      <c r="E156" s="14"/>
      <c r="F156" s="15"/>
      <c r="G156" s="16"/>
      <c r="H156" s="14"/>
      <c r="I156" s="21"/>
      <c r="J156" s="29"/>
      <c r="K156" s="18"/>
      <c r="L156" s="19"/>
      <c r="M156" s="19"/>
      <c r="N156" s="19"/>
    </row>
    <row r="157" spans="1:14">
      <c r="A157" s="10">
        <v>92</v>
      </c>
      <c r="C157" s="12"/>
      <c r="D157" s="13"/>
      <c r="E157" s="14"/>
      <c r="F157" s="15"/>
      <c r="G157" s="16"/>
      <c r="H157" s="14"/>
      <c r="I157" s="21"/>
      <c r="J157" s="29"/>
      <c r="K157" s="18"/>
      <c r="L157" s="19"/>
      <c r="M157" s="19"/>
      <c r="N157" s="19"/>
    </row>
    <row r="158" spans="1:14">
      <c r="A158" s="10">
        <v>93</v>
      </c>
      <c r="C158" s="12"/>
      <c r="D158" s="13"/>
      <c r="E158" s="14"/>
      <c r="F158" s="15"/>
      <c r="G158" s="16"/>
      <c r="H158" s="14"/>
      <c r="I158" s="21"/>
      <c r="J158" s="29"/>
      <c r="K158" s="18"/>
      <c r="L158" s="19"/>
      <c r="M158" s="19"/>
      <c r="N158" s="19"/>
    </row>
    <row r="159" spans="1:14">
      <c r="A159" s="10">
        <v>94</v>
      </c>
      <c r="C159" s="12"/>
      <c r="D159" s="13"/>
      <c r="E159" s="14"/>
      <c r="F159" s="15"/>
      <c r="G159" s="16"/>
      <c r="H159" s="14"/>
      <c r="I159" s="21"/>
      <c r="J159" s="29"/>
      <c r="K159" s="18"/>
      <c r="L159" s="19"/>
      <c r="M159" s="19"/>
      <c r="N159" s="19"/>
    </row>
    <row r="160" spans="1:14">
      <c r="A160" s="10">
        <v>95</v>
      </c>
      <c r="B160" s="1"/>
      <c r="C160" s="12"/>
      <c r="D160" s="13"/>
      <c r="E160" s="14"/>
      <c r="F160" s="15"/>
      <c r="G160" s="16"/>
      <c r="H160" s="14"/>
      <c r="I160" s="21"/>
      <c r="J160" s="29"/>
      <c r="K160" s="18"/>
      <c r="L160" s="19"/>
      <c r="M160" s="19"/>
      <c r="N160" s="19"/>
    </row>
    <row r="161" spans="1:14">
      <c r="A161" s="10">
        <v>96</v>
      </c>
      <c r="C161" s="12"/>
      <c r="D161" s="13"/>
      <c r="E161" s="14"/>
      <c r="F161" s="15"/>
      <c r="G161" s="16"/>
      <c r="H161" s="14"/>
      <c r="I161" s="21"/>
      <c r="J161" s="29"/>
      <c r="K161" s="18"/>
      <c r="L161" s="19"/>
      <c r="M161" s="19"/>
      <c r="N161" s="19"/>
    </row>
    <row r="162" spans="1:14">
      <c r="A162" s="10">
        <v>97</v>
      </c>
      <c r="C162" s="12"/>
      <c r="D162" s="13"/>
      <c r="E162" s="14"/>
      <c r="F162" s="15"/>
      <c r="G162" s="16"/>
      <c r="H162" s="14"/>
      <c r="I162" s="21"/>
      <c r="J162" s="29"/>
      <c r="K162" s="18"/>
      <c r="L162" s="19"/>
      <c r="M162" s="19"/>
      <c r="N162" s="19"/>
    </row>
    <row r="163" spans="1:14">
      <c r="A163" s="10">
        <v>98</v>
      </c>
      <c r="C163" s="12"/>
      <c r="D163" s="13"/>
      <c r="E163" s="14"/>
      <c r="F163" s="15"/>
      <c r="G163" s="16"/>
      <c r="H163" s="14"/>
      <c r="I163" s="21"/>
      <c r="J163" s="29"/>
      <c r="K163" s="18"/>
      <c r="L163" s="19"/>
      <c r="M163" s="19"/>
      <c r="N163" s="19"/>
    </row>
    <row r="164" spans="1:14">
      <c r="A164" s="10">
        <v>99</v>
      </c>
      <c r="C164" s="12"/>
      <c r="D164" s="13"/>
      <c r="E164" s="14"/>
      <c r="F164" s="15"/>
      <c r="G164" s="16"/>
      <c r="H164" s="14"/>
      <c r="I164" s="21"/>
      <c r="J164" s="29"/>
      <c r="K164" s="18"/>
      <c r="L164" s="19"/>
      <c r="M164" s="19"/>
      <c r="N164" s="19"/>
    </row>
    <row r="165" spans="1:14">
      <c r="A165" s="10">
        <v>100</v>
      </c>
      <c r="B165" s="1"/>
      <c r="C165" s="12"/>
      <c r="D165" s="13"/>
      <c r="E165" s="14"/>
      <c r="F165" s="15"/>
      <c r="G165" s="16"/>
      <c r="H165" s="14"/>
      <c r="I165" s="21"/>
      <c r="J165" s="29"/>
      <c r="K165" s="18"/>
      <c r="L165" s="19"/>
      <c r="M165" s="19"/>
      <c r="N165" s="19"/>
    </row>
    <row r="166" spans="1:14">
      <c r="A166" s="10">
        <v>101</v>
      </c>
      <c r="C166" s="12"/>
      <c r="D166" s="13"/>
      <c r="E166" s="14"/>
      <c r="F166" s="15"/>
      <c r="G166" s="16"/>
      <c r="H166" s="14"/>
      <c r="I166" s="21"/>
      <c r="J166" s="29"/>
      <c r="K166" s="18"/>
      <c r="L166" s="19"/>
      <c r="M166" s="19"/>
      <c r="N166" s="19"/>
    </row>
    <row r="167" spans="1:14">
      <c r="A167" s="10">
        <v>102</v>
      </c>
      <c r="C167" s="12"/>
      <c r="D167" s="13"/>
      <c r="E167" s="14"/>
      <c r="F167" s="15"/>
      <c r="G167" s="16"/>
      <c r="H167" s="14"/>
      <c r="I167" s="21"/>
      <c r="J167" s="29"/>
      <c r="K167" s="18"/>
      <c r="L167" s="19"/>
      <c r="M167" s="19"/>
      <c r="N167" s="19"/>
    </row>
    <row r="168" spans="1:14">
      <c r="A168" s="10">
        <v>103</v>
      </c>
      <c r="C168" s="12"/>
      <c r="D168" s="13"/>
      <c r="E168" s="14"/>
      <c r="F168" s="15"/>
      <c r="G168" s="16"/>
      <c r="H168" s="14"/>
      <c r="I168" s="21"/>
      <c r="J168" s="29"/>
      <c r="K168" s="18"/>
      <c r="L168" s="19"/>
      <c r="M168" s="19"/>
      <c r="N168" s="19"/>
    </row>
    <row r="169" spans="1:14">
      <c r="A169" s="10">
        <v>104</v>
      </c>
      <c r="B169" s="1"/>
      <c r="C169" s="12"/>
      <c r="D169" s="13"/>
      <c r="E169" s="14"/>
      <c r="F169" s="15"/>
      <c r="G169" s="16"/>
      <c r="H169" s="14"/>
      <c r="I169" s="21"/>
      <c r="J169" s="29"/>
      <c r="K169" s="18"/>
      <c r="L169" s="19"/>
      <c r="M169" s="19"/>
      <c r="N169" s="19"/>
    </row>
    <row r="170" spans="1:14">
      <c r="A170" s="10">
        <v>105</v>
      </c>
      <c r="C170" s="12"/>
      <c r="D170" s="13"/>
      <c r="E170" s="14"/>
      <c r="F170" s="15"/>
      <c r="G170" s="16"/>
      <c r="H170" s="14"/>
      <c r="I170" s="21"/>
      <c r="J170" s="29"/>
      <c r="K170" s="18"/>
      <c r="L170" s="19"/>
      <c r="M170" s="19"/>
      <c r="N170" s="19"/>
    </row>
    <row r="171" spans="1:14">
      <c r="A171" s="10">
        <v>106</v>
      </c>
      <c r="C171" s="12"/>
      <c r="D171" s="13"/>
      <c r="E171" s="14"/>
      <c r="F171" s="15"/>
      <c r="G171" s="16"/>
      <c r="H171" s="14"/>
      <c r="I171" s="21"/>
      <c r="J171" s="29"/>
      <c r="K171" s="18"/>
      <c r="L171" s="19"/>
      <c r="M171" s="19"/>
      <c r="N171" s="19"/>
    </row>
    <row r="172" spans="1:14">
      <c r="A172" s="10">
        <v>107</v>
      </c>
      <c r="C172" s="12"/>
      <c r="D172" s="13"/>
      <c r="E172" s="14"/>
      <c r="F172" s="15"/>
      <c r="G172" s="16"/>
      <c r="H172" s="14"/>
      <c r="I172" s="21"/>
      <c r="J172" s="29"/>
      <c r="K172" s="18"/>
      <c r="L172" s="19"/>
      <c r="M172" s="19"/>
      <c r="N172" s="19"/>
    </row>
    <row r="173" spans="1:14">
      <c r="A173" s="10">
        <v>108</v>
      </c>
      <c r="C173" s="12"/>
      <c r="D173" s="13"/>
      <c r="E173" s="14"/>
      <c r="F173" s="15"/>
      <c r="G173" s="16"/>
      <c r="H173" s="14"/>
      <c r="I173" s="21"/>
      <c r="J173" s="29"/>
      <c r="K173" s="18"/>
      <c r="L173" s="19"/>
      <c r="M173" s="19"/>
      <c r="N173" s="19"/>
    </row>
    <row r="174" spans="1:14">
      <c r="A174" s="10">
        <v>109</v>
      </c>
      <c r="B174" s="1"/>
      <c r="C174" s="12"/>
      <c r="D174" s="13"/>
      <c r="E174" s="14"/>
      <c r="F174" s="15"/>
      <c r="G174" s="16"/>
      <c r="H174" s="14"/>
      <c r="I174" s="21"/>
      <c r="J174" s="29"/>
      <c r="K174" s="18"/>
      <c r="L174" s="19"/>
      <c r="M174" s="19"/>
      <c r="N174" s="19"/>
    </row>
    <row r="175" spans="1:14">
      <c r="A175" s="10">
        <v>110</v>
      </c>
      <c r="C175" s="12"/>
      <c r="D175" s="13"/>
      <c r="E175" s="14"/>
      <c r="F175" s="15"/>
      <c r="G175" s="16"/>
      <c r="H175" s="14"/>
      <c r="I175" s="21"/>
      <c r="J175" s="29"/>
      <c r="K175" s="18"/>
      <c r="L175" s="19"/>
      <c r="M175" s="19"/>
      <c r="N175" s="19"/>
    </row>
    <row r="176" spans="1:14">
      <c r="A176" s="10">
        <v>111</v>
      </c>
      <c r="C176" s="12"/>
      <c r="D176" s="13"/>
      <c r="E176" s="14"/>
      <c r="F176" s="15"/>
      <c r="G176" s="16"/>
      <c r="H176" s="14"/>
      <c r="I176" s="21"/>
      <c r="J176" s="29"/>
      <c r="K176" s="18"/>
      <c r="L176" s="19"/>
      <c r="M176" s="19"/>
      <c r="N176" s="19"/>
    </row>
    <row r="177" spans="1:14">
      <c r="A177" s="10">
        <v>112</v>
      </c>
      <c r="C177" s="12"/>
      <c r="D177" s="13"/>
      <c r="E177" s="14"/>
      <c r="F177" s="15"/>
      <c r="G177" s="16"/>
      <c r="H177" s="14"/>
      <c r="I177" s="21"/>
      <c r="J177" s="29"/>
      <c r="K177" s="18"/>
      <c r="L177" s="19"/>
      <c r="M177" s="19"/>
      <c r="N177" s="19"/>
    </row>
    <row r="178" spans="1:14">
      <c r="A178" s="10">
        <v>113</v>
      </c>
      <c r="B178" s="1"/>
      <c r="C178" s="12"/>
      <c r="D178" s="13"/>
      <c r="E178" s="14"/>
      <c r="F178" s="15"/>
      <c r="G178" s="16"/>
      <c r="H178" s="14"/>
      <c r="I178" s="21"/>
      <c r="J178" s="29"/>
      <c r="K178" s="18"/>
      <c r="L178" s="19"/>
      <c r="M178" s="19"/>
      <c r="N178" s="19"/>
    </row>
    <row r="179" spans="1:14">
      <c r="A179" s="10">
        <v>114</v>
      </c>
      <c r="C179" s="12"/>
      <c r="D179" s="13"/>
      <c r="E179" s="14"/>
      <c r="F179" s="15"/>
      <c r="G179" s="16"/>
      <c r="H179" s="14"/>
      <c r="I179" s="21"/>
      <c r="J179" s="29"/>
      <c r="K179" s="18"/>
      <c r="L179" s="19"/>
      <c r="M179" s="19"/>
      <c r="N179" s="19"/>
    </row>
    <row r="180" spans="1:14">
      <c r="A180" s="10">
        <v>115</v>
      </c>
      <c r="B180" s="1"/>
      <c r="C180" s="12"/>
      <c r="D180" s="13"/>
      <c r="E180" s="14"/>
      <c r="F180" s="15"/>
      <c r="G180" s="16"/>
      <c r="H180" s="14"/>
      <c r="I180" s="21"/>
      <c r="J180" s="29"/>
      <c r="K180" s="18"/>
      <c r="L180" s="19"/>
      <c r="M180" s="19"/>
      <c r="N180" s="19"/>
    </row>
    <row r="181" spans="1:14">
      <c r="A181" s="10">
        <v>116</v>
      </c>
      <c r="C181" s="12"/>
      <c r="D181" s="13"/>
      <c r="E181" s="14"/>
      <c r="F181" s="15"/>
      <c r="G181" s="16"/>
      <c r="H181" s="14"/>
      <c r="I181" s="21"/>
      <c r="J181" s="29"/>
      <c r="K181" s="18"/>
      <c r="L181" s="19"/>
      <c r="M181" s="19"/>
      <c r="N181" s="19"/>
    </row>
    <row r="182" spans="1:14">
      <c r="A182" s="10">
        <v>117</v>
      </c>
      <c r="C182" s="12"/>
      <c r="D182" s="13"/>
      <c r="E182" s="14"/>
      <c r="F182" s="15"/>
      <c r="G182" s="16"/>
      <c r="H182" s="14"/>
      <c r="I182" s="21"/>
      <c r="J182" s="29"/>
      <c r="K182" s="18"/>
      <c r="L182" s="19"/>
      <c r="M182" s="19"/>
      <c r="N182" s="19"/>
    </row>
    <row r="183" spans="1:14">
      <c r="A183" s="10">
        <v>118</v>
      </c>
      <c r="C183" s="12"/>
      <c r="D183" s="13"/>
      <c r="E183" s="14"/>
      <c r="F183" s="15"/>
      <c r="G183" s="16"/>
      <c r="H183" s="14"/>
      <c r="I183" s="21"/>
      <c r="J183" s="29"/>
      <c r="K183" s="18"/>
      <c r="L183" s="19"/>
      <c r="M183" s="19"/>
      <c r="N183" s="19"/>
    </row>
    <row r="184" spans="1:14">
      <c r="A184" s="10">
        <v>119</v>
      </c>
      <c r="C184" s="12"/>
      <c r="D184" s="13"/>
      <c r="E184" s="14"/>
      <c r="F184" s="15"/>
      <c r="G184" s="16"/>
      <c r="H184" s="14"/>
      <c r="I184" s="21"/>
      <c r="J184" s="29"/>
      <c r="K184" s="18"/>
      <c r="L184" s="19"/>
      <c r="M184" s="19"/>
      <c r="N184" s="19"/>
    </row>
    <row r="185" spans="1:14">
      <c r="A185" s="10">
        <v>120</v>
      </c>
      <c r="C185" s="12"/>
      <c r="D185" s="13"/>
      <c r="E185" s="14"/>
      <c r="F185" s="15"/>
      <c r="G185" s="16"/>
      <c r="H185" s="14"/>
      <c r="I185" s="21"/>
      <c r="J185" s="29"/>
      <c r="K185" s="18"/>
      <c r="L185" s="19"/>
      <c r="M185" s="19"/>
      <c r="N185" s="19"/>
    </row>
    <row r="186" spans="1:14">
      <c r="A186" s="10">
        <v>121</v>
      </c>
      <c r="C186" s="12"/>
      <c r="D186" s="13"/>
      <c r="E186" s="14"/>
      <c r="F186" s="15"/>
      <c r="G186" s="16"/>
      <c r="H186" s="14"/>
      <c r="I186" s="21"/>
      <c r="J186" s="29"/>
      <c r="K186" s="18"/>
      <c r="L186" s="19"/>
      <c r="M186" s="19"/>
      <c r="N186" s="19"/>
    </row>
    <row r="187" spans="1:14">
      <c r="A187" s="10">
        <v>122</v>
      </c>
      <c r="C187" s="12"/>
      <c r="D187" s="13"/>
      <c r="E187" s="14"/>
      <c r="F187" s="15"/>
      <c r="G187" s="16"/>
      <c r="H187" s="14"/>
      <c r="I187" s="21"/>
      <c r="J187" s="29"/>
      <c r="K187" s="18"/>
      <c r="L187" s="19"/>
      <c r="M187" s="19"/>
      <c r="N187" s="19"/>
    </row>
    <row r="188" spans="1:14">
      <c r="A188" s="10">
        <v>123</v>
      </c>
      <c r="C188" s="12"/>
      <c r="D188" s="13"/>
      <c r="E188" s="14"/>
      <c r="F188" s="15"/>
      <c r="G188" s="16"/>
      <c r="H188" s="14"/>
      <c r="I188" s="21"/>
      <c r="J188" s="29"/>
      <c r="K188" s="18"/>
      <c r="L188" s="19"/>
      <c r="M188" s="19"/>
      <c r="N188" s="19"/>
    </row>
    <row r="189" spans="1:14">
      <c r="A189" s="10">
        <v>124</v>
      </c>
      <c r="B189" s="1"/>
      <c r="C189" s="12"/>
      <c r="D189" s="13"/>
      <c r="E189" s="14"/>
      <c r="F189" s="15"/>
      <c r="G189" s="16"/>
      <c r="H189" s="14"/>
      <c r="I189" s="21"/>
      <c r="J189" s="29"/>
      <c r="K189" s="18"/>
      <c r="L189" s="19"/>
      <c r="M189" s="19"/>
      <c r="N189" s="19"/>
    </row>
    <row r="190" spans="1:14">
      <c r="A190" s="10">
        <v>125</v>
      </c>
      <c r="C190" s="12"/>
      <c r="D190" s="13"/>
      <c r="E190" s="14"/>
      <c r="F190" s="15"/>
      <c r="G190" s="16"/>
      <c r="H190" s="14"/>
      <c r="I190" s="21"/>
      <c r="J190" s="29"/>
      <c r="K190" s="18"/>
      <c r="L190" s="19"/>
      <c r="M190" s="19"/>
      <c r="N190" s="19"/>
    </row>
    <row r="191" spans="1:14">
      <c r="A191" s="10"/>
      <c r="C191" s="12"/>
      <c r="D191" s="13"/>
      <c r="E191" s="14"/>
      <c r="F191" s="15"/>
      <c r="G191" s="16"/>
      <c r="H191" s="14"/>
      <c r="I191" s="21"/>
      <c r="J191" s="29"/>
      <c r="K191" s="18"/>
      <c r="L191" s="19"/>
      <c r="M191" s="19"/>
      <c r="N191" s="19"/>
    </row>
    <row r="192" spans="1:14">
      <c r="A192" s="10"/>
      <c r="C192" s="12"/>
      <c r="D192" s="13"/>
      <c r="E192" s="14"/>
      <c r="F192" s="15"/>
      <c r="G192" s="16"/>
      <c r="H192" s="14"/>
      <c r="I192" s="21"/>
      <c r="J192" s="29"/>
      <c r="K192" s="18"/>
      <c r="L192" s="19"/>
      <c r="M192" s="19"/>
      <c r="N192" s="19"/>
    </row>
    <row r="193" spans="1:14">
      <c r="A193" s="10"/>
      <c r="C193" s="12"/>
      <c r="D193" s="13"/>
      <c r="E193" s="14"/>
      <c r="F193" s="15"/>
      <c r="G193" s="16"/>
      <c r="H193" s="14"/>
      <c r="I193" s="21"/>
      <c r="J193" s="29"/>
      <c r="K193" s="18"/>
      <c r="L193" s="19"/>
      <c r="M193" s="19"/>
      <c r="N193" s="19"/>
    </row>
    <row r="194" spans="1:14">
      <c r="A194" s="10"/>
      <c r="C194" s="12"/>
      <c r="D194" s="13"/>
      <c r="E194" s="14"/>
      <c r="F194" s="15"/>
      <c r="G194" s="16"/>
      <c r="H194" s="14"/>
      <c r="I194" s="21"/>
      <c r="J194" s="29"/>
      <c r="K194" s="18"/>
      <c r="L194" s="19"/>
      <c r="M194" s="19"/>
      <c r="N194" s="19"/>
    </row>
    <row r="195" spans="1:14">
      <c r="A195" s="10"/>
      <c r="C195" s="12"/>
      <c r="D195" s="13"/>
      <c r="E195" s="14"/>
      <c r="F195" s="15"/>
      <c r="G195" s="16"/>
      <c r="H195" s="14"/>
      <c r="I195" s="21"/>
      <c r="J195" s="29"/>
      <c r="K195" s="18"/>
      <c r="L195" s="19"/>
      <c r="M195" s="19"/>
      <c r="N195" s="19"/>
    </row>
    <row r="196" spans="1:14">
      <c r="A196" s="10"/>
      <c r="C196" s="12"/>
      <c r="D196" s="13"/>
      <c r="E196" s="14"/>
      <c r="F196" s="15"/>
      <c r="G196" s="16"/>
      <c r="H196" s="14"/>
      <c r="I196" s="21"/>
      <c r="J196" s="29"/>
      <c r="K196" s="18"/>
      <c r="L196" s="19"/>
      <c r="M196" s="19"/>
      <c r="N196" s="19"/>
    </row>
    <row r="197" spans="1:14">
      <c r="A197" s="10"/>
      <c r="C197" s="12"/>
      <c r="D197" s="13"/>
      <c r="E197" s="14"/>
      <c r="F197" s="15"/>
      <c r="G197" s="16"/>
      <c r="H197" s="14"/>
      <c r="I197" s="21"/>
      <c r="J197" s="29"/>
      <c r="K197" s="18"/>
      <c r="L197" s="19"/>
      <c r="M197" s="19"/>
      <c r="N197" s="19"/>
    </row>
    <row r="198" spans="1:14">
      <c r="A198" s="10"/>
      <c r="C198" s="12"/>
      <c r="D198" s="13"/>
      <c r="E198" s="14"/>
      <c r="F198" s="15"/>
      <c r="G198" s="16"/>
      <c r="H198" s="14"/>
      <c r="I198" s="21"/>
      <c r="J198" s="29"/>
      <c r="K198" s="18"/>
      <c r="L198" s="19"/>
      <c r="M198" s="19"/>
      <c r="N198" s="19"/>
    </row>
    <row r="199" spans="1:14">
      <c r="A199" s="10"/>
      <c r="C199" s="12"/>
      <c r="D199" s="13"/>
      <c r="E199" s="14"/>
      <c r="F199" s="15"/>
      <c r="G199" s="16"/>
      <c r="H199" s="14"/>
      <c r="I199" s="21"/>
      <c r="J199" s="29"/>
      <c r="K199" s="18"/>
      <c r="L199" s="19"/>
      <c r="M199" s="19"/>
      <c r="N199" s="19"/>
    </row>
    <row r="200" spans="1:14">
      <c r="A200" s="10"/>
      <c r="C200" s="12"/>
      <c r="D200" s="13"/>
      <c r="E200" s="14"/>
      <c r="F200" s="15"/>
      <c r="G200" s="16"/>
      <c r="H200" s="14"/>
      <c r="I200" s="21"/>
      <c r="J200" s="29"/>
      <c r="K200" s="18"/>
      <c r="L200" s="19"/>
      <c r="M200" s="19"/>
      <c r="N200" s="19"/>
    </row>
    <row r="201" spans="1:14">
      <c r="A201" s="10"/>
      <c r="C201" s="12"/>
      <c r="D201" s="13"/>
      <c r="E201" s="14"/>
      <c r="F201" s="15"/>
      <c r="G201" s="16"/>
      <c r="H201" s="14"/>
      <c r="I201" s="21"/>
      <c r="J201" s="29"/>
      <c r="K201" s="18"/>
      <c r="L201" s="19"/>
      <c r="M201" s="19"/>
      <c r="N201" s="19"/>
    </row>
    <row r="202" spans="1:14">
      <c r="A202" s="10"/>
      <c r="C202" s="12"/>
      <c r="D202" s="13"/>
      <c r="E202" s="14"/>
      <c r="F202" s="15"/>
      <c r="G202" s="16"/>
      <c r="H202" s="14"/>
      <c r="I202" s="21"/>
      <c r="J202" s="29"/>
      <c r="K202" s="18"/>
      <c r="L202" s="19"/>
      <c r="M202" s="19"/>
      <c r="N202" s="19"/>
    </row>
    <row r="203" spans="1:14">
      <c r="A203" s="10"/>
      <c r="C203" s="12"/>
      <c r="D203" s="13"/>
      <c r="E203" s="14"/>
      <c r="F203" s="15"/>
      <c r="G203" s="16"/>
      <c r="H203" s="14"/>
      <c r="I203" s="21"/>
      <c r="J203" s="29"/>
      <c r="K203" s="18"/>
      <c r="L203" s="19"/>
      <c r="M203" s="19"/>
      <c r="N203" s="19"/>
    </row>
    <row r="204" spans="1:14">
      <c r="A204" s="10"/>
      <c r="C204" s="12"/>
      <c r="D204" s="13"/>
      <c r="E204" s="14"/>
      <c r="F204" s="15"/>
      <c r="G204" s="16"/>
      <c r="H204" s="14"/>
      <c r="I204" s="21"/>
      <c r="J204" s="29"/>
      <c r="K204" s="18"/>
      <c r="L204" s="19"/>
      <c r="M204" s="19"/>
      <c r="N204" s="19"/>
    </row>
    <row r="205" spans="1:14">
      <c r="A205" s="10"/>
      <c r="C205" s="12"/>
      <c r="D205" s="13"/>
      <c r="E205" s="14"/>
      <c r="F205" s="15"/>
      <c r="G205" s="16"/>
      <c r="H205" s="14"/>
      <c r="I205" s="21"/>
      <c r="J205" s="29"/>
      <c r="K205" s="18"/>
      <c r="L205" s="19"/>
      <c r="M205" s="19"/>
      <c r="N205" s="19"/>
    </row>
  </sheetData>
  <mergeCells count="1">
    <mergeCell ref="A1:J1"/>
  </mergeCells>
  <dataValidations count="1">
    <dataValidation type="list" allowBlank="1" showInputMessage="1" showErrorMessage="1" sqref="L66:L205 L60:L65 L52:L59 L42:L51 L32:L41 L1:L31" xr:uid="{00000000-0002-0000-0300-000000000000}">
      <formula1>#REF!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BCC </vt:lpstr>
      <vt:lpstr>BC LƯỢT</vt:lpstr>
      <vt:lpstr>Xe HĐ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C&amp;B_LY</cp:lastModifiedBy>
  <dcterms:created xsi:type="dcterms:W3CDTF">2006-09-16T00:00:00Z</dcterms:created>
  <dcterms:modified xsi:type="dcterms:W3CDTF">2026-07-29T10:06:57Z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7475253A3F64488B8B669AD274BC65F7_13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