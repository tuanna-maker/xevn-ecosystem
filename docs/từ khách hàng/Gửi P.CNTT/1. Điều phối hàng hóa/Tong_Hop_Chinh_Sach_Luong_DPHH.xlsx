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hính Sách" sheetId="1" state="visible" r:id="rId1"/>
    <sheet xmlns:r="http://schemas.openxmlformats.org/officeDocument/2006/relationships" name="Thang Bảng Lương Cơ Bản" sheetId="2" state="visible" r:id="rId2"/>
    <sheet xmlns:r="http://schemas.openxmlformats.org/officeDocument/2006/relationships" name="Lương Khu Vực &amp; Chi Nhánh" sheetId="3" state="visible" r:id="rId3"/>
    <sheet xmlns:r="http://schemas.openxmlformats.org/officeDocument/2006/relationships" name="Quy Tắc Xét Nâng Bậc" sheetId="4" state="visible" r:id="rId4"/>
    <sheet xmlns:r="http://schemas.openxmlformats.org/officeDocument/2006/relationships" name="Mốc Doanh Thu Bưu Cụ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.5"/>
    </font>
    <font>
      <name val="Segoe UI"/>
      <b val="1"/>
      <color rgb="00FFFFFF"/>
      <sz val="10"/>
    </font>
    <font>
      <name val="Segoe UI"/>
      <color rgb="000F172A"/>
      <sz val="9.5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58" customWidth="1" min="3" max="3"/>
    <col width="37" customWidth="1" min="4" max="4"/>
    <col width="19" customWidth="1" min="5" max="5"/>
    <col width="38" customWidth="1" min="6" max="6"/>
    <col width="135" customWidth="1" min="7" max="7"/>
    <col width="110" customWidth="1" min="8" max="8"/>
  </cols>
  <sheetData>
    <row r="1">
      <c r="A1" s="1" t="inlineStr">
        <is>
          <t>BẢNG TỔNG HỢP TOÀN BỘ CÁC CHÍNH SÁCH LƯƠNG &amp; XÉT NÂNG BẬC ĐIỀU PHỐI HÀNG HÓA (ĐPHH)</t>
        </is>
      </c>
    </row>
    <row r="2">
      <c r="A2" s="2" t="inlineStr">
        <is>
          <t>Công ty TNHH X.E Việt Nam — Bổ sung đầy đủ 7 Chính sách: Lương Bậc, Xét Nâng Bậc, Lương Khu vực/Chi nhánh, Lương KPI, Hoa hồng &amp; Thưởng</t>
        </is>
      </c>
    </row>
    <row r="3"/>
    <row r="4">
      <c r="A4" s="3" t="inlineStr">
        <is>
          <t>STT</t>
        </is>
      </c>
      <c r="B4" s="3" t="inlineStr">
        <is>
          <t>Mã nhóm</t>
        </is>
      </c>
      <c r="C4" s="3" t="inlineStr">
        <is>
          <t>Tên chính sách lương</t>
        </is>
      </c>
      <c r="D4" s="3" t="inlineStr">
        <is>
          <t>Phân loại chính sách</t>
        </is>
      </c>
      <c r="E4" s="3" t="inlineStr">
        <is>
          <t>Kiểu cấu trúc</t>
        </is>
      </c>
      <c r="F4" s="3" t="inlineStr">
        <is>
          <t>Phạm vi áp dụng</t>
        </is>
      </c>
      <c r="G4" s="3" t="inlineStr">
        <is>
          <t>Điều kiện áp dụng &amp; Quy tắc (Rules)</t>
        </is>
      </c>
      <c r="H4" s="3" t="inlineStr">
        <is>
          <t>Ghi chú &amp; Căn cứ QĐ</t>
        </is>
      </c>
    </row>
    <row r="5">
      <c r="A5" s="4" t="n">
        <v>1</v>
      </c>
      <c r="B5" s="5" t="inlineStr">
        <is>
          <t>GRADE</t>
        </is>
      </c>
      <c r="C5" s="5" t="inlineStr">
        <is>
          <t>Bảng Lương Cơ bản theo Bậc ĐPHH</t>
        </is>
      </c>
      <c r="D5" s="5" t="inlineStr">
        <is>
          <t>Lương theo Bậc (Tariff Matrix)</t>
        </is>
      </c>
      <c r="E5" s="5" t="inlineStr">
        <is>
          <t>step_only_table</t>
        </is>
      </c>
      <c r="F5" s="5" t="inlineStr">
        <is>
          <t>Theo Chức danh &amp; Bậc lương</t>
        </is>
      </c>
      <c r="G5" s="5" t="inlineStr">
        <is>
          <t>Khai báo 10 Bậc lương (Bậc I đến Bậc X: 4.800.000 VNĐ đến 11.280.000 VNĐ)</t>
        </is>
      </c>
      <c r="H5" s="5" t="inlineStr">
        <is>
          <t>Quy chế 2022. Tra cứu mức lương cơ bản để tính Phép năm, BHXH &amp; Khen thưởng</t>
        </is>
      </c>
    </row>
    <row r="6">
      <c r="A6" s="4" t="n">
        <v>2</v>
      </c>
      <c r="B6" s="5" t="inlineStr">
        <is>
          <t>STEP_PROG</t>
        </is>
      </c>
      <c r="C6" s="5" t="inlineStr">
        <is>
          <t>Chính sách Quy tắc Xét Nâng Bậc Lương Hằng Năm</t>
        </is>
      </c>
      <c r="D6" s="5" t="inlineStr">
        <is>
          <t>Xét Nâng Bậc (Progression Policy)</t>
        </is>
      </c>
      <c r="E6" s="5" t="inlineStr">
        <is>
          <t>formula_based</t>
        </is>
      </c>
      <c r="F6" s="5" t="inlineStr">
        <is>
          <t>NV ĐPHH (Đánh giá Hằng năm)</t>
        </is>
      </c>
      <c r="G6" s="5" t="inlineStr">
        <is>
          <t>Chu kỳ xét: Định kỳ 12 tháng (01/01 hằng năm). Điều kiện: Thâm niên giữ bậc &gt;= 12 tháng + KPI Bình quân Năm &gt;= 80%</t>
        </is>
      </c>
      <c r="H6" s="5" t="inlineStr">
        <is>
          <t>Phân định rõ KPI theo Năm. Tự động chuyển Bậc N -&gt; N+1 khi đủ điều kiện. Nâng trước 6 tháng nếu KPI &gt;= 95%</t>
        </is>
      </c>
    </row>
    <row r="7">
      <c r="A7" s="4" t="n">
        <v>3</v>
      </c>
      <c r="B7" s="5" t="inlineStr">
        <is>
          <t>LUONG_VUNG</t>
        </is>
      </c>
      <c r="C7" s="5" t="inlineStr">
        <is>
          <t>Chính sách Lương Định mức theo Khu vực &amp; Chi nhánh</t>
        </is>
      </c>
      <c r="D7" s="5" t="inlineStr">
        <is>
          <t>Lương Theo Khu vực &amp; Chi nhánh</t>
        </is>
      </c>
      <c r="E7" s="5" t="inlineStr">
        <is>
          <t>formula_based</t>
        </is>
      </c>
      <c r="F7" s="5" t="inlineStr">
        <is>
          <t>Theo Khu vực / Vùng miền / Bưu cục</t>
        </is>
      </c>
      <c r="G7" s="5" t="inlineStr">
        <is>
          <t>Công thức Excel: =IF(D10="YB",7500000,IF(ISNUMBER(SEARCH("HN",D10)),8000000,7000000)). Hà Nội = 8.0M | Yên Bái = 7.5M | Tỉnh = 7.0M</t>
        </is>
      </c>
      <c r="H7" s="5" t="inlineStr">
        <is>
          <t>Chính sách Lương định mức tính theo vị trí làm việc / Chi nhánh phụ thuộc hợp đồng &amp; địa bàn</t>
        </is>
      </c>
    </row>
    <row r="8">
      <c r="A8" s="4" t="n">
        <v>4</v>
      </c>
      <c r="B8" s="5" t="inlineStr">
        <is>
          <t>LUONG_KPI</t>
        </is>
      </c>
      <c r="C8" s="5" t="inlineStr">
        <is>
          <t>Chính sách Lương Quỹ KPI theo Khu vực ĐPHH</t>
        </is>
      </c>
      <c r="D8" s="5" t="inlineStr">
        <is>
          <t>Lương KPI Biến đổi</t>
        </is>
      </c>
      <c r="E8" s="5" t="inlineStr">
        <is>
          <t>formula_based</t>
        </is>
      </c>
      <c r="F8" s="5" t="inlineStr">
        <is>
          <t>Theo Vùng miền / Văn phòng</t>
        </is>
      </c>
      <c r="G8" s="5" t="inlineStr">
        <is>
          <t>Mức Quỹ KPI: 4.000.000 VNĐ (HN) | 3.000.000 VNĐ (Tỉnh) | 8.000.000 VNĐ (VP Trần Đại Nghĩa 9h/ca từ 04/2025)</t>
        </is>
      </c>
      <c r="H8" s="5" t="inlineStr">
        <is>
          <t>Công thức L_KPI = (Quỹ KPI / N_cc) * Ngày công thực tế</t>
        </is>
      </c>
    </row>
    <row r="9">
      <c r="A9" s="4" t="n">
        <v>5</v>
      </c>
      <c r="B9" s="5" t="inlineStr">
        <is>
          <t>THUONG_HH</t>
        </is>
      </c>
      <c r="C9" s="5" t="inlineStr">
        <is>
          <t>Chính sách Thưởng Hoa hồng Doanh thu Giao &amp; Nhận</t>
        </is>
      </c>
      <c r="D9" s="5" t="inlineStr">
        <is>
          <t>Thưởng Doanh thu Nhóm</t>
        </is>
      </c>
      <c r="E9" s="5" t="inlineStr">
        <is>
          <t>formula_based</t>
        </is>
      </c>
      <c r="F9" s="5" t="inlineStr">
        <is>
          <t>Theo Bưu cục / Văn phòng</t>
        </is>
      </c>
      <c r="G9" s="5" t="inlineStr">
        <is>
          <t>Biểu % Hàng gửi (&lt;150M: 7.5%, 150-200M: 8.5%, 200-300M: 9.5%, &gt;=300M: 10.5%) &amp; Hàng nhận (&lt;300M: 2%, &gt;=300M: 3%)</t>
        </is>
      </c>
      <c r="H9" s="5" t="inlineStr">
        <is>
          <t>QĐ 1031 áp dụng từ 01/10/2024. Phân bổ theo giờ công thực tế tại VP</t>
        </is>
      </c>
    </row>
    <row r="10">
      <c r="A10" s="4" t="n">
        <v>6</v>
      </c>
      <c r="B10" s="5" t="inlineStr">
        <is>
          <t>THUONG_KH</t>
        </is>
      </c>
      <c r="C10" s="5" t="inlineStr">
        <is>
          <t>Chính sách Thưởng Vượt mốc Doanh thu &amp; Ship Kiêm nhiệm</t>
        </is>
      </c>
      <c r="D10" s="5" t="inlineStr">
        <is>
          <t>Thưởng Hiệu suất &amp; Kiêm nhiệm</t>
        </is>
      </c>
      <c r="E10" s="5" t="inlineStr">
        <is>
          <t>formula_based</t>
        </is>
      </c>
      <c r="F10" s="5" t="inlineStr">
        <is>
          <t>Theo Bưu cục &amp; Cá nhân</t>
        </is>
      </c>
      <c r="G10" s="5" t="inlineStr">
        <is>
          <t>Vượt mốc bưu cục &gt;15%: Thưởng 20% * (DTHG - Mốc quy định VP) | Ship tỉnh: 70% cước | Ship HN: 25% cước + Thưởng nhóm</t>
        </is>
      </c>
      <c r="H10" s="5" t="inlineStr">
        <is>
          <t>QĐ 04/2024 &amp; QĐ 08/2025</t>
        </is>
      </c>
    </row>
    <row r="11">
      <c r="A11" s="4" t="n">
        <v>7</v>
      </c>
      <c r="B11" s="5" t="inlineStr">
        <is>
          <t>PROBATION</t>
        </is>
      </c>
      <c r="C11" s="5" t="inlineStr">
        <is>
          <t>Chính sách Lương Thử việc Điều phối Hàng hóa</t>
        </is>
      </c>
      <c r="D11" s="5" t="inlineStr">
        <is>
          <t>Theo Trạng thái Nhân sự</t>
        </is>
      </c>
      <c r="E11" s="5" t="inlineStr">
        <is>
          <t>formula_based</t>
        </is>
      </c>
      <c r="F11" s="5" t="inlineStr">
        <is>
          <t>NV Thử việc (Probation)</t>
        </is>
      </c>
      <c r="G11" s="5" t="inlineStr">
        <is>
          <t>Lương KPI/Cố định = 0 VNĐ. Lương doanh thu = 85% * Lương doanh thu Nhân viên Chính thức</t>
        </is>
      </c>
      <c r="H11" s="5" t="inlineStr">
        <is>
          <t>QĐ 02/2025 áp dụng từ 01/12/2024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5" customWidth="1" min="4" max="4"/>
    <col width="32" customWidth="1" min="5" max="5"/>
    <col width="32" customWidth="1" min="6" max="6"/>
    <col width="46" customWidth="1" min="7" max="7"/>
  </cols>
  <sheetData>
    <row r="1">
      <c r="A1" s="1" t="inlineStr">
        <is>
          <t>CHÍNH SÁCH 1: BẢNG TRA CỨU MỨC LƯƠNG CƠ BẢN THEO BẬC NHÂN VIÊN ĐIỀU PHỐI HÀNG HÓA</t>
        </is>
      </c>
    </row>
    <row r="2">
      <c r="A2" s="2" t="inlineStr">
        <is>
          <t>Mã nhóm: GRADE • Phân loại: Lương theo Bậc (Không theo Ngạch) • Dùng làm căn cứ đóng BHXH &amp; Tính phép năm</t>
        </is>
      </c>
    </row>
    <row r="3"/>
    <row r="4">
      <c r="A4" s="3" t="inlineStr">
        <is>
          <t>Bậc lương</t>
        </is>
      </c>
      <c r="B4" s="3" t="inlineStr">
        <is>
          <t>Mã Bậc</t>
        </is>
      </c>
      <c r="C4" s="3" t="inlineStr">
        <is>
          <t>Tên Bậc</t>
        </is>
      </c>
      <c r="D4" s="3" t="inlineStr">
        <is>
          <t>Hệ số lương</t>
        </is>
      </c>
      <c r="E4" s="3" t="inlineStr">
        <is>
          <t>Mức lương cơ bản (VNĐ/tháng)</t>
        </is>
      </c>
      <c r="F4" s="3" t="inlineStr">
        <is>
          <t>Áp dụng cho vị trí</t>
        </is>
      </c>
      <c r="G4" s="3" t="inlineStr">
        <is>
          <t>Ghi chú</t>
        </is>
      </c>
    </row>
    <row r="5">
      <c r="A5" s="4" t="inlineStr">
        <is>
          <t>Bậc 1</t>
        </is>
      </c>
      <c r="B5" s="5" t="inlineStr">
        <is>
          <t>STEP_01</t>
        </is>
      </c>
      <c r="C5" s="5" t="inlineStr">
        <is>
          <t>Bậc I</t>
        </is>
      </c>
      <c r="D5" s="6" t="n">
        <v>1</v>
      </c>
      <c r="E5" s="6" t="n">
        <v>4800000</v>
      </c>
      <c r="F5" s="5" t="inlineStr">
        <is>
          <t>Nhân viên Điều phối hàng hóa</t>
        </is>
      </c>
      <c r="G5" s="5" t="inlineStr">
        <is>
          <t>Mức lương khởi điểm khi ký HĐLĐ chính thức</t>
        </is>
      </c>
    </row>
    <row r="6">
      <c r="A6" s="4" t="inlineStr">
        <is>
          <t>Bậc 2</t>
        </is>
      </c>
      <c r="B6" s="5" t="inlineStr">
        <is>
          <t>STEP_02</t>
        </is>
      </c>
      <c r="C6" s="5" t="inlineStr">
        <is>
          <t>Bậc II</t>
        </is>
      </c>
      <c r="D6" s="6" t="n">
        <v>1.15</v>
      </c>
      <c r="E6" s="6" t="n">
        <v>5520000</v>
      </c>
      <c r="F6" s="5" t="inlineStr">
        <is>
          <t>Nhân viên Điều phối hàng hóa</t>
        </is>
      </c>
      <c r="G6" s="5" t="inlineStr">
        <is>
          <t>Mức lương Bậc 2</t>
        </is>
      </c>
    </row>
    <row r="7">
      <c r="A7" s="4" t="inlineStr">
        <is>
          <t>Bậc 3</t>
        </is>
      </c>
      <c r="B7" s="5" t="inlineStr">
        <is>
          <t>STEP_03</t>
        </is>
      </c>
      <c r="C7" s="5" t="inlineStr">
        <is>
          <t>Bậc III</t>
        </is>
      </c>
      <c r="D7" s="6" t="n">
        <v>1.3</v>
      </c>
      <c r="E7" s="6" t="n">
        <v>6240000</v>
      </c>
      <c r="F7" s="5" t="inlineStr">
        <is>
          <t>Nhân viên Điều phối hàng hóa</t>
        </is>
      </c>
      <c r="G7" s="5" t="inlineStr">
        <is>
          <t>Mức lương Bậc 3</t>
        </is>
      </c>
    </row>
    <row r="8">
      <c r="A8" s="4" t="inlineStr">
        <is>
          <t>Bậc 4</t>
        </is>
      </c>
      <c r="B8" s="5" t="inlineStr">
        <is>
          <t>STEP_04</t>
        </is>
      </c>
      <c r="C8" s="5" t="inlineStr">
        <is>
          <t>Bậc IV</t>
        </is>
      </c>
      <c r="D8" s="6" t="n">
        <v>1.45</v>
      </c>
      <c r="E8" s="6" t="n">
        <v>6690000</v>
      </c>
      <c r="F8" s="5" t="inlineStr">
        <is>
          <t>Nhân viên Điều phối hàng hóa</t>
        </is>
      </c>
      <c r="G8" s="5" t="inlineStr">
        <is>
          <t>Mức lương Bậc 4</t>
        </is>
      </c>
    </row>
    <row r="9">
      <c r="A9" s="4" t="inlineStr">
        <is>
          <t>Bậc 5</t>
        </is>
      </c>
      <c r="B9" s="5" t="inlineStr">
        <is>
          <t>STEP_05</t>
        </is>
      </c>
      <c r="C9" s="5" t="inlineStr">
        <is>
          <t>Bậc V</t>
        </is>
      </c>
      <c r="D9" s="6" t="n">
        <v>1.6</v>
      </c>
      <c r="E9" s="6" t="n">
        <v>7680000</v>
      </c>
      <c r="F9" s="5" t="inlineStr">
        <is>
          <t>Nhân viên Điều phối hàng hóa</t>
        </is>
      </c>
      <c r="G9" s="5" t="inlineStr">
        <is>
          <t>Mức lương Bậc 5</t>
        </is>
      </c>
    </row>
    <row r="10">
      <c r="A10" s="4" t="inlineStr">
        <is>
          <t>Bậc 6</t>
        </is>
      </c>
      <c r="B10" s="5" t="inlineStr">
        <is>
          <t>STEP_06</t>
        </is>
      </c>
      <c r="C10" s="5" t="inlineStr">
        <is>
          <t>Bậc VI</t>
        </is>
      </c>
      <c r="D10" s="6" t="n">
        <v>1.75</v>
      </c>
      <c r="E10" s="6" t="n">
        <v>8400000</v>
      </c>
      <c r="F10" s="5" t="inlineStr">
        <is>
          <t>Nhân viên Điều phối hàng hóa</t>
        </is>
      </c>
      <c r="G10" s="5" t="inlineStr">
        <is>
          <t>Mức lương Bậc 6</t>
        </is>
      </c>
    </row>
    <row r="11">
      <c r="A11" s="4" t="inlineStr">
        <is>
          <t>Bậc 7</t>
        </is>
      </c>
      <c r="B11" s="5" t="inlineStr">
        <is>
          <t>STEP_07</t>
        </is>
      </c>
      <c r="C11" s="5" t="inlineStr">
        <is>
          <t>Bậc VII</t>
        </is>
      </c>
      <c r="D11" s="6" t="n">
        <v>1.9</v>
      </c>
      <c r="E11" s="6" t="n">
        <v>9120000</v>
      </c>
      <c r="F11" s="5" t="inlineStr">
        <is>
          <t>Nhân viên Điều phối hàng hóa</t>
        </is>
      </c>
      <c r="G11" s="5" t="inlineStr">
        <is>
          <t>Mức lương Bậc 7</t>
        </is>
      </c>
    </row>
    <row r="12">
      <c r="A12" s="4" t="inlineStr">
        <is>
          <t>Bậc 8</t>
        </is>
      </c>
      <c r="B12" s="5" t="inlineStr">
        <is>
          <t>STEP_08</t>
        </is>
      </c>
      <c r="C12" s="5" t="inlineStr">
        <is>
          <t>Bậc VIII</t>
        </is>
      </c>
      <c r="D12" s="6" t="n">
        <v>2.05</v>
      </c>
      <c r="E12" s="6" t="n">
        <v>9840000</v>
      </c>
      <c r="F12" s="5" t="inlineStr">
        <is>
          <t>Nhân viên Điều phối hàng hóa</t>
        </is>
      </c>
      <c r="G12" s="5" t="inlineStr">
        <is>
          <t>Mức lương Bậc 8</t>
        </is>
      </c>
    </row>
    <row r="13">
      <c r="A13" s="4" t="inlineStr">
        <is>
          <t>Bậc 9</t>
        </is>
      </c>
      <c r="B13" s="5" t="inlineStr">
        <is>
          <t>STEP_09</t>
        </is>
      </c>
      <c r="C13" s="5" t="inlineStr">
        <is>
          <t>Bậc IX</t>
        </is>
      </c>
      <c r="D13" s="6" t="n">
        <v>2.2</v>
      </c>
      <c r="E13" s="6" t="n">
        <v>10560000</v>
      </c>
      <c r="F13" s="5" t="inlineStr">
        <is>
          <t>Nhân viên Điều phối hàng hóa</t>
        </is>
      </c>
      <c r="G13" s="5" t="inlineStr">
        <is>
          <t>Mức lương Bậc 9</t>
        </is>
      </c>
    </row>
    <row r="14">
      <c r="A14" s="4" t="inlineStr">
        <is>
          <t>Bậc 10</t>
        </is>
      </c>
      <c r="B14" s="5" t="inlineStr">
        <is>
          <t>STEP_10</t>
        </is>
      </c>
      <c r="C14" s="5" t="inlineStr">
        <is>
          <t>Bậc X</t>
        </is>
      </c>
      <c r="D14" s="6" t="n">
        <v>2.35</v>
      </c>
      <c r="E14" s="6" t="n">
        <v>11280000</v>
      </c>
      <c r="F14" s="5" t="inlineStr">
        <is>
          <t>Nhân viên Điều phối hàng hóa</t>
        </is>
      </c>
      <c r="G14" s="5" t="inlineStr">
        <is>
          <t>Mức lương Bậc 10 (Trần tối đa)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6" customWidth="1" min="2" max="2"/>
    <col width="30" customWidth="1" min="3" max="3"/>
    <col width="56" customWidth="1" min="4" max="4"/>
    <col width="34" customWidth="1" min="5" max="5"/>
    <col width="47" customWidth="1" min="6" max="6"/>
    <col width="67" customWidth="1" min="7" max="7"/>
  </cols>
  <sheetData>
    <row r="1">
      <c r="A1" s="1" t="inlineStr">
        <is>
          <t>CHÍNH SÁCH 3: LƯƠNG ĐỊNH MỨC THEO KHU VỰC VÀ CHI NHÁNH BƯU CỤC</t>
        </is>
      </c>
    </row>
    <row r="2">
      <c r="A2" s="2" t="inlineStr">
        <is>
          <t>Mã nhóm: LUONG_VUNG • Áp dụng phân vùng địa bàn và chi nhánh (Hà Nội, Yên Bái, Tỉnh) • Động theo Công thức Excel</t>
        </is>
      </c>
    </row>
    <row r="3"/>
    <row r="4">
      <c r="A4" s="3" t="inlineStr">
        <is>
          <t>STT</t>
        </is>
      </c>
      <c r="B4" s="3" t="inlineStr">
        <is>
          <t>Mã Khu vực / Chi nhánh</t>
        </is>
      </c>
      <c r="C4" s="3" t="inlineStr">
        <is>
          <t>Tên Khu vực / Vùng miền</t>
        </is>
      </c>
      <c r="D4" s="3" t="inlineStr">
        <is>
          <t>Các Văn phòng / Bưu cục trực thuộc</t>
        </is>
      </c>
      <c r="E4" s="3" t="inlineStr">
        <is>
          <t>Mức lương định mức (VNĐ/tháng)</t>
        </is>
      </c>
      <c r="F4" s="3" t="inlineStr">
        <is>
          <t>Công thức kiểm tra Excel</t>
        </is>
      </c>
      <c r="G4" s="3" t="inlineStr">
        <is>
          <t>Ghi chú &amp; Điều kiện áp dụng</t>
        </is>
      </c>
    </row>
    <row r="5">
      <c r="A5" s="4" t="n">
        <v>1</v>
      </c>
      <c r="B5" s="5" t="inlineStr">
        <is>
          <t>HN</t>
        </is>
      </c>
      <c r="C5" s="5" t="inlineStr">
        <is>
          <t>Khu vực Hà Nội</t>
        </is>
      </c>
      <c r="D5" s="5" t="inlineStr">
        <is>
          <t>Phố Vọng, Rạp Xiếc, Big C, Thọ Tháp, Ngọc Hồi</t>
        </is>
      </c>
      <c r="E5" s="6" t="n">
        <v>8000000</v>
      </c>
      <c r="F5" s="5">
        <f>IF(ISNUMBER(SEARCH("HN",D10)),8000000,...)</f>
        <v/>
      </c>
      <c r="G5" s="5" t="inlineStr">
        <is>
          <t>Áp dụng cho Nhân viên Điều phối làm việc tại các bưu cục Hà Nội</t>
        </is>
      </c>
    </row>
    <row r="6">
      <c r="A6" s="4" t="n">
        <v>2</v>
      </c>
      <c r="B6" s="5" t="inlineStr">
        <is>
          <t>YB</t>
        </is>
      </c>
      <c r="C6" s="5" t="inlineStr">
        <is>
          <t>Chi nhánh Yên Bái</t>
        </is>
      </c>
      <c r="D6" s="5" t="inlineStr">
        <is>
          <t>Bưu cục Yên Bái (Chi nhánh Yên Bái)</t>
        </is>
      </c>
      <c r="E6" s="6" t="n">
        <v>7500000</v>
      </c>
      <c r="F6" s="5">
        <f>IF(D10="YB",7500000,...)</f>
        <v/>
      </c>
      <c r="G6" s="5" t="inlineStr">
        <is>
          <t>Áp dụng cho Nhân viên Điều phối thuộc Chi nhánh Yên Bái</t>
        </is>
      </c>
    </row>
    <row r="7">
      <c r="A7" s="4" t="n">
        <v>3</v>
      </c>
      <c r="B7" s="5" t="inlineStr">
        <is>
          <t>TINH</t>
        </is>
      </c>
      <c r="C7" s="5" t="inlineStr">
        <is>
          <t>Các Tỉnh khác</t>
        </is>
      </c>
      <c r="D7" s="5" t="inlineStr">
        <is>
          <t>Nam Định, Thái Bình, Ninh Bình, Phú Thọ, Việt Trì...</t>
        </is>
      </c>
      <c r="E7" s="6" t="n">
        <v>7000000</v>
      </c>
      <c r="F7" s="5" t="inlineStr">
        <is>
          <t>Mặc định còn lại 7.000.000 VNĐ</t>
        </is>
      </c>
      <c r="G7" s="5" t="inlineStr">
        <is>
          <t>Áp dụng cho các Văn phòng bưu cục tỉnh còn lại</t>
        </is>
      </c>
    </row>
    <row r="8">
      <c r="A8" s="4" t="n">
        <v>4</v>
      </c>
      <c r="B8" s="5" t="inlineStr">
        <is>
          <t>HN_TDN</t>
        </is>
      </c>
      <c r="C8" s="5" t="inlineStr">
        <is>
          <t>VP Trần Đại Nghĩa (Đặc lệ)</t>
        </is>
      </c>
      <c r="D8" s="5" t="inlineStr">
        <is>
          <t>Văn phòng Trần Đại Nghĩa (Ca 9h)</t>
        </is>
      </c>
      <c r="E8" s="6" t="n">
        <v>8000000</v>
      </c>
      <c r="F8" s="5" t="inlineStr">
        <is>
          <t>Mức trọn gói 8.000.000 VNĐ</t>
        </is>
      </c>
      <c r="G8" s="5" t="inlineStr">
        <is>
          <t>Cố định trọn gói ca 9h/ngày kể từ 01/04/2025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9" customWidth="1" min="2" max="2"/>
    <col width="26" customWidth="1" min="3" max="3"/>
    <col width="51" customWidth="1" min="4" max="4"/>
    <col width="42" customWidth="1" min="5" max="5"/>
    <col width="45" customWidth="1" min="6" max="6"/>
    <col width="81" customWidth="1" min="7" max="7"/>
  </cols>
  <sheetData>
    <row r="1">
      <c r="A1" s="1" t="inlineStr">
        <is>
          <t>CHÍNH SÁCH 2: QUY TẮC ĐIỀU KIỆN ĐÁNH GIÁ &amp; XÉT NÂNG BẬC LƯƠNG HẰNG NĂM</t>
        </is>
      </c>
    </row>
    <row r="2">
      <c r="A2" s="2" t="inlineStr">
        <is>
          <t>Mã nhóm: STEP_PROG • Kỳ đánh giá: Định kỳ Hàng năm (Vào ngày 01/01) • Tiêu chuẩn: Thâm niên &amp; KPI Bình quân 12 Tháng</t>
        </is>
      </c>
    </row>
    <row r="3"/>
    <row r="4">
      <c r="A4" s="3" t="inlineStr">
        <is>
          <t>Từ Bậc</t>
        </is>
      </c>
      <c r="B4" s="3" t="inlineStr">
        <is>
          <t>Lên Bậc</t>
        </is>
      </c>
      <c r="C4" s="3" t="inlineStr">
        <is>
          <t>Kỳ đánh giá nâng bậc</t>
        </is>
      </c>
      <c r="D4" s="3" t="inlineStr">
        <is>
          <t>Điều kiện Thâm niên công tác</t>
        </is>
      </c>
      <c r="E4" s="3" t="inlineStr">
        <is>
          <t>Điều kiện KPI (Bình quân 12 Tháng Năm)</t>
        </is>
      </c>
      <c r="F4" s="3" t="inlineStr">
        <is>
          <t>Thời điểm áp dụng mức lương mới</t>
        </is>
      </c>
      <c r="G4" s="3" t="inlineStr">
        <is>
          <t>Quy tắc Nâng bậc Trước thời hạn (Đặc cách)</t>
        </is>
      </c>
    </row>
    <row r="5">
      <c r="A5" s="4" t="inlineStr">
        <is>
          <t>Bậc 1 (4.8M)</t>
        </is>
      </c>
      <c r="B5" s="5" t="inlineStr">
        <is>
          <t>Bậc 2 (5.52M)</t>
        </is>
      </c>
      <c r="C5" s="5" t="inlineStr">
        <is>
          <t>Định kỳ 01/01 hàng năm</t>
        </is>
      </c>
      <c r="D5" s="5" t="inlineStr">
        <is>
          <t>Thâm niên liên tục &gt;= 12 tháng (1 năm)</t>
        </is>
      </c>
      <c r="E5" s="5" t="inlineStr">
        <is>
          <t>KPI Bình quân 12 tháng năm đạt &gt;= 80%</t>
        </is>
      </c>
      <c r="F5" s="5" t="inlineStr">
        <is>
          <t>Từ ngày 01/01 của năm tài chính tiếp theo</t>
        </is>
      </c>
      <c r="G5" s="5" t="inlineStr">
        <is>
          <t>Thành tích xuất sắc: KPI năm &gt;= 95% + Bằng khen Cty -&gt; Nâng bậc trước 6 tháng</t>
        </is>
      </c>
    </row>
    <row r="6">
      <c r="A6" s="4" t="inlineStr">
        <is>
          <t>Bậc 2 (5.52M)</t>
        </is>
      </c>
      <c r="B6" s="5" t="inlineStr">
        <is>
          <t>Bậc 3 (6.24M)</t>
        </is>
      </c>
      <c r="C6" s="5" t="inlineStr">
        <is>
          <t>Định kỳ 01/01 hàng năm</t>
        </is>
      </c>
      <c r="D6" s="5" t="inlineStr">
        <is>
          <t>Thâm niên giữ Bậc 2 &gt;= 12 tháng (Tổng &gt;= 2 năm)</t>
        </is>
      </c>
      <c r="E6" s="5" t="inlineStr">
        <is>
          <t>KPI Bình quân 12 tháng năm đạt &gt;= 80%</t>
        </is>
      </c>
      <c r="F6" s="5" t="inlineStr">
        <is>
          <t>Từ ngày 01/01 của năm tài chính tiếp theo</t>
        </is>
      </c>
      <c r="G6" s="5" t="inlineStr">
        <is>
          <t>Thành tích xuất sắc: KPI năm &gt;= 95% + Bằng khen Cty -&gt; Nâng bậc trước 6 tháng</t>
        </is>
      </c>
    </row>
    <row r="7">
      <c r="A7" s="4" t="inlineStr">
        <is>
          <t>Bậc 3 (6.24M)</t>
        </is>
      </c>
      <c r="B7" s="5" t="inlineStr">
        <is>
          <t>Bậc 4 (6.69M)</t>
        </is>
      </c>
      <c r="C7" s="5" t="inlineStr">
        <is>
          <t>Định kỳ 01/01 hàng năm</t>
        </is>
      </c>
      <c r="D7" s="5" t="inlineStr">
        <is>
          <t>Thâm niên giữ Bậc 3 &gt;= 12 tháng (Tổng &gt;= 3 năm)</t>
        </is>
      </c>
      <c r="E7" s="5" t="inlineStr">
        <is>
          <t>KPI Bình quân 12 tháng năm đạt &gt;= 85%</t>
        </is>
      </c>
      <c r="F7" s="5" t="inlineStr">
        <is>
          <t>Từ ngày 01/01 của năm tài chính tiếp theo</t>
        </is>
      </c>
      <c r="G7" s="5" t="inlineStr">
        <is>
          <t>Thành tích xuất sắc: KPI năm &gt;= 95% + Bằng khen Cty -&gt; Nâng bậc trước 6 tháng</t>
        </is>
      </c>
    </row>
    <row r="8">
      <c r="A8" s="4" t="inlineStr">
        <is>
          <t>Bậc 4 (6.69M)</t>
        </is>
      </c>
      <c r="B8" s="5" t="inlineStr">
        <is>
          <t>Bậc 5 (7.68M)</t>
        </is>
      </c>
      <c r="C8" s="5" t="inlineStr">
        <is>
          <t>Định kỳ 01/01 hàng năm</t>
        </is>
      </c>
      <c r="D8" s="5" t="inlineStr">
        <is>
          <t>Thâm niên giữ Bậc 4 &gt;= 12 tháng (Tổng &gt;= 4 năm)</t>
        </is>
      </c>
      <c r="E8" s="5" t="inlineStr">
        <is>
          <t>KPI Bình quân 12 tháng năm đạt &gt;= 85%</t>
        </is>
      </c>
      <c r="F8" s="5" t="inlineStr">
        <is>
          <t>Từ ngày 01/01 của năm tài chính tiếp theo</t>
        </is>
      </c>
      <c r="G8" s="5" t="inlineStr">
        <is>
          <t>Thành tích xuất sắc: KPI năm &gt;= 95% + Bằng khen Cty -&gt; Nâng bậc trước 6 tháng</t>
        </is>
      </c>
    </row>
    <row r="9">
      <c r="A9" s="4" t="inlineStr">
        <is>
          <t>Bậc 5 (7.68M)</t>
        </is>
      </c>
      <c r="B9" s="5" t="inlineStr">
        <is>
          <t>Bậc 6 (8.40M)</t>
        </is>
      </c>
      <c r="C9" s="5" t="inlineStr">
        <is>
          <t>Định kỳ 01/01 hàng năm</t>
        </is>
      </c>
      <c r="D9" s="5" t="inlineStr">
        <is>
          <t>Thâm niên giữ Bậc 5 &gt;= 12 tháng (Tổng &gt;= 5 năm)</t>
        </is>
      </c>
      <c r="E9" s="5" t="inlineStr">
        <is>
          <t>KPI Bình quân 12 tháng năm đạt &gt;= 85%</t>
        </is>
      </c>
      <c r="F9" s="5" t="inlineStr">
        <is>
          <t>Từ ngày 01/01 của năm tài chính tiếp theo</t>
        </is>
      </c>
      <c r="G9" s="5" t="inlineStr">
        <is>
          <t>Thành tích xuất sắc: KPI năm &gt;= 95% + Bằng khen Cty -&gt; Nâng bậc trước 6 tháng</t>
        </is>
      </c>
    </row>
    <row r="10">
      <c r="A10" s="4" t="inlineStr">
        <is>
          <t>Bậc 6 (8.40M)</t>
        </is>
      </c>
      <c r="B10" s="5" t="inlineStr">
        <is>
          <t>Bậc 7 (9.12M)</t>
        </is>
      </c>
      <c r="C10" s="5" t="inlineStr">
        <is>
          <t>Định kỳ 01/01 hàng năm</t>
        </is>
      </c>
      <c r="D10" s="5" t="inlineStr">
        <is>
          <t>Thâm niên giữ Bậc 6 &gt;= 12 tháng (Tổng &gt;= 6 năm)</t>
        </is>
      </c>
      <c r="E10" s="5" t="inlineStr">
        <is>
          <t>KPI Bình quân 12 tháng năm đạt &gt;= 90%</t>
        </is>
      </c>
      <c r="F10" s="5" t="inlineStr">
        <is>
          <t>Từ ngày 01/01 của năm tài chính tiếp theo</t>
        </is>
      </c>
      <c r="G10" s="5" t="inlineStr">
        <is>
          <t>Thành tích xuất sắc: KPI năm &gt;= 95% + Bằng khen Cty -&gt; Nâng bậc trước 6 tháng</t>
        </is>
      </c>
    </row>
    <row r="11">
      <c r="A11" s="4" t="inlineStr">
        <is>
          <t>Bậc 7 (9.12M)</t>
        </is>
      </c>
      <c r="B11" s="5" t="inlineStr">
        <is>
          <t>Bậc 8 (9.84M)</t>
        </is>
      </c>
      <c r="C11" s="5" t="inlineStr">
        <is>
          <t>Định kỳ 01/01 hàng năm</t>
        </is>
      </c>
      <c r="D11" s="5" t="inlineStr">
        <is>
          <t>Thâm niên giữ Bậc 7 &gt;= 12 tháng (Tổng &gt;= 7 năm)</t>
        </is>
      </c>
      <c r="E11" s="5" t="inlineStr">
        <is>
          <t>KPI Bình quân 12 tháng năm đạt &gt;= 90%</t>
        </is>
      </c>
      <c r="F11" s="5" t="inlineStr">
        <is>
          <t>Từ ngày 01/01 của năm tài chính tiếp theo</t>
        </is>
      </c>
      <c r="G11" s="5" t="inlineStr">
        <is>
          <t>Thành tích xuất sắc: KPI năm &gt;= 95% + Bằng khen Cty -&gt; Nâng bậc trước 6 tháng</t>
        </is>
      </c>
    </row>
    <row r="12">
      <c r="A12" s="4" t="inlineStr">
        <is>
          <t>Bậc 8 (9.84M)</t>
        </is>
      </c>
      <c r="B12" s="5" t="inlineStr">
        <is>
          <t>Bậc 9 (10.56M)</t>
        </is>
      </c>
      <c r="C12" s="5" t="inlineStr">
        <is>
          <t>Định kỳ 01/01 hàng năm</t>
        </is>
      </c>
      <c r="D12" s="5" t="inlineStr">
        <is>
          <t>Thâm niên giữ Bậc 8 &gt;= 12 tháng (Tổng &gt;= 8 năm)</t>
        </is>
      </c>
      <c r="E12" s="5" t="inlineStr">
        <is>
          <t>KPI Bình quân 12 tháng năm đạt &gt;= 90%</t>
        </is>
      </c>
      <c r="F12" s="5" t="inlineStr">
        <is>
          <t>Từ ngày 01/01 của năm tài chính tiếp theo</t>
        </is>
      </c>
      <c r="G12" s="5" t="inlineStr">
        <is>
          <t>Thành tích xuất sắc: KPI năm &gt;= 95% + Bằng khen Cty -&gt; Nâng bậc trước 6 tháng</t>
        </is>
      </c>
    </row>
    <row r="13">
      <c r="A13" s="4" t="inlineStr">
        <is>
          <t>Bậc 9 (10.56M)</t>
        </is>
      </c>
      <c r="B13" s="5" t="inlineStr">
        <is>
          <t>Bậc 10 (11.28M)</t>
        </is>
      </c>
      <c r="C13" s="5" t="inlineStr">
        <is>
          <t>Định kỳ 01/01 hàng năm</t>
        </is>
      </c>
      <c r="D13" s="5" t="inlineStr">
        <is>
          <t>Thâm niên giữ Bậc 9 &gt;= 12 tháng (Tổng &gt;= 9 năm)</t>
        </is>
      </c>
      <c r="E13" s="5" t="inlineStr">
        <is>
          <t>KPI Bình quân 12 tháng năm đạt &gt;= 90%</t>
        </is>
      </c>
      <c r="F13" s="5" t="inlineStr">
        <is>
          <t>Từ ngày 01/01 của năm tài chính tiếp theo</t>
        </is>
      </c>
      <c r="G13" s="5" t="inlineStr">
        <is>
          <t>Thành tích xuất sắc: KPI năm &gt;= 95% + Bằng khen Cty -&gt; Nâng bậc trước 6 tháng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12" customWidth="1" min="3" max="3"/>
    <col width="21" customWidth="1" min="4" max="4"/>
    <col width="21" customWidth="1" min="5" max="5"/>
    <col width="21" customWidth="1" min="6" max="6"/>
    <col width="32" customWidth="1" min="7" max="7"/>
    <col width="25" customWidth="1" min="8" max="8"/>
  </cols>
  <sheetData>
    <row r="1">
      <c r="A1" s="1" t="inlineStr">
        <is>
          <t>MỐC ĐỊNH MỨC DOANH THU VĂN PHÒNG &amp; TỶ LỆ HOA HỒNG GIAO NĂNG</t>
        </is>
      </c>
    </row>
    <row r="2">
      <c r="A2" s="2" t="inlineStr">
        <is>
          <t>Bảng tham số cấu hình Thưởng vượt mốc 15% &amp; % Hoa hồng theo QĐ 1031</t>
        </is>
      </c>
    </row>
    <row r="3"/>
    <row r="4">
      <c r="A4" s="3" t="inlineStr">
        <is>
          <t>STT</t>
        </is>
      </c>
      <c r="B4" s="3" t="inlineStr">
        <is>
          <t>Tên Văn phòng / Bưu cục</t>
        </is>
      </c>
      <c r="C4" s="3" t="inlineStr">
        <is>
          <t>Khu vực</t>
        </is>
      </c>
      <c r="D4" s="3" t="inlineStr">
        <is>
          <t>Mốc 1 (Triệu VNĐ)</t>
        </is>
      </c>
      <c r="E4" s="3" t="inlineStr">
        <is>
          <t>Mốc 2 (Triệu VNĐ)</t>
        </is>
      </c>
      <c r="F4" s="3" t="inlineStr">
        <is>
          <t>Mốc 3 (Triệu VNĐ)</t>
        </is>
      </c>
      <c r="G4" s="3" t="inlineStr">
        <is>
          <t>% Hoa hồng Hàng gửi</t>
        </is>
      </c>
      <c r="H4" s="3" t="inlineStr">
        <is>
          <t>% Hoa hồng Hàng nhận</t>
        </is>
      </c>
    </row>
    <row r="5">
      <c r="A5" s="4" t="n">
        <v>1</v>
      </c>
      <c r="B5" s="5" t="inlineStr">
        <is>
          <t>Ngọc Hồi</t>
        </is>
      </c>
      <c r="C5" s="5" t="inlineStr">
        <is>
          <t>Hà Nội</t>
        </is>
      </c>
      <c r="D5" s="6" t="n">
        <v>80</v>
      </c>
      <c r="E5" s="6" t="n">
        <v>92</v>
      </c>
      <c r="F5" s="6" t="n">
        <v>105</v>
      </c>
      <c r="G5" s="5" t="inlineStr">
        <is>
          <t>7.5% - 10.5%</t>
        </is>
      </c>
      <c r="H5" s="5" t="inlineStr">
        <is>
          <t>2.0% - 3.0%</t>
        </is>
      </c>
    </row>
    <row r="6">
      <c r="A6" s="4" t="n">
        <v>2</v>
      </c>
      <c r="B6" s="5" t="inlineStr">
        <is>
          <t>Phố Vọng</t>
        </is>
      </c>
      <c r="C6" s="5" t="inlineStr">
        <is>
          <t>Hà Nội</t>
        </is>
      </c>
      <c r="D6" s="6" t="n">
        <v>200</v>
      </c>
      <c r="E6" s="6" t="n">
        <v>230</v>
      </c>
      <c r="F6" s="6" t="n">
        <v>265</v>
      </c>
      <c r="G6" s="5" t="inlineStr">
        <is>
          <t>7.5% - 10.5%</t>
        </is>
      </c>
      <c r="H6" s="5" t="inlineStr">
        <is>
          <t>2.0% - 3.0%</t>
        </is>
      </c>
    </row>
    <row r="7">
      <c r="A7" s="4" t="n">
        <v>3</v>
      </c>
      <c r="B7" s="5" t="inlineStr">
        <is>
          <t>Rạp Xiếc</t>
        </is>
      </c>
      <c r="C7" s="5" t="inlineStr">
        <is>
          <t>Hà Nội</t>
        </is>
      </c>
      <c r="D7" s="6" t="n">
        <v>160</v>
      </c>
      <c r="E7" s="6" t="n">
        <v>184</v>
      </c>
      <c r="F7" s="6" t="n">
        <v>212</v>
      </c>
      <c r="G7" s="5" t="inlineStr">
        <is>
          <t>7.5% - 10.5%</t>
        </is>
      </c>
      <c r="H7" s="5" t="inlineStr">
        <is>
          <t>2.0% - 3.0%</t>
        </is>
      </c>
    </row>
    <row r="8">
      <c r="A8" s="4" t="n">
        <v>4</v>
      </c>
      <c r="B8" s="5" t="inlineStr">
        <is>
          <t>Big C</t>
        </is>
      </c>
      <c r="C8" s="5" t="inlineStr">
        <is>
          <t>Hà Nội</t>
        </is>
      </c>
      <c r="D8" s="6" t="n">
        <v>200</v>
      </c>
      <c r="E8" s="6" t="n">
        <v>230</v>
      </c>
      <c r="F8" s="6" t="n">
        <v>265</v>
      </c>
      <c r="G8" s="5" t="inlineStr">
        <is>
          <t>7.5% - 10.5%</t>
        </is>
      </c>
      <c r="H8" s="5" t="inlineStr">
        <is>
          <t>2.0% - 3.0%</t>
        </is>
      </c>
    </row>
    <row r="9">
      <c r="A9" s="4" t="n">
        <v>5</v>
      </c>
      <c r="B9" s="5" t="inlineStr">
        <is>
          <t>Thọ Tháp</t>
        </is>
      </c>
      <c r="C9" s="5" t="inlineStr">
        <is>
          <t>Hà Nội</t>
        </is>
      </c>
      <c r="D9" s="6" t="n">
        <v>100</v>
      </c>
      <c r="E9" s="6" t="n">
        <v>115</v>
      </c>
      <c r="F9" s="6" t="n">
        <v>132</v>
      </c>
      <c r="G9" s="5" t="inlineStr">
        <is>
          <t>7.5% - 10.5%</t>
        </is>
      </c>
      <c r="H9" s="5" t="inlineStr">
        <is>
          <t>2.0% - 3.0%</t>
        </is>
      </c>
    </row>
    <row r="10">
      <c r="A10" s="4" t="n">
        <v>6</v>
      </c>
      <c r="B10" s="5" t="inlineStr">
        <is>
          <t>Trần Đại Nghĩa</t>
        </is>
      </c>
      <c r="C10" s="5" t="inlineStr">
        <is>
          <t>Hà Nội</t>
        </is>
      </c>
      <c r="D10" s="6" t="n">
        <v>0</v>
      </c>
      <c r="E10" s="6" t="n">
        <v>0</v>
      </c>
      <c r="F10" s="6" t="n">
        <v>0</v>
      </c>
      <c r="G10" s="5" t="inlineStr">
        <is>
          <t>Mức cứng 8.000.000 VNĐ/tháng</t>
        </is>
      </c>
      <c r="H10" s="5" t="inlineStr">
        <is>
          <t>Áp dụng từ 01/04/2025</t>
        </is>
      </c>
    </row>
    <row r="11">
      <c r="A11" s="4" t="n">
        <v>7</v>
      </c>
      <c r="B11" s="5" t="inlineStr">
        <is>
          <t>Ninh Bình</t>
        </is>
      </c>
      <c r="C11" s="5" t="inlineStr">
        <is>
          <t>Tỉnh</t>
        </is>
      </c>
      <c r="D11" s="6" t="n">
        <v>160</v>
      </c>
      <c r="E11" s="6" t="n">
        <v>184</v>
      </c>
      <c r="F11" s="6" t="n">
        <v>212</v>
      </c>
      <c r="G11" s="5" t="inlineStr">
        <is>
          <t>7.5% - 10.5%</t>
        </is>
      </c>
      <c r="H11" s="5" t="inlineStr">
        <is>
          <t>2.0% - 3.0%</t>
        </is>
      </c>
    </row>
    <row r="12">
      <c r="A12" s="4" t="n">
        <v>8</v>
      </c>
      <c r="B12" s="5" t="inlineStr">
        <is>
          <t>Nam Định</t>
        </is>
      </c>
      <c r="C12" s="5" t="inlineStr">
        <is>
          <t>Tỉnh</t>
        </is>
      </c>
      <c r="D12" s="6" t="n">
        <v>180</v>
      </c>
      <c r="E12" s="6" t="n">
        <v>207</v>
      </c>
      <c r="F12" s="6" t="n">
        <v>238</v>
      </c>
      <c r="G12" s="5" t="inlineStr">
        <is>
          <t>7.5% - 10.5%</t>
        </is>
      </c>
      <c r="H12" s="5" t="inlineStr">
        <is>
          <t>2.0% - 3.0%</t>
        </is>
      </c>
    </row>
    <row r="13">
      <c r="A13" s="4" t="n">
        <v>9</v>
      </c>
      <c r="B13" s="5" t="inlineStr">
        <is>
          <t>Thái Bình</t>
        </is>
      </c>
      <c r="C13" s="5" t="inlineStr">
        <is>
          <t>Tỉnh</t>
        </is>
      </c>
      <c r="D13" s="6" t="n">
        <v>130</v>
      </c>
      <c r="E13" s="6" t="n">
        <v>150</v>
      </c>
      <c r="F13" s="6" t="n">
        <v>172</v>
      </c>
      <c r="G13" s="5" t="inlineStr">
        <is>
          <t>7.5% - 10.5%</t>
        </is>
      </c>
      <c r="H13" s="5" t="inlineStr">
        <is>
          <t>2.0% - 3.0%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2026-09-04T02:53:20Z</dcterms:created>
  <dcterms:modified xmlns:dcterms="http://purl.org/dc/terms/" xmlns:xsi="http://www.w3.org/2001/XMLSchema-instance" xsi:type="dcterms:W3CDTF">2026-09-04T02:53:20Z</dcterms:modified>
</cp:coreProperties>
</file>