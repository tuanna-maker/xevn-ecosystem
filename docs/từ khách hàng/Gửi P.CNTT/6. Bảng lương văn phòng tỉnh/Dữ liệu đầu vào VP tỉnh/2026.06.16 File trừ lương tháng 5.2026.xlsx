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ƯƠNG ANH 2024\PHƯƠNG ANH 2024\DỮ LIỆU LƯƠNG 2024\DỮ LIỆU LƯƠNG 2025\DỮ LIỆU LƯƠNG NĂM 2026\DỮ LIỆU TÍNH LƯƠNG 2026\THÁNG 5.2026\"/>
    </mc:Choice>
  </mc:AlternateContent>
  <xr:revisionPtr revIDLastSave="0" documentId="8_{B0C3FB1E-37D4-4B1C-9235-71989A2226E7}" xr6:coauthVersionLast="47" xr6:coauthVersionMax="47" xr10:uidLastSave="{00000000-0000-0000-0000-000000000000}"/>
  <bookViews>
    <workbookView xWindow="-120" yWindow="-120" windowWidth="29040" windowHeight="15840" xr2:uid="{34F32D2E-A726-477F-98FC-1D3D1EDD6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9" i="1" l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<sst xmlns="http://schemas.openxmlformats.org/spreadsheetml/2006/main" count="1054" uniqueCount="444">
  <si>
    <t>BẢNG TRỪ LƯƠNG THÁNG 05/2026</t>
  </si>
  <si>
    <t>STT</t>
  </si>
  <si>
    <t>Ngày</t>
  </si>
  <si>
    <t>h</t>
  </si>
  <si>
    <t>Lộ trình</t>
  </si>
  <si>
    <t>Tên lái</t>
  </si>
  <si>
    <t>BKS</t>
  </si>
  <si>
    <t>Nhân viên bị trừ lương</t>
  </si>
  <si>
    <t>Bộ Phận</t>
  </si>
  <si>
    <t>Trừ lương</t>
  </si>
  <si>
    <t>Lý do</t>
  </si>
  <si>
    <t>Mã nv trừ lương</t>
  </si>
  <si>
    <t>17:00</t>
  </si>
  <si>
    <t>BC - NB</t>
  </si>
  <si>
    <t>Lê Hữu Bích</t>
  </si>
  <si>
    <t>29H73719</t>
  </si>
  <si>
    <t>Phạm Thu Hà</t>
  </si>
  <si>
    <t>Nhân viên tổng đài</t>
  </si>
  <si>
    <t xml:space="preserve"> cầu huyện 200k trừ phạm thu hà+phạm thị ngọc bích</t>
  </si>
  <si>
    <t>XE00420</t>
  </si>
  <si>
    <t>Phạm Thị Ngọc Bích</t>
  </si>
  <si>
    <t>XE01362</t>
  </si>
  <si>
    <t>HĐ - NB</t>
  </si>
  <si>
    <t>Trần Thanh An</t>
  </si>
  <si>
    <t>29E32327</t>
  </si>
  <si>
    <t>Lương Thị Ánh Huyền</t>
  </si>
  <si>
    <t>Sai giá, Ninh vân 200k trừ TĐ Lương Thị Ánh Huyền</t>
  </si>
  <si>
    <t>XE01436</t>
  </si>
  <si>
    <t>06:00</t>
  </si>
  <si>
    <t>Lê Trọng Giáp</t>
  </si>
  <si>
    <t>29E32490</t>
  </si>
  <si>
    <t>Đỗ Thị Hoa</t>
  </si>
  <si>
    <t>thôn nội 200k trừ tđ đỗ thị hoa</t>
  </si>
  <si>
    <t>XE00126</t>
  </si>
  <si>
    <t>Nguyễn Xuân Thắng</t>
  </si>
  <si>
    <t>29F02625</t>
  </si>
  <si>
    <t>Nguyễn Thị Minh Ngọc</t>
  </si>
  <si>
    <t>(trừ theo sự vu 3/5 TĐ Nguyễn thị Minh Ngọc</t>
  </si>
  <si>
    <t>XE01452</t>
  </si>
  <si>
    <t>11:00</t>
  </si>
  <si>
    <t>NB - GA</t>
  </si>
  <si>
    <t>Phạm Thanh Tùng</t>
  </si>
  <si>
    <t>29F01796</t>
  </si>
  <si>
    <t>Trần Thị Mai Hương</t>
  </si>
  <si>
    <t>trường yên 210k trừ trần thị mai hương</t>
  </si>
  <si>
    <t>XE00348</t>
  </si>
  <si>
    <t>10:00</t>
  </si>
  <si>
    <t>NB - BC</t>
  </si>
  <si>
    <t>Hoàng Ngọc Cường</t>
  </si>
  <si>
    <t>29G02338</t>
  </si>
  <si>
    <t>Nguyễn Thị Thúy Liễu</t>
  </si>
  <si>
    <t>cầu áng sơn 200k trừ nguyễn thị thuý liễu</t>
  </si>
  <si>
    <t>XE00081</t>
  </si>
  <si>
    <t>14:00</t>
  </si>
  <si>
    <t>Trần Đức Toản</t>
  </si>
  <si>
    <t>29E09614</t>
  </si>
  <si>
    <t>Cao Ngọc Thuý</t>
  </si>
  <si>
    <t>bệnh viện c.an tỉnh 200k trừ cao ngọc thuý</t>
  </si>
  <si>
    <t>XE00219</t>
  </si>
  <si>
    <t>16:00</t>
  </si>
  <si>
    <t>Nguyễn Ngọc Trường</t>
  </si>
  <si>
    <t>29K07658</t>
  </si>
  <si>
    <t>cầu bình khê 200k trừ lương thị ánh huyền</t>
  </si>
  <si>
    <t>12:00</t>
  </si>
  <si>
    <t>Nguyễn Thành Đạt</t>
  </si>
  <si>
    <t>29K06830</t>
  </si>
  <si>
    <t>Lường Thị Mỹ Linh</t>
  </si>
  <si>
    <t>nhà máy nhôm việt pháp 190k trừ lường thị mỹ linh +nguyễn lan anh</t>
  </si>
  <si>
    <t>XE00579</t>
  </si>
  <si>
    <t>Nguyễn Lan Anh</t>
  </si>
  <si>
    <t>XE01426</t>
  </si>
  <si>
    <t>Nguyễn Thanh Sơn</t>
  </si>
  <si>
    <t>29K07846</t>
  </si>
  <si>
    <t>Tạ Thanh Hải</t>
  </si>
  <si>
    <t>đại cồ việt 190k trừ tạ thanh hải</t>
  </si>
  <si>
    <t>XE01378</t>
  </si>
  <si>
    <t>19:20</t>
  </si>
  <si>
    <t>Đào Thị Vân</t>
  </si>
  <si>
    <t>ninh tốn 190k trừ đào thị vân</t>
  </si>
  <si>
    <t>XE00402</t>
  </si>
  <si>
    <t>GA - NB</t>
  </si>
  <si>
    <t>Lê Văn Diện</t>
  </si>
  <si>
    <t>29E32852</t>
  </si>
  <si>
    <t xml:space="preserve"> ninh an 190k trừ lường thị mỹ linh+đào thị vân</t>
  </si>
  <si>
    <t>08:00</t>
  </si>
  <si>
    <t>Linh Thị Thêm</t>
  </si>
  <si>
    <t xml:space="preserve"> cầu đá đinh tiên hoàng 190k trừ linh thị thêm+ đỗ thị hoa</t>
  </si>
  <si>
    <t>XE00055</t>
  </si>
  <si>
    <t>13:00</t>
  </si>
  <si>
    <t>Ngô Thị Yến Như</t>
  </si>
  <si>
    <t>Cổng làng La Phù 190k Ngô Thị Yến Như</t>
  </si>
  <si>
    <t>XE01141</t>
  </si>
  <si>
    <t>bến đò tam cốc 190k trừ phạm thu hà</t>
  </si>
  <si>
    <t>Phạm Quốc Hội</t>
  </si>
  <si>
    <t>29K07332</t>
  </si>
  <si>
    <t>Nguyễn Thị Kiều Loan</t>
  </si>
  <si>
    <t xml:space="preserve"> (sự vụ 13/05 trừ tổng đài Nguyễn Thị Kiều Loan</t>
  </si>
  <si>
    <t>XE00040</t>
  </si>
  <si>
    <t>Đặng Ngọc Toàn</t>
  </si>
  <si>
    <t>29E09618</t>
  </si>
  <si>
    <t>Lê Thị Hồng Vân</t>
  </si>
  <si>
    <t>Trừ lương: 45k TĐ Lê Thị Hồng Vân thiếu 45k tiền CK</t>
  </si>
  <si>
    <t>XE00816</t>
  </si>
  <si>
    <t>Phạm Văn Đồng</t>
  </si>
  <si>
    <t>29F01631</t>
  </si>
  <si>
    <t>Trừ lương: 30k TĐ Tạ Thanh Hải thiếu 30k tiền CK</t>
  </si>
  <si>
    <t>15:00</t>
  </si>
  <si>
    <t xml:space="preserve">   cầu đá 190k trừ nguyễn thị thuý liễu + lương thị ánh huyền </t>
  </si>
  <si>
    <t>ninh tốn 190 trừ phạm thu hà+lương thị ánh huyền</t>
  </si>
  <si>
    <t>Hoàng Mạnh Tú</t>
  </si>
  <si>
    <t>29E32581</t>
  </si>
  <si>
    <t>trường yên 200k trừ lương thị ánh huyền</t>
  </si>
  <si>
    <t>Tam cốc moon an bungalow 190k trừ lương thị ánh huyền</t>
  </si>
  <si>
    <t>Vũ Việt Hùng</t>
  </si>
  <si>
    <t>29K06091</t>
  </si>
  <si>
    <t>Nguyễn Thị Huyền</t>
  </si>
  <si>
    <t xml:space="preserve">Trường yên 200k trừ tđ: Nguyễn Thị Huyền </t>
  </si>
  <si>
    <t>XE00074</t>
  </si>
  <si>
    <t>Phạm Văn Tình</t>
  </si>
  <si>
    <t>29F01606</t>
  </si>
  <si>
    <t>Mai Thị Thu Hoài</t>
  </si>
  <si>
    <t>Trừ lương: 30k TĐ Mai Thị Thu Hoài do hđ của khách này là giờ vàng ảo do tđ gian lận</t>
  </si>
  <si>
    <t>XE00007</t>
  </si>
  <si>
    <t>NB - HĐ</t>
  </si>
  <si>
    <t>Nguyễn Thị Thu Hà</t>
  </si>
  <si>
    <t>Trừ lương: 88k TĐ Nguyễn Thị Thu Hà đặt nhầm ngày</t>
  </si>
  <si>
    <t>XE01359</t>
  </si>
  <si>
    <t>Trần Đình Vượng</t>
  </si>
  <si>
    <t>29F05128</t>
  </si>
  <si>
    <t>Sai giá, Cuối đường Đinh Tiên Hoàng 190k trừ TĐ Phạm Thị Ngọc Bích</t>
  </si>
  <si>
    <t>Sai giá, Trường Yên 200k trừ TĐ Nguyễn Thị Thuý Liễu</t>
  </si>
  <si>
    <t>Phan Đăng Quang</t>
  </si>
  <si>
    <t>29E32476</t>
  </si>
  <si>
    <t>Nguyễn Thị Thuý</t>
  </si>
  <si>
    <t>Nhân viên chăm sóc khách hàng</t>
  </si>
  <si>
    <t>Sai giá, Bộ Đội biên phòng 190k trừ CSKH Nguyễn Thị Thuý sửa điểm không sửa giá</t>
  </si>
  <si>
    <t>XE01585</t>
  </si>
  <si>
    <t>Nguyễn Đức Thanh</t>
  </si>
  <si>
    <t>29K06548</t>
  </si>
  <si>
    <t>Đào Thị Thanh Tâm</t>
  </si>
  <si>
    <t xml:space="preserve">   ngã 3 gián 190k trừ đào thị thanh tâm+lương thị ánh huyền</t>
  </si>
  <si>
    <t>XE00275</t>
  </si>
  <si>
    <t>Phạm Quang Trung</t>
  </si>
  <si>
    <t>Lái xe trung chuyển</t>
  </si>
  <si>
    <t>Phạm Quang Trung 1977 TCNB Lx TC đi khám bệnh xin giấy đi đường nhưng không gửi giấy khám sức khoẻ chuyển trừ lương</t>
  </si>
  <si>
    <t>XE01394</t>
  </si>
  <si>
    <t xml:space="preserve"> ninh vân 190k trừ linh thị thêm +tạ thanh hải</t>
  </si>
  <si>
    <t>29G00888</t>
  </si>
  <si>
    <t>(2k trừ sự vụ ngày 21/5 trừ lương Phạm Thị Ngọc Bích</t>
  </si>
  <si>
    <t>Lã Thị Kim Oanh</t>
  </si>
  <si>
    <t xml:space="preserve">  áng sơn 190k trừ lường thị mỹ linh+ lã thị kim oanh</t>
  </si>
  <si>
    <t>XE01636</t>
  </si>
  <si>
    <t>Phạm Thế Anh</t>
  </si>
  <si>
    <t>29E08261</t>
  </si>
  <si>
    <t>lamai 190k trừ linh thị thêm</t>
  </si>
  <si>
    <t>Dương Văn Thọ</t>
  </si>
  <si>
    <t>29E09655</t>
  </si>
  <si>
    <t>trừ sự vụ ngày 18/5 tđ Mai Thị Thu Hoài</t>
  </si>
  <si>
    <t>Vũ Thị Hằng</t>
  </si>
  <si>
    <t>Chăm sóc khách hàng</t>
  </si>
  <si>
    <t>Trừ lương: 10k CSKH Vũ Thị Hằng thiếu tiền Ck</t>
  </si>
  <si>
    <t>XE00951</t>
  </si>
  <si>
    <t>18:00</t>
  </si>
  <si>
    <t>Nguyễn Hải Nam</t>
  </si>
  <si>
    <t>29F01573</t>
  </si>
  <si>
    <t>Đinh Thùy Linh</t>
  </si>
  <si>
    <t>trường yên 200k trừ đinh thuỳ linh</t>
  </si>
  <si>
    <t>XE00380</t>
  </si>
  <si>
    <t>09:00</t>
  </si>
  <si>
    <t>Trịnh Xuân Đức</t>
  </si>
  <si>
    <t>29E34382</t>
  </si>
  <si>
    <t xml:space="preserve"> cầu đá 190k trừ lê hồng vân+nguyễn thị thuý liễu</t>
  </si>
  <si>
    <t>18:20</t>
  </si>
  <si>
    <t xml:space="preserve">Trường yên 200k trừ tđ: Đào Thị Vân </t>
  </si>
  <si>
    <t>Đường 10   190K Trừ tđ: Đào Thị Vân</t>
  </si>
  <si>
    <t>20:00</t>
  </si>
  <si>
    <t>đinh tiên hoàng 190k trừ tđ: Phạm Thu HÀ</t>
  </si>
  <si>
    <t>sự vụ 24/05 trừ lương Cao Ngọc Thuý</t>
  </si>
  <si>
    <t xml:space="preserve">tuân cao 190k trừ tđ: Lường Thị Mỹ Linh </t>
  </si>
  <si>
    <t xml:space="preserve">Trường Mầm non Trường Yên Lường Thị Mỹ Linh
</t>
  </si>
  <si>
    <t>Chu Thị Ngọc Lan</t>
  </si>
  <si>
    <t>ninh Thắng 195k trừ tđ: Chu Thị Ngọc Lan</t>
  </si>
  <si>
    <t>XE00281</t>
  </si>
  <si>
    <t>cơ khí điệp chương, đối diện nhà hàng hoa sơn  195k trừ tđ: Nguyễn Thị Minh Ngọc</t>
  </si>
  <si>
    <t>Ngô Quốc Hùng</t>
  </si>
  <si>
    <t>29E32412</t>
  </si>
  <si>
    <t xml:space="preserve">Ninh hòa 195k trừ tđ: tạ thanh hải + Lại Thị Nhung </t>
  </si>
  <si>
    <t>Lại Thị Nhung</t>
  </si>
  <si>
    <t>XE00056</t>
  </si>
  <si>
    <t>Phạm Văn Tuân</t>
  </si>
  <si>
    <t>la phù 195k trừ mai thị thu hoài+linh thị thêm</t>
  </si>
  <si>
    <t>05:00</t>
  </si>
  <si>
    <t xml:space="preserve">  cầu đông 200k trừ nguyễn thị thu hà</t>
  </si>
  <si>
    <t>Vũ Ngọc Hà</t>
  </si>
  <si>
    <t>29E09596</t>
  </si>
  <si>
    <t>Thái Phương Linh</t>
  </si>
  <si>
    <t>chùa bích động 200k trừ thái phương linh</t>
  </si>
  <si>
    <t>XE01293</t>
  </si>
  <si>
    <t>Vũ Văn Tuyến</t>
  </si>
  <si>
    <t>29E33376</t>
  </si>
  <si>
    <t>Bộ chỉ huy bộ đội bp tỉnh ninh bình 195k trừ cao ngọc thuý</t>
  </si>
  <si>
    <t>Nguyễn Quốc Thư</t>
  </si>
  <si>
    <t>Chuyên viên điều hành trung tâm</t>
  </si>
  <si>
    <t>Trừ lương: 175k ĐHTT Nguyễn Quốc Thư cop vé 0đ mà vẫn để DT 175k</t>
  </si>
  <si>
    <t>XE00442</t>
  </si>
  <si>
    <t>trường yên 200k trừ đào thị vân</t>
  </si>
  <si>
    <t xml:space="preserve"> ninh xuân 195k trừ đào thị vân</t>
  </si>
  <si>
    <t>Phạm Văn Chính</t>
  </si>
  <si>
    <t>29F02597</t>
  </si>
  <si>
    <t>Lê Thu hương</t>
  </si>
  <si>
    <t>tràng An 195k trừ lê thu hương</t>
  </si>
  <si>
    <t>XE00763</t>
  </si>
  <si>
    <t xml:space="preserve">tđ Phạm Thu Hà đặt nhầm ngày cho khách </t>
  </si>
  <si>
    <t>Tống Văn Nam</t>
  </si>
  <si>
    <t>29K06244</t>
  </si>
  <si>
    <t>Trừ lương: 30k TĐ Lã Thị Kim Oanh đặt nhầm chuyến</t>
  </si>
  <si>
    <t>09:30</t>
  </si>
  <si>
    <t>TB - BC</t>
  </si>
  <si>
    <t>Nguyễn Thiên Mạnh</t>
  </si>
  <si>
    <t>29H84996</t>
  </si>
  <si>
    <t>TĐ</t>
  </si>
  <si>
    <t>trừ lương: tđ Trần Thị Mai Hương theo sự vụ 8/5</t>
  </si>
  <si>
    <t>05:30</t>
  </si>
  <si>
    <t>Phạm Huy Toàn</t>
  </si>
  <si>
    <t>29H88579</t>
  </si>
  <si>
    <t>trừ lương: tđ Linh Thị Thêm theo sự vụ 8/5</t>
  </si>
  <si>
    <t>BC - TB</t>
  </si>
  <si>
    <t>Phan Thái Sơn</t>
  </si>
  <si>
    <t>29F04042</t>
  </si>
  <si>
    <t>Đoàn Văn Kiều</t>
  </si>
  <si>
    <t>LX tuyến NĐ</t>
  </si>
  <si>
    <t>trừ lương: lxnđ Đoàn Văn Kiều sự vụ 07/05</t>
  </si>
  <si>
    <t>XE01009</t>
  </si>
  <si>
    <t>17:30</t>
  </si>
  <si>
    <t>TB - HĐ</t>
  </si>
  <si>
    <t>Lê Văn Vũ</t>
  </si>
  <si>
    <t>29E09830</t>
  </si>
  <si>
    <t>trừ lương: tđ Mai Thị Thu Hoài sự vụ 17/05</t>
  </si>
  <si>
    <t>HĐ - TB</t>
  </si>
  <si>
    <t>trừ lương: tđ Lương Thị Khánh Huyền và lx Lê Văn Diện sự vụ 24/05</t>
  </si>
  <si>
    <t>LX tuyến NB</t>
  </si>
  <si>
    <t>XE00098</t>
  </si>
  <si>
    <t>Lê Văn Liệu</t>
  </si>
  <si>
    <t>29E09963</t>
  </si>
  <si>
    <t>Nguyễn Mạnh Hùng</t>
  </si>
  <si>
    <t>trừ lương: tđ Nguyễn Mạnh Hùng theo sự vụ 24/5</t>
  </si>
  <si>
    <t>XE01073</t>
  </si>
  <si>
    <t>Lê Hùng Cường</t>
  </si>
  <si>
    <t>29F05100</t>
  </si>
  <si>
    <t>Trừ lương: 30k TĐ Nguyễn Thị Thu Hà bỏ giờ vàng không sửa giá</t>
  </si>
  <si>
    <t>HĐ - VT</t>
  </si>
  <si>
    <t>Phan Anh Giang</t>
  </si>
  <si>
    <t>29F02497</t>
  </si>
  <si>
    <t>Hoàng Hải Yến</t>
  </si>
  <si>
    <t>Sai giá, cầu Bưởi 180k trừ Hoàng Hải Yến</t>
  </si>
  <si>
    <t>XE00478</t>
  </si>
  <si>
    <t>Lê Văn Thắng</t>
  </si>
  <si>
    <t>29K06862</t>
  </si>
  <si>
    <t>Trần Mai Nhật</t>
  </si>
  <si>
    <t>Sai giá, Chu Hoá 180k trừ Trần Mai Nhật + Chử Mai Anh</t>
  </si>
  <si>
    <t>XE00151</t>
  </si>
  <si>
    <t>Chử Mai Anh</t>
  </si>
  <si>
    <t>XE00289</t>
  </si>
  <si>
    <t>GA - VT</t>
  </si>
  <si>
    <t>Trừ lương: 30k TĐ Trần Mai Nhật huỷ giờ vàng không sửa giá</t>
  </si>
  <si>
    <t>Đinh Công Cường</t>
  </si>
  <si>
    <t>29F05134</t>
  </si>
  <si>
    <t>Lại Tú Linh</t>
  </si>
  <si>
    <t>Trừ lương: 30k TĐ Lại Tú Linh đặt nhầm chuyến</t>
  </si>
  <si>
    <t>XE00393</t>
  </si>
  <si>
    <t>VT - GA</t>
  </si>
  <si>
    <t>Nguyễn Trung Kiên 1995</t>
  </si>
  <si>
    <t>29F02494</t>
  </si>
  <si>
    <t>Nguyễn Thị Thủy Tiên</t>
  </si>
  <si>
    <t>taxi cho khách/ Trừ lương: 30k TĐ Nguyễn Thị Thuỷ Tiên thiếu tiền CK</t>
  </si>
  <si>
    <t>XE01555</t>
  </si>
  <si>
    <t>Nguyễn Thị Trúc Phương</t>
  </si>
  <si>
    <t>Sai giá, Nhà hàng Thuý Anh 180k trừ TĐ Nguyễn Thị Trúc Phương</t>
  </si>
  <si>
    <t>XE01274</t>
  </si>
  <si>
    <t>Nguyễn Trung Kiên 1986</t>
  </si>
  <si>
    <t>29H88584</t>
  </si>
  <si>
    <t>Trừ lương: 30k TĐ Nguyễn Thị Thuỷ Tiên bỏ giờ vàng ko sửa giá</t>
  </si>
  <si>
    <t>Vũ Đức Duẩn</t>
  </si>
  <si>
    <t>29K06111</t>
  </si>
  <si>
    <t>Vũ Lan Anh</t>
  </si>
  <si>
    <t>Trừ lương: 30k TĐ Vũ Lan Anh đặt nhầm lộ</t>
  </si>
  <si>
    <t>XE01557</t>
  </si>
  <si>
    <t>29F05125</t>
  </si>
  <si>
    <t>Sai giá, Cổng đá đền Hùng 180k trừ TĐ Vũ Lan Anh</t>
  </si>
  <si>
    <t>Nguyễn Thanh Trúc</t>
  </si>
  <si>
    <t>Trừ lương: 30k TĐ Nguyễn Thanh Trúc đặt nhầm HĐ</t>
  </si>
  <si>
    <t>XE00193</t>
  </si>
  <si>
    <t>NĐ - HĐ</t>
  </si>
  <si>
    <t>Nguyễn Văn Minh</t>
  </si>
  <si>
    <t>29K02781</t>
  </si>
  <si>
    <t>ĐHTT</t>
  </si>
  <si>
    <t xml:space="preserve"> trừ lương Nguyễn Quốc Thư do cop nhầm vé</t>
  </si>
  <si>
    <t>HĐ - NĐ</t>
  </si>
  <si>
    <t>29K01441</t>
  </si>
  <si>
    <t>Trừ lương TĐ Linh Thị Thêm sửa sai tiền ck</t>
  </si>
  <si>
    <t>NĐ - GA</t>
  </si>
  <si>
    <t>Phạm Văn Vũ</t>
  </si>
  <si>
    <t>29E03207</t>
  </si>
  <si>
    <t>Trừ lương TĐ Lường Thị Mỹ Linh bỏ giờ vàng k sửa lại tiền ck</t>
  </si>
  <si>
    <t>Phạm Hùng Sơn</t>
  </si>
  <si>
    <t>29K06071</t>
  </si>
  <si>
    <t>Đinh Khánh Chi</t>
  </si>
  <si>
    <t>CSKH</t>
  </si>
  <si>
    <t xml:space="preserve">kh ck thiếu Trừ lương Đinh Khánh Chi </t>
  </si>
  <si>
    <t>XE00273</t>
  </si>
  <si>
    <t xml:space="preserve"> TĐ</t>
  </si>
  <si>
    <t xml:space="preserve">Nguyễn Thị Thu Hà trừ tđ sao kê thiếu </t>
  </si>
  <si>
    <t>NĐ - BC</t>
  </si>
  <si>
    <t>Hoàng Trọng Nam</t>
  </si>
  <si>
    <t>29E09811</t>
  </si>
  <si>
    <t>Đặng Văn Kiên</t>
  </si>
  <si>
    <t>sự vụ 7/5 - trừ lương ĐH Đặng Kiên</t>
  </si>
  <si>
    <t>XE01366</t>
  </si>
  <si>
    <t>Trần Văn Thanh</t>
  </si>
  <si>
    <t>29H88512</t>
  </si>
  <si>
    <t xml:space="preserve"> trừ 30k sự vụ ngày 19/5 - trừ lương Vũ Thị Hằng</t>
  </si>
  <si>
    <t>taxi, trừ theo sự vụ 21/5 - trừ lương Linh Thị Thêm</t>
  </si>
  <si>
    <t>Trần Mạnh Thắng</t>
  </si>
  <si>
    <t>29E74062</t>
  </si>
  <si>
    <t>Lã Thị Hương</t>
  </si>
  <si>
    <t>Trừ lương: 30k ĐHTT Lã Thị Hương chuyển HĐ thiếu tiền Ck</t>
  </si>
  <si>
    <t>XE00492</t>
  </si>
  <si>
    <t>BC - NĐ</t>
  </si>
  <si>
    <t>Phạm Công Đại</t>
  </si>
  <si>
    <t>29E32421</t>
  </si>
  <si>
    <t>sao kê thiếu 20k trừ lương Đinh Khánh chi</t>
  </si>
  <si>
    <t>Phùng Văn Hải</t>
  </si>
  <si>
    <t>29E33124</t>
  </si>
  <si>
    <t>Trừ lương TĐ Linh Thị Thêm bỏ giờ vàng k sửa lại giá</t>
  </si>
  <si>
    <t>Phạm Văn Sớm</t>
  </si>
  <si>
    <t>29E03480</t>
  </si>
  <si>
    <t>trừ theo sự vụ 24/5 - trừ lương CSKH Nguyễn thị Thúy</t>
  </si>
  <si>
    <t>LX</t>
  </si>
  <si>
    <t xml:space="preserve"> trừ theo sự vụ 7/5 - trừ lương LX Đoàn Văn Kiều</t>
  </si>
  <si>
    <t>Nguyễn Văn Chiến</t>
  </si>
  <si>
    <t>29E07842</t>
  </si>
  <si>
    <t>sự vụ ngày 7/5 - trừ lương lx Đoàn Văn Kiều</t>
  </si>
  <si>
    <t>YB - HĐ</t>
  </si>
  <si>
    <t>Nguyễn Trung Hiếu</t>
  </si>
  <si>
    <t>29H99925</t>
  </si>
  <si>
    <t>Phạm Tuân</t>
  </si>
  <si>
    <t>ĐH tỉnh</t>
  </si>
  <si>
    <t>Trừ lương ĐH Phạm Tuân do đặt sai ngày đi</t>
  </si>
  <si>
    <t>XE00746</t>
  </si>
  <si>
    <t>Lê Tuấn Linh</t>
  </si>
  <si>
    <t>29G02086</t>
  </si>
  <si>
    <t>Hoàng Ngọc Hợp</t>
  </si>
  <si>
    <t>Trừ lương LX Hoàng Học Hợp do văng tục vơi khách</t>
  </si>
  <si>
    <t>XE00311</t>
  </si>
  <si>
    <t>Nguyễn Văn Thành</t>
  </si>
  <si>
    <t>29F04040</t>
  </si>
  <si>
    <t>Trương Thu Thảo</t>
  </si>
  <si>
    <t>Trừ Lương TĐ Trương Thu Thảo</t>
  </si>
  <si>
    <t>XE01027</t>
  </si>
  <si>
    <t>YB - GA</t>
  </si>
  <si>
    <t>Dương Anh Đức</t>
  </si>
  <si>
    <t>29H88561</t>
  </si>
  <si>
    <t>Nguyễn Ngọc Phương</t>
  </si>
  <si>
    <t>Trừ lương TĐ Nguyễn Ngọc Phương</t>
  </si>
  <si>
    <t>XE00125</t>
  </si>
  <si>
    <t>GA - YB</t>
  </si>
  <si>
    <t>Nguyễn Minh Tuấn</t>
  </si>
  <si>
    <t>29H88523</t>
  </si>
  <si>
    <t>Nguyễn Hoàng</t>
  </si>
  <si>
    <t>Trừ lương LX Nguyễn Hoàng</t>
  </si>
  <si>
    <t>XE01503</t>
  </si>
  <si>
    <t>Nguyễn Văn Võ</t>
  </si>
  <si>
    <t>29E09533</t>
  </si>
  <si>
    <t>Nguyễn Đức Tuấn</t>
  </si>
  <si>
    <t>29F01729</t>
  </si>
  <si>
    <t>HĐ - YB</t>
  </si>
  <si>
    <t>Trần Quốc Toàn</t>
  </si>
  <si>
    <t>29G02094</t>
  </si>
  <si>
    <t>Trừ Lương TĐ Nguyễn Mạnh Hùng</t>
  </si>
  <si>
    <t>Phạm Công Khánh</t>
  </si>
  <si>
    <t>29E09643</t>
  </si>
  <si>
    <t>Trừ lương TĐ Hoàng Hải Yến tích nhầm ck</t>
  </si>
  <si>
    <t>Tạ Văn Nam</t>
  </si>
  <si>
    <t>29H88580</t>
  </si>
  <si>
    <t>Trừ lương TĐ Trần Mai Nhật do đặt sai ngày</t>
  </si>
  <si>
    <t>PT - GA</t>
  </si>
  <si>
    <t>Nguyễn Đức Quang</t>
  </si>
  <si>
    <t>29F05132</t>
  </si>
  <si>
    <t>Vũ Thị Thanh Mai</t>
  </si>
  <si>
    <t>Trừ lương CSKH Vũ Thị Thanh Mai sửa lại giá</t>
  </si>
  <si>
    <t>XE00783</t>
  </si>
  <si>
    <t>HĐ - PT</t>
  </si>
  <si>
    <t>Tưởng Tuấn Nam</t>
  </si>
  <si>
    <t>29F02500</t>
  </si>
  <si>
    <t>Nguyễn Thị Hiền Giang</t>
  </si>
  <si>
    <t>Trừ tđ Nguyễn Thị Hiền Giang + Lê Mạnh Cường</t>
  </si>
  <si>
    <t>XE01474</t>
  </si>
  <si>
    <t>Lê Mạnh Cường</t>
  </si>
  <si>
    <t>XE01475</t>
  </si>
  <si>
    <t>PT - HĐ</t>
  </si>
  <si>
    <t>Phùng Kim Tiến</t>
  </si>
  <si>
    <t>29F05104</t>
  </si>
  <si>
    <t>Trừ lương: 30K TĐ Hoàng Hải Yến báo ĐH bỏ giờ vàng nhưng không sửa giá</t>
  </si>
  <si>
    <t>GA - PT</t>
  </si>
  <si>
    <t>Đào Trung Đức</t>
  </si>
  <si>
    <t>29E09520</t>
  </si>
  <si>
    <t>Trừ lương: 10k TĐ Nguyễn Thanh Trúc sửa giá nhưng không sửa thu thêm 10k</t>
  </si>
  <si>
    <t>10:30</t>
  </si>
  <si>
    <t>Nguyễn Duy Hà</t>
  </si>
  <si>
    <t>29F05188</t>
  </si>
  <si>
    <t>Sai giá kh Nam _ Km7 tx 195k tđ Hoàng Hải Yến đặt 185k</t>
  </si>
  <si>
    <t>Hà Văn Dũng</t>
  </si>
  <si>
    <t>29F01608</t>
  </si>
  <si>
    <t>Sai giá 2k kh Dung _ Ngọc Tháp 195k tđ Chử Mai Anh đặt 185k</t>
  </si>
  <si>
    <t>13:30</t>
  </si>
  <si>
    <t>Lê Tuấn Hùng</t>
  </si>
  <si>
    <t>29F01771</t>
  </si>
  <si>
    <t>Trừ lương TĐ Trần Mai Nhật huỷ vé giờ vàng</t>
  </si>
  <si>
    <t>14:30</t>
  </si>
  <si>
    <t>Đỗ Văn Phương</t>
  </si>
  <si>
    <t>29H84960</t>
  </si>
  <si>
    <t>Nguyễn Thị Thuỷ Tiên</t>
  </si>
  <si>
    <t>Trừ lương TĐ Nguyễn Thị Thuỷ Tiên coppy nhầm vé</t>
  </si>
  <si>
    <t>Ngô Xuân Nam</t>
  </si>
  <si>
    <t>29F05107</t>
  </si>
  <si>
    <t>Trừ lương TĐ Hoàng Hải Yến gửi thông tin thanh toán thiếu tiền</t>
  </si>
  <si>
    <t>Trừ lương tđ Ngô Thị Yến Như đặt nhầm HĐ cho khách</t>
  </si>
  <si>
    <t>Trừ lương CSKH Đinh Khánh Chi sửa giá vé</t>
  </si>
  <si>
    <t>18:30</t>
  </si>
  <si>
    <t>Sai giá kh Mai _ bệnh viện 103 thanh ba 195k tđ Nguyễn Thanh Trúc đặt 185k</t>
  </si>
  <si>
    <t>Chử Thuỳ Dương</t>
  </si>
  <si>
    <t>Trừ lương tđ Chử Thuỳ Dương sự vụ 25/5</t>
  </si>
  <si>
    <t>XE00827</t>
  </si>
  <si>
    <t>Trừ lương tđ Trần Mai Nhật sửa giá nhưng không thao tác gửi lại mã QR mới cho khách</t>
  </si>
  <si>
    <t>Sai giá kh Hoà _ Hanh Cù 205k tđ Nguyễn Mạnh Hùng đặt 195k</t>
  </si>
  <si>
    <t>Nguyễn Chí Quốc</t>
  </si>
  <si>
    <t xml:space="preserve">Trừ lương TĐ Nguyễn Thị Trúc Phương đặt sai HĐ </t>
  </si>
  <si>
    <t>29E09994</t>
  </si>
  <si>
    <t>Sai giá kh Hương _ Sơn cương 195k tđ Trần Mai Nhật đặt 185k</t>
  </si>
  <si>
    <t>06:30</t>
  </si>
  <si>
    <t>29F05112</t>
  </si>
  <si>
    <t>Trừ CSKH Vũ Thị Hằng đặt nhầm HĐ cho khách</t>
  </si>
  <si>
    <t>Sai giá kh Vũ _ Phù Ninh 175k tđ Nguyễn Mạnh Hùng đặt 170k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</si>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</sst>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.00\ _₫_-;\-* #,##0.00\ _₫_-;_-* &quot;-&quot;??\ _₫_-;_-@_-"/>
  </numFmts>
  <fonts count="1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color theme="1"/>
      <name val="Cambria"/>
      <family val="1"/>
    </font>
    <font>
      <b/>
      <sz val="16"/>
      <color theme="1"/>
      <name val="Cambria"/>
      <family val="1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Aptos Narrow"/>
      <family val="2"/>
      <charset val="163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1"/>
      <name val="Calibri"/>
      <family val="2"/>
    </font>
    <font>
      <sz val="12"/>
      <name val="Times New Roman"/>
      <family val="1"/>
    </font>
    <font>
      <sz val="16"/>
      <name val="Times New Roman"/>
      <family val="1"/>
    </font>
    <font>
      <sz val="12"/>
      <color rgb="FF000000"/>
      <name val="Times New Roman"/>
      <family val="1"/>
    </font>
    <font>
      <b/>
      <sz val="14"/>
      <name val="Times New Roman"/>
      <family val="1"/>
    </font>
    <font>
      <sz val="12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9" fillId="0" borderId="0"/>
    <xf numFmtId="165" fontId="9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59">
    <xf numFmtId="0" fontId="0" fillId="0" borderId="0" xfId="0"/>
    <xf numFmtId="1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1" fontId="7" fillId="2" borderId="1" xfId="2" applyNumberFormat="1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164" fontId="8" fillId="3" borderId="2" xfId="2" applyNumberFormat="1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 wrapText="1"/>
    </xf>
    <xf numFmtId="0" fontId="7" fillId="3" borderId="3" xfId="2" applyFont="1" applyFill="1" applyBorder="1" applyAlignment="1">
      <alignment horizontal="center" vertical="center" wrapText="1"/>
    </xf>
    <xf numFmtId="1" fontId="10" fillId="0" borderId="4" xfId="3" applyNumberFormat="1" applyFont="1" applyBorder="1" applyAlignment="1">
      <alignment horizontal="center" vertical="center"/>
    </xf>
    <xf numFmtId="14" fontId="10" fillId="0" borderId="5" xfId="3" applyNumberFormat="1" applyFont="1" applyBorder="1" applyAlignment="1">
      <alignment horizontal="center" vertical="center"/>
    </xf>
    <xf numFmtId="20" fontId="10" fillId="0" borderId="5" xfId="0" applyNumberFormat="1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64" fontId="10" fillId="0" borderId="5" xfId="1" applyNumberFormat="1" applyFont="1" applyFill="1" applyBorder="1" applyAlignment="1">
      <alignment horizontal="center" vertical="center"/>
    </xf>
    <xf numFmtId="41" fontId="10" fillId="0" borderId="5" xfId="4" applyNumberFormat="1" applyFont="1" applyFill="1" applyBorder="1" applyAlignment="1">
      <alignment horizontal="center" vertical="center" wrapText="1"/>
    </xf>
    <xf numFmtId="41" fontId="10" fillId="0" borderId="6" xfId="4" applyNumberFormat="1" applyFont="1" applyFill="1" applyBorder="1" applyAlignment="1">
      <alignment horizontal="center" vertical="center"/>
    </xf>
    <xf numFmtId="164" fontId="10" fillId="0" borderId="5" xfId="1" applyNumberFormat="1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14" fontId="10" fillId="0" borderId="8" xfId="3" applyNumberFormat="1" applyFont="1" applyBorder="1" applyAlignment="1">
      <alignment horizontal="center" vertical="center"/>
    </xf>
    <xf numFmtId="20" fontId="12" fillId="0" borderId="8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10" fillId="0" borderId="8" xfId="1" applyNumberFormat="1" applyFont="1" applyFill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8" xfId="3" applyFont="1" applyBorder="1" applyAlignment="1">
      <alignment horizontal="center" vertical="center"/>
    </xf>
    <xf numFmtId="20" fontId="10" fillId="0" borderId="8" xfId="0" applyNumberFormat="1" applyFont="1" applyBorder="1" applyAlignment="1">
      <alignment horizontal="center" vertical="center"/>
    </xf>
    <xf numFmtId="11" fontId="10" fillId="0" borderId="8" xfId="3" applyNumberFormat="1" applyFont="1" applyBorder="1" applyAlignment="1">
      <alignment horizontal="center" vertical="center"/>
    </xf>
    <xf numFmtId="11" fontId="10" fillId="0" borderId="5" xfId="3" applyNumberFormat="1" applyFont="1" applyBorder="1" applyAlignment="1">
      <alignment horizontal="center" vertical="center"/>
    </xf>
    <xf numFmtId="164" fontId="10" fillId="0" borderId="5" xfId="4" applyNumberFormat="1" applyFont="1" applyFill="1" applyBorder="1" applyAlignment="1">
      <alignment horizontal="center" vertical="center"/>
    </xf>
    <xf numFmtId="164" fontId="10" fillId="0" borderId="8" xfId="4" applyNumberFormat="1" applyFont="1" applyFill="1" applyBorder="1" applyAlignment="1">
      <alignment horizontal="center" vertical="center"/>
    </xf>
    <xf numFmtId="1" fontId="10" fillId="0" borderId="9" xfId="3" applyNumberFormat="1" applyFont="1" applyBorder="1" applyAlignment="1">
      <alignment horizontal="center" vertical="center"/>
    </xf>
    <xf numFmtId="14" fontId="10" fillId="0" borderId="10" xfId="3" applyNumberFormat="1" applyFont="1" applyBorder="1" applyAlignment="1">
      <alignment horizontal="center" vertical="center"/>
    </xf>
    <xf numFmtId="20" fontId="10" fillId="0" borderId="10" xfId="0" applyNumberFormat="1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64" fontId="10" fillId="0" borderId="10" xfId="4" applyNumberFormat="1" applyFont="1" applyFill="1" applyBorder="1" applyAlignment="1">
      <alignment horizontal="center" vertical="center"/>
    </xf>
    <xf numFmtId="41" fontId="10" fillId="0" borderId="11" xfId="4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4" fontId="13" fillId="4" borderId="8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14" fillId="0" borderId="0" xfId="0" applyNumberFormat="1" applyFont="1"/>
    <xf numFmtId="0" fontId="2" fillId="0" borderId="0" xfId="0" applyFont="1" applyAlignment="1">
      <alignment horizontal="left"/>
    </xf>
    <xf numFmtId="164" fontId="14" fillId="0" borderId="10" xfId="5" applyNumberFormat="1" applyFont="1" applyFill="1" applyBorder="1" applyAlignment="1">
      <alignment horizontal="center"/>
    </xf>
  </cellXfs>
  <cellStyles count="6">
    <cellStyle name="Comma" xfId="1" builtinId="3"/>
    <cellStyle name="Comma 10" xfId="4" xr:uid="{7FE29381-A80B-480C-9CD6-B64AB895EA4E}"/>
    <cellStyle name="Comma 2 2" xfId="5" xr:uid="{999C3E18-2393-4E54-AC59-702234790C7F}"/>
    <cellStyle name="Normal" xfId="0" builtinId="0"/>
    <cellStyle name="Normal 2" xfId="2" xr:uid="{FAE24CEA-5BA2-4541-B9B8-350FBBCA1B3C}"/>
    <cellStyle name="Normal 3" xfId="3" xr:uid="{EB5B8A03-67D4-4AAC-A278-CCF7BB08B9F4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25" formatCode="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102A3-910E-44EA-BB50-FB2B067F5C16}" name="Table3" displayName="Table3" ref="A2:K178" totalsRowShown="0" headerRowBorderDxfId="11" tableBorderDxfId="12">
  <autoFilter ref="A2:K178" xr:uid="{4B7102A3-910E-44EA-BB50-FB2B067F5C16}"/>
  <tableColumns count="11">
    <tableColumn id="1" xr3:uid="{40D39B18-CE81-4A20-9E60-E3DD4FE37EE3}" name="STT" dataDxfId="10" dataCellStyle="Normal 3">
      <calculatedColumnFormula>SUBTOTAL(3,$B$3:B3)</calculatedColumnFormula>
    </tableColumn>
    <tableColumn id="2" xr3:uid="{16F95E98-12FD-4EDE-A263-095CABF309C2}" name="Ngày" dataDxfId="9" dataCellStyle="Normal 3"/>
    <tableColumn id="3" xr3:uid="{89BB858B-7B76-46F8-A4DE-9A03A9A75A9B}" name="h" dataDxfId="8"/>
    <tableColumn id="4" xr3:uid="{210E092C-4595-4B90-80D2-FB9F4F091FC7}" name="Lộ trình" dataDxfId="7" dataCellStyle="Normal 3"/>
    <tableColumn id="5" xr3:uid="{8ED7A08D-5CD6-4F4B-B332-4A0DE6290A70}" name="Tên lái" dataDxfId="6" dataCellStyle="Normal 3"/>
    <tableColumn id="6" xr3:uid="{B9F2CA19-F1CA-4B61-B85A-0F1039A2F4BA}" name="BKS" dataDxfId="5" dataCellStyle="Normal 3"/>
    <tableColumn id="7" xr3:uid="{2F6C7668-F0F2-48EA-B4B0-7C4390527877}" name="Nhân viên bị trừ lương" dataDxfId="4" dataCellStyle="Normal 3"/>
    <tableColumn id="8" xr3:uid="{0E6FBCC2-7460-457E-B0AA-C794CF08861C}" name="Bộ Phận" dataDxfId="3"/>
    <tableColumn id="9" xr3:uid="{95D30B08-F60A-4806-A15E-6481F3644F93}" name="Trừ lương" dataDxfId="2" dataCellStyle="Comma 10"/>
    <tableColumn id="10" xr3:uid="{C46C5C77-CDFA-494A-AEC8-EB3CBBC94EC2}" name="Lý do" dataDxfId="1"/>
    <tableColumn id="11" xr3:uid="{9F02B498-1D21-4327-8B4E-A7705641C564}" name="Mã nv trừ lương" dataDxfId="0" dataCellStyle="Comma 1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D694-E88E-457E-A750-FA275BA1B02F}">
  <dimension ref="A1:O215"/>
  <sheetViews>
    <sheetView tabSelected="1" topLeftCell="A121" workbookViewId="0">
      <selection sqref="A1:XFD1048576"/>
    </sheetView>
  </sheetViews>
  <sheetFormatPr defaultColWidth="8" defaultRowHeight="20.25" x14ac:dyDescent="0.3"/>
  <cols>
    <col min="1" max="1" width="9.75" style="1" customWidth="1"/>
    <col min="2" max="2" width="15.75" style="4" customWidth="1"/>
    <col min="3" max="3" width="10.375" style="54" customWidth="1"/>
    <col min="4" max="4" width="13.5" style="54" customWidth="1"/>
    <col min="5" max="5" width="22.25" style="54" customWidth="1"/>
    <col min="6" max="6" width="12.375" style="55" customWidth="1"/>
    <col min="7" max="7" width="23.75" style="4" customWidth="1"/>
    <col min="8" max="8" width="18.375" style="4" customWidth="1"/>
    <col min="9" max="9" width="14" style="56" customWidth="1"/>
    <col min="10" max="10" width="45.5" style="57" customWidth="1"/>
    <col min="11" max="11" width="16.625" style="57" customWidth="1"/>
    <col min="12" max="12" width="8.625" style="4" customWidth="1"/>
    <col min="13" max="13" width="10.625" style="5" customWidth="1"/>
    <col min="14" max="14" width="10" style="6" customWidth="1"/>
    <col min="15" max="15" width="8" style="7"/>
    <col min="16" max="16384" width="8" style="4"/>
  </cols>
  <sheetData>
    <row r="1" spans="1:15" ht="41.25" customHeight="1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3"/>
    </row>
    <row r="2" spans="1:15" ht="41.25" customHeight="1" x14ac:dyDescent="0.3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H2" s="10" t="s">
        <v>8</v>
      </c>
      <c r="I2" s="11" t="s">
        <v>9</v>
      </c>
      <c r="J2" s="12" t="s">
        <v>10</v>
      </c>
      <c r="K2" s="13" t="s">
        <v>11</v>
      </c>
    </row>
    <row r="3" spans="1:15" ht="35.25" customHeight="1" x14ac:dyDescent="0.3">
      <c r="A3" s="14">
        <f>SUBTOTAL(3,$B$3:B3)</f>
        <v>1</v>
      </c>
      <c r="B3" s="15">
        <v>46143</v>
      </c>
      <c r="C3" s="16" t="s">
        <v>12</v>
      </c>
      <c r="D3" s="17" t="s">
        <v>13</v>
      </c>
      <c r="E3" s="17" t="s">
        <v>14</v>
      </c>
      <c r="F3" s="17" t="s">
        <v>15</v>
      </c>
      <c r="G3" s="17" t="s">
        <v>16</v>
      </c>
      <c r="H3" s="18" t="s">
        <v>17</v>
      </c>
      <c r="I3" s="19">
        <v>20000</v>
      </c>
      <c r="J3" s="20" t="s">
        <v>18</v>
      </c>
      <c r="K3" s="21" t="s">
        <v>19</v>
      </c>
    </row>
    <row r="4" spans="1:15" ht="35.25" customHeight="1" x14ac:dyDescent="0.3">
      <c r="A4" s="14">
        <f>SUBTOTAL(3,$B$3:B4)</f>
        <v>2</v>
      </c>
      <c r="B4" s="15">
        <v>46143</v>
      </c>
      <c r="C4" s="16" t="s">
        <v>12</v>
      </c>
      <c r="D4" s="17" t="s">
        <v>13</v>
      </c>
      <c r="E4" s="17" t="s">
        <v>14</v>
      </c>
      <c r="F4" s="17" t="s">
        <v>15</v>
      </c>
      <c r="G4" s="17" t="s">
        <v>20</v>
      </c>
      <c r="H4" s="18" t="s">
        <v>17</v>
      </c>
      <c r="I4" s="22">
        <v>20000</v>
      </c>
      <c r="J4" s="18" t="s">
        <v>18</v>
      </c>
      <c r="K4" s="21" t="s">
        <v>21</v>
      </c>
    </row>
    <row r="5" spans="1:15" ht="35.25" customHeight="1" x14ac:dyDescent="0.3">
      <c r="A5" s="14">
        <f>SUBTOTAL(3,$B$3:B5)</f>
        <v>3</v>
      </c>
      <c r="B5" s="15">
        <v>46143</v>
      </c>
      <c r="C5" s="16">
        <v>0.76388888888888884</v>
      </c>
      <c r="D5" s="17" t="s">
        <v>22</v>
      </c>
      <c r="E5" s="17" t="s">
        <v>23</v>
      </c>
      <c r="F5" s="17" t="s">
        <v>24</v>
      </c>
      <c r="G5" s="23" t="s">
        <v>25</v>
      </c>
      <c r="H5" s="18" t="s">
        <v>17</v>
      </c>
      <c r="I5" s="19">
        <v>20000</v>
      </c>
      <c r="J5" s="18" t="s">
        <v>26</v>
      </c>
      <c r="K5" s="21" t="s">
        <v>27</v>
      </c>
    </row>
    <row r="6" spans="1:15" ht="35.25" customHeight="1" x14ac:dyDescent="0.25">
      <c r="A6" s="14">
        <f>SUBTOTAL(3,$B$3:B6)</f>
        <v>4</v>
      </c>
      <c r="B6" s="15">
        <v>46144</v>
      </c>
      <c r="C6" s="16" t="s">
        <v>28</v>
      </c>
      <c r="D6" s="17" t="s">
        <v>22</v>
      </c>
      <c r="E6" s="17" t="s">
        <v>29</v>
      </c>
      <c r="F6" s="17" t="s">
        <v>30</v>
      </c>
      <c r="G6" s="23" t="s">
        <v>31</v>
      </c>
      <c r="H6" s="18" t="s">
        <v>17</v>
      </c>
      <c r="I6" s="19">
        <v>40000</v>
      </c>
      <c r="J6" s="18" t="s">
        <v>32</v>
      </c>
      <c r="K6" s="21" t="s">
        <v>33</v>
      </c>
      <c r="O6" s="24"/>
    </row>
    <row r="7" spans="1:15" ht="35.25" customHeight="1" x14ac:dyDescent="0.25">
      <c r="A7" s="14">
        <f>SUBTOTAL(3,$B$3:B7)</f>
        <v>5</v>
      </c>
      <c r="B7" s="25">
        <v>46145</v>
      </c>
      <c r="C7" s="26" t="s">
        <v>28</v>
      </c>
      <c r="D7" s="27" t="s">
        <v>13</v>
      </c>
      <c r="E7" s="27" t="s">
        <v>34</v>
      </c>
      <c r="F7" s="27" t="s">
        <v>35</v>
      </c>
      <c r="G7" s="23" t="s">
        <v>36</v>
      </c>
      <c r="H7" s="28" t="s">
        <v>17</v>
      </c>
      <c r="I7" s="29">
        <v>200000</v>
      </c>
      <c r="J7" s="28" t="s">
        <v>37</v>
      </c>
      <c r="K7" s="21" t="s">
        <v>38</v>
      </c>
      <c r="O7" s="24"/>
    </row>
    <row r="8" spans="1:15" ht="35.25" customHeight="1" x14ac:dyDescent="0.25">
      <c r="A8" s="14">
        <f>SUBTOTAL(3,$B$3:B8)</f>
        <v>6</v>
      </c>
      <c r="B8" s="25">
        <v>46145</v>
      </c>
      <c r="C8" s="26" t="s">
        <v>39</v>
      </c>
      <c r="D8" s="27" t="s">
        <v>40</v>
      </c>
      <c r="E8" s="27" t="s">
        <v>41</v>
      </c>
      <c r="F8" s="27" t="s">
        <v>42</v>
      </c>
      <c r="G8" s="23" t="s">
        <v>43</v>
      </c>
      <c r="H8" s="28" t="s">
        <v>17</v>
      </c>
      <c r="I8" s="29">
        <v>20000</v>
      </c>
      <c r="J8" s="28" t="s">
        <v>44</v>
      </c>
      <c r="K8" s="21" t="s">
        <v>45</v>
      </c>
      <c r="O8" s="24"/>
    </row>
    <row r="9" spans="1:15" ht="35.25" customHeight="1" x14ac:dyDescent="0.25">
      <c r="A9" s="14">
        <f>SUBTOTAL(3,$B$3:B9)</f>
        <v>7</v>
      </c>
      <c r="B9" s="15">
        <v>46145</v>
      </c>
      <c r="C9" s="30" t="s">
        <v>46</v>
      </c>
      <c r="D9" s="31" t="s">
        <v>47</v>
      </c>
      <c r="E9" s="31" t="s">
        <v>48</v>
      </c>
      <c r="F9" s="31" t="s">
        <v>49</v>
      </c>
      <c r="G9" s="32" t="s">
        <v>50</v>
      </c>
      <c r="H9" s="28" t="s">
        <v>17</v>
      </c>
      <c r="I9" s="29">
        <v>20000</v>
      </c>
      <c r="J9" s="28" t="s">
        <v>51</v>
      </c>
      <c r="K9" s="21" t="s">
        <v>52</v>
      </c>
      <c r="O9" s="24"/>
    </row>
    <row r="10" spans="1:15" ht="35.25" customHeight="1" x14ac:dyDescent="0.25">
      <c r="A10" s="14">
        <f>SUBTOTAL(3,$B$3:B10)</f>
        <v>8</v>
      </c>
      <c r="B10" s="25">
        <v>46146</v>
      </c>
      <c r="C10" s="33" t="s">
        <v>53</v>
      </c>
      <c r="D10" s="32" t="s">
        <v>40</v>
      </c>
      <c r="E10" s="32" t="s">
        <v>54</v>
      </c>
      <c r="F10" s="34" t="s">
        <v>55</v>
      </c>
      <c r="G10" s="32" t="s">
        <v>56</v>
      </c>
      <c r="H10" s="28" t="s">
        <v>17</v>
      </c>
      <c r="I10" s="29">
        <v>20000</v>
      </c>
      <c r="J10" s="28" t="s">
        <v>57</v>
      </c>
      <c r="K10" s="21" t="s">
        <v>58</v>
      </c>
      <c r="O10" s="24"/>
    </row>
    <row r="11" spans="1:15" ht="35.25" customHeight="1" x14ac:dyDescent="0.25">
      <c r="A11" s="14">
        <f>SUBTOTAL(3,$B$3:B11)</f>
        <v>9</v>
      </c>
      <c r="B11" s="15">
        <v>46148</v>
      </c>
      <c r="C11" s="16" t="s">
        <v>59</v>
      </c>
      <c r="D11" s="17" t="s">
        <v>40</v>
      </c>
      <c r="E11" s="17" t="s">
        <v>60</v>
      </c>
      <c r="F11" s="17" t="s">
        <v>61</v>
      </c>
      <c r="G11" s="17" t="s">
        <v>25</v>
      </c>
      <c r="H11" s="18" t="s">
        <v>17</v>
      </c>
      <c r="I11" s="19">
        <v>40000</v>
      </c>
      <c r="J11" s="18" t="s">
        <v>62</v>
      </c>
      <c r="K11" s="21" t="s">
        <v>27</v>
      </c>
      <c r="O11" s="24"/>
    </row>
    <row r="12" spans="1:15" ht="35.25" customHeight="1" x14ac:dyDescent="0.25">
      <c r="A12" s="14">
        <f>SUBTOTAL(3,$B$3:B12)</f>
        <v>10</v>
      </c>
      <c r="B12" s="15">
        <v>46150</v>
      </c>
      <c r="C12" s="16" t="s">
        <v>63</v>
      </c>
      <c r="D12" s="17" t="s">
        <v>13</v>
      </c>
      <c r="E12" s="17" t="s">
        <v>64</v>
      </c>
      <c r="F12" s="35" t="s">
        <v>65</v>
      </c>
      <c r="G12" s="17" t="s">
        <v>66</v>
      </c>
      <c r="H12" s="18" t="s">
        <v>17</v>
      </c>
      <c r="I12" s="19">
        <v>7500</v>
      </c>
      <c r="J12" s="18" t="s">
        <v>67</v>
      </c>
      <c r="K12" s="21" t="s">
        <v>68</v>
      </c>
      <c r="O12" s="24"/>
    </row>
    <row r="13" spans="1:15" ht="35.25" customHeight="1" x14ac:dyDescent="0.25">
      <c r="A13" s="14">
        <f>SUBTOTAL(3,$B$3:B13)</f>
        <v>11</v>
      </c>
      <c r="B13" s="15">
        <v>46150</v>
      </c>
      <c r="C13" s="16" t="s">
        <v>63</v>
      </c>
      <c r="D13" s="17" t="s">
        <v>13</v>
      </c>
      <c r="E13" s="17" t="s">
        <v>64</v>
      </c>
      <c r="F13" s="17" t="s">
        <v>65</v>
      </c>
      <c r="G13" s="17" t="s">
        <v>69</v>
      </c>
      <c r="H13" s="18" t="s">
        <v>17</v>
      </c>
      <c r="I13" s="19">
        <v>7500</v>
      </c>
      <c r="J13" s="18" t="s">
        <v>67</v>
      </c>
      <c r="K13" s="21" t="s">
        <v>70</v>
      </c>
      <c r="O13" s="24"/>
    </row>
    <row r="14" spans="1:15" ht="35.25" customHeight="1" x14ac:dyDescent="0.25">
      <c r="A14" s="14">
        <f>SUBTOTAL(3,$B$3:B14)</f>
        <v>12</v>
      </c>
      <c r="B14" s="15">
        <v>46150</v>
      </c>
      <c r="C14" s="16" t="s">
        <v>12</v>
      </c>
      <c r="D14" s="17" t="s">
        <v>47</v>
      </c>
      <c r="E14" s="17" t="s">
        <v>71</v>
      </c>
      <c r="F14" s="17" t="s">
        <v>72</v>
      </c>
      <c r="G14" s="17" t="s">
        <v>73</v>
      </c>
      <c r="H14" s="18" t="s">
        <v>17</v>
      </c>
      <c r="I14" s="19">
        <v>15000</v>
      </c>
      <c r="J14" s="18" t="s">
        <v>74</v>
      </c>
      <c r="K14" s="21" t="s">
        <v>75</v>
      </c>
      <c r="O14" s="24"/>
    </row>
    <row r="15" spans="1:15" ht="35.25" customHeight="1" x14ac:dyDescent="0.25">
      <c r="A15" s="14">
        <f>SUBTOTAL(3,$B$3:B15)</f>
        <v>13</v>
      </c>
      <c r="B15" s="15">
        <v>46150</v>
      </c>
      <c r="C15" s="16" t="s">
        <v>76</v>
      </c>
      <c r="D15" s="17" t="s">
        <v>13</v>
      </c>
      <c r="E15" s="17" t="s">
        <v>71</v>
      </c>
      <c r="F15" s="17" t="s">
        <v>72</v>
      </c>
      <c r="G15" s="17" t="s">
        <v>77</v>
      </c>
      <c r="H15" s="18" t="s">
        <v>17</v>
      </c>
      <c r="I15" s="19">
        <v>15000</v>
      </c>
      <c r="J15" s="18" t="s">
        <v>78</v>
      </c>
      <c r="K15" s="21" t="s">
        <v>79</v>
      </c>
      <c r="O15" s="24"/>
    </row>
    <row r="16" spans="1:15" ht="35.25" customHeight="1" x14ac:dyDescent="0.25">
      <c r="A16" s="14">
        <f>SUBTOTAL(3,$B$3:B16)</f>
        <v>14</v>
      </c>
      <c r="B16" s="15">
        <v>46150</v>
      </c>
      <c r="C16" s="16" t="s">
        <v>12</v>
      </c>
      <c r="D16" s="17" t="s">
        <v>80</v>
      </c>
      <c r="E16" s="17" t="s">
        <v>81</v>
      </c>
      <c r="F16" s="17" t="s">
        <v>82</v>
      </c>
      <c r="G16" s="17" t="s">
        <v>66</v>
      </c>
      <c r="H16" s="18" t="s">
        <v>17</v>
      </c>
      <c r="I16" s="19">
        <v>15000</v>
      </c>
      <c r="J16" s="18" t="s">
        <v>83</v>
      </c>
      <c r="K16" s="21" t="s">
        <v>68</v>
      </c>
      <c r="O16" s="24"/>
    </row>
    <row r="17" spans="1:15" ht="35.25" customHeight="1" x14ac:dyDescent="0.25">
      <c r="A17" s="14">
        <f>SUBTOTAL(3,$B$3:B17)</f>
        <v>15</v>
      </c>
      <c r="B17" s="15">
        <v>46150</v>
      </c>
      <c r="C17" s="16" t="s">
        <v>12</v>
      </c>
      <c r="D17" s="17" t="s">
        <v>80</v>
      </c>
      <c r="E17" s="17" t="s">
        <v>81</v>
      </c>
      <c r="F17" s="17" t="s">
        <v>82</v>
      </c>
      <c r="G17" s="17" t="s">
        <v>77</v>
      </c>
      <c r="H17" s="18" t="s">
        <v>17</v>
      </c>
      <c r="I17" s="19">
        <v>15000</v>
      </c>
      <c r="J17" s="18" t="s">
        <v>83</v>
      </c>
      <c r="K17" s="21" t="s">
        <v>79</v>
      </c>
      <c r="O17" s="24"/>
    </row>
    <row r="18" spans="1:15" ht="35.25" customHeight="1" x14ac:dyDescent="0.25">
      <c r="A18" s="14">
        <f>SUBTOTAL(3,$B$3:B18)</f>
        <v>16</v>
      </c>
      <c r="B18" s="15">
        <v>46151</v>
      </c>
      <c r="C18" s="16" t="s">
        <v>84</v>
      </c>
      <c r="D18" s="17" t="s">
        <v>22</v>
      </c>
      <c r="E18" s="17" t="s">
        <v>41</v>
      </c>
      <c r="F18" s="17" t="s">
        <v>42</v>
      </c>
      <c r="G18" s="17" t="s">
        <v>85</v>
      </c>
      <c r="H18" s="18" t="s">
        <v>17</v>
      </c>
      <c r="I18" s="19">
        <v>7500</v>
      </c>
      <c r="J18" s="18" t="s">
        <v>86</v>
      </c>
      <c r="K18" s="21" t="s">
        <v>87</v>
      </c>
      <c r="O18" s="24"/>
    </row>
    <row r="19" spans="1:15" ht="35.25" customHeight="1" x14ac:dyDescent="0.25">
      <c r="A19" s="14">
        <f>SUBTOTAL(3,$B$3:B19)</f>
        <v>17</v>
      </c>
      <c r="B19" s="15">
        <v>46151</v>
      </c>
      <c r="C19" s="16" t="s">
        <v>84</v>
      </c>
      <c r="D19" s="17" t="s">
        <v>22</v>
      </c>
      <c r="E19" s="17" t="s">
        <v>41</v>
      </c>
      <c r="F19" s="17" t="s">
        <v>42</v>
      </c>
      <c r="G19" s="17" t="s">
        <v>31</v>
      </c>
      <c r="H19" s="18" t="s">
        <v>17</v>
      </c>
      <c r="I19" s="19">
        <v>7500</v>
      </c>
      <c r="J19" s="18" t="s">
        <v>86</v>
      </c>
      <c r="K19" s="21" t="s">
        <v>33</v>
      </c>
      <c r="O19" s="24"/>
    </row>
    <row r="20" spans="1:15" ht="35.25" customHeight="1" x14ac:dyDescent="0.25">
      <c r="A20" s="14">
        <f>SUBTOTAL(3,$B$3:B20)</f>
        <v>18</v>
      </c>
      <c r="B20" s="15">
        <v>46151</v>
      </c>
      <c r="C20" s="16" t="s">
        <v>88</v>
      </c>
      <c r="D20" s="17" t="s">
        <v>40</v>
      </c>
      <c r="E20" s="17" t="s">
        <v>54</v>
      </c>
      <c r="F20" s="17" t="s">
        <v>55</v>
      </c>
      <c r="G20" s="17" t="s">
        <v>89</v>
      </c>
      <c r="H20" s="18" t="s">
        <v>17</v>
      </c>
      <c r="I20" s="19">
        <v>10000</v>
      </c>
      <c r="J20" s="18" t="s">
        <v>90</v>
      </c>
      <c r="K20" s="21" t="s">
        <v>91</v>
      </c>
      <c r="O20" s="24"/>
    </row>
    <row r="21" spans="1:15" ht="35.25" customHeight="1" x14ac:dyDescent="0.25">
      <c r="A21" s="14">
        <f>SUBTOTAL(3,$B$3:B21)</f>
        <v>19</v>
      </c>
      <c r="B21" s="15">
        <v>46154</v>
      </c>
      <c r="C21" s="16" t="s">
        <v>88</v>
      </c>
      <c r="D21" s="17" t="s">
        <v>47</v>
      </c>
      <c r="E21" s="17" t="s">
        <v>64</v>
      </c>
      <c r="F21" s="17" t="s">
        <v>65</v>
      </c>
      <c r="G21" s="17" t="s">
        <v>16</v>
      </c>
      <c r="H21" s="18" t="s">
        <v>17</v>
      </c>
      <c r="I21" s="19">
        <v>15000</v>
      </c>
      <c r="J21" s="18" t="s">
        <v>92</v>
      </c>
      <c r="K21" s="21" t="s">
        <v>19</v>
      </c>
      <c r="O21" s="24"/>
    </row>
    <row r="22" spans="1:15" ht="35.25" customHeight="1" x14ac:dyDescent="0.25">
      <c r="A22" s="14">
        <f>SUBTOTAL(3,$B$3:B22)</f>
        <v>20</v>
      </c>
      <c r="B22" s="15">
        <v>46155</v>
      </c>
      <c r="C22" s="16" t="s">
        <v>88</v>
      </c>
      <c r="D22" s="17" t="s">
        <v>80</v>
      </c>
      <c r="E22" s="17" t="s">
        <v>93</v>
      </c>
      <c r="F22" s="17" t="s">
        <v>94</v>
      </c>
      <c r="G22" s="17" t="s">
        <v>95</v>
      </c>
      <c r="H22" s="18" t="s">
        <v>17</v>
      </c>
      <c r="I22" s="19">
        <v>30000</v>
      </c>
      <c r="J22" s="18" t="s">
        <v>96</v>
      </c>
      <c r="K22" s="21" t="s">
        <v>97</v>
      </c>
      <c r="O22" s="24"/>
    </row>
    <row r="23" spans="1:15" ht="35.25" customHeight="1" x14ac:dyDescent="0.25">
      <c r="A23" s="14">
        <f>SUBTOTAL(3,$B$3:B23)</f>
        <v>21</v>
      </c>
      <c r="B23" s="15">
        <v>46156</v>
      </c>
      <c r="C23" s="16">
        <v>0.58333333333333337</v>
      </c>
      <c r="D23" s="17" t="s">
        <v>40</v>
      </c>
      <c r="E23" s="17" t="s">
        <v>98</v>
      </c>
      <c r="F23" s="17" t="s">
        <v>99</v>
      </c>
      <c r="G23" s="17" t="s">
        <v>100</v>
      </c>
      <c r="H23" s="18" t="s">
        <v>17</v>
      </c>
      <c r="I23" s="19">
        <v>45000</v>
      </c>
      <c r="J23" s="18" t="s">
        <v>101</v>
      </c>
      <c r="K23" s="21" t="s">
        <v>102</v>
      </c>
      <c r="O23" s="24"/>
    </row>
    <row r="24" spans="1:15" ht="35.25" customHeight="1" x14ac:dyDescent="0.25">
      <c r="A24" s="14">
        <f>SUBTOTAL(3,$B$3:B24)</f>
        <v>22</v>
      </c>
      <c r="B24" s="15">
        <v>46156</v>
      </c>
      <c r="C24" s="16">
        <v>0.83333333333333337</v>
      </c>
      <c r="D24" s="17" t="s">
        <v>22</v>
      </c>
      <c r="E24" s="17" t="s">
        <v>103</v>
      </c>
      <c r="F24" s="17" t="s">
        <v>104</v>
      </c>
      <c r="G24" s="17" t="s">
        <v>73</v>
      </c>
      <c r="H24" s="18" t="s">
        <v>17</v>
      </c>
      <c r="I24" s="19">
        <v>30000</v>
      </c>
      <c r="J24" s="18" t="s">
        <v>105</v>
      </c>
      <c r="K24" s="21" t="s">
        <v>75</v>
      </c>
      <c r="O24" s="24"/>
    </row>
    <row r="25" spans="1:15" ht="35.25" customHeight="1" x14ac:dyDescent="0.25">
      <c r="A25" s="14">
        <f>SUBTOTAL(3,$B$3:B25)</f>
        <v>23</v>
      </c>
      <c r="B25" s="15">
        <v>46157</v>
      </c>
      <c r="C25" s="16" t="s">
        <v>106</v>
      </c>
      <c r="D25" s="17" t="s">
        <v>22</v>
      </c>
      <c r="E25" s="17" t="s">
        <v>98</v>
      </c>
      <c r="F25" s="17" t="s">
        <v>99</v>
      </c>
      <c r="G25" s="17" t="s">
        <v>50</v>
      </c>
      <c r="H25" s="18" t="s">
        <v>17</v>
      </c>
      <c r="I25" s="19">
        <v>7500</v>
      </c>
      <c r="J25" s="18" t="s">
        <v>107</v>
      </c>
      <c r="K25" s="21" t="s">
        <v>52</v>
      </c>
      <c r="O25" s="24"/>
    </row>
    <row r="26" spans="1:15" ht="35.25" customHeight="1" x14ac:dyDescent="0.25">
      <c r="A26" s="14">
        <f>SUBTOTAL(3,$B$3:B26)</f>
        <v>24</v>
      </c>
      <c r="B26" s="15">
        <v>46157</v>
      </c>
      <c r="C26" s="16" t="s">
        <v>106</v>
      </c>
      <c r="D26" s="17" t="s">
        <v>22</v>
      </c>
      <c r="E26" s="17" t="s">
        <v>98</v>
      </c>
      <c r="F26" s="17" t="s">
        <v>99</v>
      </c>
      <c r="G26" s="17" t="s">
        <v>25</v>
      </c>
      <c r="H26" s="18" t="s">
        <v>17</v>
      </c>
      <c r="I26" s="19">
        <v>7500</v>
      </c>
      <c r="J26" s="18" t="s">
        <v>107</v>
      </c>
      <c r="K26" s="21" t="s">
        <v>27</v>
      </c>
      <c r="O26" s="24"/>
    </row>
    <row r="27" spans="1:15" ht="35.25" customHeight="1" x14ac:dyDescent="0.25">
      <c r="A27" s="14">
        <f>SUBTOTAL(3,$B$3:B27)</f>
        <v>25</v>
      </c>
      <c r="B27" s="15">
        <v>46157</v>
      </c>
      <c r="C27" s="16" t="s">
        <v>76</v>
      </c>
      <c r="D27" s="17" t="s">
        <v>13</v>
      </c>
      <c r="E27" s="17" t="s">
        <v>23</v>
      </c>
      <c r="F27" s="17" t="s">
        <v>24</v>
      </c>
      <c r="G27" s="17" t="s">
        <v>16</v>
      </c>
      <c r="H27" s="18" t="s">
        <v>17</v>
      </c>
      <c r="I27" s="19">
        <v>7500</v>
      </c>
      <c r="J27" s="18" t="s">
        <v>108</v>
      </c>
      <c r="K27" s="21" t="s">
        <v>19</v>
      </c>
      <c r="O27" s="24"/>
    </row>
    <row r="28" spans="1:15" ht="35.25" customHeight="1" x14ac:dyDescent="0.25">
      <c r="A28" s="14">
        <f>SUBTOTAL(3,$B$3:B28)</f>
        <v>26</v>
      </c>
      <c r="B28" s="15">
        <v>46157</v>
      </c>
      <c r="C28" s="16" t="s">
        <v>76</v>
      </c>
      <c r="D28" s="17" t="s">
        <v>13</v>
      </c>
      <c r="E28" s="17" t="s">
        <v>23</v>
      </c>
      <c r="F28" s="17" t="s">
        <v>24</v>
      </c>
      <c r="G28" s="17" t="s">
        <v>25</v>
      </c>
      <c r="H28" s="18" t="s">
        <v>17</v>
      </c>
      <c r="I28" s="19">
        <v>7500</v>
      </c>
      <c r="J28" s="18" t="s">
        <v>108</v>
      </c>
      <c r="K28" s="21" t="s">
        <v>27</v>
      </c>
      <c r="O28" s="24"/>
    </row>
    <row r="29" spans="1:15" ht="35.25" customHeight="1" x14ac:dyDescent="0.25">
      <c r="A29" s="14">
        <f>SUBTOTAL(3,$B$3:B29)</f>
        <v>27</v>
      </c>
      <c r="B29" s="15">
        <v>46157</v>
      </c>
      <c r="C29" s="16" t="s">
        <v>12</v>
      </c>
      <c r="D29" s="17" t="s">
        <v>13</v>
      </c>
      <c r="E29" s="17" t="s">
        <v>109</v>
      </c>
      <c r="F29" s="17" t="s">
        <v>110</v>
      </c>
      <c r="G29" s="17" t="s">
        <v>25</v>
      </c>
      <c r="H29" s="18" t="s">
        <v>17</v>
      </c>
      <c r="I29" s="19">
        <v>25000</v>
      </c>
      <c r="J29" s="18" t="s">
        <v>111</v>
      </c>
      <c r="K29" s="21" t="s">
        <v>27</v>
      </c>
      <c r="O29" s="24"/>
    </row>
    <row r="30" spans="1:15" ht="35.25" customHeight="1" x14ac:dyDescent="0.25">
      <c r="A30" s="14">
        <f>SUBTOTAL(3,$B$3:B30)</f>
        <v>28</v>
      </c>
      <c r="B30" s="15">
        <v>46157</v>
      </c>
      <c r="C30" s="16" t="s">
        <v>12</v>
      </c>
      <c r="D30" s="17" t="s">
        <v>13</v>
      </c>
      <c r="E30" s="17" t="s">
        <v>109</v>
      </c>
      <c r="F30" s="17" t="s">
        <v>110</v>
      </c>
      <c r="G30" s="17" t="s">
        <v>25</v>
      </c>
      <c r="H30" s="18" t="s">
        <v>17</v>
      </c>
      <c r="I30" s="19">
        <v>15000</v>
      </c>
      <c r="J30" s="18" t="s">
        <v>112</v>
      </c>
      <c r="K30" s="21" t="s">
        <v>27</v>
      </c>
      <c r="O30" s="24"/>
    </row>
    <row r="31" spans="1:15" ht="35.25" customHeight="1" x14ac:dyDescent="0.25">
      <c r="A31" s="14">
        <f>SUBTOTAL(3,$B$3:B31)</f>
        <v>29</v>
      </c>
      <c r="B31" s="15">
        <v>46158</v>
      </c>
      <c r="C31" s="16" t="s">
        <v>12</v>
      </c>
      <c r="D31" s="17" t="s">
        <v>22</v>
      </c>
      <c r="E31" s="17" t="s">
        <v>113</v>
      </c>
      <c r="F31" s="17" t="s">
        <v>114</v>
      </c>
      <c r="G31" s="17" t="s">
        <v>115</v>
      </c>
      <c r="H31" s="18" t="s">
        <v>17</v>
      </c>
      <c r="I31" s="19">
        <v>10000</v>
      </c>
      <c r="J31" s="18" t="s">
        <v>116</v>
      </c>
      <c r="K31" s="21" t="s">
        <v>117</v>
      </c>
      <c r="O31" s="24"/>
    </row>
    <row r="32" spans="1:15" ht="35.25" customHeight="1" x14ac:dyDescent="0.25">
      <c r="A32" s="14">
        <f>SUBTOTAL(3,$B$3:B32)</f>
        <v>30</v>
      </c>
      <c r="B32" s="15">
        <v>46158</v>
      </c>
      <c r="C32" s="16">
        <v>0.45833333333333331</v>
      </c>
      <c r="D32" s="17" t="s">
        <v>22</v>
      </c>
      <c r="E32" s="17" t="s">
        <v>118</v>
      </c>
      <c r="F32" s="17" t="s">
        <v>119</v>
      </c>
      <c r="G32" s="17" t="s">
        <v>120</v>
      </c>
      <c r="H32" s="18" t="s">
        <v>17</v>
      </c>
      <c r="I32" s="19">
        <v>30000</v>
      </c>
      <c r="J32" s="18" t="s">
        <v>121</v>
      </c>
      <c r="K32" s="21" t="s">
        <v>122</v>
      </c>
      <c r="O32" s="24"/>
    </row>
    <row r="33" spans="1:15" ht="35.25" customHeight="1" x14ac:dyDescent="0.25">
      <c r="A33" s="14">
        <f>SUBTOTAL(3,$B$3:B33)</f>
        <v>31</v>
      </c>
      <c r="B33" s="15">
        <v>46159</v>
      </c>
      <c r="C33" s="16">
        <v>0.66666666666666663</v>
      </c>
      <c r="D33" s="17" t="s">
        <v>123</v>
      </c>
      <c r="E33" s="17" t="s">
        <v>64</v>
      </c>
      <c r="F33" s="17" t="s">
        <v>65</v>
      </c>
      <c r="G33" s="17" t="s">
        <v>124</v>
      </c>
      <c r="H33" s="18" t="s">
        <v>17</v>
      </c>
      <c r="I33" s="19">
        <v>88000</v>
      </c>
      <c r="J33" s="18" t="s">
        <v>125</v>
      </c>
      <c r="K33" s="21" t="s">
        <v>126</v>
      </c>
      <c r="O33" s="24"/>
    </row>
    <row r="34" spans="1:15" ht="35.25" customHeight="1" x14ac:dyDescent="0.25">
      <c r="A34" s="14">
        <f>SUBTOTAL(3,$B$3:B34)</f>
        <v>32</v>
      </c>
      <c r="B34" s="15">
        <v>46159</v>
      </c>
      <c r="C34" s="16">
        <v>0.625</v>
      </c>
      <c r="D34" s="17" t="s">
        <v>123</v>
      </c>
      <c r="E34" s="17" t="s">
        <v>127</v>
      </c>
      <c r="F34" s="17" t="s">
        <v>128</v>
      </c>
      <c r="G34" s="17" t="s">
        <v>20</v>
      </c>
      <c r="H34" s="18" t="s">
        <v>17</v>
      </c>
      <c r="I34" s="19">
        <v>15000</v>
      </c>
      <c r="J34" s="18" t="s">
        <v>129</v>
      </c>
      <c r="K34" s="21" t="s">
        <v>21</v>
      </c>
      <c r="O34" s="24"/>
    </row>
    <row r="35" spans="1:15" ht="35.25" customHeight="1" x14ac:dyDescent="0.25">
      <c r="A35" s="14">
        <f>SUBTOTAL(3,$B$3:B35)</f>
        <v>33</v>
      </c>
      <c r="B35" s="15">
        <v>46159</v>
      </c>
      <c r="C35" s="16">
        <v>0.58333333333333337</v>
      </c>
      <c r="D35" s="17" t="s">
        <v>123</v>
      </c>
      <c r="E35" s="17" t="s">
        <v>71</v>
      </c>
      <c r="F35" s="17" t="s">
        <v>72</v>
      </c>
      <c r="G35" s="17" t="s">
        <v>50</v>
      </c>
      <c r="H35" s="18" t="s">
        <v>17</v>
      </c>
      <c r="I35" s="19">
        <v>10000</v>
      </c>
      <c r="J35" s="18" t="s">
        <v>130</v>
      </c>
      <c r="K35" s="21" t="s">
        <v>52</v>
      </c>
      <c r="O35" s="24"/>
    </row>
    <row r="36" spans="1:15" ht="35.25" customHeight="1" x14ac:dyDescent="0.25">
      <c r="A36" s="14">
        <f>SUBTOTAL(3,$B$3:B36)</f>
        <v>34</v>
      </c>
      <c r="B36" s="15">
        <v>46159</v>
      </c>
      <c r="C36" s="16">
        <v>0.58333333333333337</v>
      </c>
      <c r="D36" s="17" t="s">
        <v>123</v>
      </c>
      <c r="E36" s="17" t="s">
        <v>71</v>
      </c>
      <c r="F36" s="17" t="s">
        <v>72</v>
      </c>
      <c r="G36" s="17" t="s">
        <v>50</v>
      </c>
      <c r="H36" s="18" t="s">
        <v>17</v>
      </c>
      <c r="I36" s="19">
        <v>10000</v>
      </c>
      <c r="J36" s="18" t="s">
        <v>130</v>
      </c>
      <c r="K36" s="21" t="s">
        <v>52</v>
      </c>
      <c r="O36" s="24"/>
    </row>
    <row r="37" spans="1:15" ht="35.25" customHeight="1" x14ac:dyDescent="0.25">
      <c r="A37" s="14">
        <f>SUBTOTAL(3,$B$3:B37)</f>
        <v>35</v>
      </c>
      <c r="B37" s="15">
        <v>46159</v>
      </c>
      <c r="C37" s="16">
        <v>0.58333333333333337</v>
      </c>
      <c r="D37" s="17" t="s">
        <v>13</v>
      </c>
      <c r="E37" s="17" t="s">
        <v>131</v>
      </c>
      <c r="F37" s="17" t="s">
        <v>132</v>
      </c>
      <c r="G37" s="17" t="s">
        <v>133</v>
      </c>
      <c r="H37" s="18" t="s">
        <v>134</v>
      </c>
      <c r="I37" s="19">
        <v>15000</v>
      </c>
      <c r="J37" s="18" t="s">
        <v>135</v>
      </c>
      <c r="K37" s="21" t="s">
        <v>136</v>
      </c>
      <c r="O37" s="24"/>
    </row>
    <row r="38" spans="1:15" ht="35.25" customHeight="1" x14ac:dyDescent="0.25">
      <c r="A38" s="14">
        <f>SUBTOTAL(3,$B$3:B38)</f>
        <v>36</v>
      </c>
      <c r="B38" s="15">
        <v>46160</v>
      </c>
      <c r="C38" s="16" t="s">
        <v>106</v>
      </c>
      <c r="D38" s="17" t="s">
        <v>13</v>
      </c>
      <c r="E38" s="17" t="s">
        <v>137</v>
      </c>
      <c r="F38" s="17" t="s">
        <v>138</v>
      </c>
      <c r="G38" s="17" t="s">
        <v>139</v>
      </c>
      <c r="H38" s="18" t="s">
        <v>17</v>
      </c>
      <c r="I38" s="19">
        <v>15000</v>
      </c>
      <c r="J38" s="18" t="s">
        <v>140</v>
      </c>
      <c r="K38" s="21" t="s">
        <v>141</v>
      </c>
      <c r="O38" s="24"/>
    </row>
    <row r="39" spans="1:15" ht="35.25" customHeight="1" x14ac:dyDescent="0.25">
      <c r="A39" s="14">
        <f>SUBTOTAL(3,$B$3:B39)</f>
        <v>37</v>
      </c>
      <c r="B39" s="15">
        <v>46160</v>
      </c>
      <c r="C39" s="16" t="s">
        <v>106</v>
      </c>
      <c r="D39" s="17" t="s">
        <v>13</v>
      </c>
      <c r="E39" s="17" t="s">
        <v>137</v>
      </c>
      <c r="F39" s="17" t="s">
        <v>138</v>
      </c>
      <c r="G39" s="17" t="s">
        <v>25</v>
      </c>
      <c r="H39" s="18" t="s">
        <v>17</v>
      </c>
      <c r="I39" s="19">
        <v>15000</v>
      </c>
      <c r="J39" s="18" t="s">
        <v>140</v>
      </c>
      <c r="K39" s="21" t="s">
        <v>27</v>
      </c>
      <c r="O39" s="24"/>
    </row>
    <row r="40" spans="1:15" ht="35.25" customHeight="1" x14ac:dyDescent="0.25">
      <c r="A40" s="14">
        <f>SUBTOTAL(3,$B$3:B40)</f>
        <v>38</v>
      </c>
      <c r="B40" s="15">
        <v>46162</v>
      </c>
      <c r="C40" s="16">
        <v>0.625</v>
      </c>
      <c r="D40" s="17" t="s">
        <v>22</v>
      </c>
      <c r="E40" s="17" t="s">
        <v>48</v>
      </c>
      <c r="F40" s="17" t="s">
        <v>49</v>
      </c>
      <c r="G40" s="17" t="s">
        <v>142</v>
      </c>
      <c r="H40" s="18" t="s">
        <v>143</v>
      </c>
      <c r="I40" s="19">
        <v>175000</v>
      </c>
      <c r="J40" s="18" t="s">
        <v>144</v>
      </c>
      <c r="K40" s="21" t="s">
        <v>145</v>
      </c>
      <c r="O40" s="24"/>
    </row>
    <row r="41" spans="1:15" ht="35.25" customHeight="1" x14ac:dyDescent="0.25">
      <c r="A41" s="14">
        <f>SUBTOTAL(3,$B$3:B41)</f>
        <v>39</v>
      </c>
      <c r="B41" s="15">
        <v>46162</v>
      </c>
      <c r="C41" s="16" t="s">
        <v>59</v>
      </c>
      <c r="D41" s="17" t="s">
        <v>22</v>
      </c>
      <c r="E41" s="17" t="s">
        <v>109</v>
      </c>
      <c r="F41" s="17" t="s">
        <v>110</v>
      </c>
      <c r="G41" s="17" t="s">
        <v>73</v>
      </c>
      <c r="H41" s="18" t="s">
        <v>17</v>
      </c>
      <c r="I41" s="19">
        <v>7500</v>
      </c>
      <c r="J41" s="18" t="s">
        <v>146</v>
      </c>
      <c r="K41" s="21" t="s">
        <v>75</v>
      </c>
      <c r="O41" s="24"/>
    </row>
    <row r="42" spans="1:15" ht="35.25" customHeight="1" x14ac:dyDescent="0.25">
      <c r="A42" s="14">
        <f>SUBTOTAL(3,$B$3:B42)</f>
        <v>40</v>
      </c>
      <c r="B42" s="15">
        <v>46162</v>
      </c>
      <c r="C42" s="16" t="s">
        <v>59</v>
      </c>
      <c r="D42" s="17" t="s">
        <v>22</v>
      </c>
      <c r="E42" s="17" t="s">
        <v>109</v>
      </c>
      <c r="F42" s="17" t="s">
        <v>110</v>
      </c>
      <c r="G42" s="17" t="s">
        <v>85</v>
      </c>
      <c r="H42" s="18" t="s">
        <v>17</v>
      </c>
      <c r="I42" s="19">
        <v>7500</v>
      </c>
      <c r="J42" s="18" t="s">
        <v>146</v>
      </c>
      <c r="K42" s="21" t="s">
        <v>87</v>
      </c>
      <c r="O42" s="24"/>
    </row>
    <row r="43" spans="1:15" ht="35.25" customHeight="1" x14ac:dyDescent="0.25">
      <c r="A43" s="14">
        <f>SUBTOTAL(3,$B$3:B43)</f>
        <v>41</v>
      </c>
      <c r="B43" s="15">
        <v>46163</v>
      </c>
      <c r="C43" s="16" t="s">
        <v>63</v>
      </c>
      <c r="D43" s="17" t="s">
        <v>13</v>
      </c>
      <c r="E43" s="17" t="s">
        <v>127</v>
      </c>
      <c r="F43" s="17" t="s">
        <v>147</v>
      </c>
      <c r="G43" s="17" t="s">
        <v>20</v>
      </c>
      <c r="H43" s="18" t="s">
        <v>17</v>
      </c>
      <c r="I43" s="19">
        <v>175000</v>
      </c>
      <c r="J43" s="18" t="s">
        <v>148</v>
      </c>
      <c r="K43" s="21" t="s">
        <v>21</v>
      </c>
      <c r="O43" s="24"/>
    </row>
    <row r="44" spans="1:15" ht="35.25" customHeight="1" x14ac:dyDescent="0.25">
      <c r="A44" s="14">
        <f>SUBTOTAL(3,$B$3:B44)</f>
        <v>42</v>
      </c>
      <c r="B44" s="15">
        <v>46163</v>
      </c>
      <c r="C44" s="16" t="s">
        <v>39</v>
      </c>
      <c r="D44" s="17" t="s">
        <v>22</v>
      </c>
      <c r="E44" s="17" t="s">
        <v>14</v>
      </c>
      <c r="F44" s="17" t="s">
        <v>15</v>
      </c>
      <c r="G44" s="17" t="s">
        <v>149</v>
      </c>
      <c r="H44" s="18" t="s">
        <v>17</v>
      </c>
      <c r="I44" s="19">
        <v>7500</v>
      </c>
      <c r="J44" s="18" t="s">
        <v>150</v>
      </c>
      <c r="K44" s="21" t="s">
        <v>151</v>
      </c>
      <c r="O44" s="24"/>
    </row>
    <row r="45" spans="1:15" ht="35.25" customHeight="1" x14ac:dyDescent="0.25">
      <c r="A45" s="14">
        <f>SUBTOTAL(3,$B$3:B45)</f>
        <v>43</v>
      </c>
      <c r="B45" s="15">
        <v>46163</v>
      </c>
      <c r="C45" s="16" t="s">
        <v>39</v>
      </c>
      <c r="D45" s="17" t="s">
        <v>22</v>
      </c>
      <c r="E45" s="17" t="s">
        <v>14</v>
      </c>
      <c r="F45" s="17" t="s">
        <v>15</v>
      </c>
      <c r="G45" s="17" t="s">
        <v>66</v>
      </c>
      <c r="H45" s="18" t="s">
        <v>17</v>
      </c>
      <c r="I45" s="19">
        <v>7500</v>
      </c>
      <c r="J45" s="18" t="s">
        <v>150</v>
      </c>
      <c r="K45" s="21" t="s">
        <v>68</v>
      </c>
      <c r="O45" s="24"/>
    </row>
    <row r="46" spans="1:15" ht="35.25" customHeight="1" x14ac:dyDescent="0.25">
      <c r="A46" s="14">
        <f>SUBTOTAL(3,$B$3:B46)</f>
        <v>44</v>
      </c>
      <c r="B46" s="15">
        <v>46163</v>
      </c>
      <c r="C46" s="16" t="s">
        <v>12</v>
      </c>
      <c r="D46" s="17" t="s">
        <v>13</v>
      </c>
      <c r="E46" s="17" t="s">
        <v>152</v>
      </c>
      <c r="F46" s="17" t="s">
        <v>153</v>
      </c>
      <c r="G46" s="17" t="s">
        <v>85</v>
      </c>
      <c r="H46" s="18" t="s">
        <v>17</v>
      </c>
      <c r="I46" s="19">
        <v>15000</v>
      </c>
      <c r="J46" s="18" t="s">
        <v>154</v>
      </c>
      <c r="K46" s="21" t="s">
        <v>87</v>
      </c>
      <c r="O46" s="24"/>
    </row>
    <row r="47" spans="1:15" ht="35.25" customHeight="1" x14ac:dyDescent="0.25">
      <c r="A47" s="14">
        <f>SUBTOTAL(3,$B$3:B47)</f>
        <v>45</v>
      </c>
      <c r="B47" s="15">
        <v>46163</v>
      </c>
      <c r="C47" s="16" t="s">
        <v>28</v>
      </c>
      <c r="D47" s="17" t="s">
        <v>47</v>
      </c>
      <c r="E47" s="17" t="s">
        <v>155</v>
      </c>
      <c r="F47" s="17" t="s">
        <v>156</v>
      </c>
      <c r="G47" s="17" t="s">
        <v>120</v>
      </c>
      <c r="H47" s="18" t="s">
        <v>17</v>
      </c>
      <c r="I47" s="19">
        <v>175000</v>
      </c>
      <c r="J47" s="18" t="s">
        <v>157</v>
      </c>
      <c r="K47" s="21" t="s">
        <v>122</v>
      </c>
      <c r="O47" s="24"/>
    </row>
    <row r="48" spans="1:15" ht="35.25" customHeight="1" x14ac:dyDescent="0.25">
      <c r="A48" s="14">
        <f>SUBTOTAL(3,$B$3:B48)</f>
        <v>46</v>
      </c>
      <c r="B48" s="15">
        <v>46165</v>
      </c>
      <c r="C48" s="16">
        <v>0.5</v>
      </c>
      <c r="D48" s="17" t="s">
        <v>13</v>
      </c>
      <c r="E48" s="17" t="s">
        <v>109</v>
      </c>
      <c r="F48" s="17" t="s">
        <v>110</v>
      </c>
      <c r="G48" s="17" t="s">
        <v>158</v>
      </c>
      <c r="H48" s="18" t="s">
        <v>159</v>
      </c>
      <c r="I48" s="19">
        <v>10000</v>
      </c>
      <c r="J48" s="18" t="s">
        <v>160</v>
      </c>
      <c r="K48" s="21" t="s">
        <v>161</v>
      </c>
      <c r="O48" s="24"/>
    </row>
    <row r="49" spans="1:15" ht="35.25" customHeight="1" x14ac:dyDescent="0.25">
      <c r="A49" s="14">
        <f>SUBTOTAL(3,$B$3:B49)</f>
        <v>47</v>
      </c>
      <c r="B49" s="15">
        <v>46165</v>
      </c>
      <c r="C49" s="16" t="s">
        <v>162</v>
      </c>
      <c r="D49" s="17" t="s">
        <v>40</v>
      </c>
      <c r="E49" s="17" t="s">
        <v>163</v>
      </c>
      <c r="F49" s="17" t="s">
        <v>164</v>
      </c>
      <c r="G49" s="17" t="s">
        <v>165</v>
      </c>
      <c r="H49" s="18" t="s">
        <v>17</v>
      </c>
      <c r="I49" s="19">
        <v>10000</v>
      </c>
      <c r="J49" s="18" t="s">
        <v>166</v>
      </c>
      <c r="K49" s="21" t="s">
        <v>167</v>
      </c>
      <c r="O49" s="24"/>
    </row>
    <row r="50" spans="1:15" ht="35.25" customHeight="1" x14ac:dyDescent="0.25">
      <c r="A50" s="14">
        <f>SUBTOTAL(3,$B$3:B50)</f>
        <v>48</v>
      </c>
      <c r="B50" s="15">
        <v>46165</v>
      </c>
      <c r="C50" s="16" t="s">
        <v>168</v>
      </c>
      <c r="D50" s="17" t="s">
        <v>22</v>
      </c>
      <c r="E50" s="17" t="s">
        <v>169</v>
      </c>
      <c r="F50" s="17" t="s">
        <v>170</v>
      </c>
      <c r="G50" s="17" t="s">
        <v>50</v>
      </c>
      <c r="H50" s="18" t="s">
        <v>17</v>
      </c>
      <c r="I50" s="19">
        <v>7500</v>
      </c>
      <c r="J50" s="18" t="s">
        <v>171</v>
      </c>
      <c r="K50" s="21" t="s">
        <v>52</v>
      </c>
      <c r="O50" s="24"/>
    </row>
    <row r="51" spans="1:15" ht="35.25" customHeight="1" x14ac:dyDescent="0.25">
      <c r="A51" s="14">
        <f>SUBTOTAL(3,$B$3:B51)</f>
        <v>49</v>
      </c>
      <c r="B51" s="15">
        <v>46165</v>
      </c>
      <c r="C51" s="16" t="s">
        <v>168</v>
      </c>
      <c r="D51" s="17" t="s">
        <v>22</v>
      </c>
      <c r="E51" s="17" t="s">
        <v>169</v>
      </c>
      <c r="F51" s="17" t="s">
        <v>170</v>
      </c>
      <c r="G51" s="17" t="s">
        <v>100</v>
      </c>
      <c r="H51" s="18" t="s">
        <v>17</v>
      </c>
      <c r="I51" s="19">
        <v>7500</v>
      </c>
      <c r="J51" s="18" t="s">
        <v>171</v>
      </c>
      <c r="K51" s="21" t="s">
        <v>102</v>
      </c>
      <c r="O51" s="24"/>
    </row>
    <row r="52" spans="1:15" ht="35.25" customHeight="1" x14ac:dyDescent="0.25">
      <c r="A52" s="14">
        <f>SUBTOTAL(3,$B$3:B52)</f>
        <v>50</v>
      </c>
      <c r="B52" s="15">
        <v>46166</v>
      </c>
      <c r="C52" s="16" t="s">
        <v>172</v>
      </c>
      <c r="D52" s="17" t="s">
        <v>22</v>
      </c>
      <c r="E52" s="17" t="s">
        <v>118</v>
      </c>
      <c r="F52" s="17" t="s">
        <v>119</v>
      </c>
      <c r="G52" s="17" t="s">
        <v>77</v>
      </c>
      <c r="H52" s="18" t="s">
        <v>17</v>
      </c>
      <c r="I52" s="19">
        <v>10000</v>
      </c>
      <c r="J52" s="18" t="s">
        <v>173</v>
      </c>
      <c r="K52" s="21" t="s">
        <v>79</v>
      </c>
      <c r="O52" s="24"/>
    </row>
    <row r="53" spans="1:15" ht="35.25" customHeight="1" x14ac:dyDescent="0.25">
      <c r="A53" s="14">
        <f>SUBTOTAL(3,$B$3:B53)</f>
        <v>51</v>
      </c>
      <c r="B53" s="15">
        <v>46166</v>
      </c>
      <c r="C53" s="16" t="s">
        <v>172</v>
      </c>
      <c r="D53" s="17" t="s">
        <v>13</v>
      </c>
      <c r="E53" s="17" t="s">
        <v>127</v>
      </c>
      <c r="F53" s="17" t="s">
        <v>65</v>
      </c>
      <c r="G53" s="17" t="s">
        <v>77</v>
      </c>
      <c r="H53" s="18" t="s">
        <v>17</v>
      </c>
      <c r="I53" s="19">
        <v>30000</v>
      </c>
      <c r="J53" s="18" t="s">
        <v>174</v>
      </c>
      <c r="K53" s="21" t="s">
        <v>79</v>
      </c>
      <c r="O53" s="24"/>
    </row>
    <row r="54" spans="1:15" ht="35.25" customHeight="1" x14ac:dyDescent="0.25">
      <c r="A54" s="14">
        <f>SUBTOTAL(3,$B$3:B54)</f>
        <v>52</v>
      </c>
      <c r="B54" s="15">
        <v>46166</v>
      </c>
      <c r="C54" s="16" t="s">
        <v>175</v>
      </c>
      <c r="D54" s="17" t="s">
        <v>123</v>
      </c>
      <c r="E54" s="17" t="s">
        <v>81</v>
      </c>
      <c r="F54" s="17" t="s">
        <v>82</v>
      </c>
      <c r="G54" s="17" t="s">
        <v>16</v>
      </c>
      <c r="H54" s="18" t="s">
        <v>17</v>
      </c>
      <c r="I54" s="36">
        <v>15000</v>
      </c>
      <c r="J54" s="18" t="s">
        <v>176</v>
      </c>
      <c r="K54" s="21" t="s">
        <v>19</v>
      </c>
      <c r="O54" s="24"/>
    </row>
    <row r="55" spans="1:15" ht="35.25" customHeight="1" x14ac:dyDescent="0.25">
      <c r="A55" s="14">
        <f>SUBTOTAL(3,$B$3:B55)</f>
        <v>53</v>
      </c>
      <c r="B55" s="15">
        <v>46166</v>
      </c>
      <c r="C55" s="16" t="s">
        <v>59</v>
      </c>
      <c r="D55" s="17" t="s">
        <v>22</v>
      </c>
      <c r="E55" s="17" t="s">
        <v>41</v>
      </c>
      <c r="F55" s="17" t="s">
        <v>132</v>
      </c>
      <c r="G55" s="17" t="s">
        <v>56</v>
      </c>
      <c r="H55" s="18" t="s">
        <v>17</v>
      </c>
      <c r="I55" s="36">
        <v>30000</v>
      </c>
      <c r="J55" s="18" t="s">
        <v>177</v>
      </c>
      <c r="K55" s="21" t="s">
        <v>58</v>
      </c>
      <c r="O55" s="24"/>
    </row>
    <row r="56" spans="1:15" ht="35.25" customHeight="1" x14ac:dyDescent="0.25">
      <c r="A56" s="14">
        <f>SUBTOTAL(3,$B$3:B56)</f>
        <v>54</v>
      </c>
      <c r="B56" s="15">
        <v>46167</v>
      </c>
      <c r="C56" s="16" t="s">
        <v>28</v>
      </c>
      <c r="D56" s="17" t="s">
        <v>22</v>
      </c>
      <c r="E56" s="17" t="s">
        <v>60</v>
      </c>
      <c r="F56" s="17" t="s">
        <v>61</v>
      </c>
      <c r="G56" s="17" t="s">
        <v>66</v>
      </c>
      <c r="H56" s="18" t="s">
        <v>17</v>
      </c>
      <c r="I56" s="36">
        <v>30000</v>
      </c>
      <c r="J56" s="18" t="s">
        <v>178</v>
      </c>
      <c r="K56" s="21" t="s">
        <v>68</v>
      </c>
      <c r="O56" s="24"/>
    </row>
    <row r="57" spans="1:15" ht="35.25" customHeight="1" x14ac:dyDescent="0.25">
      <c r="A57" s="14">
        <f>SUBTOTAL(3,$B$3:B57)</f>
        <v>55</v>
      </c>
      <c r="B57" s="15">
        <v>46167</v>
      </c>
      <c r="C57" s="16" t="s">
        <v>88</v>
      </c>
      <c r="D57" s="17" t="s">
        <v>13</v>
      </c>
      <c r="E57" s="17" t="s">
        <v>169</v>
      </c>
      <c r="F57" s="17" t="s">
        <v>170</v>
      </c>
      <c r="G57" s="17" t="s">
        <v>66</v>
      </c>
      <c r="H57" s="18" t="s">
        <v>17</v>
      </c>
      <c r="I57" s="36">
        <v>10000</v>
      </c>
      <c r="J57" s="18" t="s">
        <v>179</v>
      </c>
      <c r="K57" s="21" t="s">
        <v>68</v>
      </c>
      <c r="O57" s="24"/>
    </row>
    <row r="58" spans="1:15" ht="35.25" customHeight="1" x14ac:dyDescent="0.25">
      <c r="A58" s="14">
        <f>SUBTOTAL(3,$B$3:B58)</f>
        <v>56</v>
      </c>
      <c r="B58" s="15">
        <v>46168</v>
      </c>
      <c r="C58" s="16" t="s">
        <v>28</v>
      </c>
      <c r="D58" s="17" t="s">
        <v>47</v>
      </c>
      <c r="E58" s="17" t="s">
        <v>60</v>
      </c>
      <c r="F58" s="17" t="s">
        <v>61</v>
      </c>
      <c r="G58" s="17" t="s">
        <v>180</v>
      </c>
      <c r="H58" s="18" t="s">
        <v>17</v>
      </c>
      <c r="I58" s="36">
        <v>20000</v>
      </c>
      <c r="J58" s="18" t="s">
        <v>181</v>
      </c>
      <c r="K58" s="21" t="s">
        <v>182</v>
      </c>
      <c r="O58" s="24"/>
    </row>
    <row r="59" spans="1:15" ht="35.25" customHeight="1" x14ac:dyDescent="0.25">
      <c r="A59" s="14">
        <f>SUBTOTAL(3,$B$3:B59)</f>
        <v>57</v>
      </c>
      <c r="B59" s="15">
        <v>46168</v>
      </c>
      <c r="C59" s="16" t="s">
        <v>12</v>
      </c>
      <c r="D59" s="17" t="s">
        <v>123</v>
      </c>
      <c r="E59" s="17" t="s">
        <v>29</v>
      </c>
      <c r="F59" s="17" t="s">
        <v>30</v>
      </c>
      <c r="G59" s="17" t="s">
        <v>36</v>
      </c>
      <c r="H59" s="18" t="s">
        <v>17</v>
      </c>
      <c r="I59" s="36">
        <v>20000</v>
      </c>
      <c r="J59" s="18" t="s">
        <v>183</v>
      </c>
      <c r="K59" s="21" t="s">
        <v>38</v>
      </c>
      <c r="O59" s="24"/>
    </row>
    <row r="60" spans="1:15" ht="35.25" customHeight="1" x14ac:dyDescent="0.25">
      <c r="A60" s="14">
        <f>SUBTOTAL(3,$B$3:B60)</f>
        <v>58</v>
      </c>
      <c r="B60" s="15">
        <v>46168</v>
      </c>
      <c r="C60" s="16" t="s">
        <v>46</v>
      </c>
      <c r="D60" s="17" t="s">
        <v>22</v>
      </c>
      <c r="E60" s="17" t="s">
        <v>184</v>
      </c>
      <c r="F60" s="17" t="s">
        <v>185</v>
      </c>
      <c r="G60" s="17" t="s">
        <v>73</v>
      </c>
      <c r="H60" s="18" t="s">
        <v>17</v>
      </c>
      <c r="I60" s="36">
        <v>20000</v>
      </c>
      <c r="J60" s="18" t="s">
        <v>186</v>
      </c>
      <c r="K60" s="21" t="s">
        <v>75</v>
      </c>
      <c r="O60" s="24"/>
    </row>
    <row r="61" spans="1:15" ht="35.25" customHeight="1" x14ac:dyDescent="0.25">
      <c r="A61" s="14">
        <f>SUBTOTAL(3,$B$3:B61)</f>
        <v>59</v>
      </c>
      <c r="B61" s="15">
        <v>46168</v>
      </c>
      <c r="C61" s="16" t="s">
        <v>46</v>
      </c>
      <c r="D61" s="17" t="s">
        <v>22</v>
      </c>
      <c r="E61" s="17" t="s">
        <v>184</v>
      </c>
      <c r="F61" s="17" t="s">
        <v>185</v>
      </c>
      <c r="G61" s="17" t="s">
        <v>187</v>
      </c>
      <c r="H61" s="18" t="s">
        <v>17</v>
      </c>
      <c r="I61" s="36">
        <v>20000</v>
      </c>
      <c r="J61" s="18" t="s">
        <v>186</v>
      </c>
      <c r="K61" s="21" t="s">
        <v>188</v>
      </c>
      <c r="O61" s="24"/>
    </row>
    <row r="62" spans="1:15" ht="35.25" customHeight="1" x14ac:dyDescent="0.25">
      <c r="A62" s="14">
        <f>SUBTOTAL(3,$B$3:B62)</f>
        <v>60</v>
      </c>
      <c r="B62" s="15">
        <v>46171</v>
      </c>
      <c r="C62" s="16" t="s">
        <v>12</v>
      </c>
      <c r="D62" s="17" t="s">
        <v>22</v>
      </c>
      <c r="E62" s="17" t="s">
        <v>189</v>
      </c>
      <c r="F62" s="17" t="s">
        <v>164</v>
      </c>
      <c r="G62" s="17" t="s">
        <v>120</v>
      </c>
      <c r="H62" s="18" t="s">
        <v>17</v>
      </c>
      <c r="I62" s="36">
        <v>10000</v>
      </c>
      <c r="J62" s="18" t="s">
        <v>190</v>
      </c>
      <c r="K62" s="21" t="s">
        <v>122</v>
      </c>
      <c r="O62" s="24"/>
    </row>
    <row r="63" spans="1:15" ht="35.25" customHeight="1" x14ac:dyDescent="0.25">
      <c r="A63" s="14">
        <f>SUBTOTAL(3,$B$3:B63)</f>
        <v>61</v>
      </c>
      <c r="B63" s="15">
        <v>46171</v>
      </c>
      <c r="C63" s="16" t="s">
        <v>12</v>
      </c>
      <c r="D63" s="17" t="s">
        <v>22</v>
      </c>
      <c r="E63" s="17" t="s">
        <v>189</v>
      </c>
      <c r="F63" s="17" t="s">
        <v>164</v>
      </c>
      <c r="G63" s="17" t="s">
        <v>85</v>
      </c>
      <c r="H63" s="18" t="s">
        <v>17</v>
      </c>
      <c r="I63" s="36">
        <v>10000</v>
      </c>
      <c r="J63" s="18" t="s">
        <v>190</v>
      </c>
      <c r="K63" s="21" t="s">
        <v>87</v>
      </c>
      <c r="O63" s="24"/>
    </row>
    <row r="64" spans="1:15" ht="35.25" customHeight="1" x14ac:dyDescent="0.25">
      <c r="A64" s="14">
        <f>SUBTOTAL(3,$B$3:B64)</f>
        <v>62</v>
      </c>
      <c r="B64" s="15">
        <v>46171</v>
      </c>
      <c r="C64" s="16" t="s">
        <v>191</v>
      </c>
      <c r="D64" s="17" t="s">
        <v>123</v>
      </c>
      <c r="E64" s="17" t="s">
        <v>54</v>
      </c>
      <c r="F64" s="17" t="s">
        <v>55</v>
      </c>
      <c r="G64" s="17" t="s">
        <v>124</v>
      </c>
      <c r="H64" s="18" t="s">
        <v>17</v>
      </c>
      <c r="I64" s="36">
        <v>25000</v>
      </c>
      <c r="J64" s="18" t="s">
        <v>192</v>
      </c>
      <c r="K64" s="21" t="s">
        <v>126</v>
      </c>
      <c r="O64" s="24"/>
    </row>
    <row r="65" spans="1:15" ht="35.25" customHeight="1" x14ac:dyDescent="0.25">
      <c r="A65" s="14">
        <f>SUBTOTAL(3,$B$3:B65)</f>
        <v>63</v>
      </c>
      <c r="B65" s="15">
        <v>46171</v>
      </c>
      <c r="C65" s="16" t="s">
        <v>12</v>
      </c>
      <c r="D65" s="17" t="s">
        <v>40</v>
      </c>
      <c r="E65" s="17" t="s">
        <v>193</v>
      </c>
      <c r="F65" s="17" t="s">
        <v>194</v>
      </c>
      <c r="G65" s="17" t="s">
        <v>195</v>
      </c>
      <c r="H65" s="18" t="s">
        <v>17</v>
      </c>
      <c r="I65" s="36">
        <v>5000</v>
      </c>
      <c r="J65" s="18" t="s">
        <v>196</v>
      </c>
      <c r="K65" s="21" t="s">
        <v>197</v>
      </c>
      <c r="O65" s="24"/>
    </row>
    <row r="66" spans="1:15" ht="35.25" customHeight="1" x14ac:dyDescent="0.25">
      <c r="A66" s="14">
        <f>SUBTOTAL(3,$B$3:B66)</f>
        <v>64</v>
      </c>
      <c r="B66" s="15">
        <v>46171</v>
      </c>
      <c r="C66" s="16" t="s">
        <v>28</v>
      </c>
      <c r="D66" s="17" t="s">
        <v>80</v>
      </c>
      <c r="E66" s="17" t="s">
        <v>198</v>
      </c>
      <c r="F66" s="17" t="s">
        <v>199</v>
      </c>
      <c r="G66" s="17" t="s">
        <v>56</v>
      </c>
      <c r="H66" s="18" t="s">
        <v>17</v>
      </c>
      <c r="I66" s="36">
        <v>20000</v>
      </c>
      <c r="J66" s="18" t="s">
        <v>200</v>
      </c>
      <c r="K66" s="21" t="s">
        <v>58</v>
      </c>
      <c r="O66" s="24"/>
    </row>
    <row r="67" spans="1:15" ht="35.25" customHeight="1" x14ac:dyDescent="0.25">
      <c r="A67" s="14">
        <f>SUBTOTAL(3,$B$3:B67)</f>
        <v>65</v>
      </c>
      <c r="B67" s="15">
        <v>46171</v>
      </c>
      <c r="C67" s="16">
        <v>0.375</v>
      </c>
      <c r="D67" s="17" t="s">
        <v>123</v>
      </c>
      <c r="E67" s="17" t="s">
        <v>71</v>
      </c>
      <c r="F67" s="17" t="s">
        <v>72</v>
      </c>
      <c r="G67" s="17" t="s">
        <v>201</v>
      </c>
      <c r="H67" s="18" t="s">
        <v>202</v>
      </c>
      <c r="I67" s="36">
        <v>175000</v>
      </c>
      <c r="J67" s="18" t="s">
        <v>203</v>
      </c>
      <c r="K67" s="21" t="s">
        <v>204</v>
      </c>
      <c r="O67" s="24"/>
    </row>
    <row r="68" spans="1:15" ht="35.25" customHeight="1" x14ac:dyDescent="0.25">
      <c r="A68" s="14">
        <f>SUBTOTAL(3,$B$3:B68)</f>
        <v>66</v>
      </c>
      <c r="B68" s="15">
        <v>46172</v>
      </c>
      <c r="C68" s="16" t="s">
        <v>12</v>
      </c>
      <c r="D68" s="17" t="s">
        <v>22</v>
      </c>
      <c r="E68" s="17" t="s">
        <v>113</v>
      </c>
      <c r="F68" s="17" t="s">
        <v>114</v>
      </c>
      <c r="G68" s="17" t="s">
        <v>77</v>
      </c>
      <c r="H68" s="18" t="s">
        <v>17</v>
      </c>
      <c r="I68" s="36">
        <v>5000</v>
      </c>
      <c r="J68" s="18" t="s">
        <v>205</v>
      </c>
      <c r="K68" s="21" t="s">
        <v>79</v>
      </c>
      <c r="O68" s="24"/>
    </row>
    <row r="69" spans="1:15" ht="35.25" customHeight="1" x14ac:dyDescent="0.25">
      <c r="A69" s="14">
        <f>SUBTOTAL(3,$B$3:B69)</f>
        <v>67</v>
      </c>
      <c r="B69" s="15">
        <v>46172</v>
      </c>
      <c r="C69" s="16" t="s">
        <v>59</v>
      </c>
      <c r="D69" s="17" t="s">
        <v>22</v>
      </c>
      <c r="E69" s="17" t="s">
        <v>64</v>
      </c>
      <c r="F69" s="17" t="s">
        <v>65</v>
      </c>
      <c r="G69" s="17" t="s">
        <v>77</v>
      </c>
      <c r="H69" s="18" t="s">
        <v>17</v>
      </c>
      <c r="I69" s="36">
        <v>20000</v>
      </c>
      <c r="J69" s="18" t="s">
        <v>206</v>
      </c>
      <c r="K69" s="21" t="s">
        <v>79</v>
      </c>
      <c r="O69" s="24"/>
    </row>
    <row r="70" spans="1:15" ht="35.25" customHeight="1" x14ac:dyDescent="0.25">
      <c r="A70" s="14">
        <f>SUBTOTAL(3,$B$3:B70)</f>
        <v>68</v>
      </c>
      <c r="B70" s="15">
        <v>46172</v>
      </c>
      <c r="C70" s="16" t="s">
        <v>84</v>
      </c>
      <c r="D70" s="17" t="s">
        <v>80</v>
      </c>
      <c r="E70" s="17" t="s">
        <v>207</v>
      </c>
      <c r="F70" s="17" t="s">
        <v>208</v>
      </c>
      <c r="G70" s="17" t="s">
        <v>209</v>
      </c>
      <c r="H70" s="18" t="s">
        <v>17</v>
      </c>
      <c r="I70" s="36">
        <v>40000</v>
      </c>
      <c r="J70" s="18" t="s">
        <v>210</v>
      </c>
      <c r="K70" s="21" t="s">
        <v>211</v>
      </c>
      <c r="O70" s="24"/>
    </row>
    <row r="71" spans="1:15" ht="35.25" customHeight="1" x14ac:dyDescent="0.25">
      <c r="A71" s="14">
        <f>SUBTOTAL(3,$B$3:B71)</f>
        <v>69</v>
      </c>
      <c r="B71" s="15">
        <v>46172</v>
      </c>
      <c r="C71" s="16" t="s">
        <v>175</v>
      </c>
      <c r="D71" s="17" t="s">
        <v>47</v>
      </c>
      <c r="E71" s="17" t="s">
        <v>54</v>
      </c>
      <c r="F71" s="17" t="s">
        <v>55</v>
      </c>
      <c r="G71" s="17" t="s">
        <v>16</v>
      </c>
      <c r="H71" s="18" t="s">
        <v>17</v>
      </c>
      <c r="I71" s="36">
        <v>175000</v>
      </c>
      <c r="J71" s="18" t="s">
        <v>212</v>
      </c>
      <c r="K71" s="21" t="s">
        <v>19</v>
      </c>
      <c r="O71" s="24"/>
    </row>
    <row r="72" spans="1:15" ht="35.25" customHeight="1" x14ac:dyDescent="0.25">
      <c r="A72" s="14">
        <f>SUBTOTAL(3,$B$3:B72)</f>
        <v>70</v>
      </c>
      <c r="B72" s="15">
        <v>46173</v>
      </c>
      <c r="C72" s="16">
        <v>0.79166666666666663</v>
      </c>
      <c r="D72" s="17" t="s">
        <v>123</v>
      </c>
      <c r="E72" s="17" t="s">
        <v>213</v>
      </c>
      <c r="F72" s="17" t="s">
        <v>214</v>
      </c>
      <c r="G72" s="17" t="s">
        <v>149</v>
      </c>
      <c r="H72" s="18" t="s">
        <v>17</v>
      </c>
      <c r="I72" s="36">
        <v>30000</v>
      </c>
      <c r="J72" s="18" t="s">
        <v>215</v>
      </c>
      <c r="K72" s="21" t="s">
        <v>151</v>
      </c>
      <c r="O72" s="24"/>
    </row>
    <row r="73" spans="1:15" ht="35.25" customHeight="1" x14ac:dyDescent="0.25">
      <c r="A73" s="14">
        <f>SUBTOTAL(3,$B$3:B73)</f>
        <v>71</v>
      </c>
      <c r="B73" s="15">
        <v>46173</v>
      </c>
      <c r="C73" s="16" t="s">
        <v>12</v>
      </c>
      <c r="D73" s="17" t="s">
        <v>13</v>
      </c>
      <c r="E73" s="17" t="s">
        <v>23</v>
      </c>
      <c r="F73" s="17" t="s">
        <v>24</v>
      </c>
      <c r="G73" s="17" t="s">
        <v>77</v>
      </c>
      <c r="H73" s="18" t="s">
        <v>17</v>
      </c>
      <c r="I73" s="36">
        <v>5000</v>
      </c>
      <c r="J73" s="18" t="s">
        <v>205</v>
      </c>
      <c r="K73" s="21" t="s">
        <v>79</v>
      </c>
      <c r="O73" s="24"/>
    </row>
    <row r="74" spans="1:15" ht="35.25" customHeight="1" x14ac:dyDescent="0.25">
      <c r="A74" s="14">
        <f>SUBTOTAL(3,$B$3:B74)</f>
        <v>72</v>
      </c>
      <c r="B74" s="15">
        <v>46150</v>
      </c>
      <c r="C74" s="16" t="s">
        <v>216</v>
      </c>
      <c r="D74" s="17" t="s">
        <v>217</v>
      </c>
      <c r="E74" s="17" t="s">
        <v>218</v>
      </c>
      <c r="F74" s="17" t="s">
        <v>219</v>
      </c>
      <c r="G74" s="17" t="s">
        <v>43</v>
      </c>
      <c r="H74" s="18" t="s">
        <v>220</v>
      </c>
      <c r="I74" s="36">
        <v>30000</v>
      </c>
      <c r="J74" s="18" t="s">
        <v>221</v>
      </c>
      <c r="K74" s="21" t="s">
        <v>45</v>
      </c>
      <c r="O74" s="24"/>
    </row>
    <row r="75" spans="1:15" ht="35.25" customHeight="1" x14ac:dyDescent="0.25">
      <c r="A75" s="14">
        <f>SUBTOTAL(3,$B$3:B75)</f>
        <v>73</v>
      </c>
      <c r="B75" s="15">
        <v>46150</v>
      </c>
      <c r="C75" s="16" t="s">
        <v>222</v>
      </c>
      <c r="D75" s="17" t="s">
        <v>217</v>
      </c>
      <c r="E75" s="17" t="s">
        <v>223</v>
      </c>
      <c r="F75" s="17" t="s">
        <v>224</v>
      </c>
      <c r="G75" s="17" t="s">
        <v>85</v>
      </c>
      <c r="H75" s="18" t="s">
        <v>220</v>
      </c>
      <c r="I75" s="36">
        <v>30000</v>
      </c>
      <c r="J75" s="18" t="s">
        <v>225</v>
      </c>
      <c r="K75" s="21" t="s">
        <v>87</v>
      </c>
      <c r="O75" s="24"/>
    </row>
    <row r="76" spans="1:15" ht="35.25" customHeight="1" x14ac:dyDescent="0.25">
      <c r="A76" s="14">
        <f>SUBTOTAL(3,$B$3:B76)</f>
        <v>74</v>
      </c>
      <c r="B76" s="15">
        <v>46156</v>
      </c>
      <c r="C76" s="16" t="s">
        <v>168</v>
      </c>
      <c r="D76" s="17" t="s">
        <v>226</v>
      </c>
      <c r="E76" s="17" t="s">
        <v>227</v>
      </c>
      <c r="F76" s="17" t="s">
        <v>228</v>
      </c>
      <c r="G76" s="17" t="s">
        <v>229</v>
      </c>
      <c r="H76" s="18" t="s">
        <v>230</v>
      </c>
      <c r="I76" s="36">
        <v>30000</v>
      </c>
      <c r="J76" s="18" t="s">
        <v>231</v>
      </c>
      <c r="K76" s="21" t="s">
        <v>232</v>
      </c>
      <c r="O76" s="24"/>
    </row>
    <row r="77" spans="1:15" ht="35.25" customHeight="1" x14ac:dyDescent="0.25">
      <c r="A77" s="14">
        <f>SUBTOTAL(3,$B$3:B77)</f>
        <v>75</v>
      </c>
      <c r="B77" s="15">
        <v>46159</v>
      </c>
      <c r="C77" s="16" t="s">
        <v>233</v>
      </c>
      <c r="D77" s="17" t="s">
        <v>234</v>
      </c>
      <c r="E77" s="17" t="s">
        <v>235</v>
      </c>
      <c r="F77" s="17" t="s">
        <v>236</v>
      </c>
      <c r="G77" s="17" t="s">
        <v>120</v>
      </c>
      <c r="H77" s="18" t="s">
        <v>220</v>
      </c>
      <c r="I77" s="36">
        <v>30000</v>
      </c>
      <c r="J77" s="18" t="s">
        <v>237</v>
      </c>
      <c r="K77" s="21" t="s">
        <v>122</v>
      </c>
      <c r="O77" s="24"/>
    </row>
    <row r="78" spans="1:15" ht="35.25" customHeight="1" x14ac:dyDescent="0.25">
      <c r="A78" s="14">
        <f>SUBTOTAL(3,$B$3:B78)</f>
        <v>76</v>
      </c>
      <c r="B78" s="15">
        <v>46166</v>
      </c>
      <c r="C78" s="16" t="s">
        <v>76</v>
      </c>
      <c r="D78" s="17" t="s">
        <v>238</v>
      </c>
      <c r="E78" s="17" t="s">
        <v>223</v>
      </c>
      <c r="F78" s="17" t="s">
        <v>224</v>
      </c>
      <c r="G78" s="17" t="s">
        <v>25</v>
      </c>
      <c r="H78" s="18" t="s">
        <v>220</v>
      </c>
      <c r="I78" s="36">
        <v>15000</v>
      </c>
      <c r="J78" s="18" t="s">
        <v>239</v>
      </c>
      <c r="K78" s="21" t="s">
        <v>27</v>
      </c>
      <c r="O78" s="24"/>
    </row>
    <row r="79" spans="1:15" ht="35.25" customHeight="1" x14ac:dyDescent="0.25">
      <c r="A79" s="14">
        <f>SUBTOTAL(3,$B$3:B79)</f>
        <v>77</v>
      </c>
      <c r="B79" s="15">
        <v>46166</v>
      </c>
      <c r="C79" s="16" t="s">
        <v>76</v>
      </c>
      <c r="D79" s="17" t="s">
        <v>238</v>
      </c>
      <c r="E79" s="17" t="s">
        <v>223</v>
      </c>
      <c r="F79" s="17" t="s">
        <v>224</v>
      </c>
      <c r="G79" s="17" t="s">
        <v>81</v>
      </c>
      <c r="H79" s="18" t="s">
        <v>240</v>
      </c>
      <c r="I79" s="36">
        <v>15000</v>
      </c>
      <c r="J79" s="18" t="s">
        <v>239</v>
      </c>
      <c r="K79" s="21" t="s">
        <v>241</v>
      </c>
      <c r="O79" s="24"/>
    </row>
    <row r="80" spans="1:15" ht="35.25" customHeight="1" x14ac:dyDescent="0.25">
      <c r="A80" s="14">
        <f>SUBTOTAL(3,$B$3:B80)</f>
        <v>78</v>
      </c>
      <c r="B80" s="15">
        <v>46166</v>
      </c>
      <c r="C80" s="16" t="s">
        <v>172</v>
      </c>
      <c r="D80" s="17" t="s">
        <v>226</v>
      </c>
      <c r="E80" s="17" t="s">
        <v>242</v>
      </c>
      <c r="F80" s="17" t="s">
        <v>243</v>
      </c>
      <c r="G80" s="17" t="s">
        <v>244</v>
      </c>
      <c r="H80" s="18" t="s">
        <v>220</v>
      </c>
      <c r="I80" s="36">
        <v>200000</v>
      </c>
      <c r="J80" s="18" t="s">
        <v>245</v>
      </c>
      <c r="K80" s="21" t="s">
        <v>246</v>
      </c>
      <c r="O80" s="24"/>
    </row>
    <row r="81" spans="1:15" ht="35.25" customHeight="1" x14ac:dyDescent="0.25">
      <c r="A81" s="14">
        <f>SUBTOTAL(3,$B$3:B81)</f>
        <v>79</v>
      </c>
      <c r="B81" s="15">
        <v>46171</v>
      </c>
      <c r="C81" s="16">
        <v>0.80555555555555558</v>
      </c>
      <c r="D81" s="17" t="s">
        <v>226</v>
      </c>
      <c r="E81" s="17" t="s">
        <v>247</v>
      </c>
      <c r="F81" s="17" t="s">
        <v>248</v>
      </c>
      <c r="G81" s="17" t="s">
        <v>124</v>
      </c>
      <c r="H81" s="18" t="s">
        <v>220</v>
      </c>
      <c r="I81" s="36">
        <v>30000</v>
      </c>
      <c r="J81" s="18" t="s">
        <v>249</v>
      </c>
      <c r="K81" s="21" t="s">
        <v>126</v>
      </c>
      <c r="O81" s="24"/>
    </row>
    <row r="82" spans="1:15" ht="35.25" customHeight="1" x14ac:dyDescent="0.25">
      <c r="A82" s="14">
        <f>SUBTOTAL(3,$B$3:B82)</f>
        <v>80</v>
      </c>
      <c r="B82" s="15">
        <v>46151</v>
      </c>
      <c r="C82" s="16">
        <v>0.5</v>
      </c>
      <c r="D82" s="17" t="s">
        <v>250</v>
      </c>
      <c r="E82" s="17" t="s">
        <v>251</v>
      </c>
      <c r="F82" s="17" t="s">
        <v>252</v>
      </c>
      <c r="G82" s="17" t="s">
        <v>253</v>
      </c>
      <c r="H82" s="18" t="s">
        <v>220</v>
      </c>
      <c r="I82" s="36">
        <v>5000</v>
      </c>
      <c r="J82" s="18" t="s">
        <v>254</v>
      </c>
      <c r="K82" s="21" t="s">
        <v>255</v>
      </c>
      <c r="O82" s="24"/>
    </row>
    <row r="83" spans="1:15" ht="35.25" customHeight="1" x14ac:dyDescent="0.25">
      <c r="A83" s="14">
        <f>SUBTOTAL(3,$B$3:B83)</f>
        <v>81</v>
      </c>
      <c r="B83" s="15">
        <v>46151</v>
      </c>
      <c r="C83" s="16">
        <v>0.29166666666666669</v>
      </c>
      <c r="D83" s="17" t="s">
        <v>250</v>
      </c>
      <c r="E83" s="17" t="s">
        <v>256</v>
      </c>
      <c r="F83" s="17" t="s">
        <v>257</v>
      </c>
      <c r="G83" s="17" t="s">
        <v>258</v>
      </c>
      <c r="H83" s="18" t="s">
        <v>220</v>
      </c>
      <c r="I83" s="36">
        <v>5000</v>
      </c>
      <c r="J83" s="18" t="s">
        <v>259</v>
      </c>
      <c r="K83" s="21" t="s">
        <v>260</v>
      </c>
      <c r="O83" s="24"/>
    </row>
    <row r="84" spans="1:15" ht="35.25" customHeight="1" x14ac:dyDescent="0.25">
      <c r="A84" s="14">
        <f>SUBTOTAL(3,$B$3:B84)</f>
        <v>82</v>
      </c>
      <c r="B84" s="25">
        <v>46151</v>
      </c>
      <c r="C84" s="33">
        <v>0.29166666666666669</v>
      </c>
      <c r="D84" s="32" t="s">
        <v>250</v>
      </c>
      <c r="E84" s="32" t="s">
        <v>256</v>
      </c>
      <c r="F84" s="32" t="s">
        <v>257</v>
      </c>
      <c r="G84" s="32" t="s">
        <v>261</v>
      </c>
      <c r="H84" s="28" t="s">
        <v>220</v>
      </c>
      <c r="I84" s="37">
        <v>5000</v>
      </c>
      <c r="J84" s="28" t="s">
        <v>259</v>
      </c>
      <c r="K84" s="21" t="s">
        <v>262</v>
      </c>
      <c r="O84" s="24"/>
    </row>
    <row r="85" spans="1:15" ht="35.25" customHeight="1" x14ac:dyDescent="0.25">
      <c r="A85" s="14">
        <f>SUBTOTAL(3,$B$3:B85)</f>
        <v>83</v>
      </c>
      <c r="B85" s="15">
        <v>46152</v>
      </c>
      <c r="C85" s="16">
        <v>0.5</v>
      </c>
      <c r="D85" s="17" t="s">
        <v>263</v>
      </c>
      <c r="E85" s="17" t="s">
        <v>251</v>
      </c>
      <c r="F85" s="17" t="s">
        <v>252</v>
      </c>
      <c r="G85" s="17" t="s">
        <v>258</v>
      </c>
      <c r="H85" s="18" t="s">
        <v>220</v>
      </c>
      <c r="I85" s="36">
        <v>30000</v>
      </c>
      <c r="J85" s="18" t="s">
        <v>264</v>
      </c>
      <c r="K85" s="21" t="s">
        <v>260</v>
      </c>
      <c r="O85" s="24"/>
    </row>
    <row r="86" spans="1:15" ht="35.25" customHeight="1" x14ac:dyDescent="0.25">
      <c r="A86" s="14">
        <f>SUBTOTAL(3,$B$3:B86)</f>
        <v>84</v>
      </c>
      <c r="B86" s="15">
        <v>46159</v>
      </c>
      <c r="C86" s="16">
        <v>0.66666666666666663</v>
      </c>
      <c r="D86" s="17" t="s">
        <v>263</v>
      </c>
      <c r="E86" s="17" t="s">
        <v>265</v>
      </c>
      <c r="F86" s="17" t="s">
        <v>266</v>
      </c>
      <c r="G86" s="17" t="s">
        <v>267</v>
      </c>
      <c r="H86" s="18" t="s">
        <v>220</v>
      </c>
      <c r="I86" s="36">
        <v>30000</v>
      </c>
      <c r="J86" s="18" t="s">
        <v>268</v>
      </c>
      <c r="K86" s="21" t="s">
        <v>269</v>
      </c>
      <c r="O86" s="24"/>
    </row>
    <row r="87" spans="1:15" ht="35.25" customHeight="1" x14ac:dyDescent="0.25">
      <c r="A87" s="14">
        <f>SUBTOTAL(3,$B$3:B87)</f>
        <v>85</v>
      </c>
      <c r="B87" s="15">
        <v>46159</v>
      </c>
      <c r="C87" s="16">
        <v>0.20833333333333334</v>
      </c>
      <c r="D87" s="17" t="s">
        <v>270</v>
      </c>
      <c r="E87" s="17" t="s">
        <v>271</v>
      </c>
      <c r="F87" s="17" t="s">
        <v>272</v>
      </c>
      <c r="G87" s="17" t="s">
        <v>273</v>
      </c>
      <c r="H87" s="18" t="s">
        <v>220</v>
      </c>
      <c r="I87" s="36">
        <v>30000</v>
      </c>
      <c r="J87" s="18" t="s">
        <v>274</v>
      </c>
      <c r="K87" s="21" t="s">
        <v>275</v>
      </c>
      <c r="O87" s="24"/>
    </row>
    <row r="88" spans="1:15" ht="35.25" customHeight="1" x14ac:dyDescent="0.25">
      <c r="A88" s="14">
        <f>SUBTOTAL(3,$B$3:B88)</f>
        <v>86</v>
      </c>
      <c r="B88" s="15">
        <v>46160</v>
      </c>
      <c r="C88" s="16">
        <v>0.625</v>
      </c>
      <c r="D88" s="17" t="s">
        <v>263</v>
      </c>
      <c r="E88" s="17" t="s">
        <v>265</v>
      </c>
      <c r="F88" s="17" t="s">
        <v>266</v>
      </c>
      <c r="G88" s="17" t="s">
        <v>276</v>
      </c>
      <c r="H88" s="18" t="s">
        <v>220</v>
      </c>
      <c r="I88" s="36">
        <v>10000</v>
      </c>
      <c r="J88" s="18" t="s">
        <v>277</v>
      </c>
      <c r="K88" s="21" t="s">
        <v>278</v>
      </c>
      <c r="O88" s="24"/>
    </row>
    <row r="89" spans="1:15" ht="35.25" customHeight="1" x14ac:dyDescent="0.25">
      <c r="A89" s="14">
        <f>SUBTOTAL(3,$B$3:B89)</f>
        <v>87</v>
      </c>
      <c r="B89" s="15">
        <v>46160</v>
      </c>
      <c r="C89" s="16">
        <v>0.625</v>
      </c>
      <c r="D89" s="17" t="s">
        <v>263</v>
      </c>
      <c r="E89" s="17" t="s">
        <v>265</v>
      </c>
      <c r="F89" s="17" t="s">
        <v>266</v>
      </c>
      <c r="G89" s="17" t="s">
        <v>276</v>
      </c>
      <c r="H89" s="18" t="s">
        <v>220</v>
      </c>
      <c r="I89" s="36">
        <v>10000</v>
      </c>
      <c r="J89" s="18" t="s">
        <v>277</v>
      </c>
      <c r="K89" s="21" t="s">
        <v>278</v>
      </c>
      <c r="O89" s="24"/>
    </row>
    <row r="90" spans="1:15" ht="35.25" customHeight="1" x14ac:dyDescent="0.25">
      <c r="A90" s="14">
        <f>SUBTOTAL(3,$B$3:B90)</f>
        <v>88</v>
      </c>
      <c r="B90" s="15">
        <v>46161</v>
      </c>
      <c r="C90" s="16">
        <v>0.25</v>
      </c>
      <c r="D90" s="17" t="s">
        <v>250</v>
      </c>
      <c r="E90" s="17" t="s">
        <v>279</v>
      </c>
      <c r="F90" s="17" t="s">
        <v>280</v>
      </c>
      <c r="G90" s="17" t="s">
        <v>273</v>
      </c>
      <c r="H90" s="18" t="s">
        <v>220</v>
      </c>
      <c r="I90" s="36">
        <v>30000</v>
      </c>
      <c r="J90" s="18" t="s">
        <v>281</v>
      </c>
      <c r="K90" s="21" t="s">
        <v>275</v>
      </c>
      <c r="O90" s="24"/>
    </row>
    <row r="91" spans="1:15" ht="35.25" customHeight="1" x14ac:dyDescent="0.25">
      <c r="A91" s="14">
        <f>SUBTOTAL(3,$B$3:B91)</f>
        <v>89</v>
      </c>
      <c r="B91" s="15">
        <v>46162</v>
      </c>
      <c r="C91" s="16">
        <v>0.25</v>
      </c>
      <c r="D91" s="17" t="s">
        <v>263</v>
      </c>
      <c r="E91" s="17" t="s">
        <v>282</v>
      </c>
      <c r="F91" s="17" t="s">
        <v>283</v>
      </c>
      <c r="G91" s="17" t="s">
        <v>284</v>
      </c>
      <c r="H91" s="18" t="s">
        <v>220</v>
      </c>
      <c r="I91" s="36">
        <v>30000</v>
      </c>
      <c r="J91" s="18" t="s">
        <v>285</v>
      </c>
      <c r="K91" s="21" t="s">
        <v>286</v>
      </c>
      <c r="O91" s="24"/>
    </row>
    <row r="92" spans="1:15" ht="35.25" customHeight="1" x14ac:dyDescent="0.25">
      <c r="A92" s="14">
        <f>SUBTOTAL(3,$B$3:B92)</f>
        <v>90</v>
      </c>
      <c r="B92" s="15">
        <v>46172</v>
      </c>
      <c r="C92" s="16">
        <v>0.375</v>
      </c>
      <c r="D92" s="17" t="s">
        <v>263</v>
      </c>
      <c r="E92" s="17" t="s">
        <v>279</v>
      </c>
      <c r="F92" s="17" t="s">
        <v>287</v>
      </c>
      <c r="G92" s="17" t="s">
        <v>284</v>
      </c>
      <c r="H92" s="18" t="s">
        <v>220</v>
      </c>
      <c r="I92" s="36">
        <v>10000</v>
      </c>
      <c r="J92" s="18" t="s">
        <v>288</v>
      </c>
      <c r="K92" s="21" t="s">
        <v>286</v>
      </c>
      <c r="O92" s="24"/>
    </row>
    <row r="93" spans="1:15" ht="35.25" customHeight="1" x14ac:dyDescent="0.25">
      <c r="A93" s="14">
        <f>SUBTOTAL(3,$B$3:B93)</f>
        <v>91</v>
      </c>
      <c r="B93" s="15">
        <v>46173</v>
      </c>
      <c r="C93" s="16">
        <v>0.29166666666666669</v>
      </c>
      <c r="D93" s="17" t="s">
        <v>270</v>
      </c>
      <c r="E93" s="17" t="s">
        <v>282</v>
      </c>
      <c r="F93" s="17" t="s">
        <v>283</v>
      </c>
      <c r="G93" s="17" t="s">
        <v>289</v>
      </c>
      <c r="H93" s="18" t="s">
        <v>220</v>
      </c>
      <c r="I93" s="36">
        <v>30000</v>
      </c>
      <c r="J93" s="18" t="s">
        <v>290</v>
      </c>
      <c r="K93" s="21" t="s">
        <v>291</v>
      </c>
      <c r="O93" s="24"/>
    </row>
    <row r="94" spans="1:15" ht="35.25" customHeight="1" x14ac:dyDescent="0.25">
      <c r="A94" s="14">
        <f>SUBTOTAL(3,$B$3:B94)</f>
        <v>92</v>
      </c>
      <c r="B94" s="15">
        <v>46148</v>
      </c>
      <c r="C94" s="16" t="s">
        <v>46</v>
      </c>
      <c r="D94" s="17" t="s">
        <v>292</v>
      </c>
      <c r="E94" s="17" t="s">
        <v>293</v>
      </c>
      <c r="F94" s="17" t="s">
        <v>294</v>
      </c>
      <c r="G94" s="17" t="s">
        <v>201</v>
      </c>
      <c r="H94" s="18" t="s">
        <v>295</v>
      </c>
      <c r="I94" s="36">
        <v>180000</v>
      </c>
      <c r="J94" s="18" t="s">
        <v>296</v>
      </c>
      <c r="K94" s="21" t="s">
        <v>204</v>
      </c>
      <c r="O94" s="24"/>
    </row>
    <row r="95" spans="1:15" ht="35.25" customHeight="1" x14ac:dyDescent="0.25">
      <c r="A95" s="14">
        <f>SUBTOTAL(3,$B$3:B95)</f>
        <v>93</v>
      </c>
      <c r="B95" s="15">
        <v>46152</v>
      </c>
      <c r="C95" s="16">
        <v>0.58333333333333337</v>
      </c>
      <c r="D95" s="17" t="s">
        <v>297</v>
      </c>
      <c r="E95" s="17" t="s">
        <v>142</v>
      </c>
      <c r="F95" s="17" t="s">
        <v>298</v>
      </c>
      <c r="G95" s="17" t="s">
        <v>85</v>
      </c>
      <c r="H95" s="18" t="s">
        <v>220</v>
      </c>
      <c r="I95" s="36">
        <v>5000</v>
      </c>
      <c r="J95" s="18" t="s">
        <v>299</v>
      </c>
      <c r="K95" s="21" t="s">
        <v>87</v>
      </c>
      <c r="O95" s="24"/>
    </row>
    <row r="96" spans="1:15" ht="35.25" customHeight="1" x14ac:dyDescent="0.25">
      <c r="A96" s="14">
        <f>SUBTOTAL(3,$B$3:B96)</f>
        <v>94</v>
      </c>
      <c r="B96" s="15">
        <v>46153</v>
      </c>
      <c r="C96" s="16">
        <v>0.25</v>
      </c>
      <c r="D96" s="17" t="s">
        <v>300</v>
      </c>
      <c r="E96" s="17" t="s">
        <v>301</v>
      </c>
      <c r="F96" s="17" t="s">
        <v>302</v>
      </c>
      <c r="G96" s="17" t="s">
        <v>66</v>
      </c>
      <c r="H96" s="18" t="s">
        <v>220</v>
      </c>
      <c r="I96" s="36">
        <v>30000</v>
      </c>
      <c r="J96" s="18" t="s">
        <v>303</v>
      </c>
      <c r="K96" s="21" t="s">
        <v>68</v>
      </c>
      <c r="O96" s="24"/>
    </row>
    <row r="97" spans="1:15" ht="35.25" customHeight="1" x14ac:dyDescent="0.25">
      <c r="A97" s="14">
        <f>SUBTOTAL(3,$B$3:B97)</f>
        <v>95</v>
      </c>
      <c r="B97" s="15">
        <v>46155</v>
      </c>
      <c r="C97" s="16" t="s">
        <v>175</v>
      </c>
      <c r="D97" s="17" t="s">
        <v>297</v>
      </c>
      <c r="E97" s="17" t="s">
        <v>304</v>
      </c>
      <c r="F97" s="17" t="s">
        <v>305</v>
      </c>
      <c r="G97" s="23" t="s">
        <v>306</v>
      </c>
      <c r="H97" s="18" t="s">
        <v>307</v>
      </c>
      <c r="I97" s="36">
        <v>10000</v>
      </c>
      <c r="J97" s="18" t="s">
        <v>308</v>
      </c>
      <c r="K97" s="21" t="s">
        <v>309</v>
      </c>
      <c r="O97" s="24"/>
    </row>
    <row r="98" spans="1:15" ht="35.25" customHeight="1" x14ac:dyDescent="0.25">
      <c r="A98" s="14">
        <f>SUBTOTAL(3,$B$3:B98)</f>
        <v>96</v>
      </c>
      <c r="B98" s="15">
        <v>46156</v>
      </c>
      <c r="C98" s="16" t="s">
        <v>84</v>
      </c>
      <c r="D98" s="17" t="s">
        <v>300</v>
      </c>
      <c r="E98" s="17" t="s">
        <v>304</v>
      </c>
      <c r="F98" s="17" t="s">
        <v>305</v>
      </c>
      <c r="G98" s="17" t="s">
        <v>124</v>
      </c>
      <c r="H98" s="18" t="s">
        <v>310</v>
      </c>
      <c r="I98" s="36">
        <v>30000</v>
      </c>
      <c r="J98" s="18" t="s">
        <v>311</v>
      </c>
      <c r="K98" s="21" t="s">
        <v>126</v>
      </c>
      <c r="O98" s="24"/>
    </row>
    <row r="99" spans="1:15" ht="35.25" customHeight="1" x14ac:dyDescent="0.25">
      <c r="A99" s="14">
        <f>SUBTOTAL(3,$B$3:B99)</f>
        <v>97</v>
      </c>
      <c r="B99" s="15">
        <v>46159</v>
      </c>
      <c r="C99" s="16" t="s">
        <v>84</v>
      </c>
      <c r="D99" s="17" t="s">
        <v>312</v>
      </c>
      <c r="E99" s="17" t="s">
        <v>313</v>
      </c>
      <c r="F99" s="17" t="s">
        <v>314</v>
      </c>
      <c r="G99" s="17" t="s">
        <v>315</v>
      </c>
      <c r="H99" s="18" t="s">
        <v>295</v>
      </c>
      <c r="I99" s="36">
        <v>155000</v>
      </c>
      <c r="J99" s="18" t="s">
        <v>316</v>
      </c>
      <c r="K99" s="21" t="s">
        <v>317</v>
      </c>
      <c r="O99" s="24"/>
    </row>
    <row r="100" spans="1:15" ht="35.25" customHeight="1" x14ac:dyDescent="0.25">
      <c r="A100" s="14">
        <f>SUBTOTAL(3,$B$3:B100)</f>
        <v>98</v>
      </c>
      <c r="B100" s="15">
        <v>46161</v>
      </c>
      <c r="C100" s="16" t="s">
        <v>162</v>
      </c>
      <c r="D100" s="17" t="s">
        <v>312</v>
      </c>
      <c r="E100" s="17" t="s">
        <v>318</v>
      </c>
      <c r="F100" s="17" t="s">
        <v>319</v>
      </c>
      <c r="G100" s="17" t="s">
        <v>158</v>
      </c>
      <c r="H100" s="18" t="s">
        <v>307</v>
      </c>
      <c r="I100" s="36">
        <v>30000</v>
      </c>
      <c r="J100" s="18" t="s">
        <v>320</v>
      </c>
      <c r="K100" s="21" t="s">
        <v>161</v>
      </c>
      <c r="O100" s="24"/>
    </row>
    <row r="101" spans="1:15" ht="35.25" customHeight="1" x14ac:dyDescent="0.25">
      <c r="A101" s="14">
        <f>SUBTOTAL(3,$B$3:B101)</f>
        <v>99</v>
      </c>
      <c r="B101" s="15">
        <v>46163</v>
      </c>
      <c r="C101" s="16" t="s">
        <v>28</v>
      </c>
      <c r="D101" s="17" t="s">
        <v>300</v>
      </c>
      <c r="E101" s="17" t="s">
        <v>313</v>
      </c>
      <c r="F101" s="17" t="s">
        <v>314</v>
      </c>
      <c r="G101" s="17" t="s">
        <v>85</v>
      </c>
      <c r="H101" s="18" t="s">
        <v>310</v>
      </c>
      <c r="I101" s="36">
        <v>83000</v>
      </c>
      <c r="J101" s="18" t="s">
        <v>321</v>
      </c>
      <c r="K101" s="21" t="s">
        <v>87</v>
      </c>
      <c r="O101" s="24"/>
    </row>
    <row r="102" spans="1:15" ht="35.25" customHeight="1" x14ac:dyDescent="0.25">
      <c r="A102" s="14">
        <f>SUBTOTAL(3,$B$3:B102)</f>
        <v>100</v>
      </c>
      <c r="B102" s="15">
        <v>46163</v>
      </c>
      <c r="C102" s="16">
        <v>0.41666666666666669</v>
      </c>
      <c r="D102" s="17" t="s">
        <v>297</v>
      </c>
      <c r="E102" s="17" t="s">
        <v>322</v>
      </c>
      <c r="F102" s="17" t="s">
        <v>323</v>
      </c>
      <c r="G102" s="17" t="s">
        <v>324</v>
      </c>
      <c r="H102" s="18" t="s">
        <v>295</v>
      </c>
      <c r="I102" s="36">
        <v>30000</v>
      </c>
      <c r="J102" s="18" t="s">
        <v>325</v>
      </c>
      <c r="K102" s="21" t="s">
        <v>326</v>
      </c>
      <c r="O102" s="24"/>
    </row>
    <row r="103" spans="1:15" ht="35.25" customHeight="1" x14ac:dyDescent="0.25">
      <c r="A103" s="14">
        <f>SUBTOTAL(3,$B$3:B103)</f>
        <v>101</v>
      </c>
      <c r="B103" s="15">
        <v>46165</v>
      </c>
      <c r="C103" s="16" t="s">
        <v>168</v>
      </c>
      <c r="D103" s="17" t="s">
        <v>327</v>
      </c>
      <c r="E103" s="17" t="s">
        <v>328</v>
      </c>
      <c r="F103" s="17" t="s">
        <v>329</v>
      </c>
      <c r="G103" s="17" t="s">
        <v>306</v>
      </c>
      <c r="H103" s="18" t="s">
        <v>307</v>
      </c>
      <c r="I103" s="36">
        <v>20000</v>
      </c>
      <c r="J103" s="18" t="s">
        <v>330</v>
      </c>
      <c r="K103" s="21" t="s">
        <v>309</v>
      </c>
      <c r="O103" s="24"/>
    </row>
    <row r="104" spans="1:15" ht="35.25" customHeight="1" x14ac:dyDescent="0.25">
      <c r="A104" s="14">
        <f>SUBTOTAL(3,$B$3:B104)</f>
        <v>102</v>
      </c>
      <c r="B104" s="15">
        <v>46165</v>
      </c>
      <c r="C104" s="16">
        <v>0.54166666666666663</v>
      </c>
      <c r="D104" s="17" t="s">
        <v>327</v>
      </c>
      <c r="E104" s="17" t="s">
        <v>331</v>
      </c>
      <c r="F104" s="17" t="s">
        <v>332</v>
      </c>
      <c r="G104" s="17" t="s">
        <v>85</v>
      </c>
      <c r="H104" s="18" t="s">
        <v>220</v>
      </c>
      <c r="I104" s="36">
        <v>30000</v>
      </c>
      <c r="J104" s="18" t="s">
        <v>333</v>
      </c>
      <c r="K104" s="21" t="s">
        <v>87</v>
      </c>
      <c r="O104" s="24"/>
    </row>
    <row r="105" spans="1:15" ht="35.25" customHeight="1" x14ac:dyDescent="0.25">
      <c r="A105" s="14">
        <f>SUBTOTAL(3,$B$3:B105)</f>
        <v>103</v>
      </c>
      <c r="B105" s="15">
        <v>46166</v>
      </c>
      <c r="C105" s="16" t="s">
        <v>162</v>
      </c>
      <c r="D105" s="17" t="s">
        <v>292</v>
      </c>
      <c r="E105" s="17" t="s">
        <v>334</v>
      </c>
      <c r="F105" s="17" t="s">
        <v>335</v>
      </c>
      <c r="G105" s="17" t="s">
        <v>133</v>
      </c>
      <c r="H105" s="18" t="s">
        <v>310</v>
      </c>
      <c r="I105" s="36">
        <v>52000</v>
      </c>
      <c r="J105" s="18" t="s">
        <v>336</v>
      </c>
      <c r="K105" s="21" t="s">
        <v>136</v>
      </c>
      <c r="O105" s="24"/>
    </row>
    <row r="106" spans="1:15" ht="35.25" customHeight="1" x14ac:dyDescent="0.25">
      <c r="A106" s="14">
        <f>SUBTOTAL(3,$B$3:B106)</f>
        <v>104</v>
      </c>
      <c r="B106" s="15">
        <v>46170</v>
      </c>
      <c r="C106" s="16" t="s">
        <v>84</v>
      </c>
      <c r="D106" s="17" t="s">
        <v>300</v>
      </c>
      <c r="E106" s="17" t="s">
        <v>304</v>
      </c>
      <c r="F106" s="17" t="s">
        <v>305</v>
      </c>
      <c r="G106" s="17" t="s">
        <v>229</v>
      </c>
      <c r="H106" s="18" t="s">
        <v>337</v>
      </c>
      <c r="I106" s="36">
        <v>30000</v>
      </c>
      <c r="J106" s="18" t="s">
        <v>338</v>
      </c>
      <c r="K106" s="21" t="s">
        <v>232</v>
      </c>
      <c r="O106" s="24"/>
    </row>
    <row r="107" spans="1:15" ht="35.25" customHeight="1" x14ac:dyDescent="0.25">
      <c r="A107" s="14">
        <f>SUBTOTAL(3,$B$3:B107)</f>
        <v>105</v>
      </c>
      <c r="B107" s="15">
        <v>46173</v>
      </c>
      <c r="C107" s="16" t="s">
        <v>162</v>
      </c>
      <c r="D107" s="17" t="s">
        <v>312</v>
      </c>
      <c r="E107" s="17" t="s">
        <v>339</v>
      </c>
      <c r="F107" s="17" t="s">
        <v>340</v>
      </c>
      <c r="G107" s="17" t="s">
        <v>229</v>
      </c>
      <c r="H107" s="18" t="s">
        <v>337</v>
      </c>
      <c r="I107" s="36">
        <v>30000</v>
      </c>
      <c r="J107" s="18" t="s">
        <v>341</v>
      </c>
      <c r="K107" s="21" t="s">
        <v>232</v>
      </c>
      <c r="O107" s="24"/>
    </row>
    <row r="108" spans="1:15" ht="35.25" customHeight="1" x14ac:dyDescent="0.25">
      <c r="A108" s="14">
        <f>SUBTOTAL(3,$B$3:B108)</f>
        <v>106</v>
      </c>
      <c r="B108" s="15">
        <v>46145</v>
      </c>
      <c r="C108" s="16">
        <v>0.70833333333333337</v>
      </c>
      <c r="D108" s="17" t="s">
        <v>342</v>
      </c>
      <c r="E108" s="17" t="s">
        <v>343</v>
      </c>
      <c r="F108" s="17" t="s">
        <v>344</v>
      </c>
      <c r="G108" s="17" t="s">
        <v>345</v>
      </c>
      <c r="H108" s="18" t="s">
        <v>346</v>
      </c>
      <c r="I108" s="36">
        <v>220000</v>
      </c>
      <c r="J108" s="18" t="s">
        <v>347</v>
      </c>
      <c r="K108" s="21" t="s">
        <v>348</v>
      </c>
      <c r="O108" s="24"/>
    </row>
    <row r="109" spans="1:15" ht="35.25" customHeight="1" x14ac:dyDescent="0.25">
      <c r="A109" s="14">
        <f>SUBTOTAL(3,$B$3:B109)</f>
        <v>107</v>
      </c>
      <c r="B109" s="15">
        <v>46146</v>
      </c>
      <c r="C109" s="16">
        <v>0.20833333333333334</v>
      </c>
      <c r="D109" s="17" t="s">
        <v>342</v>
      </c>
      <c r="E109" s="17" t="s">
        <v>349</v>
      </c>
      <c r="F109" s="17" t="s">
        <v>350</v>
      </c>
      <c r="G109" s="17" t="s">
        <v>351</v>
      </c>
      <c r="H109" s="18" t="s">
        <v>337</v>
      </c>
      <c r="I109" s="36">
        <v>220000</v>
      </c>
      <c r="J109" s="18" t="s">
        <v>352</v>
      </c>
      <c r="K109" s="21" t="s">
        <v>353</v>
      </c>
      <c r="O109" s="24"/>
    </row>
    <row r="110" spans="1:15" ht="35.25" customHeight="1" x14ac:dyDescent="0.25">
      <c r="A110" s="14">
        <f>SUBTOTAL(3,$B$3:B110)</f>
        <v>108</v>
      </c>
      <c r="B110" s="15">
        <v>46149</v>
      </c>
      <c r="C110" s="16">
        <v>0.375</v>
      </c>
      <c r="D110" s="17" t="s">
        <v>342</v>
      </c>
      <c r="E110" s="17" t="s">
        <v>354</v>
      </c>
      <c r="F110" s="17" t="s">
        <v>355</v>
      </c>
      <c r="G110" s="17" t="s">
        <v>356</v>
      </c>
      <c r="H110" s="18" t="s">
        <v>220</v>
      </c>
      <c r="I110" s="36">
        <v>30000</v>
      </c>
      <c r="J110" s="18" t="s">
        <v>357</v>
      </c>
      <c r="K110" s="21" t="s">
        <v>358</v>
      </c>
      <c r="O110" s="24"/>
    </row>
    <row r="111" spans="1:15" ht="35.25" customHeight="1" x14ac:dyDescent="0.25">
      <c r="A111" s="14">
        <f>SUBTOTAL(3,$B$3:B111)</f>
        <v>109</v>
      </c>
      <c r="B111" s="15">
        <v>46151</v>
      </c>
      <c r="C111" s="16">
        <v>0.20833333333333334</v>
      </c>
      <c r="D111" s="17" t="s">
        <v>359</v>
      </c>
      <c r="E111" s="17" t="s">
        <v>360</v>
      </c>
      <c r="F111" s="17" t="s">
        <v>361</v>
      </c>
      <c r="G111" s="17" t="s">
        <v>362</v>
      </c>
      <c r="H111" s="18" t="s">
        <v>220</v>
      </c>
      <c r="I111" s="36">
        <v>110000</v>
      </c>
      <c r="J111" s="18" t="s">
        <v>363</v>
      </c>
      <c r="K111" s="21" t="s">
        <v>364</v>
      </c>
      <c r="O111" s="24"/>
    </row>
    <row r="112" spans="1:15" ht="35.25" customHeight="1" x14ac:dyDescent="0.25">
      <c r="A112" s="14">
        <f>SUBTOTAL(3,$B$3:B112)</f>
        <v>110</v>
      </c>
      <c r="B112" s="15">
        <v>46157</v>
      </c>
      <c r="C112" s="16">
        <v>0.83333333333333337</v>
      </c>
      <c r="D112" s="17" t="s">
        <v>365</v>
      </c>
      <c r="E112" s="17" t="s">
        <v>366</v>
      </c>
      <c r="F112" s="17" t="s">
        <v>367</v>
      </c>
      <c r="G112" s="17" t="s">
        <v>368</v>
      </c>
      <c r="H112" s="18" t="s">
        <v>337</v>
      </c>
      <c r="I112" s="36">
        <v>90000</v>
      </c>
      <c r="J112" s="18" t="s">
        <v>369</v>
      </c>
      <c r="K112" s="21" t="s">
        <v>370</v>
      </c>
      <c r="O112" s="24"/>
    </row>
    <row r="113" spans="1:15" ht="35.25" customHeight="1" x14ac:dyDescent="0.25">
      <c r="A113" s="14">
        <f>SUBTOTAL(3,$B$3:B113)</f>
        <v>111</v>
      </c>
      <c r="B113" s="15">
        <v>46159</v>
      </c>
      <c r="C113" s="16">
        <v>0.79166666666666663</v>
      </c>
      <c r="D113" s="17" t="s">
        <v>359</v>
      </c>
      <c r="E113" s="17" t="s">
        <v>371</v>
      </c>
      <c r="F113" s="17" t="s">
        <v>372</v>
      </c>
      <c r="G113" s="17" t="s">
        <v>368</v>
      </c>
      <c r="H113" s="18" t="s">
        <v>337</v>
      </c>
      <c r="I113" s="36">
        <v>30000</v>
      </c>
      <c r="J113" s="18" t="s">
        <v>369</v>
      </c>
      <c r="K113" s="21" t="s">
        <v>370</v>
      </c>
      <c r="O113" s="24"/>
    </row>
    <row r="114" spans="1:15" ht="35.25" customHeight="1" x14ac:dyDescent="0.25">
      <c r="A114" s="14">
        <f>SUBTOTAL(3,$B$3:B114)</f>
        <v>112</v>
      </c>
      <c r="B114" s="15">
        <v>46160</v>
      </c>
      <c r="C114" s="16">
        <v>0.33333333333333331</v>
      </c>
      <c r="D114" s="17" t="s">
        <v>342</v>
      </c>
      <c r="E114" s="17" t="s">
        <v>373</v>
      </c>
      <c r="F114" s="17" t="s">
        <v>374</v>
      </c>
      <c r="G114" s="17" t="s">
        <v>368</v>
      </c>
      <c r="H114" s="18" t="s">
        <v>337</v>
      </c>
      <c r="I114" s="36">
        <v>30000</v>
      </c>
      <c r="J114" s="18" t="s">
        <v>369</v>
      </c>
      <c r="K114" s="21" t="s">
        <v>370</v>
      </c>
      <c r="O114" s="24"/>
    </row>
    <row r="115" spans="1:15" ht="35.25" customHeight="1" x14ac:dyDescent="0.25">
      <c r="A115" s="14">
        <f>SUBTOTAL(3,$B$3:B115)</f>
        <v>113</v>
      </c>
      <c r="B115" s="15">
        <v>46164</v>
      </c>
      <c r="C115" s="16">
        <v>0.83333333333333337</v>
      </c>
      <c r="D115" s="17" t="s">
        <v>375</v>
      </c>
      <c r="E115" s="17" t="s">
        <v>376</v>
      </c>
      <c r="F115" s="17" t="s">
        <v>377</v>
      </c>
      <c r="G115" s="17" t="s">
        <v>244</v>
      </c>
      <c r="H115" s="18" t="s">
        <v>220</v>
      </c>
      <c r="I115" s="36">
        <v>60000</v>
      </c>
      <c r="J115" s="18" t="s">
        <v>378</v>
      </c>
      <c r="K115" s="21" t="s">
        <v>246</v>
      </c>
      <c r="O115" s="24"/>
    </row>
    <row r="116" spans="1:15" ht="35.25" customHeight="1" x14ac:dyDescent="0.25">
      <c r="A116" s="14">
        <f>SUBTOTAL(3,$B$3:B116)</f>
        <v>114</v>
      </c>
      <c r="B116" s="15">
        <v>46168</v>
      </c>
      <c r="C116" s="16">
        <v>0.41666666666666669</v>
      </c>
      <c r="D116" s="17" t="s">
        <v>359</v>
      </c>
      <c r="E116" s="17" t="s">
        <v>379</v>
      </c>
      <c r="F116" s="17" t="s">
        <v>380</v>
      </c>
      <c r="G116" s="17" t="s">
        <v>253</v>
      </c>
      <c r="H116" s="18" t="s">
        <v>220</v>
      </c>
      <c r="I116" s="36">
        <v>190000</v>
      </c>
      <c r="J116" s="18" t="s">
        <v>381</v>
      </c>
      <c r="K116" s="21" t="s">
        <v>255</v>
      </c>
      <c r="O116" s="24"/>
    </row>
    <row r="117" spans="1:15" ht="35.25" customHeight="1" x14ac:dyDescent="0.25">
      <c r="A117" s="14">
        <f>SUBTOTAL(3,$B$3:B117)</f>
        <v>115</v>
      </c>
      <c r="B117" s="15">
        <v>46172</v>
      </c>
      <c r="C117" s="16">
        <v>0.33333333333333331</v>
      </c>
      <c r="D117" s="17" t="s">
        <v>365</v>
      </c>
      <c r="E117" s="17" t="s">
        <v>382</v>
      </c>
      <c r="F117" s="17" t="s">
        <v>383</v>
      </c>
      <c r="G117" s="17" t="s">
        <v>258</v>
      </c>
      <c r="H117" s="18" t="s">
        <v>220</v>
      </c>
      <c r="I117" s="36">
        <v>30000</v>
      </c>
      <c r="J117" s="18" t="s">
        <v>384</v>
      </c>
      <c r="K117" s="21" t="s">
        <v>260</v>
      </c>
      <c r="O117" s="24"/>
    </row>
    <row r="118" spans="1:15" ht="35.25" customHeight="1" x14ac:dyDescent="0.25">
      <c r="A118" s="14">
        <f>SUBTOTAL(3,$B$3:B118)</f>
        <v>116</v>
      </c>
      <c r="B118" s="15">
        <v>46144</v>
      </c>
      <c r="C118" s="16">
        <v>0.47916666666666669</v>
      </c>
      <c r="D118" s="17" t="s">
        <v>385</v>
      </c>
      <c r="E118" s="17" t="s">
        <v>386</v>
      </c>
      <c r="F118" s="17" t="s">
        <v>387</v>
      </c>
      <c r="G118" s="17" t="s">
        <v>388</v>
      </c>
      <c r="H118" s="18" t="s">
        <v>307</v>
      </c>
      <c r="I118" s="36">
        <v>10000</v>
      </c>
      <c r="J118" s="18" t="s">
        <v>389</v>
      </c>
      <c r="K118" s="21" t="s">
        <v>390</v>
      </c>
      <c r="O118" s="24"/>
    </row>
    <row r="119" spans="1:15" ht="35.25" customHeight="1" x14ac:dyDescent="0.25">
      <c r="A119" s="14">
        <f>SUBTOTAL(3,$B$3:B119)</f>
        <v>117</v>
      </c>
      <c r="B119" s="15">
        <v>46149</v>
      </c>
      <c r="C119" s="16" t="s">
        <v>172</v>
      </c>
      <c r="D119" s="17" t="s">
        <v>391</v>
      </c>
      <c r="E119" s="17" t="s">
        <v>392</v>
      </c>
      <c r="F119" s="17" t="s">
        <v>393</v>
      </c>
      <c r="G119" s="17" t="s">
        <v>394</v>
      </c>
      <c r="H119" s="18" t="s">
        <v>220</v>
      </c>
      <c r="I119" s="36">
        <v>15000</v>
      </c>
      <c r="J119" s="18" t="s">
        <v>395</v>
      </c>
      <c r="K119" s="21" t="s">
        <v>396</v>
      </c>
      <c r="O119" s="24"/>
    </row>
    <row r="120" spans="1:15" ht="35.25" customHeight="1" x14ac:dyDescent="0.25">
      <c r="A120" s="14">
        <f>SUBTOTAL(3,$B$3:B120)</f>
        <v>118</v>
      </c>
      <c r="B120" s="15">
        <v>46149</v>
      </c>
      <c r="C120" s="16" t="s">
        <v>172</v>
      </c>
      <c r="D120" s="17" t="s">
        <v>391</v>
      </c>
      <c r="E120" s="17" t="s">
        <v>392</v>
      </c>
      <c r="F120" s="17" t="s">
        <v>393</v>
      </c>
      <c r="G120" s="17" t="s">
        <v>397</v>
      </c>
      <c r="H120" s="18" t="s">
        <v>220</v>
      </c>
      <c r="I120" s="36">
        <v>15000</v>
      </c>
      <c r="J120" s="18" t="s">
        <v>395</v>
      </c>
      <c r="K120" s="21" t="s">
        <v>398</v>
      </c>
      <c r="O120" s="24"/>
    </row>
    <row r="121" spans="1:15" ht="35.25" customHeight="1" x14ac:dyDescent="0.25">
      <c r="A121" s="14">
        <f>SUBTOTAL(3,$B$3:B121)</f>
        <v>119</v>
      </c>
      <c r="B121" s="15">
        <v>46150</v>
      </c>
      <c r="C121" s="16">
        <v>0.52083333333333337</v>
      </c>
      <c r="D121" s="17" t="s">
        <v>399</v>
      </c>
      <c r="E121" s="17" t="s">
        <v>400</v>
      </c>
      <c r="F121" s="17" t="s">
        <v>401</v>
      </c>
      <c r="G121" s="17" t="s">
        <v>253</v>
      </c>
      <c r="H121" s="18" t="s">
        <v>220</v>
      </c>
      <c r="I121" s="36">
        <v>30000</v>
      </c>
      <c r="J121" s="18" t="s">
        <v>402</v>
      </c>
      <c r="K121" s="21" t="s">
        <v>255</v>
      </c>
      <c r="O121" s="24"/>
    </row>
    <row r="122" spans="1:15" ht="35.25" customHeight="1" x14ac:dyDescent="0.25">
      <c r="A122" s="14">
        <f>SUBTOTAL(3,$B$3:B122)</f>
        <v>120</v>
      </c>
      <c r="B122" s="15">
        <v>46150</v>
      </c>
      <c r="C122" s="16">
        <v>0.66666666666666663</v>
      </c>
      <c r="D122" s="17" t="s">
        <v>403</v>
      </c>
      <c r="E122" s="17" t="s">
        <v>404</v>
      </c>
      <c r="F122" s="17" t="s">
        <v>405</v>
      </c>
      <c r="G122" s="17" t="s">
        <v>289</v>
      </c>
      <c r="H122" s="18" t="s">
        <v>220</v>
      </c>
      <c r="I122" s="36">
        <v>10000</v>
      </c>
      <c r="J122" s="18" t="s">
        <v>406</v>
      </c>
      <c r="K122" s="21" t="s">
        <v>291</v>
      </c>
      <c r="O122" s="24"/>
    </row>
    <row r="123" spans="1:15" ht="35.25" customHeight="1" x14ac:dyDescent="0.25">
      <c r="A123" s="14">
        <f>SUBTOTAL(3,$B$3:B123)</f>
        <v>121</v>
      </c>
      <c r="B123" s="15">
        <v>46150</v>
      </c>
      <c r="C123" s="16" t="s">
        <v>407</v>
      </c>
      <c r="D123" s="17" t="s">
        <v>385</v>
      </c>
      <c r="E123" s="17" t="s">
        <v>408</v>
      </c>
      <c r="F123" s="17" t="s">
        <v>409</v>
      </c>
      <c r="G123" s="17" t="s">
        <v>253</v>
      </c>
      <c r="H123" s="18" t="s">
        <v>220</v>
      </c>
      <c r="I123" s="36">
        <v>10000</v>
      </c>
      <c r="J123" s="18" t="s">
        <v>410</v>
      </c>
      <c r="K123" s="21" t="s">
        <v>255</v>
      </c>
      <c r="O123" s="24"/>
    </row>
    <row r="124" spans="1:15" ht="35.25" customHeight="1" x14ac:dyDescent="0.25">
      <c r="A124" s="14">
        <f>SUBTOTAL(3,$B$3:B124)</f>
        <v>122</v>
      </c>
      <c r="B124" s="15">
        <v>46150</v>
      </c>
      <c r="C124" s="16" t="s">
        <v>63</v>
      </c>
      <c r="D124" s="17" t="s">
        <v>403</v>
      </c>
      <c r="E124" s="17" t="s">
        <v>411</v>
      </c>
      <c r="F124" s="17" t="s">
        <v>412</v>
      </c>
      <c r="G124" s="17" t="s">
        <v>261</v>
      </c>
      <c r="H124" s="18" t="s">
        <v>220</v>
      </c>
      <c r="I124" s="36">
        <v>20000</v>
      </c>
      <c r="J124" s="18" t="s">
        <v>413</v>
      </c>
      <c r="K124" s="21" t="s">
        <v>262</v>
      </c>
      <c r="O124" s="24"/>
    </row>
    <row r="125" spans="1:15" ht="35.25" customHeight="1" x14ac:dyDescent="0.25">
      <c r="A125" s="14">
        <f>SUBTOTAL(3,$B$3:B125)</f>
        <v>123</v>
      </c>
      <c r="B125" s="15">
        <v>46151</v>
      </c>
      <c r="C125" s="16" t="s">
        <v>414</v>
      </c>
      <c r="D125" s="17" t="s">
        <v>385</v>
      </c>
      <c r="E125" s="17" t="s">
        <v>415</v>
      </c>
      <c r="F125" s="17" t="s">
        <v>416</v>
      </c>
      <c r="G125" s="17" t="s">
        <v>258</v>
      </c>
      <c r="H125" s="18" t="s">
        <v>220</v>
      </c>
      <c r="I125" s="36">
        <v>30000</v>
      </c>
      <c r="J125" s="18" t="s">
        <v>417</v>
      </c>
      <c r="K125" s="21" t="s">
        <v>260</v>
      </c>
      <c r="O125" s="24"/>
    </row>
    <row r="126" spans="1:15" ht="35.25" customHeight="1" x14ac:dyDescent="0.25">
      <c r="A126" s="14">
        <f>SUBTOTAL(3,$B$3:B126)</f>
        <v>124</v>
      </c>
      <c r="B126" s="15">
        <v>46154</v>
      </c>
      <c r="C126" s="16" t="s">
        <v>418</v>
      </c>
      <c r="D126" s="17" t="s">
        <v>399</v>
      </c>
      <c r="E126" s="17" t="s">
        <v>419</v>
      </c>
      <c r="F126" s="17" t="s">
        <v>420</v>
      </c>
      <c r="G126" s="17" t="s">
        <v>421</v>
      </c>
      <c r="H126" s="18" t="s">
        <v>220</v>
      </c>
      <c r="I126" s="36">
        <v>155000</v>
      </c>
      <c r="J126" s="18" t="s">
        <v>422</v>
      </c>
      <c r="K126" s="21" t="s">
        <v>275</v>
      </c>
      <c r="O126" s="24"/>
    </row>
    <row r="127" spans="1:15" ht="35.25" customHeight="1" x14ac:dyDescent="0.25">
      <c r="A127" s="14">
        <f>SUBTOTAL(3,$B$3:B127)</f>
        <v>125</v>
      </c>
      <c r="B127" s="15">
        <v>46158</v>
      </c>
      <c r="C127" s="16">
        <v>0.375</v>
      </c>
      <c r="D127" s="17" t="s">
        <v>403</v>
      </c>
      <c r="E127" s="17" t="s">
        <v>423</v>
      </c>
      <c r="F127" s="17" t="s">
        <v>424</v>
      </c>
      <c r="G127" s="17" t="s">
        <v>253</v>
      </c>
      <c r="H127" s="18" t="s">
        <v>220</v>
      </c>
      <c r="I127" s="36">
        <v>10000</v>
      </c>
      <c r="J127" s="18" t="s">
        <v>425</v>
      </c>
      <c r="K127" s="21" t="s">
        <v>255</v>
      </c>
      <c r="O127" s="24"/>
    </row>
    <row r="128" spans="1:15" ht="35.25" customHeight="1" x14ac:dyDescent="0.25">
      <c r="A128" s="14">
        <f>SUBTOTAL(3,$B$3:B128)</f>
        <v>126</v>
      </c>
      <c r="B128" s="15">
        <v>46159</v>
      </c>
      <c r="C128" s="16" t="s">
        <v>53</v>
      </c>
      <c r="D128" s="17" t="s">
        <v>391</v>
      </c>
      <c r="E128" s="17" t="s">
        <v>419</v>
      </c>
      <c r="F128" s="17" t="s">
        <v>420</v>
      </c>
      <c r="G128" s="17" t="s">
        <v>89</v>
      </c>
      <c r="H128" s="18" t="s">
        <v>220</v>
      </c>
      <c r="I128" s="36">
        <v>30000</v>
      </c>
      <c r="J128" s="18" t="s">
        <v>426</v>
      </c>
      <c r="K128" s="21" t="s">
        <v>91</v>
      </c>
      <c r="O128" s="24"/>
    </row>
    <row r="129" spans="1:15" ht="35.25" customHeight="1" x14ac:dyDescent="0.25">
      <c r="A129" s="14">
        <f>SUBTOTAL(3,$B$3:B129)</f>
        <v>127</v>
      </c>
      <c r="B129" s="15">
        <v>46159</v>
      </c>
      <c r="C129" s="16">
        <v>0.72916666666666663</v>
      </c>
      <c r="D129" s="17" t="s">
        <v>399</v>
      </c>
      <c r="E129" s="17" t="s">
        <v>392</v>
      </c>
      <c r="F129" s="17" t="s">
        <v>393</v>
      </c>
      <c r="G129" s="17" t="s">
        <v>306</v>
      </c>
      <c r="H129" s="18" t="s">
        <v>220</v>
      </c>
      <c r="I129" s="36">
        <v>10000</v>
      </c>
      <c r="J129" s="18" t="s">
        <v>427</v>
      </c>
      <c r="K129" s="21" t="s">
        <v>309</v>
      </c>
      <c r="O129" s="24"/>
    </row>
    <row r="130" spans="1:15" ht="35.25" customHeight="1" x14ac:dyDescent="0.25">
      <c r="A130" s="14">
        <f>SUBTOTAL(3,$B$3:B130)</f>
        <v>128</v>
      </c>
      <c r="B130" s="15">
        <v>46159</v>
      </c>
      <c r="C130" s="16">
        <v>0.72916666666666663</v>
      </c>
      <c r="D130" s="17" t="s">
        <v>399</v>
      </c>
      <c r="E130" s="17" t="s">
        <v>392</v>
      </c>
      <c r="F130" s="17" t="s">
        <v>393</v>
      </c>
      <c r="G130" s="17" t="s">
        <v>306</v>
      </c>
      <c r="H130" s="18" t="s">
        <v>220</v>
      </c>
      <c r="I130" s="36">
        <v>10000</v>
      </c>
      <c r="J130" s="18" t="s">
        <v>427</v>
      </c>
      <c r="K130" s="21" t="s">
        <v>309</v>
      </c>
      <c r="O130" s="24"/>
    </row>
    <row r="131" spans="1:15" ht="35.25" customHeight="1" x14ac:dyDescent="0.25">
      <c r="A131" s="14">
        <f>SUBTOTAL(3,$B$3:B131)</f>
        <v>129</v>
      </c>
      <c r="B131" s="15">
        <v>46166</v>
      </c>
      <c r="C131" s="16" t="s">
        <v>428</v>
      </c>
      <c r="D131" s="17" t="s">
        <v>385</v>
      </c>
      <c r="E131" s="17" t="s">
        <v>423</v>
      </c>
      <c r="F131" s="17" t="s">
        <v>424</v>
      </c>
      <c r="G131" s="17" t="s">
        <v>289</v>
      </c>
      <c r="H131" s="18" t="s">
        <v>220</v>
      </c>
      <c r="I131" s="36">
        <v>10000</v>
      </c>
      <c r="J131" s="18" t="s">
        <v>429</v>
      </c>
      <c r="K131" s="21" t="s">
        <v>291</v>
      </c>
      <c r="O131" s="24"/>
    </row>
    <row r="132" spans="1:15" ht="35.25" customHeight="1" x14ac:dyDescent="0.25">
      <c r="A132" s="14">
        <f>SUBTOTAL(3,$B$3:B132)</f>
        <v>130</v>
      </c>
      <c r="B132" s="15">
        <v>46167</v>
      </c>
      <c r="C132" s="16" t="s">
        <v>175</v>
      </c>
      <c r="D132" s="17" t="s">
        <v>403</v>
      </c>
      <c r="E132" s="17" t="s">
        <v>423</v>
      </c>
      <c r="F132" s="17" t="s">
        <v>424</v>
      </c>
      <c r="G132" s="17" t="s">
        <v>430</v>
      </c>
      <c r="H132" s="18" t="s">
        <v>220</v>
      </c>
      <c r="I132" s="36">
        <v>30000</v>
      </c>
      <c r="J132" s="18" t="s">
        <v>431</v>
      </c>
      <c r="K132" s="21" t="s">
        <v>432</v>
      </c>
      <c r="O132" s="24"/>
    </row>
    <row r="133" spans="1:15" ht="35.25" customHeight="1" x14ac:dyDescent="0.25">
      <c r="A133" s="14">
        <f>SUBTOTAL(3,$B$3:B133)</f>
        <v>131</v>
      </c>
      <c r="B133" s="15">
        <v>46168</v>
      </c>
      <c r="C133" s="16">
        <v>0.72916666666666663</v>
      </c>
      <c r="D133" s="17" t="s">
        <v>385</v>
      </c>
      <c r="E133" s="17" t="s">
        <v>411</v>
      </c>
      <c r="F133" s="17" t="s">
        <v>412</v>
      </c>
      <c r="G133" s="17" t="s">
        <v>258</v>
      </c>
      <c r="H133" s="18" t="s">
        <v>220</v>
      </c>
      <c r="I133" s="36">
        <v>10000</v>
      </c>
      <c r="J133" s="18" t="s">
        <v>433</v>
      </c>
      <c r="K133" s="21" t="s">
        <v>260</v>
      </c>
      <c r="O133" s="24"/>
    </row>
    <row r="134" spans="1:15" ht="35.25" customHeight="1" x14ac:dyDescent="0.25">
      <c r="A134" s="14">
        <f>SUBTOTAL(3,$B$3:B134)</f>
        <v>132</v>
      </c>
      <c r="B134" s="15">
        <v>46168</v>
      </c>
      <c r="C134" s="16" t="s">
        <v>46</v>
      </c>
      <c r="D134" s="17" t="s">
        <v>403</v>
      </c>
      <c r="E134" s="17" t="s">
        <v>408</v>
      </c>
      <c r="F134" s="17" t="s">
        <v>409</v>
      </c>
      <c r="G134" s="17" t="s">
        <v>244</v>
      </c>
      <c r="H134" s="18" t="s">
        <v>220</v>
      </c>
      <c r="I134" s="36">
        <v>10000</v>
      </c>
      <c r="J134" s="18" t="s">
        <v>434</v>
      </c>
      <c r="K134" s="21" t="s">
        <v>246</v>
      </c>
      <c r="O134" s="24"/>
    </row>
    <row r="135" spans="1:15" ht="35.25" customHeight="1" x14ac:dyDescent="0.25">
      <c r="A135" s="14">
        <f>SUBTOTAL(3,$B$3:B135)</f>
        <v>133</v>
      </c>
      <c r="B135" s="15">
        <v>46170</v>
      </c>
      <c r="C135" s="16" t="s">
        <v>222</v>
      </c>
      <c r="D135" s="17" t="s">
        <v>385</v>
      </c>
      <c r="E135" s="17" t="s">
        <v>435</v>
      </c>
      <c r="F135" s="17" t="s">
        <v>412</v>
      </c>
      <c r="G135" s="17" t="s">
        <v>276</v>
      </c>
      <c r="H135" s="18" t="s">
        <v>220</v>
      </c>
      <c r="I135" s="36">
        <v>30000</v>
      </c>
      <c r="J135" s="18" t="s">
        <v>436</v>
      </c>
      <c r="K135" s="21" t="s">
        <v>278</v>
      </c>
      <c r="O135" s="24"/>
    </row>
    <row r="136" spans="1:15" ht="50.25" customHeight="1" x14ac:dyDescent="0.25">
      <c r="A136" s="14">
        <f>SUBTOTAL(3,$B$3:B136)</f>
        <v>134</v>
      </c>
      <c r="B136" s="15">
        <v>46172</v>
      </c>
      <c r="C136" s="16" t="s">
        <v>59</v>
      </c>
      <c r="D136" s="17" t="s">
        <v>403</v>
      </c>
      <c r="E136" s="17" t="s">
        <v>435</v>
      </c>
      <c r="F136" s="17" t="s">
        <v>437</v>
      </c>
      <c r="G136" s="17" t="s">
        <v>258</v>
      </c>
      <c r="H136" s="18" t="s">
        <v>220</v>
      </c>
      <c r="I136" s="36">
        <v>10000</v>
      </c>
      <c r="J136" s="18" t="s">
        <v>438</v>
      </c>
      <c r="K136" s="21" t="s">
        <v>260</v>
      </c>
      <c r="O136" s="24"/>
    </row>
    <row r="137" spans="1:15" ht="35.25" customHeight="1" x14ac:dyDescent="0.25">
      <c r="A137" s="14">
        <f>SUBTOTAL(3,$B$3:B137)</f>
        <v>135</v>
      </c>
      <c r="B137" s="15">
        <v>46173</v>
      </c>
      <c r="C137" s="16" t="s">
        <v>439</v>
      </c>
      <c r="D137" s="17" t="s">
        <v>399</v>
      </c>
      <c r="E137" s="17" t="s">
        <v>419</v>
      </c>
      <c r="F137" s="17" t="s">
        <v>440</v>
      </c>
      <c r="G137" s="17" t="s">
        <v>158</v>
      </c>
      <c r="H137" s="18" t="s">
        <v>307</v>
      </c>
      <c r="I137" s="36">
        <v>30000</v>
      </c>
      <c r="J137" s="18" t="s">
        <v>441</v>
      </c>
      <c r="K137" s="21" t="s">
        <v>161</v>
      </c>
      <c r="O137" s="24"/>
    </row>
    <row r="138" spans="1:15" ht="35.25" customHeight="1" x14ac:dyDescent="0.25">
      <c r="A138" s="14">
        <f>SUBTOTAL(3,$B$3:B138)</f>
        <v>136</v>
      </c>
      <c r="B138" s="15">
        <v>46173</v>
      </c>
      <c r="C138" s="16" t="s">
        <v>428</v>
      </c>
      <c r="D138" s="17" t="s">
        <v>399</v>
      </c>
      <c r="E138" s="17" t="s">
        <v>435</v>
      </c>
      <c r="F138" s="17" t="s">
        <v>437</v>
      </c>
      <c r="G138" s="17" t="s">
        <v>244</v>
      </c>
      <c r="H138" s="18" t="s">
        <v>220</v>
      </c>
      <c r="I138" s="36">
        <v>5000</v>
      </c>
      <c r="J138" s="18" t="s">
        <v>442</v>
      </c>
      <c r="K138" s="21" t="s">
        <v>246</v>
      </c>
      <c r="O138" s="24"/>
    </row>
    <row r="139" spans="1:15" ht="35.25" hidden="1" customHeight="1" x14ac:dyDescent="0.25">
      <c r="A139" s="14">
        <f>SUBTOTAL(3,$B$3:B139)</f>
        <v>136</v>
      </c>
      <c r="B139" s="15"/>
      <c r="C139" s="16"/>
      <c r="D139" s="17"/>
      <c r="E139" s="17"/>
      <c r="F139" s="17"/>
      <c r="G139" s="17"/>
      <c r="H139" s="18"/>
      <c r="I139" s="36"/>
      <c r="J139" s="18"/>
      <c r="K139" s="21"/>
      <c r="O139" s="24"/>
    </row>
    <row r="140" spans="1:15" ht="35.25" hidden="1" customHeight="1" x14ac:dyDescent="0.25">
      <c r="A140" s="14">
        <f>SUBTOTAL(3,$B$3:B140)</f>
        <v>136</v>
      </c>
      <c r="B140" s="15"/>
      <c r="C140" s="16"/>
      <c r="D140" s="17"/>
      <c r="E140" s="17"/>
      <c r="F140" s="17"/>
      <c r="G140" s="17"/>
      <c r="H140" s="18"/>
      <c r="I140" s="36"/>
      <c r="J140" s="18"/>
      <c r="K140" s="21"/>
      <c r="O140" s="24"/>
    </row>
    <row r="141" spans="1:15" ht="35.25" hidden="1" customHeight="1" x14ac:dyDescent="0.25">
      <c r="A141" s="14">
        <f>SUBTOTAL(3,$B$3:B141)</f>
        <v>136</v>
      </c>
      <c r="B141" s="15"/>
      <c r="C141" s="16"/>
      <c r="D141" s="17"/>
      <c r="E141" s="17"/>
      <c r="F141" s="17"/>
      <c r="G141" s="17"/>
      <c r="H141" s="18"/>
      <c r="I141" s="36"/>
      <c r="J141" s="18"/>
      <c r="K141" s="21"/>
      <c r="O141" s="24"/>
    </row>
    <row r="142" spans="1:15" ht="35.25" hidden="1" customHeight="1" x14ac:dyDescent="0.25">
      <c r="A142" s="14">
        <f>SUBTOTAL(3,$B$3:B142)</f>
        <v>136</v>
      </c>
      <c r="B142" s="15"/>
      <c r="C142" s="16"/>
      <c r="D142" s="17"/>
      <c r="E142" s="17"/>
      <c r="F142" s="17"/>
      <c r="G142" s="17"/>
      <c r="H142" s="18"/>
      <c r="I142" s="36"/>
      <c r="J142" s="18"/>
      <c r="K142" s="21"/>
      <c r="O142" s="24"/>
    </row>
    <row r="143" spans="1:15" ht="35.25" hidden="1" customHeight="1" x14ac:dyDescent="0.25">
      <c r="A143" s="14">
        <f>SUBTOTAL(3,$B$3:B143)</f>
        <v>136</v>
      </c>
      <c r="B143" s="15"/>
      <c r="C143" s="16"/>
      <c r="D143" s="17"/>
      <c r="E143" s="17"/>
      <c r="F143" s="17"/>
      <c r="G143" s="17"/>
      <c r="H143" s="18"/>
      <c r="I143" s="36"/>
      <c r="J143" s="18"/>
      <c r="K143" s="21"/>
      <c r="O143" s="24"/>
    </row>
    <row r="144" spans="1:15" ht="35.25" hidden="1" customHeight="1" x14ac:dyDescent="0.25">
      <c r="A144" s="14">
        <f>SUBTOTAL(3,$B$3:B144)</f>
        <v>136</v>
      </c>
      <c r="B144" s="15"/>
      <c r="C144" s="16"/>
      <c r="D144" s="17"/>
      <c r="E144" s="17"/>
      <c r="F144" s="17"/>
      <c r="G144" s="17"/>
      <c r="H144" s="18"/>
      <c r="I144" s="36"/>
      <c r="J144" s="18"/>
      <c r="K144" s="21"/>
      <c r="O144" s="24"/>
    </row>
    <row r="145" spans="1:15" ht="35.25" hidden="1" customHeight="1" x14ac:dyDescent="0.25">
      <c r="A145" s="14">
        <f>SUBTOTAL(3,$B$3:B145)</f>
        <v>136</v>
      </c>
      <c r="B145" s="15"/>
      <c r="C145" s="16"/>
      <c r="D145" s="17"/>
      <c r="E145" s="17"/>
      <c r="F145" s="17"/>
      <c r="G145" s="17"/>
      <c r="H145" s="18"/>
      <c r="I145" s="36"/>
      <c r="J145" s="18"/>
      <c r="K145" s="21"/>
      <c r="O145" s="24"/>
    </row>
    <row r="146" spans="1:15" ht="35.25" hidden="1" customHeight="1" x14ac:dyDescent="0.25">
      <c r="A146" s="14">
        <f>SUBTOTAL(3,$B$3:B146)</f>
        <v>136</v>
      </c>
      <c r="B146" s="15"/>
      <c r="C146" s="16"/>
      <c r="D146" s="17"/>
      <c r="E146" s="17"/>
      <c r="F146" s="17"/>
      <c r="G146" s="17"/>
      <c r="H146" s="18"/>
      <c r="I146" s="36"/>
      <c r="J146" s="18"/>
      <c r="K146" s="21"/>
      <c r="O146" s="24"/>
    </row>
    <row r="147" spans="1:15" ht="35.25" hidden="1" customHeight="1" x14ac:dyDescent="0.25">
      <c r="A147" s="14">
        <f>SUBTOTAL(3,$B$3:B147)</f>
        <v>136</v>
      </c>
      <c r="B147" s="15"/>
      <c r="C147" s="16"/>
      <c r="D147" s="17"/>
      <c r="E147" s="17"/>
      <c r="F147" s="17"/>
      <c r="G147" s="17"/>
      <c r="H147" s="18"/>
      <c r="I147" s="36"/>
      <c r="J147" s="18"/>
      <c r="K147" s="21"/>
      <c r="O147" s="24"/>
    </row>
    <row r="148" spans="1:15" ht="35.25" hidden="1" customHeight="1" x14ac:dyDescent="0.25">
      <c r="A148" s="14">
        <f>SUBTOTAL(3,$B$3:B148)</f>
        <v>136</v>
      </c>
      <c r="B148" s="15"/>
      <c r="C148" s="16"/>
      <c r="D148" s="17"/>
      <c r="E148" s="17"/>
      <c r="F148" s="17"/>
      <c r="G148" s="17"/>
      <c r="H148" s="18"/>
      <c r="I148" s="36"/>
      <c r="J148" s="18"/>
      <c r="K148" s="21"/>
      <c r="O148" s="24"/>
    </row>
    <row r="149" spans="1:15" ht="35.25" hidden="1" customHeight="1" x14ac:dyDescent="0.25">
      <c r="A149" s="14">
        <f>SUBTOTAL(3,$B$3:B149)</f>
        <v>136</v>
      </c>
      <c r="B149" s="15"/>
      <c r="C149" s="16"/>
      <c r="D149" s="17"/>
      <c r="E149" s="17"/>
      <c r="F149" s="17"/>
      <c r="G149" s="17"/>
      <c r="H149" s="18"/>
      <c r="I149" s="36"/>
      <c r="J149" s="18"/>
      <c r="K149" s="21"/>
      <c r="O149" s="24"/>
    </row>
    <row r="150" spans="1:15" ht="35.25" hidden="1" customHeight="1" x14ac:dyDescent="0.25">
      <c r="A150" s="14">
        <f>SUBTOTAL(3,$B$3:B150)</f>
        <v>136</v>
      </c>
      <c r="B150" s="15"/>
      <c r="C150" s="16"/>
      <c r="D150" s="17"/>
      <c r="E150" s="17"/>
      <c r="F150" s="17"/>
      <c r="G150" s="17"/>
      <c r="H150" s="18"/>
      <c r="I150" s="36"/>
      <c r="J150" s="18"/>
      <c r="K150" s="21"/>
      <c r="O150" s="24"/>
    </row>
    <row r="151" spans="1:15" ht="35.25" hidden="1" customHeight="1" x14ac:dyDescent="0.25">
      <c r="A151" s="14">
        <f>SUBTOTAL(3,$B$3:B151)</f>
        <v>136</v>
      </c>
      <c r="B151" s="15"/>
      <c r="C151" s="16"/>
      <c r="D151" s="17"/>
      <c r="E151" s="17"/>
      <c r="F151" s="17"/>
      <c r="G151" s="17"/>
      <c r="H151" s="18"/>
      <c r="I151" s="36"/>
      <c r="J151" s="18"/>
      <c r="K151" s="21"/>
      <c r="O151" s="24"/>
    </row>
    <row r="152" spans="1:15" ht="35.25" hidden="1" customHeight="1" x14ac:dyDescent="0.25">
      <c r="A152" s="14">
        <f>SUBTOTAL(3,$B$3:B152)</f>
        <v>136</v>
      </c>
      <c r="B152" s="15"/>
      <c r="C152" s="16"/>
      <c r="D152" s="17"/>
      <c r="E152" s="17"/>
      <c r="F152" s="17"/>
      <c r="G152" s="17"/>
      <c r="H152" s="18"/>
      <c r="I152" s="36"/>
      <c r="J152" s="18"/>
      <c r="K152" s="21"/>
      <c r="O152" s="24"/>
    </row>
    <row r="153" spans="1:15" ht="35.25" hidden="1" customHeight="1" x14ac:dyDescent="0.25">
      <c r="A153" s="14">
        <f>SUBTOTAL(3,$B$3:B153)</f>
        <v>136</v>
      </c>
      <c r="B153" s="15"/>
      <c r="C153" s="16"/>
      <c r="D153" s="17"/>
      <c r="E153" s="17"/>
      <c r="F153" s="17"/>
      <c r="G153" s="17"/>
      <c r="H153" s="18"/>
      <c r="I153" s="36"/>
      <c r="J153" s="18"/>
      <c r="K153" s="21"/>
      <c r="O153" s="24"/>
    </row>
    <row r="154" spans="1:15" ht="35.25" hidden="1" customHeight="1" x14ac:dyDescent="0.25">
      <c r="A154" s="14">
        <f>SUBTOTAL(3,$B$3:B154)</f>
        <v>136</v>
      </c>
      <c r="B154" s="15"/>
      <c r="C154" s="16"/>
      <c r="D154" s="17"/>
      <c r="E154" s="17"/>
      <c r="F154" s="17"/>
      <c r="G154" s="17"/>
      <c r="H154" s="18"/>
      <c r="I154" s="36"/>
      <c r="J154" s="18"/>
      <c r="K154" s="21"/>
      <c r="O154" s="24"/>
    </row>
    <row r="155" spans="1:15" ht="35.25" hidden="1" customHeight="1" x14ac:dyDescent="0.25">
      <c r="A155" s="14">
        <f>SUBTOTAL(3,$B$3:B155)</f>
        <v>136</v>
      </c>
      <c r="B155" s="15"/>
      <c r="C155" s="16"/>
      <c r="D155" s="17"/>
      <c r="E155" s="17"/>
      <c r="F155" s="17"/>
      <c r="G155" s="17"/>
      <c r="H155" s="18"/>
      <c r="I155" s="36"/>
      <c r="J155" s="18"/>
      <c r="K155" s="21"/>
      <c r="O155" s="24"/>
    </row>
    <row r="156" spans="1:15" ht="35.25" hidden="1" customHeight="1" x14ac:dyDescent="0.25">
      <c r="A156" s="14">
        <f>SUBTOTAL(3,$B$3:B156)</f>
        <v>136</v>
      </c>
      <c r="B156" s="15"/>
      <c r="C156" s="16"/>
      <c r="D156" s="17"/>
      <c r="E156" s="17"/>
      <c r="F156" s="17"/>
      <c r="G156" s="17"/>
      <c r="H156" s="18"/>
      <c r="I156" s="36"/>
      <c r="J156" s="18"/>
      <c r="K156" s="21"/>
      <c r="O156" s="24"/>
    </row>
    <row r="157" spans="1:15" ht="35.25" hidden="1" customHeight="1" x14ac:dyDescent="0.25">
      <c r="A157" s="14">
        <f>SUBTOTAL(3,$B$3:B157)</f>
        <v>136</v>
      </c>
      <c r="B157" s="15"/>
      <c r="C157" s="16"/>
      <c r="D157" s="17"/>
      <c r="E157" s="17"/>
      <c r="F157" s="17"/>
      <c r="G157" s="17"/>
      <c r="H157" s="18"/>
      <c r="I157" s="36"/>
      <c r="J157" s="18"/>
      <c r="K157" s="21"/>
      <c r="O157" s="24"/>
    </row>
    <row r="158" spans="1:15" ht="35.25" hidden="1" customHeight="1" x14ac:dyDescent="0.25">
      <c r="A158" s="14">
        <f>SUBTOTAL(3,$B$3:B158)</f>
        <v>136</v>
      </c>
      <c r="B158" s="15"/>
      <c r="C158" s="16"/>
      <c r="D158" s="17"/>
      <c r="E158" s="17"/>
      <c r="F158" s="17"/>
      <c r="G158" s="17"/>
      <c r="H158" s="18"/>
      <c r="I158" s="36"/>
      <c r="J158" s="18"/>
      <c r="K158" s="21"/>
      <c r="O158" s="24"/>
    </row>
    <row r="159" spans="1:15" ht="35.25" hidden="1" customHeight="1" x14ac:dyDescent="0.25">
      <c r="A159" s="14">
        <f>SUBTOTAL(3,$B$3:B159)</f>
        <v>136</v>
      </c>
      <c r="B159" s="15"/>
      <c r="C159" s="16"/>
      <c r="D159" s="17"/>
      <c r="E159" s="17"/>
      <c r="F159" s="17"/>
      <c r="G159" s="17"/>
      <c r="H159" s="18"/>
      <c r="I159" s="36"/>
      <c r="J159" s="18"/>
      <c r="K159" s="21"/>
      <c r="O159" s="24"/>
    </row>
    <row r="160" spans="1:15" ht="35.25" hidden="1" customHeight="1" x14ac:dyDescent="0.25">
      <c r="A160" s="14">
        <f>SUBTOTAL(3,$B$3:B160)</f>
        <v>136</v>
      </c>
      <c r="B160" s="15"/>
      <c r="C160" s="16"/>
      <c r="D160" s="17"/>
      <c r="E160" s="17"/>
      <c r="F160" s="17"/>
      <c r="G160" s="17"/>
      <c r="H160" s="18"/>
      <c r="I160" s="36"/>
      <c r="J160" s="18"/>
      <c r="K160" s="21"/>
      <c r="O160" s="24"/>
    </row>
    <row r="161" spans="1:15" ht="35.25" hidden="1" customHeight="1" x14ac:dyDescent="0.25">
      <c r="A161" s="14">
        <f>SUBTOTAL(3,$B$3:B161)</f>
        <v>136</v>
      </c>
      <c r="B161" s="15"/>
      <c r="C161" s="16"/>
      <c r="D161" s="17"/>
      <c r="E161" s="17"/>
      <c r="F161" s="17"/>
      <c r="G161" s="17"/>
      <c r="H161" s="18"/>
      <c r="I161" s="36"/>
      <c r="J161" s="18"/>
      <c r="K161" s="21"/>
      <c r="O161" s="24"/>
    </row>
    <row r="162" spans="1:15" ht="35.25" hidden="1" customHeight="1" x14ac:dyDescent="0.25">
      <c r="A162" s="14">
        <f>SUBTOTAL(3,$B$3:B162)</f>
        <v>136</v>
      </c>
      <c r="B162" s="15"/>
      <c r="C162" s="16"/>
      <c r="D162" s="17"/>
      <c r="E162" s="17"/>
      <c r="F162" s="17"/>
      <c r="G162" s="17"/>
      <c r="H162" s="18"/>
      <c r="I162" s="36"/>
      <c r="J162" s="18"/>
      <c r="K162" s="21"/>
      <c r="O162" s="24"/>
    </row>
    <row r="163" spans="1:15" ht="35.25" hidden="1" customHeight="1" x14ac:dyDescent="0.25">
      <c r="A163" s="14">
        <f>SUBTOTAL(3,$B$3:B163)</f>
        <v>136</v>
      </c>
      <c r="B163" s="15"/>
      <c r="C163" s="16"/>
      <c r="D163" s="17"/>
      <c r="E163" s="17"/>
      <c r="F163" s="17"/>
      <c r="G163" s="17"/>
      <c r="H163" s="18"/>
      <c r="I163" s="36"/>
      <c r="J163" s="18"/>
      <c r="K163" s="21"/>
      <c r="O163" s="24"/>
    </row>
    <row r="164" spans="1:15" ht="35.25" hidden="1" customHeight="1" x14ac:dyDescent="0.25">
      <c r="A164" s="14">
        <f>SUBTOTAL(3,$B$3:B164)</f>
        <v>136</v>
      </c>
      <c r="B164" s="15"/>
      <c r="C164" s="16"/>
      <c r="D164" s="17"/>
      <c r="E164" s="17"/>
      <c r="F164" s="17"/>
      <c r="G164" s="17"/>
      <c r="H164" s="18"/>
      <c r="I164" s="36"/>
      <c r="J164" s="18"/>
      <c r="K164" s="21"/>
      <c r="O164" s="24"/>
    </row>
    <row r="165" spans="1:15" ht="35.25" hidden="1" customHeight="1" x14ac:dyDescent="0.25">
      <c r="A165" s="14">
        <f>SUBTOTAL(3,$B$3:B165)</f>
        <v>136</v>
      </c>
      <c r="B165" s="15"/>
      <c r="C165" s="16"/>
      <c r="D165" s="17"/>
      <c r="E165" s="17"/>
      <c r="F165" s="17"/>
      <c r="G165" s="17"/>
      <c r="H165" s="18"/>
      <c r="I165" s="36"/>
      <c r="J165" s="18"/>
      <c r="K165" s="21"/>
      <c r="O165" s="24"/>
    </row>
    <row r="166" spans="1:15" ht="35.25" hidden="1" customHeight="1" x14ac:dyDescent="0.25">
      <c r="A166" s="14">
        <f>SUBTOTAL(3,$B$3:B166)</f>
        <v>136</v>
      </c>
      <c r="B166" s="15"/>
      <c r="C166" s="16"/>
      <c r="D166" s="17"/>
      <c r="E166" s="17"/>
      <c r="F166" s="17"/>
      <c r="G166" s="17"/>
      <c r="H166" s="18"/>
      <c r="I166" s="36"/>
      <c r="J166" s="18"/>
      <c r="K166" s="21"/>
      <c r="O166" s="24"/>
    </row>
    <row r="167" spans="1:15" ht="35.25" hidden="1" customHeight="1" x14ac:dyDescent="0.25">
      <c r="A167" s="14">
        <f>SUBTOTAL(3,$B$3:B167)</f>
        <v>136</v>
      </c>
      <c r="B167" s="15"/>
      <c r="C167" s="16"/>
      <c r="D167" s="17"/>
      <c r="E167" s="17"/>
      <c r="F167" s="17"/>
      <c r="G167" s="17"/>
      <c r="H167" s="18"/>
      <c r="I167" s="36"/>
      <c r="J167" s="18"/>
      <c r="K167" s="21"/>
      <c r="O167" s="24"/>
    </row>
    <row r="168" spans="1:15" ht="35.25" hidden="1" customHeight="1" x14ac:dyDescent="0.25">
      <c r="A168" s="14">
        <f>SUBTOTAL(3,$B$3:B168)</f>
        <v>136</v>
      </c>
      <c r="B168" s="15"/>
      <c r="C168" s="16"/>
      <c r="D168" s="17"/>
      <c r="E168" s="17"/>
      <c r="F168" s="17"/>
      <c r="G168" s="17"/>
      <c r="H168" s="18"/>
      <c r="I168" s="36"/>
      <c r="J168" s="18"/>
      <c r="K168" s="21"/>
      <c r="O168" s="24"/>
    </row>
    <row r="169" spans="1:15" ht="30" hidden="1" customHeight="1" x14ac:dyDescent="0.25">
      <c r="A169" s="14">
        <f>SUBTOTAL(3,$B$3:B169)</f>
        <v>136</v>
      </c>
      <c r="B169" s="15"/>
      <c r="C169" s="16"/>
      <c r="D169" s="17"/>
      <c r="E169" s="17"/>
      <c r="F169" s="17"/>
      <c r="G169" s="17"/>
      <c r="H169" s="18"/>
      <c r="I169" s="36"/>
      <c r="J169" s="18"/>
      <c r="K169" s="21"/>
      <c r="O169" s="24"/>
    </row>
    <row r="170" spans="1:15" ht="30" hidden="1" customHeight="1" x14ac:dyDescent="0.25">
      <c r="A170" s="14">
        <f>SUBTOTAL(3,$B$3:B170)</f>
        <v>136</v>
      </c>
      <c r="B170" s="15"/>
      <c r="C170" s="16"/>
      <c r="D170" s="17"/>
      <c r="E170" s="17"/>
      <c r="F170" s="17"/>
      <c r="G170" s="17"/>
      <c r="H170" s="18"/>
      <c r="I170" s="36"/>
      <c r="J170" s="18"/>
      <c r="K170" s="21"/>
      <c r="O170" s="24"/>
    </row>
    <row r="171" spans="1:15" ht="30" hidden="1" customHeight="1" x14ac:dyDescent="0.25">
      <c r="A171" s="14">
        <f>SUBTOTAL(3,$B$3:B171)</f>
        <v>136</v>
      </c>
      <c r="B171" s="15"/>
      <c r="C171" s="16"/>
      <c r="D171" s="17"/>
      <c r="E171" s="17"/>
      <c r="F171" s="17"/>
      <c r="G171" s="17"/>
      <c r="H171" s="18"/>
      <c r="I171" s="36"/>
      <c r="J171" s="18"/>
      <c r="K171" s="21"/>
      <c r="O171" s="24"/>
    </row>
    <row r="172" spans="1:15" ht="30" hidden="1" customHeight="1" x14ac:dyDescent="0.25">
      <c r="A172" s="14">
        <f>SUBTOTAL(3,$B$3:B172)</f>
        <v>136</v>
      </c>
      <c r="B172" s="15"/>
      <c r="C172" s="16"/>
      <c r="D172" s="17"/>
      <c r="E172" s="17"/>
      <c r="F172" s="17"/>
      <c r="G172" s="17"/>
      <c r="H172" s="18"/>
      <c r="I172" s="36"/>
      <c r="J172" s="18"/>
      <c r="K172" s="21"/>
      <c r="O172" s="24"/>
    </row>
    <row r="173" spans="1:15" ht="30" hidden="1" customHeight="1" x14ac:dyDescent="0.25">
      <c r="A173" s="14">
        <f>SUBTOTAL(3,$B$3:B173)</f>
        <v>136</v>
      </c>
      <c r="B173" s="15"/>
      <c r="C173" s="16"/>
      <c r="D173" s="17"/>
      <c r="E173" s="17"/>
      <c r="F173" s="17"/>
      <c r="G173" s="17"/>
      <c r="H173" s="18"/>
      <c r="I173" s="36"/>
      <c r="J173" s="18"/>
      <c r="K173" s="21"/>
      <c r="O173" s="24"/>
    </row>
    <row r="174" spans="1:15" ht="30" hidden="1" customHeight="1" x14ac:dyDescent="0.25">
      <c r="A174" s="14">
        <f>SUBTOTAL(3,$B$3:B174)</f>
        <v>136</v>
      </c>
      <c r="B174" s="15"/>
      <c r="C174" s="16"/>
      <c r="D174" s="17"/>
      <c r="E174" s="17"/>
      <c r="F174" s="17"/>
      <c r="G174" s="17"/>
      <c r="H174" s="18"/>
      <c r="I174" s="36"/>
      <c r="J174" s="18"/>
      <c r="K174" s="21"/>
      <c r="O174" s="24"/>
    </row>
    <row r="175" spans="1:15" ht="30" hidden="1" customHeight="1" x14ac:dyDescent="0.25">
      <c r="A175" s="14">
        <f>SUBTOTAL(3,$B$3:B175)</f>
        <v>136</v>
      </c>
      <c r="B175" s="15"/>
      <c r="C175" s="16"/>
      <c r="D175" s="17"/>
      <c r="E175" s="17"/>
      <c r="F175" s="17"/>
      <c r="G175" s="17"/>
      <c r="H175" s="18"/>
      <c r="I175" s="36"/>
      <c r="J175" s="18"/>
      <c r="K175" s="21"/>
      <c r="O175" s="24"/>
    </row>
    <row r="176" spans="1:15" ht="30" hidden="1" customHeight="1" x14ac:dyDescent="0.25">
      <c r="A176" s="14">
        <f>SUBTOTAL(3,$B$3:B176)</f>
        <v>136</v>
      </c>
      <c r="B176" s="15"/>
      <c r="C176" s="16"/>
      <c r="D176" s="17"/>
      <c r="E176" s="17"/>
      <c r="F176" s="17"/>
      <c r="G176" s="17"/>
      <c r="H176" s="18"/>
      <c r="I176" s="36"/>
      <c r="J176" s="18"/>
      <c r="K176" s="21"/>
      <c r="O176" s="24"/>
    </row>
    <row r="177" spans="1:15" ht="30" hidden="1" customHeight="1" x14ac:dyDescent="0.25">
      <c r="A177" s="14">
        <f>SUBTOTAL(3,$B$3:B177)</f>
        <v>136</v>
      </c>
      <c r="B177" s="15"/>
      <c r="C177" s="16"/>
      <c r="D177" s="17"/>
      <c r="E177" s="17"/>
      <c r="F177" s="17"/>
      <c r="G177" s="17"/>
      <c r="H177" s="18"/>
      <c r="I177" s="36"/>
      <c r="J177" s="18"/>
      <c r="K177" s="21"/>
      <c r="O177" s="24"/>
    </row>
    <row r="178" spans="1:15" ht="30" hidden="1" customHeight="1" x14ac:dyDescent="0.25">
      <c r="A178" s="38">
        <f>SUBTOTAL(3,$B$3:B178)</f>
        <v>136</v>
      </c>
      <c r="B178" s="39"/>
      <c r="C178" s="40"/>
      <c r="D178" s="41"/>
      <c r="E178" s="41"/>
      <c r="F178" s="41"/>
      <c r="G178" s="41"/>
      <c r="H178" s="42"/>
      <c r="I178" s="43"/>
      <c r="J178" s="42"/>
      <c r="K178" s="44"/>
      <c r="O178" s="24"/>
    </row>
    <row r="179" spans="1:15" s="50" customFormat="1" ht="30" customHeight="1" x14ac:dyDescent="0.25">
      <c r="A179" s="45" t="s">
        <v>443</v>
      </c>
      <c r="B179" s="46"/>
      <c r="C179" s="46"/>
      <c r="D179" s="46"/>
      <c r="E179" s="46"/>
      <c r="F179" s="46"/>
      <c r="G179" s="46"/>
      <c r="H179" s="47"/>
      <c r="I179" s="48">
        <f>SUBTOTAL(109,I3:I178)</f>
        <v>5048000</v>
      </c>
      <c r="J179" s="49"/>
      <c r="K179" s="49"/>
      <c r="M179" s="51"/>
      <c r="N179" s="52"/>
      <c r="O179" s="53"/>
    </row>
    <row r="180" spans="1:15" ht="30.75" customHeight="1" x14ac:dyDescent="0.3"/>
    <row r="181" spans="1:15" ht="30.75" customHeight="1" x14ac:dyDescent="0.3"/>
    <row r="182" spans="1:15" ht="30.75" customHeight="1" x14ac:dyDescent="0.3"/>
    <row r="183" spans="1:15" ht="30.75" customHeight="1" x14ac:dyDescent="0.3"/>
    <row r="184" spans="1:15" ht="30.75" customHeight="1" x14ac:dyDescent="0.3"/>
    <row r="185" spans="1:15" ht="30.75" customHeight="1" x14ac:dyDescent="0.3"/>
    <row r="186" spans="1:15" ht="30.75" customHeight="1" x14ac:dyDescent="0.3"/>
    <row r="187" spans="1:15" ht="30.75" customHeight="1" x14ac:dyDescent="0.3"/>
    <row r="188" spans="1:15" ht="30.75" customHeight="1" x14ac:dyDescent="0.3"/>
    <row r="189" spans="1:15" ht="30.75" customHeight="1" x14ac:dyDescent="0.3"/>
    <row r="190" spans="1:15" ht="30.75" customHeight="1" x14ac:dyDescent="0.3"/>
    <row r="191" spans="1:15" ht="30.75" customHeight="1" x14ac:dyDescent="0.3"/>
    <row r="192" spans="1:15" ht="30.75" customHeight="1" x14ac:dyDescent="0.3"/>
    <row r="193" spans="9:9" ht="30.75" customHeight="1" x14ac:dyDescent="0.3"/>
    <row r="194" spans="9:9" ht="30.75" customHeight="1" x14ac:dyDescent="0.3"/>
    <row r="195" spans="9:9" ht="30.75" customHeight="1" x14ac:dyDescent="0.3"/>
    <row r="196" spans="9:9" ht="30.75" customHeight="1" x14ac:dyDescent="0.3">
      <c r="I196" s="58"/>
    </row>
    <row r="197" spans="9:9" ht="41.25" customHeight="1" x14ac:dyDescent="0.3"/>
    <row r="198" spans="9:9" ht="41.25" customHeight="1" x14ac:dyDescent="0.3"/>
    <row r="199" spans="9:9" ht="41.25" customHeight="1" x14ac:dyDescent="0.3"/>
    <row r="206" spans="9:9" ht="41.25" customHeight="1" x14ac:dyDescent="0.3"/>
    <row r="207" spans="9:9" ht="41.25" customHeight="1" x14ac:dyDescent="0.3"/>
    <row r="215" ht="41.25" customHeight="1" x14ac:dyDescent="0.3"/>
  </sheetData>
  <mergeCells count="2">
    <mergeCell ref="B1:J1"/>
    <mergeCell ref="A179:H17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2026-06-11T03:50:20Z</dcterms:created>
  <dcterms:modified xsi:type="dcterms:W3CDTF">2026-06-11T03:51:01Z</dcterms:modified>
</cp:coreProperties>
</file>