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5721A2FA-37D5-4D02-AC9B-02E7CC61362E}" xr6:coauthVersionLast="47" xr6:coauthVersionMax="47" xr10:uidLastSave="{00000000-0000-0000-0000-000000000000}"/>
  <bookViews>
    <workbookView xWindow="-120" yWindow="-120" windowWidth="29040" windowHeight="15840" firstSheet="1" activeTab="2" xr2:uid="{EC167348-49AB-4F8D-A9B3-6B96B78AD13C}"/>
  </bookViews>
  <sheets>
    <sheet name="Kangatang" sheetId="10" state="veryHidden" r:id=""/>
    <sheet name="Tóm tắt CP" sheetId="5" r:id="rId1"/>
    <sheet name="Chi tiết" sheetId="1" r:id="rId2"/>
    <sheet name="Doanh thu CN" sheetId="3" r:id="rId3"/>
    <sheet name="KM sử dụng T5" sheetId="6" r:id="rId4"/>
    <sheet name="Đơn giá SCBD" sheetId="4" r:id="rId5"/>
    <sheet name="VPP" sheetId="7" r:id="rId6"/>
    <sheet name="PTQL" sheetId="8" r:id="rId7"/>
  </sheets>
  <definedNames>
    <definedName name="_xlnm._FilterDatabase" localSheetId="2" hidden="1">'Chi tiết'!$A$1:$P$294</definedName>
  </definedNames>
  <calcPr calcId="191029"/>
  <pivotCaches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L20" i="1"/>
  <c r="M5" i="3"/>
  <c r="O20" i="1"/>
  <c r="O21" i="1"/>
  <c r="N21" i="1"/>
  <c r="O22" i="1"/>
  <c r="N22" i="1"/>
  <c r="A20" i="1"/>
  <c r="A21" i="1"/>
  <c r="A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A123" i="1"/>
  <c r="A124" i="1"/>
  <c r="A125" i="1"/>
  <c r="J123" i="1"/>
  <c r="L123" i="1"/>
  <c r="J124" i="1"/>
  <c r="L124" i="1"/>
  <c r="N124" i="1"/>
  <c r="J125" i="1"/>
  <c r="L125" i="1"/>
  <c r="N125" i="1"/>
  <c r="J144" i="1"/>
  <c r="L144" i="1"/>
  <c r="N144" i="1"/>
  <c r="J145" i="1"/>
  <c r="L145" i="1"/>
  <c r="N145" i="1"/>
  <c r="J146" i="1"/>
  <c r="L146" i="1"/>
  <c r="N146" i="1"/>
  <c r="J164" i="1"/>
  <c r="L164" i="1"/>
  <c r="N164" i="1"/>
  <c r="J165" i="1"/>
  <c r="L165" i="1"/>
  <c r="N165" i="1"/>
  <c r="J166" i="1"/>
  <c r="L166" i="1"/>
  <c r="J167" i="1"/>
  <c r="L167" i="1"/>
  <c r="N167" i="1"/>
  <c r="J185" i="1"/>
  <c r="L185" i="1"/>
  <c r="N185" i="1"/>
  <c r="J186" i="1"/>
  <c r="L186" i="1"/>
  <c r="J187" i="1"/>
  <c r="L187" i="1"/>
  <c r="N187" i="1"/>
  <c r="J188" i="1"/>
  <c r="L188" i="1"/>
  <c r="A144" i="1"/>
  <c r="A145" i="1"/>
  <c r="A146" i="1"/>
  <c r="A165" i="1"/>
  <c r="A166" i="1"/>
  <c r="A167" i="1"/>
  <c r="A186" i="1"/>
  <c r="A187" i="1"/>
  <c r="A188" i="1"/>
  <c r="J121" i="1"/>
  <c r="J122" i="1"/>
  <c r="L122" i="1"/>
  <c r="J126" i="1"/>
  <c r="J127" i="1"/>
  <c r="J128" i="1"/>
  <c r="J129" i="1"/>
  <c r="L129" i="1"/>
  <c r="N129" i="1"/>
  <c r="J130" i="1"/>
  <c r="J131" i="1"/>
  <c r="J132" i="1"/>
  <c r="J133" i="1"/>
  <c r="J134" i="1"/>
  <c r="L134" i="1"/>
  <c r="N134" i="1"/>
  <c r="J135" i="1"/>
  <c r="L135" i="1"/>
  <c r="J136" i="1"/>
  <c r="J137" i="1"/>
  <c r="L137" i="1"/>
  <c r="N137" i="1"/>
  <c r="J138" i="1"/>
  <c r="L138" i="1"/>
  <c r="N138" i="1"/>
  <c r="J139" i="1"/>
  <c r="J140" i="1"/>
  <c r="J141" i="1"/>
  <c r="L141" i="1"/>
  <c r="N141" i="1"/>
  <c r="J142" i="1"/>
  <c r="J143" i="1"/>
  <c r="J147" i="1"/>
  <c r="J148" i="1"/>
  <c r="J149" i="1"/>
  <c r="J150" i="1"/>
  <c r="J151" i="1"/>
  <c r="J152" i="1"/>
  <c r="L152" i="1"/>
  <c r="N152" i="1"/>
  <c r="J153" i="1"/>
  <c r="J154" i="1"/>
  <c r="J155" i="1"/>
  <c r="J156" i="1"/>
  <c r="J157" i="1"/>
  <c r="J158" i="1"/>
  <c r="J159" i="1"/>
  <c r="J160" i="1"/>
  <c r="J161" i="1"/>
  <c r="J162" i="1"/>
  <c r="J163" i="1"/>
  <c r="J168" i="1"/>
  <c r="L168" i="1"/>
  <c r="N168" i="1"/>
  <c r="J169" i="1"/>
  <c r="L169" i="1"/>
  <c r="N169" i="1"/>
  <c r="J170" i="1"/>
  <c r="J171" i="1"/>
  <c r="J172" i="1"/>
  <c r="J173" i="1"/>
  <c r="J174" i="1"/>
  <c r="J175" i="1"/>
  <c r="J176" i="1"/>
  <c r="J177" i="1"/>
  <c r="J178" i="1"/>
  <c r="J179" i="1"/>
  <c r="J180" i="1"/>
  <c r="L180" i="1"/>
  <c r="N180" i="1"/>
  <c r="J181" i="1"/>
  <c r="L181" i="1"/>
  <c r="N181" i="1"/>
  <c r="J182" i="1"/>
  <c r="J183" i="1"/>
  <c r="J184" i="1"/>
  <c r="J120" i="1"/>
  <c r="L292" i="1"/>
  <c r="A272" i="1"/>
  <c r="O272" i="1"/>
  <c r="N272" i="1"/>
  <c r="A273" i="1"/>
  <c r="O273" i="1"/>
  <c r="N273" i="1"/>
  <c r="A274" i="1"/>
  <c r="O274" i="1"/>
  <c r="N274" i="1"/>
  <c r="A275" i="1"/>
  <c r="O275" i="1"/>
  <c r="N275" i="1"/>
  <c r="A276" i="1"/>
  <c r="O276" i="1"/>
  <c r="N276" i="1"/>
  <c r="A277" i="1"/>
  <c r="O277" i="1"/>
  <c r="N277" i="1"/>
  <c r="O265" i="1"/>
  <c r="N265" i="1"/>
  <c r="O266" i="1"/>
  <c r="N266" i="1"/>
  <c r="O267" i="1"/>
  <c r="N267" i="1"/>
  <c r="A266" i="1"/>
  <c r="A267" i="1"/>
  <c r="A214" i="1"/>
  <c r="O214" i="1"/>
  <c r="N214" i="1"/>
  <c r="A215" i="1"/>
  <c r="O215" i="1"/>
  <c r="N215" i="1"/>
  <c r="A216" i="1"/>
  <c r="O216" i="1"/>
  <c r="N216" i="1"/>
  <c r="A217" i="1"/>
  <c r="O217" i="1"/>
  <c r="N217" i="1"/>
  <c r="A192" i="1"/>
  <c r="O192" i="1"/>
  <c r="N192" i="1"/>
  <c r="A193" i="1"/>
  <c r="O193" i="1"/>
  <c r="N193" i="1"/>
  <c r="A194" i="1"/>
  <c r="O194" i="1"/>
  <c r="N194" i="1"/>
  <c r="A195" i="1"/>
  <c r="O195" i="1"/>
  <c r="N195" i="1"/>
  <c r="A196" i="1"/>
  <c r="O196" i="1"/>
  <c r="N196" i="1"/>
  <c r="A197" i="1"/>
  <c r="O197" i="1"/>
  <c r="N197" i="1"/>
  <c r="A198" i="1"/>
  <c r="O198" i="1"/>
  <c r="N198" i="1"/>
  <c r="A199" i="1"/>
  <c r="O199" i="1"/>
  <c r="N199" i="1"/>
  <c r="A200" i="1"/>
  <c r="O200" i="1"/>
  <c r="N200" i="1"/>
  <c r="A201" i="1"/>
  <c r="O201" i="1"/>
  <c r="N201" i="1"/>
  <c r="A202" i="1"/>
  <c r="O202" i="1"/>
  <c r="N202" i="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" i="6"/>
  <c r="Q23" i="7"/>
  <c r="A264" i="1"/>
  <c r="A265" i="1"/>
  <c r="O264" i="1"/>
  <c r="N264" i="1"/>
  <c r="O246" i="1"/>
  <c r="N246" i="1"/>
  <c r="A246" i="1"/>
  <c r="O242" i="1"/>
  <c r="N242" i="1"/>
  <c r="O243" i="1"/>
  <c r="N243" i="1"/>
  <c r="O244" i="1"/>
  <c r="N244" i="1"/>
  <c r="O245" i="1"/>
  <c r="N245" i="1"/>
  <c r="A242" i="1"/>
  <c r="A243" i="1"/>
  <c r="A244" i="1"/>
  <c r="A245" i="1"/>
  <c r="O289" i="1"/>
  <c r="N289" i="1"/>
  <c r="A289" i="1"/>
  <c r="A278" i="1"/>
  <c r="O278" i="1"/>
  <c r="N278" i="1"/>
  <c r="A279" i="1"/>
  <c r="O279" i="1"/>
  <c r="N279" i="1"/>
  <c r="A280" i="1"/>
  <c r="O280" i="1"/>
  <c r="N280" i="1"/>
  <c r="A281" i="1"/>
  <c r="O281" i="1"/>
  <c r="N281" i="1"/>
  <c r="A282" i="1"/>
  <c r="O282" i="1"/>
  <c r="N282" i="1"/>
  <c r="A271" i="1"/>
  <c r="O271" i="1"/>
  <c r="N271" i="1"/>
  <c r="A283" i="1"/>
  <c r="O283" i="1"/>
  <c r="N283" i="1"/>
  <c r="A284" i="1"/>
  <c r="O284" i="1"/>
  <c r="N284" i="1"/>
  <c r="A249" i="1"/>
  <c r="O249" i="1"/>
  <c r="N249" i="1"/>
  <c r="A250" i="1"/>
  <c r="O250" i="1"/>
  <c r="N250" i="1"/>
  <c r="A251" i="1"/>
  <c r="O251" i="1"/>
  <c r="N251" i="1"/>
  <c r="A252" i="1"/>
  <c r="O252" i="1"/>
  <c r="N252" i="1"/>
  <c r="A253" i="1"/>
  <c r="O253" i="1"/>
  <c r="N253" i="1"/>
  <c r="A254" i="1"/>
  <c r="O254" i="1"/>
  <c r="N254" i="1"/>
  <c r="A255" i="1"/>
  <c r="O255" i="1"/>
  <c r="N255" i="1"/>
  <c r="A256" i="1"/>
  <c r="O256" i="1"/>
  <c r="N256" i="1"/>
  <c r="A257" i="1"/>
  <c r="O257" i="1"/>
  <c r="N257" i="1"/>
  <c r="A258" i="1"/>
  <c r="O258" i="1"/>
  <c r="N258" i="1"/>
  <c r="A259" i="1"/>
  <c r="O259" i="1"/>
  <c r="N259" i="1"/>
  <c r="A260" i="1"/>
  <c r="O260" i="1"/>
  <c r="N260" i="1"/>
  <c r="O295" i="1"/>
  <c r="N295" i="1"/>
  <c r="A295" i="1"/>
  <c r="O288" i="1"/>
  <c r="N288" i="1"/>
  <c r="O290" i="1"/>
  <c r="N290" i="1"/>
  <c r="O291" i="1"/>
  <c r="N291" i="1"/>
  <c r="O292" i="1"/>
  <c r="N292" i="1"/>
  <c r="O293" i="1"/>
  <c r="N293" i="1"/>
  <c r="O294" i="1"/>
  <c r="N294" i="1"/>
  <c r="A269" i="1"/>
  <c r="A270" i="1"/>
  <c r="A285" i="1"/>
  <c r="A286" i="1"/>
  <c r="A287" i="1"/>
  <c r="A288" i="1"/>
  <c r="A290" i="1"/>
  <c r="A291" i="1"/>
  <c r="A292" i="1"/>
  <c r="A293" i="1"/>
  <c r="A294" i="1"/>
  <c r="F17" i="4"/>
  <c r="F16" i="4"/>
  <c r="F15" i="4"/>
  <c r="F14" i="4"/>
  <c r="F13" i="4"/>
  <c r="F12" i="4"/>
  <c r="F11" i="4"/>
  <c r="F10" i="4"/>
  <c r="F9" i="4"/>
  <c r="F8" i="4"/>
  <c r="F7" i="4"/>
  <c r="F6" i="4"/>
  <c r="F4" i="4"/>
  <c r="F3" i="4"/>
  <c r="F2" i="4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9" i="1"/>
  <c r="A190" i="1"/>
  <c r="A191" i="1"/>
  <c r="A203" i="1"/>
  <c r="A204" i="1"/>
  <c r="A205" i="1"/>
  <c r="A206" i="1"/>
  <c r="A207" i="1"/>
  <c r="A208" i="1"/>
  <c r="A209" i="1"/>
  <c r="A210" i="1"/>
  <c r="A211" i="1"/>
  <c r="A212" i="1"/>
  <c r="A213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7" i="1"/>
  <c r="A248" i="1"/>
  <c r="A261" i="1"/>
  <c r="A262" i="1"/>
  <c r="A263" i="1"/>
  <c r="A268" i="1"/>
  <c r="A2" i="1"/>
  <c r="O3" i="1"/>
  <c r="N3" i="1"/>
  <c r="O4" i="1"/>
  <c r="N4" i="1"/>
  <c r="O5" i="1"/>
  <c r="N5" i="1"/>
  <c r="O6" i="1"/>
  <c r="N6" i="1"/>
  <c r="O7" i="1"/>
  <c r="N7" i="1"/>
  <c r="O8" i="1"/>
  <c r="N8" i="1"/>
  <c r="O9" i="1"/>
  <c r="N9" i="1"/>
  <c r="O10" i="1"/>
  <c r="N10" i="1"/>
  <c r="O11" i="1"/>
  <c r="N11" i="1"/>
  <c r="O12" i="1"/>
  <c r="N12" i="1"/>
  <c r="O13" i="1"/>
  <c r="N13" i="1"/>
  <c r="O14" i="1"/>
  <c r="N14" i="1"/>
  <c r="O15" i="1"/>
  <c r="N15" i="1"/>
  <c r="O16" i="1"/>
  <c r="N16" i="1"/>
  <c r="O17" i="1"/>
  <c r="N17" i="1"/>
  <c r="O18" i="1"/>
  <c r="N18" i="1"/>
  <c r="O19" i="1"/>
  <c r="N19" i="1"/>
  <c r="O23" i="1"/>
  <c r="N23" i="1"/>
  <c r="O24" i="1"/>
  <c r="N24" i="1"/>
  <c r="O25" i="1"/>
  <c r="N25" i="1"/>
  <c r="O26" i="1"/>
  <c r="N26" i="1"/>
  <c r="O27" i="1"/>
  <c r="N27" i="1"/>
  <c r="O28" i="1"/>
  <c r="N28" i="1"/>
  <c r="O29" i="1"/>
  <c r="N29" i="1"/>
  <c r="O30" i="1"/>
  <c r="N30" i="1"/>
  <c r="O31" i="1"/>
  <c r="N31" i="1"/>
  <c r="O32" i="1"/>
  <c r="N32" i="1"/>
  <c r="O33" i="1"/>
  <c r="N33" i="1"/>
  <c r="O34" i="1"/>
  <c r="N34" i="1"/>
  <c r="O35" i="1"/>
  <c r="N35" i="1"/>
  <c r="O36" i="1"/>
  <c r="N36" i="1"/>
  <c r="O37" i="1"/>
  <c r="N37" i="1"/>
  <c r="O38" i="1"/>
  <c r="N38" i="1"/>
  <c r="O39" i="1"/>
  <c r="N39" i="1"/>
  <c r="O40" i="1"/>
  <c r="N40" i="1"/>
  <c r="O41" i="1"/>
  <c r="N41" i="1"/>
  <c r="O42" i="1"/>
  <c r="N42" i="1"/>
  <c r="O43" i="1"/>
  <c r="N43" i="1"/>
  <c r="O44" i="1"/>
  <c r="N44" i="1"/>
  <c r="O45" i="1"/>
  <c r="N45" i="1"/>
  <c r="O46" i="1"/>
  <c r="N46" i="1"/>
  <c r="O47" i="1"/>
  <c r="N47" i="1"/>
  <c r="O48" i="1"/>
  <c r="N48" i="1"/>
  <c r="O49" i="1"/>
  <c r="N49" i="1"/>
  <c r="O50" i="1"/>
  <c r="N50" i="1"/>
  <c r="O51" i="1"/>
  <c r="N51" i="1"/>
  <c r="O52" i="1"/>
  <c r="N52" i="1"/>
  <c r="O53" i="1"/>
  <c r="N53" i="1"/>
  <c r="O54" i="1"/>
  <c r="N54" i="1"/>
  <c r="O55" i="1"/>
  <c r="N55" i="1"/>
  <c r="O56" i="1"/>
  <c r="N56" i="1"/>
  <c r="O57" i="1"/>
  <c r="N57" i="1"/>
  <c r="O58" i="1"/>
  <c r="N58" i="1"/>
  <c r="O59" i="1"/>
  <c r="N59" i="1"/>
  <c r="O60" i="1"/>
  <c r="N60" i="1"/>
  <c r="O61" i="1"/>
  <c r="N61" i="1"/>
  <c r="O62" i="1"/>
  <c r="N62" i="1"/>
  <c r="O63" i="1"/>
  <c r="N63" i="1"/>
  <c r="O64" i="1"/>
  <c r="N64" i="1"/>
  <c r="O65" i="1"/>
  <c r="N65" i="1"/>
  <c r="O66" i="1"/>
  <c r="N66" i="1"/>
  <c r="O67" i="1"/>
  <c r="N67" i="1"/>
  <c r="O68" i="1"/>
  <c r="N68" i="1"/>
  <c r="O69" i="1"/>
  <c r="N69" i="1"/>
  <c r="O70" i="1"/>
  <c r="N70" i="1"/>
  <c r="O71" i="1"/>
  <c r="N71" i="1"/>
  <c r="O72" i="1"/>
  <c r="N72" i="1"/>
  <c r="O73" i="1"/>
  <c r="N73" i="1"/>
  <c r="O74" i="1"/>
  <c r="N74" i="1"/>
  <c r="O75" i="1"/>
  <c r="N75" i="1"/>
  <c r="O76" i="1"/>
  <c r="N76" i="1"/>
  <c r="O77" i="1"/>
  <c r="N77" i="1"/>
  <c r="O78" i="1"/>
  <c r="N78" i="1"/>
  <c r="O79" i="1"/>
  <c r="N79" i="1"/>
  <c r="O80" i="1"/>
  <c r="N80" i="1"/>
  <c r="O81" i="1"/>
  <c r="N81" i="1"/>
  <c r="O82" i="1"/>
  <c r="N82" i="1"/>
  <c r="O83" i="1"/>
  <c r="N83" i="1"/>
  <c r="O84" i="1"/>
  <c r="N84" i="1"/>
  <c r="O85" i="1"/>
  <c r="N85" i="1"/>
  <c r="O86" i="1"/>
  <c r="N86" i="1"/>
  <c r="O87" i="1"/>
  <c r="N87" i="1"/>
  <c r="O88" i="1"/>
  <c r="N88" i="1"/>
  <c r="O89" i="1"/>
  <c r="N89" i="1"/>
  <c r="O90" i="1"/>
  <c r="N90" i="1"/>
  <c r="O91" i="1"/>
  <c r="N91" i="1"/>
  <c r="O92" i="1"/>
  <c r="N92" i="1"/>
  <c r="O93" i="1"/>
  <c r="N93" i="1"/>
  <c r="O94" i="1"/>
  <c r="N94" i="1"/>
  <c r="O95" i="1"/>
  <c r="N95" i="1"/>
  <c r="O96" i="1"/>
  <c r="N96" i="1"/>
  <c r="O97" i="1"/>
  <c r="N97" i="1"/>
  <c r="O98" i="1"/>
  <c r="N98" i="1"/>
  <c r="O99" i="1"/>
  <c r="N99" i="1"/>
  <c r="O100" i="1"/>
  <c r="N100" i="1"/>
  <c r="O101" i="1"/>
  <c r="N101" i="1"/>
  <c r="O102" i="1"/>
  <c r="N102" i="1"/>
  <c r="O103" i="1"/>
  <c r="N103" i="1"/>
  <c r="O104" i="1"/>
  <c r="N104" i="1"/>
  <c r="O105" i="1"/>
  <c r="N105" i="1"/>
  <c r="O106" i="1"/>
  <c r="N106" i="1"/>
  <c r="O107" i="1"/>
  <c r="N107" i="1"/>
  <c r="O108" i="1"/>
  <c r="N108" i="1"/>
  <c r="O109" i="1"/>
  <c r="N109" i="1"/>
  <c r="O110" i="1"/>
  <c r="N110" i="1"/>
  <c r="O111" i="1"/>
  <c r="N111" i="1"/>
  <c r="O112" i="1"/>
  <c r="N112" i="1"/>
  <c r="O113" i="1"/>
  <c r="N113" i="1"/>
  <c r="O114" i="1"/>
  <c r="N114" i="1"/>
  <c r="O115" i="1"/>
  <c r="N115" i="1"/>
  <c r="O116" i="1"/>
  <c r="N116" i="1"/>
  <c r="O117" i="1"/>
  <c r="N117" i="1"/>
  <c r="O118" i="1"/>
  <c r="N118" i="1"/>
  <c r="O119" i="1"/>
  <c r="N119" i="1"/>
  <c r="O120" i="1"/>
  <c r="O121" i="1"/>
  <c r="O122" i="1"/>
  <c r="O189" i="1"/>
  <c r="N189" i="1"/>
  <c r="O190" i="1"/>
  <c r="N190" i="1"/>
  <c r="O191" i="1"/>
  <c r="N191" i="1"/>
  <c r="O203" i="1"/>
  <c r="N203" i="1"/>
  <c r="O204" i="1"/>
  <c r="N204" i="1"/>
  <c r="O205" i="1"/>
  <c r="N205" i="1"/>
  <c r="O206" i="1"/>
  <c r="N206" i="1"/>
  <c r="O207" i="1"/>
  <c r="N207" i="1"/>
  <c r="O208" i="1"/>
  <c r="N208" i="1"/>
  <c r="O209" i="1"/>
  <c r="N209" i="1"/>
  <c r="O210" i="1"/>
  <c r="N210" i="1"/>
  <c r="O211" i="1"/>
  <c r="N211" i="1"/>
  <c r="O212" i="1"/>
  <c r="N212" i="1"/>
  <c r="O213" i="1"/>
  <c r="N213" i="1"/>
  <c r="O218" i="1"/>
  <c r="N218" i="1"/>
  <c r="O219" i="1"/>
  <c r="N219" i="1"/>
  <c r="O220" i="1"/>
  <c r="N220" i="1"/>
  <c r="O221" i="1"/>
  <c r="N221" i="1"/>
  <c r="O222" i="1"/>
  <c r="N222" i="1"/>
  <c r="O223" i="1"/>
  <c r="N223" i="1"/>
  <c r="O224" i="1"/>
  <c r="N224" i="1"/>
  <c r="O225" i="1"/>
  <c r="N225" i="1"/>
  <c r="O226" i="1"/>
  <c r="N226" i="1"/>
  <c r="O227" i="1"/>
  <c r="N227" i="1"/>
  <c r="O228" i="1"/>
  <c r="N228" i="1"/>
  <c r="O229" i="1"/>
  <c r="N229" i="1"/>
  <c r="O230" i="1"/>
  <c r="N230" i="1"/>
  <c r="O231" i="1"/>
  <c r="N231" i="1"/>
  <c r="O232" i="1"/>
  <c r="N232" i="1"/>
  <c r="O233" i="1"/>
  <c r="N233" i="1"/>
  <c r="O234" i="1"/>
  <c r="N234" i="1"/>
  <c r="O235" i="1"/>
  <c r="N235" i="1"/>
  <c r="O236" i="1"/>
  <c r="N236" i="1"/>
  <c r="O237" i="1"/>
  <c r="N237" i="1"/>
  <c r="O238" i="1"/>
  <c r="N238" i="1"/>
  <c r="O239" i="1"/>
  <c r="N239" i="1"/>
  <c r="O240" i="1"/>
  <c r="N240" i="1"/>
  <c r="O241" i="1"/>
  <c r="N241" i="1"/>
  <c r="O247" i="1"/>
  <c r="N247" i="1"/>
  <c r="O248" i="1"/>
  <c r="N248" i="1"/>
  <c r="O261" i="1"/>
  <c r="N261" i="1"/>
  <c r="O262" i="1"/>
  <c r="N262" i="1"/>
  <c r="O263" i="1"/>
  <c r="N263" i="1"/>
  <c r="O268" i="1"/>
  <c r="N268" i="1"/>
  <c r="O269" i="1"/>
  <c r="N269" i="1"/>
  <c r="O270" i="1"/>
  <c r="N270" i="1"/>
  <c r="O285" i="1"/>
  <c r="N285" i="1"/>
  <c r="O286" i="1"/>
  <c r="N286" i="1"/>
  <c r="O287" i="1"/>
  <c r="N287" i="1"/>
  <c r="O2" i="1"/>
  <c r="N2" i="1"/>
  <c r="L121" i="1"/>
  <c r="L120" i="1"/>
  <c r="L143" i="1"/>
  <c r="N143" i="1"/>
  <c r="L142" i="1"/>
  <c r="L140" i="1"/>
  <c r="L139" i="1"/>
  <c r="N139" i="1"/>
  <c r="L136" i="1"/>
  <c r="N136" i="1"/>
  <c r="L133" i="1"/>
  <c r="N133" i="1"/>
  <c r="L132" i="1"/>
  <c r="N132" i="1"/>
  <c r="L131" i="1"/>
  <c r="N131" i="1"/>
  <c r="L130" i="1"/>
  <c r="N130" i="1"/>
  <c r="L128" i="1"/>
  <c r="N128" i="1"/>
  <c r="L127" i="1"/>
  <c r="N127" i="1"/>
  <c r="L126" i="1"/>
  <c r="N126" i="1"/>
  <c r="L163" i="1"/>
  <c r="N163" i="1"/>
  <c r="L162" i="1"/>
  <c r="L161" i="1"/>
  <c r="N161" i="1"/>
  <c r="L160" i="1"/>
  <c r="N160" i="1"/>
  <c r="L159" i="1"/>
  <c r="L158" i="1"/>
  <c r="N158" i="1"/>
  <c r="L157" i="1"/>
  <c r="N157" i="1"/>
  <c r="L156" i="1"/>
  <c r="N156" i="1"/>
  <c r="L155" i="1"/>
  <c r="N155" i="1"/>
  <c r="L154" i="1"/>
  <c r="N154" i="1"/>
  <c r="L153" i="1"/>
  <c r="N153" i="1"/>
  <c r="L151" i="1"/>
  <c r="N151" i="1"/>
  <c r="L150" i="1"/>
  <c r="N150" i="1"/>
  <c r="L149" i="1"/>
  <c r="N149" i="1"/>
  <c r="L148" i="1"/>
  <c r="N148" i="1"/>
  <c r="L147" i="1"/>
  <c r="L184" i="1"/>
  <c r="N184" i="1"/>
  <c r="L183" i="1"/>
  <c r="L182" i="1"/>
  <c r="L179" i="1"/>
  <c r="N179" i="1"/>
  <c r="L178" i="1"/>
  <c r="N178" i="1"/>
  <c r="L177" i="1"/>
  <c r="N177" i="1"/>
  <c r="L176" i="1"/>
  <c r="N176" i="1"/>
  <c r="L175" i="1"/>
  <c r="N175" i="1"/>
  <c r="L174" i="1"/>
  <c r="N174" i="1"/>
  <c r="L173" i="1"/>
  <c r="N173" i="1"/>
  <c r="L172" i="1"/>
  <c r="N172" i="1"/>
  <c r="L171" i="1"/>
  <c r="L170" i="1"/>
  <c r="N170" i="1"/>
  <c r="N121" i="1"/>
  <c r="N182" i="1"/>
  <c r="N20" i="1"/>
  <c r="N135" i="1"/>
  <c r="N123" i="1"/>
  <c r="N183" i="1"/>
  <c r="N159" i="1"/>
  <c r="N171" i="1"/>
  <c r="N147" i="1"/>
  <c r="N188" i="1"/>
  <c r="N140" i="1"/>
  <c r="N122" i="1"/>
  <c r="N120" i="1"/>
  <c r="N298" i="1"/>
  <c r="N166" i="1"/>
  <c r="N142" i="1"/>
  <c r="N162" i="1"/>
  <c r="N186" i="1"/>
</calcChain>
</file>

<file path=xl/sharedStrings.xml><?xml version="1.0" encoding="utf-8"?>
<sst xmlns="http://schemas.openxmlformats.org/spreadsheetml/2006/main" count="2696" uniqueCount="328">
  <si>
    <t>STT</t>
  </si>
  <si>
    <t>Tháng</t>
  </si>
  <si>
    <t>Tỉnh</t>
  </si>
  <si>
    <t>Nhóm CP</t>
  </si>
  <si>
    <t>Hạng mục chi</t>
  </si>
  <si>
    <t>Diễn giải chi tiết</t>
  </si>
  <si>
    <t>Tính chất chi phí</t>
  </si>
  <si>
    <t>Phân loại phương tiện/ Chức danh nhân sự</t>
  </si>
  <si>
    <t>KM hoạt động</t>
  </si>
  <si>
    <t>Ngày phát sinh chi phí</t>
  </si>
  <si>
    <t>Tổng số tiền (VNĐ)</t>
  </si>
  <si>
    <t>Số tháng khấu hao</t>
  </si>
  <si>
    <t>Chi phí khấu trừ quỹ lương tháng</t>
  </si>
  <si>
    <t>Tháng tính khấu hao cuối cùng</t>
  </si>
  <si>
    <t>Ghi chú</t>
  </si>
  <si>
    <t>NĐ</t>
  </si>
  <si>
    <t>CP liên quan đến khấu hao PT</t>
  </si>
  <si>
    <t>Mua xe trung chuyển</t>
  </si>
  <si>
    <t>CP mua xe mới</t>
  </si>
  <si>
    <t>Mua 1 lần, tính khấu hao hàng tháng</t>
  </si>
  <si>
    <t>29K00496</t>
  </si>
  <si>
    <t>Ford</t>
  </si>
  <si>
    <t>29K00498</t>
  </si>
  <si>
    <t>30L15572</t>
  </si>
  <si>
    <t>Vf6</t>
  </si>
  <si>
    <t>30L28391</t>
  </si>
  <si>
    <t>30L28310</t>
  </si>
  <si>
    <t>30E44501</t>
  </si>
  <si>
    <t>30L28164</t>
  </si>
  <si>
    <t>30L28227</t>
  </si>
  <si>
    <t>30L28487</t>
  </si>
  <si>
    <t>30L28152</t>
  </si>
  <si>
    <t>30L28237</t>
  </si>
  <si>
    <t>29B30798</t>
  </si>
  <si>
    <t>29B30768</t>
  </si>
  <si>
    <t>29B30595</t>
  </si>
  <si>
    <t>29B30723</t>
  </si>
  <si>
    <t>29D58872</t>
  </si>
  <si>
    <t>29K00927</t>
  </si>
  <si>
    <t>CP mua BH</t>
  </si>
  <si>
    <t>BH vật chất và BH TNDS</t>
  </si>
  <si>
    <t>Vf7</t>
  </si>
  <si>
    <t>CP đăng kiểm, đường bộ</t>
  </si>
  <si>
    <t>CP đăng kiểm, bảo trì đường bộ</t>
  </si>
  <si>
    <t>Mua thiết bị lắp thêm</t>
  </si>
  <si>
    <t>Mua cửa lùa</t>
  </si>
  <si>
    <t>CP độ xe Minh Tâm (bọc ghế da, quây da chân ghế, nâng cốp hàng cuối, trải sàn, dán phim cách nhiệt, rèm lọt khung ô kính)</t>
  </si>
  <si>
    <t>Mua bộ Camera GSHT tích hợp 2 trong 1 Skybox MDVR-2C</t>
  </si>
  <si>
    <t>CP dán thảm lót sàn</t>
  </si>
  <si>
    <t>Mua sim 5G</t>
  </si>
  <si>
    <t>CP mua sắm TTB VP</t>
  </si>
  <si>
    <t>Trang thiết bị VP</t>
  </si>
  <si>
    <t>Công lắp đặt điều hoà (HĐ số 128 ngày 07/05)  (Phân bổ 24 tháng từ tháng 5/2024)</t>
  </si>
  <si>
    <t>Chi tiền mua 2 điều hòa Casper  (Phân bổ 24 tháng từ tháng 5/2024)</t>
  </si>
  <si>
    <t>Hạch toán mua máy tính cho điều hành</t>
  </si>
  <si>
    <t>Hạch toán cây nước nóng lạnh Sunhouse SHD9546 - VP Nam Định</t>
  </si>
  <si>
    <t>CP BD, SC trích trước</t>
  </si>
  <si>
    <t>BD, SC PT</t>
  </si>
  <si>
    <t>CP thay dầu, nhớt</t>
  </si>
  <si>
    <t>CP trích trước hàng tháng</t>
  </si>
  <si>
    <t>CP thay lốp</t>
  </si>
  <si>
    <t>30L28412</t>
  </si>
  <si>
    <t>CP thay ắc quy</t>
  </si>
  <si>
    <t>CP bảo dưỡng</t>
  </si>
  <si>
    <t>CP năng lượng/ nhiên liệu</t>
  </si>
  <si>
    <t>Tiền dầu</t>
  </si>
  <si>
    <t>CP phát sinh hàng tháng</t>
  </si>
  <si>
    <t>Tiền điện</t>
  </si>
  <si>
    <t>CP quản lý khác</t>
  </si>
  <si>
    <t>CP vận hành khác</t>
  </si>
  <si>
    <t>CP vá lốp</t>
  </si>
  <si>
    <t>CP rửa xe</t>
  </si>
  <si>
    <t>CP điện nước</t>
  </si>
  <si>
    <t>CP thờ cúng</t>
  </si>
  <si>
    <t>Thu tiền điện nước chủ nhà trả cho vp</t>
  </si>
  <si>
    <t>Văn phòng phẩm</t>
  </si>
  <si>
    <t>CP điện thoại, wifi</t>
  </si>
  <si>
    <t>CP điện thoại trung chuyển</t>
  </si>
  <si>
    <t>Tiền điện thoại qua App</t>
  </si>
  <si>
    <t>Đối tượng theo dõi
(BSX)</t>
  </si>
  <si>
    <t>Row Labels</t>
  </si>
  <si>
    <t>Grand Total</t>
  </si>
  <si>
    <t>Sum of Chi phí khấu trừ quỹ lương tháng</t>
  </si>
  <si>
    <t>THÁNG</t>
  </si>
  <si>
    <t>TỈNH</t>
  </si>
  <si>
    <t>SẢN LƯỢNG HK</t>
  </si>
  <si>
    <t>SỐ LƯỢNG PHƯƠNG TIỆN QUẢN LÝ</t>
  </si>
  <si>
    <t>Stt</t>
  </si>
  <si>
    <t>Khoản mục</t>
  </si>
  <si>
    <t xml:space="preserve">Định mức thay/trích trước </t>
  </si>
  <si>
    <t>Đơn giá 
(đồng)</t>
  </si>
  <si>
    <t>Định ngạch sử dụng (km)</t>
  </si>
  <si>
    <t>Đơn giá chi phí (đ/km)</t>
  </si>
  <si>
    <t>Solati</t>
  </si>
  <si>
    <t>Suzu</t>
  </si>
  <si>
    <t>Lốp theo xe</t>
  </si>
  <si>
    <t>Bridgestone</t>
  </si>
  <si>
    <t>Chi tiền vá lốp xe TC 30L28310</t>
  </si>
  <si>
    <t>Chi tiền vá lốp xe TC 30L28164</t>
  </si>
  <si>
    <t>BKS</t>
  </si>
  <si>
    <t>Loại xe</t>
  </si>
  <si>
    <t>Năm sản xuất</t>
  </si>
  <si>
    <t>Định biên</t>
  </si>
  <si>
    <t>Km đầu tháng</t>
  </si>
  <si>
    <t>Km cuối tháng</t>
  </si>
  <si>
    <t>Km sử dụng trong tháng</t>
  </si>
  <si>
    <t>Km Skysoft/DSS</t>
  </si>
  <si>
    <t>Chênh lệch</t>
  </si>
  <si>
    <t xml:space="preserve">Họ và tên </t>
  </si>
  <si>
    <t>Xe tuyến/ Xe Trung chuyển</t>
  </si>
  <si>
    <t>Vinfast VF6S</t>
  </si>
  <si>
    <t>Nam Định</t>
  </si>
  <si>
    <t>Trần Ngọc Ánh</t>
  </si>
  <si>
    <t>Xe Trung chuyển</t>
  </si>
  <si>
    <t>Xe Ford- 16 chỗ</t>
  </si>
  <si>
    <t xml:space="preserve">Ngày </t>
  </si>
  <si>
    <t>Tháng</t>
  </si>
  <si>
    <t>Năm</t>
  </si>
  <si>
    <t>Chứng từ 
Xuất</t>
  </si>
  <si>
    <t>Mã VT</t>
  </si>
  <si>
    <t>Tên vật tư</t>
  </si>
  <si>
    <t>Đơn vị</t>
  </si>
  <si>
    <t>Số lượng nhập</t>
  </si>
  <si>
    <t>Đơn giá nhập</t>
  </si>
  <si>
    <t>Thành tiền nhập</t>
  </si>
  <si>
    <t>Số lượng xuất</t>
  </si>
  <si>
    <t>Đơn giá xuất</t>
  </si>
  <si>
    <t>Thành tiền xuất</t>
  </si>
  <si>
    <t>Bộ phận/ Phòng ban</t>
  </si>
  <si>
    <t>Người nhận</t>
  </si>
  <si>
    <t>VPP38</t>
  </si>
  <si>
    <t>Giấy in A5</t>
  </si>
  <si>
    <t>Lễ tân</t>
  </si>
  <si>
    <t>VPP169</t>
  </si>
  <si>
    <t>Túi bóng trắng</t>
  </si>
  <si>
    <t>VPP37</t>
  </si>
  <si>
    <t>Giấy in A4</t>
  </si>
  <si>
    <t>VPP25</t>
  </si>
  <si>
    <t>Bút bi xanh nét nhỏ 0.5</t>
  </si>
  <si>
    <t>VPP26</t>
  </si>
  <si>
    <t>Bút bi xanh nét to 0.7</t>
  </si>
  <si>
    <t>VPP91</t>
  </si>
  <si>
    <t>Giấy vệ sinh công nghiệp</t>
  </si>
  <si>
    <t>VPP199</t>
  </si>
  <si>
    <t>Túi bóng đen 90*140</t>
  </si>
  <si>
    <t>VPP89</t>
  </si>
  <si>
    <t>Túi đựng rác Size 10 cân</t>
  </si>
  <si>
    <t>VPP80</t>
  </si>
  <si>
    <t>Nước rửa tay</t>
  </si>
  <si>
    <t>VPP79</t>
  </si>
  <si>
    <t>Sáp thơm</t>
  </si>
  <si>
    <t>VPP83</t>
  </si>
  <si>
    <t>Nước lau sàn</t>
  </si>
  <si>
    <t>Chi tiền vá lốp xe TC 30L28487</t>
  </si>
  <si>
    <t>Chi tiền vá lốp xe TC 29B30798</t>
  </si>
  <si>
    <t>Chi tiền đổi 5 bình nước</t>
  </si>
  <si>
    <t>Hướng nhập/xuất</t>
  </si>
  <si>
    <t>Chứng từ 
Nhập/xuất</t>
  </si>
  <si>
    <t>Nhóm VT</t>
  </si>
  <si>
    <t>VPP</t>
  </si>
  <si>
    <t>VP 85 Nam Định</t>
  </si>
  <si>
    <t>VPP81</t>
  </si>
  <si>
    <t>Nước rửa chén</t>
  </si>
  <si>
    <t>VPP220</t>
  </si>
  <si>
    <t>Nước lau kính Gift 500ml</t>
  </si>
  <si>
    <t>VPP88</t>
  </si>
  <si>
    <t>Nước tẩy vệ sinh Vim</t>
  </si>
  <si>
    <t>Chi tiền vá lốp xe TC 29B30768</t>
  </si>
  <si>
    <t>Chi tiền mua nước rửa xe</t>
  </si>
  <si>
    <t>Chi tiền đổi nước 5 bình</t>
  </si>
  <si>
    <t>VPP74</t>
  </si>
  <si>
    <t>Găng tay cao su</t>
  </si>
  <si>
    <t>Tiền điện VPNĐ t5</t>
  </si>
  <si>
    <t>Chi phí điện nước t5 bãi rửa xe</t>
  </si>
  <si>
    <t>Chi phí VPP t5/2026</t>
  </si>
  <si>
    <t>Chi phí cước điện thoại + internet t5/2026 VP 85 Trần Anh Tông</t>
  </si>
  <si>
    <t>Chi tiền nước t5</t>
  </si>
  <si>
    <t>29K05187</t>
  </si>
  <si>
    <t>29K05144</t>
  </si>
  <si>
    <t>29K05170</t>
  </si>
  <si>
    <t>phụ phí sạc t5</t>
  </si>
  <si>
    <t>Chi tiền vá  lốp xe TC 30L28164</t>
  </si>
  <si>
    <t>Chi tiền vá  lốp xe TC 29B30768</t>
  </si>
  <si>
    <t>Chi tiền vá lốp  + đảo lốp xe TC 30L28391</t>
  </si>
  <si>
    <t>Chi tiền vá lốp xe TC 30L28391</t>
  </si>
  <si>
    <t>Chi tiền vá lốp xe TC 30L28152</t>
  </si>
  <si>
    <t>Chi tiền vá lốp xe TC 29D44501</t>
  </si>
  <si>
    <t>Chi tiền vá lốp xe TC 29B30723</t>
  </si>
  <si>
    <t>chi tiền đảo lốp 30L28152</t>
  </si>
  <si>
    <t>Chi tiền vá lốp xe TC 30L28227</t>
  </si>
  <si>
    <t>Chi tiền mua dây mạng máy chấm công</t>
  </si>
  <si>
    <t>Chi tiền mua chổi gạt nước nvs</t>
  </si>
  <si>
    <t>Chi tiền mua 2 quạt treo tường</t>
  </si>
  <si>
    <t>Mua đồ thắp hương mùng 1/4 PVTHK 85TAT</t>
  </si>
  <si>
    <t>Bảo dưỡng ĐH PVTHK</t>
  </si>
  <si>
    <t/>
  </si>
  <si>
    <t>PX919</t>
  </si>
  <si>
    <t>Kg</t>
  </si>
  <si>
    <t>PX833</t>
  </si>
  <si>
    <t>Can</t>
  </si>
  <si>
    <t>PX811</t>
  </si>
  <si>
    <t>Lọ</t>
  </si>
  <si>
    <t>PX802</t>
  </si>
  <si>
    <t>PX2201</t>
  </si>
  <si>
    <t>Tệp</t>
  </si>
  <si>
    <t>PX882</t>
  </si>
  <si>
    <t>Chai</t>
  </si>
  <si>
    <t>PX373</t>
  </si>
  <si>
    <t>Ram</t>
  </si>
  <si>
    <t>PX383</t>
  </si>
  <si>
    <t>PX1872</t>
  </si>
  <si>
    <t>VPP187</t>
  </si>
  <si>
    <t>Túi bóng đen 5kg</t>
  </si>
  <si>
    <t>PX892</t>
  </si>
  <si>
    <t>PX1992</t>
  </si>
  <si>
    <t>PX1694</t>
  </si>
  <si>
    <t>PX792</t>
  </si>
  <si>
    <t>PX742</t>
  </si>
  <si>
    <t>Đôi</t>
  </si>
  <si>
    <t>PX255</t>
  </si>
  <si>
    <t>Cái</t>
  </si>
  <si>
    <t>PX265</t>
  </si>
  <si>
    <t>PX1732</t>
  </si>
  <si>
    <t>VPP173</t>
  </si>
  <si>
    <t>Chổi vệ sinh xe 160cm</t>
  </si>
  <si>
    <t>Chiếc</t>
  </si>
  <si>
    <t>TT</t>
  </si>
  <si>
    <t>Đơn vị 
sử dụng cuối tháng 5/2026</t>
  </si>
  <si>
    <t>29E03207</t>
  </si>
  <si>
    <t>Huyndai Solati</t>
  </si>
  <si>
    <t>Phạm Văn Vũ</t>
  </si>
  <si>
    <t>Xe tuyến</t>
  </si>
  <si>
    <t>29E03463</t>
  </si>
  <si>
    <t>Trần Đình Thắng</t>
  </si>
  <si>
    <t>29E03468</t>
  </si>
  <si>
    <t>Đỗ Tuấn Anh (NĐ)</t>
  </si>
  <si>
    <t>29E03480</t>
  </si>
  <si>
    <t>Phạm Văn Sớm</t>
  </si>
  <si>
    <t>29E07842</t>
  </si>
  <si>
    <t>Nguyễn Văn Chiến</t>
  </si>
  <si>
    <t>29E74362</t>
  </si>
  <si>
    <t>Lê Minh Đức</t>
  </si>
  <si>
    <t>29E73314</t>
  </si>
  <si>
    <t>Trần Quốc Phong</t>
  </si>
  <si>
    <t>29E74062</t>
  </si>
  <si>
    <t>Trần Mạnh Thắng</t>
  </si>
  <si>
    <t>29E73531</t>
  </si>
  <si>
    <t>Bùi Xuân Bắc</t>
  </si>
  <si>
    <t>29E74031</t>
  </si>
  <si>
    <t>Nguyễn Mạnh Cường</t>
  </si>
  <si>
    <t>29F02595</t>
  </si>
  <si>
    <t>Nguyễn Trung Trọng</t>
  </si>
  <si>
    <t>29F02597</t>
  </si>
  <si>
    <t>Phạm Văn Chính</t>
  </si>
  <si>
    <t>29F04020</t>
  </si>
  <si>
    <t>Vũ Đình Sơn</t>
  </si>
  <si>
    <t>29F04265</t>
  </si>
  <si>
    <t>Trần Anh Tuấn</t>
  </si>
  <si>
    <t>29G00123</t>
  </si>
  <si>
    <t>Hoàng Tuấn Đạt</t>
  </si>
  <si>
    <t>29H73849</t>
  </si>
  <si>
    <t>Đoàn Văn Kiều</t>
  </si>
  <si>
    <t>29H84973</t>
  </si>
  <si>
    <t>Nguyễn Văn Hùng</t>
  </si>
  <si>
    <t>29H86528</t>
  </si>
  <si>
    <t>Ngô Phong Thái</t>
  </si>
  <si>
    <t>29H88512</t>
  </si>
  <si>
    <t>Trần Văn Thanh</t>
  </si>
  <si>
    <t>29H88517</t>
  </si>
  <si>
    <t>Nguyễn Văn Khuyến</t>
  </si>
  <si>
    <t>29H88585</t>
  </si>
  <si>
    <t>Bùi Quý Phúc</t>
  </si>
  <si>
    <t>29H88586</t>
  </si>
  <si>
    <t>Nguyễn Anh Hùng</t>
  </si>
  <si>
    <t>29K01441</t>
  </si>
  <si>
    <t>Phạm Quang Trung</t>
  </si>
  <si>
    <t>29K02519</t>
  </si>
  <si>
    <t>Trần Đức Triều</t>
  </si>
  <si>
    <t>29K02781</t>
  </si>
  <si>
    <t>Nguyễn Văn Minh</t>
  </si>
  <si>
    <t>29K03537</t>
  </si>
  <si>
    <t>Triệu Tuấn Tú (NĐ)</t>
  </si>
  <si>
    <t>29K03540</t>
  </si>
  <si>
    <t>Đỗ Văn Tỉnh</t>
  </si>
  <si>
    <t>29K03562</t>
  </si>
  <si>
    <t>Trần Quyết Thắng</t>
  </si>
  <si>
    <t>29K05136</t>
  </si>
  <si>
    <t>Hồ Nam Phong</t>
  </si>
  <si>
    <t>29E09596</t>
  </si>
  <si>
    <t>Vũ Ngọc Hà</t>
  </si>
  <si>
    <t>29E09970</t>
  </si>
  <si>
    <t>Ngô Mạnh Tùng</t>
  </si>
  <si>
    <t>29E09960</t>
  </si>
  <si>
    <t>Trần Hữu Nam 1978</t>
  </si>
  <si>
    <t>29E09811</t>
  </si>
  <si>
    <t>Hoàng Trọng Nam</t>
  </si>
  <si>
    <t>29E33490</t>
  </si>
  <si>
    <t>Đinh Văn Sỹ</t>
  </si>
  <si>
    <t>29E33732</t>
  </si>
  <si>
    <t>Trần Hữu Nam</t>
  </si>
  <si>
    <t>29E32860</t>
  </si>
  <si>
    <t>Phạm Hồng Chính</t>
  </si>
  <si>
    <t>29E34037</t>
  </si>
  <si>
    <t>Nguyễn Mạnh Trung</t>
  </si>
  <si>
    <t>29E32484</t>
  </si>
  <si>
    <t>Trần Quốc Toản</t>
  </si>
  <si>
    <t>29E32421</t>
  </si>
  <si>
    <t>Phạm Công Đại</t>
  </si>
  <si>
    <t>29E80851</t>
  </si>
  <si>
    <t>Ninh Bình</t>
  </si>
  <si>
    <t>Đinh Trung Dũng</t>
  </si>
  <si>
    <t>29K06071</t>
  </si>
  <si>
    <t>Phạm Hùng Sơn</t>
  </si>
  <si>
    <t>29E33907</t>
  </si>
  <si>
    <t>Ford Transit</t>
  </si>
  <si>
    <t>Vũ Mạnh Hùng</t>
  </si>
  <si>
    <t>29E03223</t>
  </si>
  <si>
    <t>Phạm Thanh Bình</t>
  </si>
  <si>
    <t>29G00711</t>
  </si>
  <si>
    <t>Cồ Văn Tiển</t>
  </si>
  <si>
    <t>(All)</t>
  </si>
  <si>
    <t>CP mua xe mới (xe hoán cải từ 11 chỗ lên 16 chỗ)</t>
  </si>
  <si>
    <t xml:space="preserve">Số khách: </t>
  </si>
  <si>
    <t>Khách nguyên chuyến:</t>
  </si>
  <si>
    <t>khách TB ghép NĐ:</t>
  </si>
  <si>
    <t>Khách NĐ ghép TB:</t>
  </si>
  <si>
    <t>Tổng số KH</t>
  </si>
  <si>
    <t>khách chênh lệch dthu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</si>
</sst>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1" formatCode="_(* #,##0.00_);_(* \(#,##0.00\);_(* &quot;-&quot;??_);_(@_)"/>
    <numFmt numFmtId="178" formatCode="mm/yyyy"/>
    <numFmt numFmtId="179" formatCode="_(* #,##0_);_(* \(#,##0\);_(* &quot;-&quot;??_);_(@_)"/>
    <numFmt numFmtId="180" formatCode="_-* #,##0\ _₫_-;\-* #,##0\ _₫_-;_-* &quot;-&quot;??\ _₫_-;_-@_-"/>
    <numFmt numFmtId="181" formatCode="_-* #,##0_-;\-* #,##0_-;_-* &quot;-&quot;??_-;_-@_-"/>
    <numFmt numFmtId="184" formatCode="_-* #,##0.00\ _₫_-;\-* #,##0.00\ _₫_-;_-* &quot;-&quot;??\ _₫_-;_-@_-"/>
  </numFmts>
  <fonts count="17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Times New Roman"/>
      <family val="2"/>
    </font>
    <font>
      <b/>
      <sz val="12"/>
      <color rgb="FFFFFF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FF000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Aptos Narrow"/>
      <family val="2"/>
      <scheme val="minor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 tint="-0.24994659260841701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-0.24994659260841701"/>
      </right>
      <top style="thin">
        <color theme="4"/>
      </top>
      <bottom style="thin">
        <color theme="4" tint="0.3999755851924192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-0.24994659260841701"/>
      </right>
      <top style="thin">
        <color theme="4"/>
      </top>
      <bottom style="thin">
        <color indexed="64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/>
      </top>
      <bottom style="thin">
        <color indexed="64"/>
      </bottom>
      <diagonal/>
    </border>
  </borders>
  <cellStyleXfs count="6">
    <xf numFmtId="0" fontId="0" fillId="0" borderId="0"/>
    <xf numFmtId="171" fontId="4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</cellStyleXfs>
  <cellXfs count="103"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178" fontId="7" fillId="2" borderId="0" xfId="1" applyNumberFormat="1" applyFont="1" applyFill="1" applyAlignment="1">
      <alignment horizontal="center" vertical="center" wrapText="1"/>
    </xf>
    <xf numFmtId="14" fontId="7" fillId="2" borderId="0" xfId="0" applyNumberFormat="1" applyFont="1" applyFill="1" applyAlignment="1">
      <alignment horizontal="center" vertical="center" wrapText="1"/>
    </xf>
    <xf numFmtId="178" fontId="7" fillId="2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178" fontId="8" fillId="0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8" fillId="0" borderId="0" xfId="0" applyNumberFormat="1" applyFont="1" applyAlignment="1">
      <alignment horizontal="center" vertical="center"/>
    </xf>
    <xf numFmtId="178" fontId="8" fillId="0" borderId="0" xfId="1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79" fontId="0" fillId="0" borderId="0" xfId="0" applyNumberFormat="1"/>
    <xf numFmtId="178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178" fontId="0" fillId="0" borderId="0" xfId="0" applyNumberFormat="1"/>
    <xf numFmtId="0" fontId="2" fillId="0" borderId="0" xfId="0" applyFont="1" applyAlignment="1">
      <alignment vertical="center"/>
    </xf>
    <xf numFmtId="179" fontId="8" fillId="0" borderId="0" xfId="1" applyNumberFormat="1" applyFont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180" fontId="8" fillId="0" borderId="1" xfId="1" applyNumberFormat="1" applyFont="1" applyBorder="1" applyAlignment="1">
      <alignment vertical="center"/>
    </xf>
    <xf numFmtId="180" fontId="8" fillId="0" borderId="1" xfId="1" applyNumberFormat="1" applyFont="1" applyBorder="1" applyAlignment="1">
      <alignment horizontal="right" vertical="center"/>
    </xf>
    <xf numFmtId="9" fontId="8" fillId="0" borderId="1" xfId="5" applyFont="1" applyFill="1" applyBorder="1" applyAlignment="1">
      <alignment vertical="center"/>
    </xf>
    <xf numFmtId="179" fontId="8" fillId="0" borderId="1" xfId="1" applyNumberFormat="1" applyFont="1" applyBorder="1"/>
    <xf numFmtId="0" fontId="8" fillId="4" borderId="0" xfId="0" applyFont="1" applyFill="1" applyAlignment="1">
      <alignment vertical="center"/>
    </xf>
    <xf numFmtId="179" fontId="8" fillId="4" borderId="0" xfId="1" applyNumberFormat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9" fontId="4" fillId="0" borderId="0" xfId="1" applyNumberFormat="1" applyFont="1"/>
    <xf numFmtId="0" fontId="11" fillId="5" borderId="7" xfId="0" applyFont="1" applyFill="1" applyBorder="1" applyAlignment="1">
      <alignment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vertical="center" wrapText="1"/>
    </xf>
    <xf numFmtId="179" fontId="11" fillId="5" borderId="8" xfId="1" applyNumberFormat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79" fontId="3" fillId="6" borderId="8" xfId="1" applyNumberFormat="1" applyFont="1" applyFill="1" applyBorder="1" applyAlignment="1">
      <alignment horizontal="center" vertical="center" wrapText="1"/>
    </xf>
    <xf numFmtId="0" fontId="12" fillId="7" borderId="9" xfId="0" applyFont="1" applyFill="1" applyBorder="1"/>
    <xf numFmtId="14" fontId="12" fillId="7" borderId="10" xfId="0" applyNumberFormat="1" applyFont="1" applyFill="1" applyBorder="1"/>
    <xf numFmtId="0" fontId="12" fillId="7" borderId="10" xfId="0" applyFont="1" applyFill="1" applyBorder="1"/>
    <xf numFmtId="0" fontId="12" fillId="7" borderId="11" xfId="0" applyFont="1" applyFill="1" applyBorder="1"/>
    <xf numFmtId="0" fontId="1" fillId="7" borderId="2" xfId="0" applyFont="1" applyFill="1" applyBorder="1" applyAlignment="1">
      <alignment horizontal="left"/>
    </xf>
    <xf numFmtId="0" fontId="12" fillId="8" borderId="10" xfId="0" applyFont="1" applyFill="1" applyBorder="1"/>
    <xf numFmtId="179" fontId="12" fillId="8" borderId="10" xfId="1" applyNumberFormat="1" applyFont="1" applyFill="1" applyBorder="1"/>
    <xf numFmtId="0" fontId="12" fillId="6" borderId="10" xfId="0" applyFont="1" applyFill="1" applyBorder="1"/>
    <xf numFmtId="179" fontId="12" fillId="6" borderId="10" xfId="1" applyNumberFormat="1" applyFont="1" applyFill="1" applyBorder="1"/>
    <xf numFmtId="179" fontId="12" fillId="6" borderId="10" xfId="0" applyNumberFormat="1" applyFont="1" applyFill="1" applyBorder="1"/>
    <xf numFmtId="0" fontId="12" fillId="0" borderId="9" xfId="0" applyFont="1" applyBorder="1"/>
    <xf numFmtId="14" fontId="12" fillId="0" borderId="10" xfId="0" applyNumberFormat="1" applyFont="1" applyBorder="1"/>
    <xf numFmtId="0" fontId="12" fillId="0" borderId="10" xfId="0" applyFont="1" applyBorder="1"/>
    <xf numFmtId="0" fontId="12" fillId="0" borderId="11" xfId="0" applyFont="1" applyBorder="1"/>
    <xf numFmtId="0" fontId="1" fillId="0" borderId="2" xfId="0" applyFont="1" applyBorder="1" applyAlignment="1">
      <alignment horizontal="left"/>
    </xf>
    <xf numFmtId="179" fontId="13" fillId="4" borderId="0" xfId="0" applyNumberFormat="1" applyFont="1" applyFill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181" fontId="0" fillId="0" borderId="0" xfId="0" applyNumberFormat="1"/>
    <xf numFmtId="0" fontId="12" fillId="7" borderId="12" xfId="0" applyFont="1" applyFill="1" applyBorder="1"/>
    <xf numFmtId="14" fontId="12" fillId="7" borderId="13" xfId="0" applyNumberFormat="1" applyFont="1" applyFill="1" applyBorder="1"/>
    <xf numFmtId="0" fontId="12" fillId="7" borderId="13" xfId="0" applyFont="1" applyFill="1" applyBorder="1"/>
    <xf numFmtId="0" fontId="0" fillId="0" borderId="5" xfId="0" applyBorder="1"/>
    <xf numFmtId="0" fontId="12" fillId="6" borderId="13" xfId="0" applyFont="1" applyFill="1" applyBorder="1"/>
    <xf numFmtId="179" fontId="12" fillId="6" borderId="13" xfId="1" applyNumberFormat="1" applyFont="1" applyFill="1" applyBorder="1"/>
    <xf numFmtId="0" fontId="1" fillId="0" borderId="2" xfId="0" applyFont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2" fillId="4" borderId="10" xfId="0" applyFont="1" applyFill="1" applyBorder="1"/>
    <xf numFmtId="0" fontId="14" fillId="4" borderId="1" xfId="3" applyFont="1" applyFill="1" applyBorder="1" applyAlignment="1">
      <alignment horizontal="center" vertical="center" wrapText="1"/>
    </xf>
    <xf numFmtId="0" fontId="15" fillId="4" borderId="1" xfId="3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79" fontId="16" fillId="0" borderId="1" xfId="1" applyNumberFormat="1" applyFont="1" applyFill="1" applyBorder="1"/>
    <xf numFmtId="179" fontId="4" fillId="0" borderId="1" xfId="1" applyNumberFormat="1" applyFont="1" applyFill="1" applyBorder="1"/>
    <xf numFmtId="0" fontId="16" fillId="4" borderId="1" xfId="0" applyFont="1" applyFill="1" applyBorder="1" applyAlignment="1">
      <alignment horizontal="center"/>
    </xf>
    <xf numFmtId="11" fontId="8" fillId="4" borderId="1" xfId="0" applyNumberFormat="1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179" fontId="4" fillId="4" borderId="1" xfId="1" applyNumberFormat="1" applyFont="1" applyFill="1" applyBorder="1"/>
    <xf numFmtId="0" fontId="8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11" fontId="8" fillId="0" borderId="1" xfId="0" applyNumberFormat="1" applyFont="1" applyBorder="1" applyAlignment="1">
      <alignment vertical="center" wrapText="1"/>
    </xf>
    <xf numFmtId="0" fontId="8" fillId="0" borderId="0" xfId="4" applyFont="1" applyAlignment="1" applyProtection="1">
      <alignment horizontal="left"/>
      <protection locked="0"/>
    </xf>
    <xf numFmtId="179" fontId="8" fillId="0" borderId="0" xfId="2" applyNumberFormat="1" applyFont="1" applyAlignment="1" applyProtection="1">
      <protection locked="0"/>
    </xf>
    <xf numFmtId="179" fontId="8" fillId="0" borderId="0" xfId="4" applyNumberFormat="1" applyFont="1" applyAlignment="1" applyProtection="1">
      <alignment horizontal="center"/>
      <protection locked="0"/>
    </xf>
    <xf numFmtId="0" fontId="8" fillId="0" borderId="0" xfId="4" applyFont="1" applyAlignment="1" applyProtection="1">
      <alignment horizontal="center"/>
      <protection locked="0"/>
    </xf>
    <xf numFmtId="0" fontId="8" fillId="0" borderId="0" xfId="4" applyFont="1" applyAlignment="1" applyProtection="1">
      <alignment vertical="center" wrapText="1"/>
      <protection locked="0"/>
    </xf>
    <xf numFmtId="179" fontId="8" fillId="4" borderId="0" xfId="4" applyNumberFormat="1" applyFont="1" applyFill="1" applyAlignment="1" applyProtection="1">
      <alignment wrapText="1"/>
      <protection locked="0"/>
    </xf>
    <xf numFmtId="0" fontId="8" fillId="0" borderId="0" xfId="4" applyFont="1" applyAlignment="1" applyProtection="1">
      <alignment horizontal="center" wrapText="1"/>
      <protection locked="0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8" fillId="0" borderId="0" xfId="4" applyFont="1" applyAlignment="1" applyProtection="1">
      <alignment horizontal="left"/>
      <protection locked="0"/>
    </xf>
  </cellXfs>
  <cellStyles count="6">
    <cellStyle name="Comma" xfId="1" builtinId="3"/>
    <cellStyle name="Comma 26" xfId="2" xr:uid="{733D14FF-757A-4CEB-8A66-976F654D9047}"/>
    <cellStyle name="Normal" xfId="0" builtinId="0"/>
    <cellStyle name="Normal 2" xfId="3" xr:uid="{5F29D344-15E5-4935-B5F4-59CA5B58E925}"/>
    <cellStyle name="Normal 5" xfId="4" xr:uid="{398354C2-38F2-45C2-9468-4D0700BF27DE}"/>
    <cellStyle name="Percent" xfId="5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9" formatCode="_(* #,##0_);_(* \(#,##0\);_(* &quot;-&quot;??_);_(@_)"/>
    </dxf>
    <dxf>
      <numFmt numFmtId="182" formatCode="_(* #,##0.0_);_(* \(#,##0.0\);_(* &quot;-&quot;??_);_(@_)"/>
    </dxf>
    <dxf>
      <numFmt numFmtId="171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85.705264814816" createdVersion="4" refreshedVersion="4" minRefreshableVersion="3" recordCount="294" xr:uid="{A94B2353-106E-4E87-A01D-6C4247F1EC7E}">
  <cacheSource type="worksheet">
    <worksheetSource ref="A1:P295" sheet="Chi tiết"/>
  </cacheSource>
  <cacheFields count="16">
    <cacheField name="STT" numFmtId="0">
      <sharedItems containsSemiMixedTypes="0" containsString="0" containsNumber="1" containsInteger="1" minValue="1" maxValue="294"/>
    </cacheField>
    <cacheField name="Tháng" numFmtId="0">
      <sharedItems containsSemiMixedTypes="0" containsNonDate="0" containsDate="1" containsString="0" minDate="2026-05-01T00:00:00" maxDate="2026-05-02T00:00:00" count="1">
        <d v="2026-05-01T00:00:00"/>
      </sharedItems>
    </cacheField>
    <cacheField name="Tỉnh" numFmtId="0">
      <sharedItems/>
    </cacheField>
    <cacheField name="Nhóm CP" numFmtId="0">
      <sharedItems containsBlank="1" count="8">
        <s v="CP liên quan đến khấu hao PT"/>
        <s v="CP mua sắm TTB VP"/>
        <s v="CP BD, SC trích trước"/>
        <s v="CP năng lượng/ nhiên liệu"/>
        <s v="CP vận hành khác"/>
        <s v="CP quản lý khác"/>
        <m u="1"/>
        <s v="CP quản lý khác" u="1"/>
      </sharedItems>
    </cacheField>
    <cacheField name="Hạng mục chi" numFmtId="0">
      <sharedItems containsBlank="1"/>
    </cacheField>
    <cacheField name="Diễn giải chi tiết" numFmtId="0">
      <sharedItems containsBlank="1"/>
    </cacheField>
    <cacheField name="Tính chất chi phí" numFmtId="0">
      <sharedItems/>
    </cacheField>
    <cacheField name="Đối tượng theo dõi_x000a_(BSX)" numFmtId="0">
      <sharedItems containsBlank="1"/>
    </cacheField>
    <cacheField name="Phân loại phương tiện/ Chức danh nhân sự" numFmtId="0">
      <sharedItems containsBlank="1"/>
    </cacheField>
    <cacheField name="KM hoạt động" numFmtId="0">
      <sharedItems containsString="0" containsBlank="1" containsNumber="1" minValue="656.66999999999825" maxValue="5509"/>
    </cacheField>
    <cacheField name="Ngày phát sinh chi phí" numFmtId="0">
      <sharedItems containsSemiMixedTypes="0" containsNonDate="0" containsDate="1" containsString="0" minDate="2024-04-26T00:00:00" maxDate="2026-05-17T00:00:00"/>
    </cacheField>
    <cacheField name="Tổng số tiền (VNĐ)" numFmtId="0">
      <sharedItems containsString="0" containsBlank="1" containsNumber="1" minValue="-700000" maxValue="785000000"/>
    </cacheField>
    <cacheField name="Số tháng khấu hao" numFmtId="0">
      <sharedItems containsSemiMixedTypes="0" containsString="0" containsNumber="1" containsInteger="1" minValue="1" maxValue="60"/>
    </cacheField>
    <cacheField name="Chi phí khấu trừ quỹ lương tháng" numFmtId="0">
      <sharedItems containsMixedTypes="1" containsNumber="1" minValue="-700000" maxValue="15977761.111111112"/>
    </cacheField>
    <cacheField name="Tháng tính khấu hao cuối cùng" numFmtId="0">
      <sharedItems containsSemiMixedTypes="0" containsNonDate="0" containsDate="1" containsString="0" minDate="2025-09-01T00:00:00" maxDate="2030-02-14T00:00:00"/>
    </cacheField>
    <cacheField name="Ghi chú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n v="1"/>
    <x v="0"/>
    <s v="NĐ"/>
    <x v="0"/>
    <s v="Mua xe trung chuyển"/>
    <s v="CP mua xe mới"/>
    <s v="Mua 1 lần, tính khấu hao hàng tháng"/>
    <s v="29K00496"/>
    <s v="Ford"/>
    <m/>
    <d v="2024-04-26T00:00:00"/>
    <n v="775807999.99999797"/>
    <n v="60"/>
    <n v="12930133.3333333"/>
    <d v="2029-03-26T00:00:00"/>
    <m/>
  </r>
  <r>
    <n v="2"/>
    <x v="0"/>
    <s v="NĐ"/>
    <x v="0"/>
    <s v="Mua xe trung chuyển"/>
    <s v="CP mua xe mới"/>
    <s v="Mua 1 lần, tính khấu hao hàng tháng"/>
    <s v="29K00498"/>
    <s v="Ford"/>
    <m/>
    <d v="2024-04-26T00:00:00"/>
    <n v="775807999.99999797"/>
    <n v="60"/>
    <n v="12930133.3333333"/>
    <d v="2029-03-26T00:00:00"/>
    <m/>
  </r>
  <r>
    <n v="3"/>
    <x v="0"/>
    <s v="NĐ"/>
    <x v="0"/>
    <s v="Mua xe trung chuyển"/>
    <s v="CP mua xe mới"/>
    <s v="Mua 1 lần, tính khấu hao hàng tháng"/>
    <s v="30L15572"/>
    <s v="Vf6"/>
    <m/>
    <d v="2024-08-26T00:00:00"/>
    <n v="785000000"/>
    <n v="60"/>
    <n v="13083333.333333334"/>
    <d v="2029-07-26T00:00:00"/>
    <m/>
  </r>
  <r>
    <n v="4"/>
    <x v="0"/>
    <s v="NĐ"/>
    <x v="0"/>
    <s v="Mua xe trung chuyển"/>
    <s v="CP mua xe mới"/>
    <s v="Mua 1 lần, tính khấu hao hàng tháng"/>
    <s v="30L28391"/>
    <s v="Vf6"/>
    <m/>
    <d v="2024-08-26T00:00:00"/>
    <n v="785000000"/>
    <n v="60"/>
    <n v="13083333.333333334"/>
    <d v="2029-07-26T00:00:00"/>
    <m/>
  </r>
  <r>
    <n v="5"/>
    <x v="0"/>
    <s v="NĐ"/>
    <x v="0"/>
    <s v="Mua xe trung chuyển"/>
    <s v="CP mua xe mới"/>
    <s v="Mua 1 lần, tính khấu hao hàng tháng"/>
    <s v="30L28310"/>
    <s v="Vf6"/>
    <m/>
    <d v="2024-08-26T00:00:00"/>
    <n v="785000000"/>
    <n v="60"/>
    <n v="13083333.333333334"/>
    <d v="2029-07-26T00:00:00"/>
    <m/>
  </r>
  <r>
    <n v="6"/>
    <x v="0"/>
    <s v="NĐ"/>
    <x v="0"/>
    <s v="Mua xe trung chuyển"/>
    <s v="CP mua xe mới"/>
    <s v="Mua 1 lần, tính khấu hao hàng tháng"/>
    <s v="30L28312"/>
    <s v="Vf6"/>
    <m/>
    <d v="2024-08-26T00:00:00"/>
    <n v="785000000"/>
    <n v="60"/>
    <n v="13083333.333333334"/>
    <d v="2029-07-26T00:00:00"/>
    <m/>
  </r>
  <r>
    <n v="7"/>
    <x v="0"/>
    <s v="NĐ"/>
    <x v="0"/>
    <s v="Mua xe trung chuyển"/>
    <s v="CP mua xe mới"/>
    <s v="Mua 1 lần, tính khấu hao hàng tháng"/>
    <s v="30E44501"/>
    <s v="Vf6"/>
    <m/>
    <d v="2024-08-26T00:00:00"/>
    <n v="785000000"/>
    <n v="60"/>
    <n v="13083333.333333334"/>
    <d v="2029-07-26T00:00:00"/>
    <m/>
  </r>
  <r>
    <n v="8"/>
    <x v="0"/>
    <s v="NĐ"/>
    <x v="0"/>
    <s v="Mua xe trung chuyển"/>
    <s v="CP mua xe mới"/>
    <s v="Mua 1 lần, tính khấu hao hàng tháng"/>
    <s v="30L28164"/>
    <s v="Vf6"/>
    <m/>
    <d v="2024-08-26T00:00:00"/>
    <n v="785000000"/>
    <n v="60"/>
    <n v="13083333.333333334"/>
    <d v="2029-07-26T00:00:00"/>
    <m/>
  </r>
  <r>
    <n v="9"/>
    <x v="0"/>
    <s v="NĐ"/>
    <x v="0"/>
    <s v="Mua xe trung chuyển"/>
    <s v="CP mua xe mới"/>
    <s v="Mua 1 lần, tính khấu hao hàng tháng"/>
    <s v="30L28227"/>
    <s v="Vf6"/>
    <m/>
    <d v="2024-08-26T00:00:00"/>
    <n v="785000000"/>
    <n v="60"/>
    <n v="13083333.333333334"/>
    <d v="2029-07-26T00:00:00"/>
    <m/>
  </r>
  <r>
    <n v="10"/>
    <x v="0"/>
    <s v="NĐ"/>
    <x v="0"/>
    <s v="Mua xe trung chuyển"/>
    <s v="CP mua xe mới"/>
    <s v="Mua 1 lần, tính khấu hao hàng tháng"/>
    <s v="30L28487"/>
    <s v="Vf6"/>
    <m/>
    <d v="2024-08-26T00:00:00"/>
    <n v="785000000"/>
    <n v="60"/>
    <n v="13083333.333333334"/>
    <d v="2029-07-26T00:00:00"/>
    <m/>
  </r>
  <r>
    <n v="11"/>
    <x v="0"/>
    <s v="NĐ"/>
    <x v="0"/>
    <s v="Mua xe trung chuyển"/>
    <s v="CP mua xe mới"/>
    <s v="Mua 1 lần, tính khấu hao hàng tháng"/>
    <s v="30L28152"/>
    <s v="Vf6"/>
    <m/>
    <d v="2024-08-26T00:00:00"/>
    <n v="785000000"/>
    <n v="60"/>
    <n v="13083333.333333334"/>
    <d v="2029-07-26T00:00:00"/>
    <m/>
  </r>
  <r>
    <n v="12"/>
    <x v="0"/>
    <s v="NĐ"/>
    <x v="0"/>
    <s v="Mua xe trung chuyển"/>
    <s v="CP mua xe mới"/>
    <s v="Mua 1 lần, tính khấu hao hàng tháng"/>
    <s v="30L28237"/>
    <s v="Vf6"/>
    <m/>
    <d v="2024-08-26T00:00:00"/>
    <n v="785000000"/>
    <n v="60"/>
    <n v="13083333.333333334"/>
    <d v="2029-07-26T00:00:00"/>
    <m/>
  </r>
  <r>
    <n v="13"/>
    <x v="0"/>
    <s v="NĐ"/>
    <x v="0"/>
    <s v="Mua xe trung chuyển"/>
    <s v="CP mua xe mới"/>
    <s v="Mua 1 lần, tính khấu hao hàng tháng"/>
    <s v="29B30798"/>
    <s v="Vf6"/>
    <m/>
    <d v="2025-03-13T00:00:00"/>
    <n v="785000000"/>
    <n v="60"/>
    <n v="13083333.333333334"/>
    <d v="2030-02-13T00:00:00"/>
    <m/>
  </r>
  <r>
    <n v="14"/>
    <x v="0"/>
    <s v="NĐ"/>
    <x v="0"/>
    <s v="Mua xe trung chuyển"/>
    <s v="CP mua xe mới"/>
    <s v="Mua 1 lần, tính khấu hao hàng tháng"/>
    <s v="29B30768"/>
    <s v="Vf6"/>
    <m/>
    <d v="2025-03-13T00:00:00"/>
    <n v="785000000"/>
    <n v="60"/>
    <n v="13083333.333333334"/>
    <d v="2030-02-13T00:00:00"/>
    <m/>
  </r>
  <r>
    <n v="15"/>
    <x v="0"/>
    <s v="NĐ"/>
    <x v="0"/>
    <s v="Mua xe trung chuyển"/>
    <s v="CP mua xe mới"/>
    <s v="Mua 1 lần, tính khấu hao hàng tháng"/>
    <s v="29B30595"/>
    <s v="Vf6"/>
    <m/>
    <d v="2025-03-13T00:00:00"/>
    <n v="785000000"/>
    <n v="60"/>
    <n v="13083333.333333334"/>
    <d v="2030-02-13T00:00:00"/>
    <m/>
  </r>
  <r>
    <n v="16"/>
    <x v="0"/>
    <s v="NĐ"/>
    <x v="0"/>
    <s v="Mua xe trung chuyển"/>
    <s v="CP mua xe mới"/>
    <s v="Mua 1 lần, tính khấu hao hàng tháng"/>
    <s v="29B30723"/>
    <s v="Vf6"/>
    <m/>
    <d v="2025-03-13T00:00:00"/>
    <n v="785000000"/>
    <n v="60"/>
    <n v="13083333.333333334"/>
    <d v="2030-02-13T00:00:00"/>
    <m/>
  </r>
  <r>
    <n v="17"/>
    <x v="0"/>
    <s v="NĐ"/>
    <x v="0"/>
    <s v="Mua xe trung chuyển"/>
    <s v="CP mua xe mới"/>
    <s v="Mua 1 lần, tính khấu hao hàng tháng"/>
    <s v="29D58872"/>
    <s v="Vf6"/>
    <m/>
    <d v="2025-03-13T00:00:00"/>
    <n v="785000000"/>
    <n v="60"/>
    <n v="13083333.333333334"/>
    <d v="2030-02-13T00:00:00"/>
    <m/>
  </r>
  <r>
    <n v="18"/>
    <x v="0"/>
    <s v="NĐ"/>
    <x v="0"/>
    <s v="Mua xe trung chuyển"/>
    <s v="CP mua xe mới"/>
    <s v="Mua 1 lần, tính khấu hao hàng tháng"/>
    <s v="29K00927"/>
    <s v="Vf6"/>
    <m/>
    <d v="2024-04-26T00:00:00"/>
    <n v="775807999.99999797"/>
    <n v="60"/>
    <n v="12930133.3333333"/>
    <d v="2029-03-26T00:00:00"/>
    <m/>
  </r>
  <r>
    <n v="19"/>
    <x v="0"/>
    <s v="NĐ"/>
    <x v="0"/>
    <s v="Mua xe trung chuyển"/>
    <s v="CP mua xe mới (xe hoán cải từ 11 chỗ lên 16 chỗ)"/>
    <s v="Mua 1 lần, tính khấu hao hàng tháng"/>
    <s v="29K05170"/>
    <s v="Solati"/>
    <m/>
    <d v="2026-05-01T00:00:00"/>
    <n v="575199400"/>
    <n v="36"/>
    <n v="15977761.111111112"/>
    <d v="2029-04-01T00:00:00"/>
    <m/>
  </r>
  <r>
    <n v="20"/>
    <x v="0"/>
    <s v="NĐ"/>
    <x v="0"/>
    <s v="Mua xe trung chuyển"/>
    <s v="CP mua xe mới (xe hoán cải từ 11 chỗ lên 16 chỗ)"/>
    <s v="Mua 1 lần, tính khấu hao hàng tháng"/>
    <s v="29K05144"/>
    <s v="Solati"/>
    <m/>
    <d v="2026-05-01T00:00:00"/>
    <n v="575199400"/>
    <n v="36"/>
    <n v="15977761.111111112"/>
    <d v="2029-04-01T00:00:00"/>
    <m/>
  </r>
  <r>
    <n v="21"/>
    <x v="0"/>
    <s v="NĐ"/>
    <x v="0"/>
    <s v="Mua xe trung chuyển"/>
    <s v="CP mua xe mới (xe hoán cải từ 11 chỗ lên 16 chỗ)"/>
    <s v="Mua 1 lần, tính khấu hao hàng tháng"/>
    <s v="29K05187"/>
    <s v="Solati"/>
    <m/>
    <d v="2026-05-01T00:00:00"/>
    <n v="575199400"/>
    <n v="36"/>
    <n v="15977761.111111112"/>
    <d v="2029-04-01T00:00:00"/>
    <m/>
  </r>
  <r>
    <n v="22"/>
    <x v="0"/>
    <s v="NĐ"/>
    <x v="0"/>
    <s v="CP mua BH"/>
    <s v="BH vật chất và BH TNDS"/>
    <s v="Mua 1 lần, tính khấu hao hàng tháng"/>
    <s v="30L15572"/>
    <s v="Vf6"/>
    <m/>
    <d v="2025-08-26T00:00:00"/>
    <n v="7322000"/>
    <n v="12"/>
    <n v="610166.66666666663"/>
    <d v="2026-07-26T00:00:00"/>
    <m/>
  </r>
  <r>
    <n v="23"/>
    <x v="0"/>
    <s v="NĐ"/>
    <x v="0"/>
    <s v="CP mua BH"/>
    <s v="BH vật chất và BH TNDS"/>
    <s v="Mua 1 lần, tính khấu hao hàng tháng"/>
    <s v="30L28391"/>
    <s v="Vf6"/>
    <m/>
    <d v="2025-08-26T00:00:00"/>
    <n v="7322000"/>
    <n v="12"/>
    <n v="610166.66666666663"/>
    <d v="2026-07-26T00:00:00"/>
    <m/>
  </r>
  <r>
    <n v="24"/>
    <x v="0"/>
    <s v="NĐ"/>
    <x v="0"/>
    <s v="CP mua BH"/>
    <s v="BH vật chất và BH TNDS"/>
    <s v="Mua 1 lần, tính khấu hao hàng tháng"/>
    <s v="30L28310"/>
    <s v="Vf7"/>
    <m/>
    <d v="2025-08-26T00:00:00"/>
    <n v="7322000"/>
    <n v="12"/>
    <n v="610166.66666666663"/>
    <d v="2026-07-26T00:00:00"/>
    <m/>
  </r>
  <r>
    <n v="25"/>
    <x v="0"/>
    <s v="NĐ"/>
    <x v="0"/>
    <s v="CP mua BH"/>
    <s v="BH vật chất và BH TNDS"/>
    <s v="Mua 1 lần, tính khấu hao hàng tháng"/>
    <s v="30L28312"/>
    <s v="Vf6"/>
    <m/>
    <d v="2025-08-26T00:00:00"/>
    <n v="7322000"/>
    <n v="12"/>
    <n v="610166.66666666663"/>
    <d v="2026-07-26T00:00:00"/>
    <m/>
  </r>
  <r>
    <n v="26"/>
    <x v="0"/>
    <s v="NĐ"/>
    <x v="0"/>
    <s v="CP mua BH"/>
    <s v="BH vật chất và BH TNDS"/>
    <s v="Mua 1 lần, tính khấu hao hàng tháng"/>
    <s v="30E44501"/>
    <s v="Vf6"/>
    <m/>
    <d v="2025-08-26T00:00:00"/>
    <n v="7322000"/>
    <n v="12"/>
    <n v="610166.66666666663"/>
    <d v="2026-07-26T00:00:00"/>
    <m/>
  </r>
  <r>
    <n v="27"/>
    <x v="0"/>
    <s v="NĐ"/>
    <x v="0"/>
    <s v="CP mua BH"/>
    <s v="BH vật chất và BH TNDS"/>
    <s v="Mua 1 lần, tính khấu hao hàng tháng"/>
    <s v="30L28164"/>
    <s v="Vf6"/>
    <m/>
    <d v="2025-08-26T00:00:00"/>
    <n v="7322000"/>
    <n v="12"/>
    <n v="610166.66666666663"/>
    <d v="2026-07-26T00:00:00"/>
    <m/>
  </r>
  <r>
    <n v="28"/>
    <x v="0"/>
    <s v="NĐ"/>
    <x v="0"/>
    <s v="CP mua BH"/>
    <s v="BH vật chất và BH TNDS"/>
    <s v="Mua 1 lần, tính khấu hao hàng tháng"/>
    <s v="30L28227"/>
    <s v="Vf6"/>
    <m/>
    <d v="2025-08-26T00:00:00"/>
    <n v="7322000"/>
    <n v="12"/>
    <n v="610166.66666666663"/>
    <d v="2026-07-26T00:00:00"/>
    <m/>
  </r>
  <r>
    <n v="29"/>
    <x v="0"/>
    <s v="NĐ"/>
    <x v="0"/>
    <s v="CP mua BH"/>
    <s v="BH vật chất và BH TNDS"/>
    <s v="Mua 1 lần, tính khấu hao hàng tháng"/>
    <s v="30L28487"/>
    <s v="Vf6"/>
    <m/>
    <d v="2025-08-26T00:00:00"/>
    <n v="7322000"/>
    <n v="12"/>
    <n v="610166.66666666663"/>
    <d v="2026-07-26T00:00:00"/>
    <m/>
  </r>
  <r>
    <n v="30"/>
    <x v="0"/>
    <s v="NĐ"/>
    <x v="0"/>
    <s v="CP mua BH"/>
    <s v="BH vật chất và BH TNDS"/>
    <s v="Mua 1 lần, tính khấu hao hàng tháng"/>
    <s v="30L28152"/>
    <s v="Vf6"/>
    <m/>
    <d v="2025-08-26T00:00:00"/>
    <n v="7322000"/>
    <n v="12"/>
    <n v="610166.66666666663"/>
    <d v="2026-07-26T00:00:00"/>
    <m/>
  </r>
  <r>
    <n v="31"/>
    <x v="0"/>
    <s v="NĐ"/>
    <x v="0"/>
    <s v="CP mua BH"/>
    <s v="BH vật chất và BH TNDS"/>
    <s v="Mua 1 lần, tính khấu hao hàng tháng"/>
    <s v="30L28237"/>
    <s v="Vf6"/>
    <m/>
    <d v="2025-08-26T00:00:00"/>
    <n v="7322000"/>
    <n v="12"/>
    <n v="610166.66666666663"/>
    <d v="2026-07-26T00:00:00"/>
    <m/>
  </r>
  <r>
    <n v="32"/>
    <x v="0"/>
    <s v="NĐ"/>
    <x v="0"/>
    <s v="CP mua BH"/>
    <s v="BH vật chất và BH TNDS"/>
    <s v="Mua 1 lần, tính khấu hao hàng tháng"/>
    <s v="29K00496"/>
    <s v="Ford"/>
    <m/>
    <d v="2026-04-01T00:00:00"/>
    <n v="11544000"/>
    <n v="12"/>
    <n v="962000"/>
    <d v="2027-03-01T00:00:00"/>
    <m/>
  </r>
  <r>
    <n v="33"/>
    <x v="0"/>
    <s v="NĐ"/>
    <x v="0"/>
    <s v="CP mua BH"/>
    <s v="BH vật chất và BH TNDS"/>
    <s v="Mua 1 lần, tính khấu hao hàng tháng"/>
    <s v="29K00498"/>
    <s v="Ford"/>
    <m/>
    <d v="2026-04-01T00:00:00"/>
    <n v="11544000"/>
    <n v="12"/>
    <n v="962000"/>
    <d v="2027-03-01T00:00:00"/>
    <m/>
  </r>
  <r>
    <n v="34"/>
    <x v="0"/>
    <s v="NĐ"/>
    <x v="0"/>
    <s v="CP mua BH"/>
    <s v="BH vật chất và BH TNDS"/>
    <s v="Mua 1 lần, tính khấu hao hàng tháng"/>
    <s v="29K00927"/>
    <s v="Ford"/>
    <m/>
    <d v="2026-04-01T00:00:00"/>
    <n v="11544000"/>
    <n v="12"/>
    <n v="962000"/>
    <d v="2027-03-01T00:00:00"/>
    <m/>
  </r>
  <r>
    <n v="35"/>
    <x v="0"/>
    <s v="NĐ"/>
    <x v="0"/>
    <s v="CP mua BH"/>
    <s v="BH vật chất và BH TNDS"/>
    <s v="Mua 1 lần, tính khấu hao hàng tháng"/>
    <s v="29B30798"/>
    <s v="Vf6"/>
    <m/>
    <d v="2026-03-01T00:00:00"/>
    <n v="7322000"/>
    <n v="12"/>
    <n v="610166.66666666663"/>
    <d v="2027-02-01T00:00:00"/>
    <m/>
  </r>
  <r>
    <n v="36"/>
    <x v="0"/>
    <s v="NĐ"/>
    <x v="0"/>
    <s v="CP mua BH"/>
    <s v="BH vật chất và BH TNDS"/>
    <s v="Mua 1 lần, tính khấu hao hàng tháng"/>
    <s v="29B30768"/>
    <s v="Vf6"/>
    <m/>
    <d v="2026-03-01T00:00:00"/>
    <n v="7322000"/>
    <n v="12"/>
    <n v="610166.66666666663"/>
    <d v="2027-02-01T00:00:00"/>
    <m/>
  </r>
  <r>
    <n v="37"/>
    <x v="0"/>
    <s v="NĐ"/>
    <x v="0"/>
    <s v="CP mua BH"/>
    <s v="BH vật chất và BH TNDS"/>
    <s v="Mua 1 lần, tính khấu hao hàng tháng"/>
    <s v="29B30595"/>
    <s v="Vf6"/>
    <m/>
    <d v="2026-03-01T00:00:00"/>
    <n v="7322000"/>
    <n v="12"/>
    <n v="610166.66666666663"/>
    <d v="2027-02-01T00:00:00"/>
    <m/>
  </r>
  <r>
    <n v="38"/>
    <x v="0"/>
    <s v="NĐ"/>
    <x v="0"/>
    <s v="CP mua BH"/>
    <s v="BH vật chất và BH TNDS"/>
    <s v="Mua 1 lần, tính khấu hao hàng tháng"/>
    <s v="29B30723"/>
    <s v="Vf6"/>
    <m/>
    <d v="2026-03-01T00:00:00"/>
    <n v="7322000"/>
    <n v="12"/>
    <n v="610166.66666666663"/>
    <d v="2027-02-01T00:00:00"/>
    <m/>
  </r>
  <r>
    <n v="39"/>
    <x v="0"/>
    <s v="NĐ"/>
    <x v="0"/>
    <s v="CP mua BH"/>
    <s v="BH vật chất và BH TNDS"/>
    <s v="Mua 1 lần, tính khấu hao hàng tháng"/>
    <s v="29D58872"/>
    <s v="Vf6"/>
    <m/>
    <d v="2026-03-01T00:00:00"/>
    <n v="7322000"/>
    <n v="12"/>
    <n v="610166.66666666663"/>
    <d v="2027-02-01T00:00:00"/>
    <m/>
  </r>
  <r>
    <n v="40"/>
    <x v="0"/>
    <s v="NĐ"/>
    <x v="0"/>
    <s v="CP đăng kiểm, đường bộ"/>
    <s v="CP đăng kiểm, bảo trì đường bộ"/>
    <s v="Mua 1 lần, tính khấu hao hàng tháng"/>
    <s v="30L15572"/>
    <s v="Vf6"/>
    <m/>
    <d v="2025-08-26T00:00:00"/>
    <n v="2160000"/>
    <n v="12"/>
    <n v="180000"/>
    <d v="2026-07-26T00:00:00"/>
    <m/>
  </r>
  <r>
    <n v="41"/>
    <x v="0"/>
    <s v="NĐ"/>
    <x v="0"/>
    <s v="CP đăng kiểm, đường bộ"/>
    <s v="CP đăng kiểm, bảo trì đường bộ"/>
    <s v="Mua 1 lần, tính khấu hao hàng tháng"/>
    <s v="30L28391"/>
    <s v="Vf6"/>
    <m/>
    <d v="2025-08-26T00:00:00"/>
    <n v="2160000"/>
    <n v="12"/>
    <n v="180000"/>
    <d v="2026-07-26T00:00:00"/>
    <m/>
  </r>
  <r>
    <n v="42"/>
    <x v="0"/>
    <s v="NĐ"/>
    <x v="0"/>
    <s v="CP đăng kiểm, đường bộ"/>
    <s v="CP đăng kiểm, bảo trì đường bộ"/>
    <s v="Mua 1 lần, tính khấu hao hàng tháng"/>
    <s v="30L28310"/>
    <s v="Vf7"/>
    <m/>
    <d v="2025-08-26T00:00:00"/>
    <n v="2160000"/>
    <n v="12"/>
    <n v="180000"/>
    <d v="2026-07-26T00:00:00"/>
    <m/>
  </r>
  <r>
    <n v="43"/>
    <x v="0"/>
    <s v="NĐ"/>
    <x v="0"/>
    <s v="CP đăng kiểm, đường bộ"/>
    <s v="CP đăng kiểm, bảo trì đường bộ"/>
    <s v="Mua 1 lần, tính khấu hao hàng tháng"/>
    <s v="30L28312"/>
    <s v="Vf6"/>
    <m/>
    <d v="2025-08-26T00:00:00"/>
    <n v="2160000"/>
    <n v="12"/>
    <n v="180000"/>
    <d v="2026-07-26T00:00:00"/>
    <m/>
  </r>
  <r>
    <n v="44"/>
    <x v="0"/>
    <s v="NĐ"/>
    <x v="0"/>
    <s v="CP đăng kiểm, đường bộ"/>
    <s v="CP đăng kiểm, bảo trì đường bộ"/>
    <s v="Mua 1 lần, tính khấu hao hàng tháng"/>
    <s v="30E44501"/>
    <s v="Vf6"/>
    <m/>
    <d v="2025-08-26T00:00:00"/>
    <n v="2160000"/>
    <n v="12"/>
    <n v="180000"/>
    <d v="2026-07-26T00:00:00"/>
    <m/>
  </r>
  <r>
    <n v="45"/>
    <x v="0"/>
    <s v="NĐ"/>
    <x v="0"/>
    <s v="CP đăng kiểm, đường bộ"/>
    <s v="CP đăng kiểm, bảo trì đường bộ"/>
    <s v="Mua 1 lần, tính khấu hao hàng tháng"/>
    <s v="30L28164"/>
    <s v="Vf6"/>
    <m/>
    <d v="2025-08-26T00:00:00"/>
    <n v="2160000"/>
    <n v="12"/>
    <n v="180000"/>
    <d v="2026-07-26T00:00:00"/>
    <m/>
  </r>
  <r>
    <n v="46"/>
    <x v="0"/>
    <s v="NĐ"/>
    <x v="0"/>
    <s v="CP đăng kiểm, đường bộ"/>
    <s v="CP đăng kiểm, bảo trì đường bộ"/>
    <s v="Mua 1 lần, tính khấu hao hàng tháng"/>
    <s v="30L28227"/>
    <s v="Vf6"/>
    <m/>
    <d v="2025-08-26T00:00:00"/>
    <n v="2160000"/>
    <n v="12"/>
    <n v="180000"/>
    <d v="2026-07-26T00:00:00"/>
    <m/>
  </r>
  <r>
    <n v="47"/>
    <x v="0"/>
    <s v="NĐ"/>
    <x v="0"/>
    <s v="CP đăng kiểm, đường bộ"/>
    <s v="CP đăng kiểm, bảo trì đường bộ"/>
    <s v="Mua 1 lần, tính khấu hao hàng tháng"/>
    <s v="30L28487"/>
    <s v="Vf6"/>
    <m/>
    <d v="2025-08-26T00:00:00"/>
    <n v="2160000"/>
    <n v="12"/>
    <n v="180000"/>
    <d v="2026-07-26T00:00:00"/>
    <m/>
  </r>
  <r>
    <n v="48"/>
    <x v="0"/>
    <s v="NĐ"/>
    <x v="0"/>
    <s v="CP đăng kiểm, đường bộ"/>
    <s v="CP đăng kiểm, bảo trì đường bộ"/>
    <s v="Mua 1 lần, tính khấu hao hàng tháng"/>
    <s v="30L28152"/>
    <s v="Vf6"/>
    <m/>
    <d v="2025-08-26T00:00:00"/>
    <n v="2160000"/>
    <n v="12"/>
    <n v="180000"/>
    <d v="2026-07-26T00:00:00"/>
    <m/>
  </r>
  <r>
    <n v="49"/>
    <x v="0"/>
    <s v="NĐ"/>
    <x v="0"/>
    <s v="CP đăng kiểm, đường bộ"/>
    <s v="CP đăng kiểm, bảo trì đường bộ"/>
    <s v="Mua 1 lần, tính khấu hao hàng tháng"/>
    <s v="30L28237"/>
    <s v="Vf6"/>
    <m/>
    <d v="2025-08-26T00:00:00"/>
    <n v="2160000"/>
    <n v="12"/>
    <n v="180000"/>
    <d v="2026-07-26T00:00:00"/>
    <m/>
  </r>
  <r>
    <n v="50"/>
    <x v="0"/>
    <s v="NĐ"/>
    <x v="0"/>
    <s v="CP đăng kiểm, đường bộ"/>
    <s v="CP đăng kiểm, bảo trì đường bộ"/>
    <s v="Mua 1 lần, tính khấu hao hàng tháng"/>
    <s v="29K00496"/>
    <s v="Ford"/>
    <m/>
    <d v="2026-04-01T00:00:00"/>
    <n v="3240000"/>
    <n v="12"/>
    <n v="270000"/>
    <d v="2027-03-01T00:00:00"/>
    <m/>
  </r>
  <r>
    <n v="51"/>
    <x v="0"/>
    <s v="NĐ"/>
    <x v="0"/>
    <s v="CP đăng kiểm, đường bộ"/>
    <s v="CP đăng kiểm, bảo trì đường bộ"/>
    <s v="Mua 1 lần, tính khấu hao hàng tháng"/>
    <s v="29K00498"/>
    <s v="Ford"/>
    <m/>
    <d v="2026-04-01T00:00:00"/>
    <n v="3240000"/>
    <n v="12"/>
    <n v="270000"/>
    <d v="2027-03-01T00:00:00"/>
    <m/>
  </r>
  <r>
    <n v="52"/>
    <x v="0"/>
    <s v="NĐ"/>
    <x v="0"/>
    <s v="CP đăng kiểm, đường bộ"/>
    <s v="CP đăng kiểm, bảo trì đường bộ"/>
    <s v="Mua 1 lần, tính khấu hao hàng tháng"/>
    <s v="29K00927"/>
    <s v="Ford"/>
    <m/>
    <d v="2026-04-01T00:00:00"/>
    <n v="3240000"/>
    <n v="12"/>
    <n v="270000"/>
    <d v="2027-03-01T00:00:00"/>
    <m/>
  </r>
  <r>
    <n v="53"/>
    <x v="0"/>
    <s v="NĐ"/>
    <x v="0"/>
    <s v="CP đăng kiểm, đường bộ"/>
    <s v="CP đăng kiểm, bảo trì đường bộ"/>
    <s v="Mua 1 lần, tính khấu hao hàng tháng"/>
    <s v="29B30798"/>
    <s v="Vf6"/>
    <m/>
    <d v="2026-03-01T00:00:00"/>
    <n v="2160000"/>
    <n v="12"/>
    <n v="180000"/>
    <d v="2027-02-01T00:00:00"/>
    <m/>
  </r>
  <r>
    <n v="54"/>
    <x v="0"/>
    <s v="NĐ"/>
    <x v="0"/>
    <s v="CP đăng kiểm, đường bộ"/>
    <s v="CP đăng kiểm, bảo trì đường bộ"/>
    <s v="Mua 1 lần, tính khấu hao hàng tháng"/>
    <s v="29B30768"/>
    <s v="Vf6"/>
    <m/>
    <d v="2026-03-01T00:00:00"/>
    <n v="2160000"/>
    <n v="12"/>
    <n v="180000"/>
    <d v="2027-02-01T00:00:00"/>
    <m/>
  </r>
  <r>
    <n v="55"/>
    <x v="0"/>
    <s v="NĐ"/>
    <x v="0"/>
    <s v="CP đăng kiểm, đường bộ"/>
    <s v="CP đăng kiểm, bảo trì đường bộ"/>
    <s v="Mua 1 lần, tính khấu hao hàng tháng"/>
    <s v="29B30595"/>
    <s v="Vf6"/>
    <m/>
    <d v="2026-03-01T00:00:00"/>
    <n v="2160000"/>
    <n v="12"/>
    <n v="180000"/>
    <d v="2027-02-01T00:00:00"/>
    <m/>
  </r>
  <r>
    <n v="56"/>
    <x v="0"/>
    <s v="NĐ"/>
    <x v="0"/>
    <s v="CP đăng kiểm, đường bộ"/>
    <s v="CP đăng kiểm, bảo trì đường bộ"/>
    <s v="Mua 1 lần, tính khấu hao hàng tháng"/>
    <s v="29B30723"/>
    <s v="Vf6"/>
    <m/>
    <d v="2026-03-01T00:00:00"/>
    <n v="2160000"/>
    <n v="12"/>
    <n v="180000"/>
    <d v="2027-02-01T00:00:00"/>
    <m/>
  </r>
  <r>
    <n v="57"/>
    <x v="0"/>
    <s v="NĐ"/>
    <x v="0"/>
    <s v="CP đăng kiểm, đường bộ"/>
    <s v="CP đăng kiểm, bảo trì đường bộ"/>
    <s v="Mua 1 lần, tính khấu hao hàng tháng"/>
    <s v="29D58872"/>
    <s v="Vf6"/>
    <m/>
    <d v="2026-03-01T00:00:00"/>
    <n v="2160000"/>
    <n v="12"/>
    <n v="180000"/>
    <d v="2027-02-01T00:00:00"/>
    <m/>
  </r>
  <r>
    <n v="58"/>
    <x v="0"/>
    <s v="NĐ"/>
    <x v="0"/>
    <s v="Mua thiết bị lắp thêm"/>
    <s v="Mua cửa lùa"/>
    <s v="Mua 1 lần, tính khấu hao hàng tháng"/>
    <s v="29K00496"/>
    <s v="Ford"/>
    <m/>
    <d v="2024-05-01T00:00:00"/>
    <n v="12800000"/>
    <n v="24"/>
    <s v=""/>
    <d v="2026-04-01T00:00:00"/>
    <m/>
  </r>
  <r>
    <n v="59"/>
    <x v="0"/>
    <s v="NĐ"/>
    <x v="0"/>
    <s v="Mua thiết bị lắp thêm"/>
    <s v="Mua cửa lùa"/>
    <s v="Mua 1 lần, tính khấu hao hàng tháng"/>
    <s v="29K00498"/>
    <s v="Ford"/>
    <m/>
    <d v="2024-05-01T00:00:00"/>
    <n v="12800000"/>
    <n v="24"/>
    <s v=""/>
    <d v="2026-04-01T00:00:00"/>
    <m/>
  </r>
  <r>
    <n v="60"/>
    <x v="0"/>
    <s v="NĐ"/>
    <x v="0"/>
    <s v="Mua thiết bị lắp thêm"/>
    <s v="Mua cửa lùa"/>
    <s v="Mua 1 lần, tính khấu hao hàng tháng"/>
    <s v="29K00927"/>
    <s v="Ford"/>
    <m/>
    <d v="2024-05-01T00:00:00"/>
    <n v="12800000"/>
    <n v="36"/>
    <n v="355555.55555555556"/>
    <d v="2027-04-01T00:00:00"/>
    <m/>
  </r>
  <r>
    <n v="61"/>
    <x v="0"/>
    <s v="NĐ"/>
    <x v="0"/>
    <s v="Mua thiết bị lắp thêm"/>
    <s v="CP độ xe Minh Tâm (bọc ghế da, quây da chân ghế, nâng cốp hàng cuối, trải sàn, dán phim cách nhiệt, rèm lọt khung ô kính)"/>
    <s v="Mua 1 lần, tính khấu hao hàng tháng"/>
    <s v="29K00496"/>
    <s v="Ford"/>
    <m/>
    <d v="2024-10-01T00:00:00"/>
    <n v="27000000"/>
    <n v="19"/>
    <s v=""/>
    <d v="2026-04-01T00:00:00"/>
    <m/>
  </r>
  <r>
    <n v="62"/>
    <x v="0"/>
    <s v="NĐ"/>
    <x v="0"/>
    <s v="Mua thiết bị lắp thêm"/>
    <s v="CP độ xe Minh Tâm (bọc ghế da, quây da chân ghế, nâng cốp hàng cuối, trải sàn, dán phim cách nhiệt, rèm lọt khung ô kính)"/>
    <s v="Mua 1 lần, tính khấu hao hàng tháng"/>
    <s v="29K00498"/>
    <s v="Ford"/>
    <m/>
    <d v="2024-10-01T00:00:00"/>
    <n v="27000000"/>
    <n v="19"/>
    <s v=""/>
    <d v="2026-04-01T00:00:00"/>
    <m/>
  </r>
  <r>
    <n v="63"/>
    <x v="0"/>
    <s v="NĐ"/>
    <x v="0"/>
    <s v="Mua thiết bị lắp thêm"/>
    <s v="CP độ xe Minh Tâm (bọc ghế da, quây da chân ghế, nâng cốp hàng cuối, trải sàn, dán phim cách nhiệt, rèm lọt khung ô kính)"/>
    <s v="Mua 1 lần, tính khấu hao hàng tháng"/>
    <s v="29K00927"/>
    <s v="Ford"/>
    <m/>
    <d v="2024-10-01T00:00:00"/>
    <n v="27000000"/>
    <n v="19"/>
    <s v=""/>
    <d v="2026-04-01T00:00:00"/>
    <m/>
  </r>
  <r>
    <n v="64"/>
    <x v="0"/>
    <s v="NĐ"/>
    <x v="0"/>
    <s v="Mua thiết bị lắp thêm"/>
    <s v="Mua bộ Camera GSHT tích hợp 2 trong 1 Skybox MDVR-2C"/>
    <s v="Mua 1 lần, tính khấu hao hàng tháng"/>
    <s v="29K00496"/>
    <s v="Ford"/>
    <m/>
    <d v="2024-04-26T00:00:00"/>
    <n v="5200000"/>
    <n v="24"/>
    <s v=""/>
    <d v="2026-03-26T00:00:00"/>
    <m/>
  </r>
  <r>
    <n v="65"/>
    <x v="0"/>
    <s v="NĐ"/>
    <x v="0"/>
    <s v="Mua thiết bị lắp thêm"/>
    <s v="Mua bộ Camera GSHT tích hợp 2 trong 1 Skybox MDVR-2C"/>
    <s v="Mua 1 lần, tính khấu hao hàng tháng"/>
    <s v="29K00498"/>
    <s v="Ford"/>
    <m/>
    <d v="2024-04-26T00:00:00"/>
    <n v="5200000"/>
    <n v="24"/>
    <s v=""/>
    <d v="2026-03-26T00:00:00"/>
    <m/>
  </r>
  <r>
    <n v="66"/>
    <x v="0"/>
    <s v="NĐ"/>
    <x v="0"/>
    <s v="Mua thiết bị lắp thêm"/>
    <s v="Mua bộ Camera GSHT tích hợp 2 trong 1 Skybox MDVR-2C"/>
    <s v="Mua 1 lần, tính khấu hao hàng tháng"/>
    <s v="30L15572"/>
    <s v="Vf6"/>
    <m/>
    <d v="2024-10-01T00:00:00"/>
    <n v="5200000"/>
    <n v="12"/>
    <s v=""/>
    <d v="2025-09-01T00:00:00"/>
    <m/>
  </r>
  <r>
    <n v="67"/>
    <x v="0"/>
    <s v="NĐ"/>
    <x v="0"/>
    <s v="Mua thiết bị lắp thêm"/>
    <s v="Mua bộ Camera GSHT tích hợp 2 trong 1 Skybox MDVR-2C"/>
    <s v="Mua 1 lần, tính khấu hao hàng tháng"/>
    <s v="30L28391"/>
    <s v="Vf6"/>
    <m/>
    <d v="2024-10-01T00:00:00"/>
    <n v="5200000"/>
    <n v="12"/>
    <s v=""/>
    <d v="2025-09-01T00:00:00"/>
    <m/>
  </r>
  <r>
    <n v="68"/>
    <x v="0"/>
    <s v="NĐ"/>
    <x v="0"/>
    <s v="Mua thiết bị lắp thêm"/>
    <s v="Mua bộ Camera GSHT tích hợp 2 trong 1 Skybox MDVR-2C"/>
    <s v="Mua 1 lần, tính khấu hao hàng tháng"/>
    <s v="30L28310"/>
    <s v="Vf6"/>
    <m/>
    <d v="2024-10-01T00:00:00"/>
    <n v="5200000"/>
    <n v="12"/>
    <s v=""/>
    <d v="2025-09-01T00:00:00"/>
    <m/>
  </r>
  <r>
    <n v="69"/>
    <x v="0"/>
    <s v="NĐ"/>
    <x v="0"/>
    <s v="Mua thiết bị lắp thêm"/>
    <s v="Mua bộ Camera GSHT tích hợp 2 trong 1 Skybox MDVR-2C"/>
    <s v="Mua 1 lần, tính khấu hao hàng tháng"/>
    <s v="30L28312"/>
    <s v="Vf6"/>
    <m/>
    <d v="2024-10-01T00:00:00"/>
    <n v="5200000"/>
    <n v="12"/>
    <s v=""/>
    <d v="2025-09-01T00:00:00"/>
    <m/>
  </r>
  <r>
    <n v="70"/>
    <x v="0"/>
    <s v="NĐ"/>
    <x v="0"/>
    <s v="Mua thiết bị lắp thêm"/>
    <s v="Mua bộ Camera GSHT tích hợp 2 trong 1 Skybox MDVR-2C"/>
    <s v="Mua 1 lần, tính khấu hao hàng tháng"/>
    <s v="30E44501"/>
    <s v="Vf6"/>
    <m/>
    <d v="2024-10-01T00:00:00"/>
    <n v="5200000"/>
    <n v="12"/>
    <s v=""/>
    <d v="2025-09-01T00:00:00"/>
    <m/>
  </r>
  <r>
    <n v="71"/>
    <x v="0"/>
    <s v="NĐ"/>
    <x v="0"/>
    <s v="Mua thiết bị lắp thêm"/>
    <s v="Mua bộ Camera GSHT tích hợp 2 trong 1 Skybox MDVR-2C"/>
    <s v="Mua 1 lần, tính khấu hao hàng tháng"/>
    <s v="30L28164"/>
    <s v="Vf6"/>
    <m/>
    <d v="2024-10-01T00:00:00"/>
    <n v="5200000"/>
    <n v="12"/>
    <s v=""/>
    <d v="2025-09-01T00:00:00"/>
    <m/>
  </r>
  <r>
    <n v="72"/>
    <x v="0"/>
    <s v="NĐ"/>
    <x v="0"/>
    <s v="Mua thiết bị lắp thêm"/>
    <s v="Mua bộ Camera GSHT tích hợp 2 trong 1 Skybox MDVR-2C"/>
    <s v="Mua 1 lần, tính khấu hao hàng tháng"/>
    <s v="30L28227"/>
    <s v="Vf6"/>
    <m/>
    <d v="2024-10-01T00:00:00"/>
    <n v="5200000"/>
    <n v="12"/>
    <s v=""/>
    <d v="2025-09-01T00:00:00"/>
    <m/>
  </r>
  <r>
    <n v="73"/>
    <x v="0"/>
    <s v="NĐ"/>
    <x v="0"/>
    <s v="Mua thiết bị lắp thêm"/>
    <s v="Mua bộ Camera GSHT tích hợp 2 trong 1 Skybox MDVR-2C"/>
    <s v="Mua 1 lần, tính khấu hao hàng tháng"/>
    <s v="30L28487"/>
    <s v="Vf6"/>
    <m/>
    <d v="2024-10-01T00:00:00"/>
    <n v="5200000"/>
    <n v="12"/>
    <s v=""/>
    <d v="2025-09-01T00:00:00"/>
    <m/>
  </r>
  <r>
    <n v="74"/>
    <x v="0"/>
    <s v="NĐ"/>
    <x v="0"/>
    <s v="Mua thiết bị lắp thêm"/>
    <s v="Mua bộ Camera GSHT tích hợp 2 trong 1 Skybox MDVR-2C"/>
    <s v="Mua 1 lần, tính khấu hao hàng tháng"/>
    <s v="30L28152"/>
    <s v="Vf6"/>
    <m/>
    <d v="2024-10-01T00:00:00"/>
    <n v="5200000"/>
    <n v="12"/>
    <s v=""/>
    <d v="2025-09-01T00:00:00"/>
    <m/>
  </r>
  <r>
    <n v="75"/>
    <x v="0"/>
    <s v="NĐ"/>
    <x v="0"/>
    <s v="Mua thiết bị lắp thêm"/>
    <s v="Mua bộ Camera GSHT tích hợp 2 trong 1 Skybox MDVR-2C"/>
    <s v="Mua 1 lần, tính khấu hao hàng tháng"/>
    <s v="30L28237"/>
    <s v="Vf6"/>
    <m/>
    <d v="2024-10-01T00:00:00"/>
    <n v="5200000"/>
    <n v="12"/>
    <s v=""/>
    <d v="2025-09-01T00:00:00"/>
    <m/>
  </r>
  <r>
    <n v="76"/>
    <x v="0"/>
    <s v="NĐ"/>
    <x v="0"/>
    <s v="Mua thiết bị lắp thêm"/>
    <s v="Mua bộ Camera GSHT tích hợp 2 trong 1 Skybox MDVR-2C"/>
    <s v="Mua 1 lần, tính khấu hao hàng tháng"/>
    <s v="29B30798"/>
    <s v="Vf6"/>
    <m/>
    <d v="2025-03-13T00:00:00"/>
    <n v="5200000"/>
    <n v="24"/>
    <n v="216666.66666666666"/>
    <d v="2027-02-13T00:00:00"/>
    <m/>
  </r>
  <r>
    <n v="77"/>
    <x v="0"/>
    <s v="NĐ"/>
    <x v="0"/>
    <s v="Mua thiết bị lắp thêm"/>
    <s v="Mua bộ Camera GSHT tích hợp 2 trong 1 Skybox MDVR-2C"/>
    <s v="Mua 1 lần, tính khấu hao hàng tháng"/>
    <s v="29B30768"/>
    <s v="Vf6"/>
    <m/>
    <d v="2025-03-13T00:00:00"/>
    <n v="5200000"/>
    <n v="24"/>
    <n v="216666.66666666666"/>
    <d v="2027-02-13T00:00:00"/>
    <m/>
  </r>
  <r>
    <n v="78"/>
    <x v="0"/>
    <s v="NĐ"/>
    <x v="0"/>
    <s v="Mua thiết bị lắp thêm"/>
    <s v="Mua bộ Camera GSHT tích hợp 2 trong 1 Skybox MDVR-2C"/>
    <s v="Mua 1 lần, tính khấu hao hàng tháng"/>
    <s v="29B30595"/>
    <s v="Vf6"/>
    <m/>
    <d v="2025-03-13T00:00:00"/>
    <n v="5200000"/>
    <n v="24"/>
    <n v="216666.66666666666"/>
    <d v="2027-02-13T00:00:00"/>
    <m/>
  </r>
  <r>
    <n v="79"/>
    <x v="0"/>
    <s v="NĐ"/>
    <x v="0"/>
    <s v="Mua thiết bị lắp thêm"/>
    <s v="Mua bộ Camera GSHT tích hợp 2 trong 1 Skybox MDVR-2C"/>
    <s v="Mua 1 lần, tính khấu hao hàng tháng"/>
    <s v="29B30723"/>
    <s v="Vf6"/>
    <m/>
    <d v="2025-03-13T00:00:00"/>
    <n v="5200000"/>
    <n v="24"/>
    <n v="216666.66666666666"/>
    <d v="2027-02-13T00:00:00"/>
    <m/>
  </r>
  <r>
    <n v="80"/>
    <x v="0"/>
    <s v="NĐ"/>
    <x v="0"/>
    <s v="Mua thiết bị lắp thêm"/>
    <s v="Mua bộ Camera GSHT tích hợp 2 trong 1 Skybox MDVR-2C"/>
    <s v="Mua 1 lần, tính khấu hao hàng tháng"/>
    <s v="29D58872"/>
    <s v="Vf6"/>
    <m/>
    <d v="2025-03-13T00:00:00"/>
    <n v="5200000"/>
    <n v="24"/>
    <n v="216666.66666666666"/>
    <d v="2027-02-13T00:00:00"/>
    <m/>
  </r>
  <r>
    <n v="81"/>
    <x v="0"/>
    <s v="NĐ"/>
    <x v="0"/>
    <s v="Mua thiết bị lắp thêm"/>
    <s v="Mua bộ Camera GSHT tích hợp 2 trong 1 Skybox MDVR-2C"/>
    <s v="Mua 1 lần, tính khấu hao hàng tháng"/>
    <s v="29K00927"/>
    <s v="Ford"/>
    <m/>
    <d v="2024-04-26T00:00:00"/>
    <n v="5200000"/>
    <n v="24"/>
    <s v=""/>
    <d v="2026-03-26T00:00:00"/>
    <m/>
  </r>
  <r>
    <n v="82"/>
    <x v="0"/>
    <s v="NĐ"/>
    <x v="0"/>
    <s v="Mua thiết bị lắp thêm"/>
    <s v="CP dán thảm lót sàn"/>
    <s v="Mua 1 lần, tính khấu hao hàng tháng"/>
    <s v="30L15572"/>
    <s v="Vf6"/>
    <m/>
    <d v="2024-12-01T00:00:00"/>
    <n v="1600000"/>
    <n v="18"/>
    <n v="88888.888888888891"/>
    <d v="2026-05-01T00:00:00"/>
    <m/>
  </r>
  <r>
    <n v="83"/>
    <x v="0"/>
    <s v="NĐ"/>
    <x v="0"/>
    <s v="Mua thiết bị lắp thêm"/>
    <s v="CP dán thảm lót sàn"/>
    <s v="Mua 1 lần, tính khấu hao hàng tháng"/>
    <s v="30L28391"/>
    <s v="Vf6"/>
    <m/>
    <d v="2024-12-01T00:00:00"/>
    <n v="1600000"/>
    <n v="18"/>
    <n v="88888.888888888891"/>
    <d v="2026-05-01T00:00:00"/>
    <m/>
  </r>
  <r>
    <n v="84"/>
    <x v="0"/>
    <s v="NĐ"/>
    <x v="0"/>
    <s v="Mua thiết bị lắp thêm"/>
    <s v="CP dán thảm lót sàn"/>
    <s v="Mua 1 lần, tính khấu hao hàng tháng"/>
    <s v="30L28310"/>
    <s v="Vf6"/>
    <m/>
    <d v="2024-12-01T00:00:00"/>
    <n v="1600000"/>
    <n v="18"/>
    <n v="88888.888888888891"/>
    <d v="2026-05-01T00:00:00"/>
    <m/>
  </r>
  <r>
    <n v="85"/>
    <x v="0"/>
    <s v="NĐ"/>
    <x v="0"/>
    <s v="Mua thiết bị lắp thêm"/>
    <s v="CP dán thảm lót sàn"/>
    <s v="Mua 1 lần, tính khấu hao hàng tháng"/>
    <s v="30L28312"/>
    <s v="Vf6"/>
    <m/>
    <d v="2024-12-01T00:00:00"/>
    <n v="1600000"/>
    <n v="18"/>
    <n v="88888.888888888891"/>
    <d v="2026-05-01T00:00:00"/>
    <m/>
  </r>
  <r>
    <n v="86"/>
    <x v="0"/>
    <s v="NĐ"/>
    <x v="0"/>
    <s v="Mua thiết bị lắp thêm"/>
    <s v="CP dán thảm lót sàn"/>
    <s v="Mua 1 lần, tính khấu hao hàng tháng"/>
    <s v="30E44501"/>
    <s v="Vf6"/>
    <m/>
    <d v="2024-12-01T00:00:00"/>
    <n v="1600000"/>
    <n v="18"/>
    <n v="88888.888888888891"/>
    <d v="2026-05-01T00:00:00"/>
    <m/>
  </r>
  <r>
    <n v="87"/>
    <x v="0"/>
    <s v="NĐ"/>
    <x v="0"/>
    <s v="Mua thiết bị lắp thêm"/>
    <s v="CP dán thảm lót sàn"/>
    <s v="Mua 1 lần, tính khấu hao hàng tháng"/>
    <s v="30L28164"/>
    <s v="Vf6"/>
    <m/>
    <d v="2024-12-01T00:00:00"/>
    <n v="1600000"/>
    <n v="18"/>
    <n v="88888.888888888891"/>
    <d v="2026-05-01T00:00:00"/>
    <m/>
  </r>
  <r>
    <n v="88"/>
    <x v="0"/>
    <s v="NĐ"/>
    <x v="0"/>
    <s v="Mua thiết bị lắp thêm"/>
    <s v="CP dán thảm lót sàn"/>
    <s v="Mua 1 lần, tính khấu hao hàng tháng"/>
    <s v="30L28227"/>
    <s v="Vf6"/>
    <m/>
    <d v="2024-12-01T00:00:00"/>
    <n v="1600000"/>
    <n v="18"/>
    <n v="88888.888888888891"/>
    <d v="2026-05-01T00:00:00"/>
    <m/>
  </r>
  <r>
    <n v="89"/>
    <x v="0"/>
    <s v="NĐ"/>
    <x v="0"/>
    <s v="Mua thiết bị lắp thêm"/>
    <s v="CP dán thảm lót sàn"/>
    <s v="Mua 1 lần, tính khấu hao hàng tháng"/>
    <s v="30L28487"/>
    <s v="Vf6"/>
    <m/>
    <d v="2024-12-01T00:00:00"/>
    <n v="1600000"/>
    <n v="18"/>
    <n v="88888.888888888891"/>
    <d v="2026-05-01T00:00:00"/>
    <m/>
  </r>
  <r>
    <n v="90"/>
    <x v="0"/>
    <s v="NĐ"/>
    <x v="0"/>
    <s v="Mua thiết bị lắp thêm"/>
    <s v="CP dán thảm lót sàn"/>
    <s v="Mua 1 lần, tính khấu hao hàng tháng"/>
    <s v="30L28152"/>
    <s v="Vf6"/>
    <m/>
    <d v="2024-12-01T00:00:00"/>
    <n v="1600000"/>
    <n v="18"/>
    <n v="88888.888888888891"/>
    <d v="2026-05-01T00:00:00"/>
    <m/>
  </r>
  <r>
    <n v="91"/>
    <x v="0"/>
    <s v="NĐ"/>
    <x v="0"/>
    <s v="Mua thiết bị lắp thêm"/>
    <s v="CP dán thảm lót sàn"/>
    <s v="Mua 1 lần, tính khấu hao hàng tháng"/>
    <s v="30L28237"/>
    <s v="Vf6"/>
    <m/>
    <d v="2024-12-01T00:00:00"/>
    <n v="1600000"/>
    <n v="18"/>
    <n v="88888.888888888891"/>
    <d v="2026-05-01T00:00:00"/>
    <m/>
  </r>
  <r>
    <n v="92"/>
    <x v="0"/>
    <s v="NĐ"/>
    <x v="0"/>
    <s v="Mua thiết bị lắp thêm"/>
    <s v="CP dán thảm lót sàn"/>
    <s v="Mua 1 lần, tính khấu hao hàng tháng"/>
    <s v="29B30798"/>
    <s v="Vf6"/>
    <m/>
    <d v="2025-03-07T00:00:00"/>
    <n v="1365000"/>
    <n v="12"/>
    <s v=""/>
    <d v="2026-02-07T00:00:00"/>
    <m/>
  </r>
  <r>
    <n v="93"/>
    <x v="0"/>
    <s v="NĐ"/>
    <x v="0"/>
    <s v="Mua thiết bị lắp thêm"/>
    <s v="CP dán thảm lót sàn"/>
    <s v="Mua 1 lần, tính khấu hao hàng tháng"/>
    <s v="29B30768"/>
    <s v="Vf6"/>
    <m/>
    <d v="2025-03-01T00:00:00"/>
    <n v="1365000"/>
    <n v="12"/>
    <s v=""/>
    <d v="2026-02-01T00:00:00"/>
    <m/>
  </r>
  <r>
    <n v="94"/>
    <x v="0"/>
    <s v="NĐ"/>
    <x v="0"/>
    <s v="Mua thiết bị lắp thêm"/>
    <s v="CP dán thảm lót sàn"/>
    <s v="Mua 1 lần, tính khấu hao hàng tháng"/>
    <s v="29B30595"/>
    <s v="Vf6"/>
    <m/>
    <d v="2025-03-01T00:00:00"/>
    <n v="1365000"/>
    <n v="12"/>
    <s v=""/>
    <d v="2026-02-01T00:00:00"/>
    <m/>
  </r>
  <r>
    <n v="95"/>
    <x v="0"/>
    <s v="NĐ"/>
    <x v="0"/>
    <s v="Mua thiết bị lắp thêm"/>
    <s v="CP dán thảm lót sàn"/>
    <s v="Mua 1 lần, tính khấu hao hàng tháng"/>
    <s v="29B30723"/>
    <s v="Vf6"/>
    <m/>
    <d v="2025-03-01T00:00:00"/>
    <n v="1365000"/>
    <n v="12"/>
    <s v=""/>
    <d v="2026-02-01T00:00:00"/>
    <m/>
  </r>
  <r>
    <n v="96"/>
    <x v="0"/>
    <s v="NĐ"/>
    <x v="0"/>
    <s v="Mua thiết bị lắp thêm"/>
    <s v="CP dán thảm lót sàn"/>
    <s v="Mua 1 lần, tính khấu hao hàng tháng"/>
    <s v="29D58872"/>
    <s v="Vf6"/>
    <m/>
    <d v="2025-03-01T00:00:00"/>
    <n v="1365000"/>
    <n v="12"/>
    <s v=""/>
    <d v="2026-02-01T00:00:00"/>
    <m/>
  </r>
  <r>
    <n v="97"/>
    <x v="0"/>
    <s v="NĐ"/>
    <x v="0"/>
    <s v="Mua thiết bị lắp thêm"/>
    <s v="Mua sim 5G"/>
    <s v="Mua 1 lần, tính khấu hao hàng tháng"/>
    <s v="29K00496"/>
    <s v="Ford"/>
    <m/>
    <d v="2026-05-01T00:00:00"/>
    <n v="700000"/>
    <n v="12"/>
    <n v="58333.333333333336"/>
    <d v="2027-04-01T00:00:00"/>
    <m/>
  </r>
  <r>
    <n v="98"/>
    <x v="0"/>
    <s v="NĐ"/>
    <x v="0"/>
    <s v="Mua thiết bị lắp thêm"/>
    <s v="Mua sim 5G"/>
    <s v="Mua 1 lần, tính khấu hao hàng tháng"/>
    <s v="29K00498"/>
    <s v="Ford"/>
    <m/>
    <d v="2026-05-01T00:00:00"/>
    <n v="700000"/>
    <n v="12"/>
    <n v="58333.333333333336"/>
    <d v="2027-04-01T00:00:00"/>
    <m/>
  </r>
  <r>
    <n v="99"/>
    <x v="0"/>
    <s v="NĐ"/>
    <x v="0"/>
    <s v="Mua thiết bị lắp thêm"/>
    <s v="Mua sim 5G"/>
    <s v="Mua 1 lần, tính khấu hao hàng tháng"/>
    <s v="30L15572"/>
    <s v="Vf6"/>
    <m/>
    <d v="2025-06-28T00:00:00"/>
    <n v="700000"/>
    <n v="12"/>
    <n v="58333.333333333336"/>
    <d v="2026-05-28T00:00:00"/>
    <m/>
  </r>
  <r>
    <n v="100"/>
    <x v="0"/>
    <s v="NĐ"/>
    <x v="0"/>
    <s v="Mua thiết bị lắp thêm"/>
    <s v="Mua sim 5G"/>
    <s v="Mua 1 lần, tính khấu hao hàng tháng"/>
    <s v="30L28391"/>
    <s v="Vf6"/>
    <m/>
    <d v="2025-06-28T00:00:00"/>
    <n v="700000"/>
    <n v="12"/>
    <n v="58333.333333333336"/>
    <d v="2026-05-28T00:00:00"/>
    <m/>
  </r>
  <r>
    <n v="101"/>
    <x v="0"/>
    <s v="NĐ"/>
    <x v="0"/>
    <s v="Mua thiết bị lắp thêm"/>
    <s v="Mua sim 5G"/>
    <s v="Mua 1 lần, tính khấu hao hàng tháng"/>
    <s v="30L28310"/>
    <s v="Vf6"/>
    <m/>
    <d v="2025-06-28T00:00:00"/>
    <n v="700000"/>
    <n v="12"/>
    <n v="58333.333333333336"/>
    <d v="2026-05-28T00:00:00"/>
    <m/>
  </r>
  <r>
    <n v="102"/>
    <x v="0"/>
    <s v="NĐ"/>
    <x v="0"/>
    <s v="Mua thiết bị lắp thêm"/>
    <s v="Mua sim 5G"/>
    <s v="Mua 1 lần, tính khấu hao hàng tháng"/>
    <s v="30L28312"/>
    <s v="Vf6"/>
    <m/>
    <d v="2025-06-28T00:00:00"/>
    <n v="700000"/>
    <n v="12"/>
    <n v="58333.333333333336"/>
    <d v="2026-05-28T00:00:00"/>
    <m/>
  </r>
  <r>
    <n v="103"/>
    <x v="0"/>
    <s v="NĐ"/>
    <x v="0"/>
    <s v="Mua thiết bị lắp thêm"/>
    <s v="Mua sim 5G"/>
    <s v="Mua 1 lần, tính khấu hao hàng tháng"/>
    <s v="30E44501"/>
    <s v="Vf6"/>
    <m/>
    <d v="2025-06-28T00:00:00"/>
    <n v="700000"/>
    <n v="12"/>
    <n v="58333.333333333336"/>
    <d v="2026-05-28T00:00:00"/>
    <m/>
  </r>
  <r>
    <n v="104"/>
    <x v="0"/>
    <s v="NĐ"/>
    <x v="0"/>
    <s v="Mua thiết bị lắp thêm"/>
    <s v="Mua sim 5G"/>
    <s v="Mua 1 lần, tính khấu hao hàng tháng"/>
    <s v="30L28164"/>
    <s v="Vf6"/>
    <m/>
    <d v="2025-06-28T00:00:00"/>
    <n v="700000"/>
    <n v="12"/>
    <n v="58333.333333333336"/>
    <d v="2026-05-28T00:00:00"/>
    <m/>
  </r>
  <r>
    <n v="105"/>
    <x v="0"/>
    <s v="NĐ"/>
    <x v="0"/>
    <s v="Mua thiết bị lắp thêm"/>
    <s v="Mua sim 5G"/>
    <s v="Mua 1 lần, tính khấu hao hàng tháng"/>
    <s v="30L28227"/>
    <s v="Vf6"/>
    <m/>
    <d v="2025-06-28T00:00:00"/>
    <n v="700000"/>
    <n v="12"/>
    <n v="58333.333333333336"/>
    <d v="2026-05-28T00:00:00"/>
    <m/>
  </r>
  <r>
    <n v="106"/>
    <x v="0"/>
    <s v="NĐ"/>
    <x v="0"/>
    <s v="Mua thiết bị lắp thêm"/>
    <s v="Mua sim 5G"/>
    <s v="Mua 1 lần, tính khấu hao hàng tháng"/>
    <s v="30L28487"/>
    <s v="Vf6"/>
    <m/>
    <d v="2025-06-28T00:00:00"/>
    <n v="700000"/>
    <n v="12"/>
    <n v="58333.333333333336"/>
    <d v="2026-05-28T00:00:00"/>
    <m/>
  </r>
  <r>
    <n v="107"/>
    <x v="0"/>
    <s v="NĐ"/>
    <x v="0"/>
    <s v="Mua thiết bị lắp thêm"/>
    <s v="Mua sim 5G"/>
    <s v="Mua 1 lần, tính khấu hao hàng tháng"/>
    <s v="30L28152"/>
    <s v="Vf6"/>
    <m/>
    <d v="2025-06-28T00:00:00"/>
    <n v="700000"/>
    <n v="12"/>
    <n v="58333.333333333336"/>
    <d v="2026-05-28T00:00:00"/>
    <m/>
  </r>
  <r>
    <n v="108"/>
    <x v="0"/>
    <s v="NĐ"/>
    <x v="0"/>
    <s v="Mua thiết bị lắp thêm"/>
    <s v="Mua sim 5G"/>
    <s v="Mua 1 lần, tính khấu hao hàng tháng"/>
    <s v="30L28237"/>
    <s v="Vf6"/>
    <m/>
    <d v="2025-06-28T00:00:00"/>
    <n v="700000"/>
    <n v="12"/>
    <n v="58333.333333333336"/>
    <d v="2026-05-28T00:00:00"/>
    <m/>
  </r>
  <r>
    <n v="109"/>
    <x v="0"/>
    <s v="NĐ"/>
    <x v="0"/>
    <s v="Mua thiết bị lắp thêm"/>
    <s v="Mua sim 5G"/>
    <s v="Mua 1 lần, tính khấu hao hàng tháng"/>
    <s v="29B30798"/>
    <s v="Vf6"/>
    <m/>
    <d v="2026-03-01T00:00:00"/>
    <n v="700000"/>
    <n v="12"/>
    <n v="58333.333333333336"/>
    <d v="2027-02-01T00:00:00"/>
    <m/>
  </r>
  <r>
    <n v="110"/>
    <x v="0"/>
    <s v="NĐ"/>
    <x v="0"/>
    <s v="Mua thiết bị lắp thêm"/>
    <s v="Mua sim 5G"/>
    <s v="Mua 1 lần, tính khấu hao hàng tháng"/>
    <s v="29B30768"/>
    <s v="Vf6"/>
    <m/>
    <d v="2026-03-01T00:00:00"/>
    <n v="700000"/>
    <n v="12"/>
    <n v="58333.333333333336"/>
    <d v="2027-02-01T00:00:00"/>
    <m/>
  </r>
  <r>
    <n v="111"/>
    <x v="0"/>
    <s v="NĐ"/>
    <x v="0"/>
    <s v="Mua thiết bị lắp thêm"/>
    <s v="Mua sim 5G"/>
    <s v="Mua 1 lần, tính khấu hao hàng tháng"/>
    <s v="29B30595"/>
    <s v="Vf6"/>
    <m/>
    <d v="2026-03-01T00:00:00"/>
    <n v="700000"/>
    <n v="12"/>
    <n v="58333.333333333336"/>
    <d v="2027-02-01T00:00:00"/>
    <m/>
  </r>
  <r>
    <n v="112"/>
    <x v="0"/>
    <s v="NĐ"/>
    <x v="0"/>
    <s v="Mua thiết bị lắp thêm"/>
    <s v="Mua sim 5G"/>
    <s v="Mua 1 lần, tính khấu hao hàng tháng"/>
    <s v="29B30723"/>
    <s v="Vf6"/>
    <m/>
    <d v="2026-03-01T00:00:00"/>
    <n v="700000"/>
    <n v="12"/>
    <n v="58333.333333333336"/>
    <d v="2027-02-01T00:00:00"/>
    <m/>
  </r>
  <r>
    <n v="113"/>
    <x v="0"/>
    <s v="NĐ"/>
    <x v="0"/>
    <s v="Mua thiết bị lắp thêm"/>
    <s v="Mua sim 5G"/>
    <s v="Mua 1 lần, tính khấu hao hàng tháng"/>
    <s v="29D58872"/>
    <s v="Vf6"/>
    <m/>
    <d v="2026-03-01T00:00:00"/>
    <n v="700000"/>
    <n v="12"/>
    <n v="58333.333333333336"/>
    <d v="2027-02-01T00:00:00"/>
    <m/>
  </r>
  <r>
    <n v="114"/>
    <x v="0"/>
    <s v="NĐ"/>
    <x v="0"/>
    <s v="Mua thiết bị lắp thêm"/>
    <s v="Mua sim 5G"/>
    <s v="Mua 1 lần, tính khấu hao hàng tháng"/>
    <s v="29K00927"/>
    <s v="Ford"/>
    <m/>
    <d v="2026-04-01T00:00:00"/>
    <n v="700000"/>
    <n v="12"/>
    <n v="58333.333333333336"/>
    <d v="2027-03-01T00:00:00"/>
    <m/>
  </r>
  <r>
    <n v="115"/>
    <x v="0"/>
    <s v="NĐ"/>
    <x v="1"/>
    <s v="Trang thiết bị VP"/>
    <s v="Công lắp đặt điều hoà (HĐ số 128 ngày 07/05)  (Phân bổ 24 tháng từ tháng 5/2024)"/>
    <s v="Mua 1 lần, tính khấu hao hàng tháng"/>
    <m/>
    <m/>
    <m/>
    <d v="2024-05-01T00:00:00"/>
    <n v="7440000"/>
    <n v="24"/>
    <s v=""/>
    <d v="2026-04-01T00:00:00"/>
    <m/>
  </r>
  <r>
    <n v="116"/>
    <x v="0"/>
    <s v="NĐ"/>
    <x v="1"/>
    <s v="Trang thiết bị VP"/>
    <s v="Chi tiền mua 2 điều hòa Casper  (Phân bổ 24 tháng từ tháng 5/2024)"/>
    <s v="Mua 1 lần, tính khấu hao hàng tháng"/>
    <m/>
    <m/>
    <m/>
    <d v="2024-05-01T00:00:00"/>
    <n v="18800000"/>
    <n v="24"/>
    <s v=""/>
    <d v="2026-04-01T00:00:00"/>
    <m/>
  </r>
  <r>
    <n v="117"/>
    <x v="0"/>
    <s v="NĐ"/>
    <x v="1"/>
    <s v="Trang thiết bị VP"/>
    <s v="Hạch toán mua máy tính cho điều hành"/>
    <s v="Mua 1 lần, tính khấu hao hàng tháng"/>
    <m/>
    <m/>
    <m/>
    <d v="2024-10-01T00:00:00"/>
    <n v="8993000"/>
    <n v="24"/>
    <n v="374708.33333333331"/>
    <d v="2026-09-01T00:00:00"/>
    <m/>
  </r>
  <r>
    <n v="118"/>
    <x v="0"/>
    <s v="NĐ"/>
    <x v="1"/>
    <s v="Trang thiết bị VP"/>
    <s v="Hạch toán cây nước nóng lạnh Sunhouse SHD9546 - VP Nam Định"/>
    <s v="Mua 1 lần, tính khấu hao hàng tháng"/>
    <m/>
    <m/>
    <m/>
    <d v="2025-11-01T00:00:00"/>
    <n v="1842593"/>
    <n v="12"/>
    <n v="153549.41666666666"/>
    <d v="2026-10-01T00:00:00"/>
    <m/>
  </r>
  <r>
    <n v="119"/>
    <x v="0"/>
    <s v="NĐ"/>
    <x v="2"/>
    <s v="BD, SC PT"/>
    <s v="CP thay dầu, nhớt"/>
    <s v="CP trích trước hàng tháng"/>
    <s v="29K00496"/>
    <s v="Ford"/>
    <n v="3064.9499999999971"/>
    <d v="2026-05-01T00:00:00"/>
    <n v="393079.83749999962"/>
    <n v="1"/>
    <n v="393079.83749999962"/>
    <d v="2026-05-01T00:00:00"/>
    <m/>
  </r>
  <r>
    <n v="120"/>
    <x v="0"/>
    <s v="NĐ"/>
    <x v="2"/>
    <s v="BD, SC PT"/>
    <s v="CP thay dầu, nhớt"/>
    <s v="CP trích trước hàng tháng"/>
    <s v="29K00498"/>
    <s v="Ford"/>
    <n v="2453"/>
    <d v="2026-05-01T00:00:00"/>
    <n v="314597.25"/>
    <n v="1"/>
    <n v="314597.25"/>
    <d v="2026-05-01T00:00:00"/>
    <m/>
  </r>
  <r>
    <n v="121"/>
    <x v="0"/>
    <s v="NĐ"/>
    <x v="2"/>
    <s v="BD, SC PT"/>
    <s v="CP thay dầu, nhớt"/>
    <s v="CP trích trước hàng tháng"/>
    <s v="29K00927"/>
    <s v="Ford"/>
    <n v="1487"/>
    <d v="2026-05-01T00:00:00"/>
    <n v="190707.75"/>
    <n v="1"/>
    <n v="190707.75"/>
    <d v="2026-05-01T00:00:00"/>
    <m/>
  </r>
  <r>
    <n v="122"/>
    <x v="0"/>
    <s v="NĐ"/>
    <x v="2"/>
    <s v="BD, SC PT"/>
    <s v="CP thay dầu, nhớt"/>
    <s v="CP trích trước hàng tháng"/>
    <s v="29K05170"/>
    <s v="Solati"/>
    <n v="1818.5699999999488"/>
    <d v="2026-05-01T00:00:00"/>
    <n v="184130.21249999481"/>
    <n v="1"/>
    <n v="184130.21249999481"/>
    <d v="2026-05-01T00:00:00"/>
    <m/>
  </r>
  <r>
    <n v="123"/>
    <x v="0"/>
    <s v="NĐ"/>
    <x v="2"/>
    <s v="BD, SC PT"/>
    <s v="CP thay dầu, nhớt"/>
    <s v="CP trích trước hàng tháng"/>
    <s v="29K05144"/>
    <s v="Solati"/>
    <n v="2432.140000000014"/>
    <d v="2026-05-01T00:00:00"/>
    <n v="246254.17500000141"/>
    <n v="1"/>
    <n v="246254.17500000141"/>
    <d v="2026-05-01T00:00:00"/>
    <m/>
  </r>
  <r>
    <n v="124"/>
    <x v="0"/>
    <s v="NĐ"/>
    <x v="2"/>
    <s v="BD, SC PT"/>
    <s v="CP thay dầu, nhớt"/>
    <s v="CP trích trước hàng tháng"/>
    <s v="29K05187"/>
    <s v="Solati"/>
    <n v="2838.3699999999953"/>
    <d v="2026-05-01T00:00:00"/>
    <n v="287384.96249999956"/>
    <n v="1"/>
    <n v="287384.96249999956"/>
    <d v="2026-05-01T00:00:00"/>
    <m/>
  </r>
  <r>
    <n v="125"/>
    <x v="0"/>
    <s v="NĐ"/>
    <x v="2"/>
    <s v="BD, SC PT"/>
    <s v="CP thay lốp"/>
    <s v="CP trích trước hàng tháng"/>
    <s v="30E44501"/>
    <s v="Vf6"/>
    <n v="5509"/>
    <d v="2026-05-01T00:00:00"/>
    <n v="991620"/>
    <n v="1"/>
    <n v="991620"/>
    <d v="2026-05-01T00:00:00"/>
    <m/>
  </r>
  <r>
    <n v="126"/>
    <x v="0"/>
    <s v="NĐ"/>
    <x v="2"/>
    <s v="BD, SC PT"/>
    <s v="CP thay lốp"/>
    <s v="CP trích trước hàng tháng"/>
    <s v="30L15572"/>
    <s v="Vf6"/>
    <n v="4916"/>
    <d v="2026-05-01T00:00:00"/>
    <n v="884880"/>
    <n v="1"/>
    <n v="884880"/>
    <d v="2026-05-01T00:00:00"/>
    <m/>
  </r>
  <r>
    <n v="127"/>
    <x v="0"/>
    <s v="NĐ"/>
    <x v="2"/>
    <s v="BD, SC PT"/>
    <s v="CP thay lốp"/>
    <s v="CP trích trước hàng tháng"/>
    <s v="30L28152"/>
    <s v="Vf6"/>
    <n v="3064"/>
    <d v="2026-05-01T00:00:00"/>
    <n v="551520"/>
    <n v="1"/>
    <n v="551520"/>
    <d v="2026-05-01T00:00:00"/>
    <m/>
  </r>
  <r>
    <n v="128"/>
    <x v="0"/>
    <s v="NĐ"/>
    <x v="2"/>
    <s v="BD, SC PT"/>
    <s v="CP thay lốp"/>
    <s v="CP trích trước hàng tháng"/>
    <s v="30L28164"/>
    <s v="Vf6"/>
    <n v="4830"/>
    <d v="2026-05-01T00:00:00"/>
    <n v="869400"/>
    <n v="1"/>
    <n v="869400"/>
    <d v="2026-05-01T00:00:00"/>
    <m/>
  </r>
  <r>
    <n v="129"/>
    <x v="0"/>
    <s v="NĐ"/>
    <x v="2"/>
    <s v="BD, SC PT"/>
    <s v="CP thay lốp"/>
    <s v="CP trích trước hàng tháng"/>
    <s v="30L28227"/>
    <s v="Vf6"/>
    <n v="4153"/>
    <d v="2026-05-01T00:00:00"/>
    <n v="747540"/>
    <n v="1"/>
    <n v="747540"/>
    <d v="2026-05-01T00:00:00"/>
    <m/>
  </r>
  <r>
    <n v="130"/>
    <x v="0"/>
    <s v="NĐ"/>
    <x v="2"/>
    <s v="BD, SC PT"/>
    <s v="CP thay lốp"/>
    <s v="CP trích trước hàng tháng"/>
    <s v="30L28237"/>
    <s v="Vf6"/>
    <n v="656.66999999999825"/>
    <d v="2026-05-01T00:00:00"/>
    <n v="118200.59999999969"/>
    <n v="1"/>
    <n v="118200.59999999969"/>
    <d v="2026-05-01T00:00:00"/>
    <m/>
  </r>
  <r>
    <n v="131"/>
    <x v="0"/>
    <s v="NĐ"/>
    <x v="2"/>
    <s v="BD, SC PT"/>
    <s v="CP thay lốp"/>
    <s v="CP trích trước hàng tháng"/>
    <s v="30L28310"/>
    <s v="Vf6"/>
    <n v="4514"/>
    <d v="2026-05-01T00:00:00"/>
    <n v="812520"/>
    <n v="1"/>
    <n v="812520"/>
    <d v="2026-05-01T00:00:00"/>
    <m/>
  </r>
  <r>
    <n v="132"/>
    <x v="0"/>
    <s v="NĐ"/>
    <x v="2"/>
    <s v="BD, SC PT"/>
    <s v="CP thay lốp"/>
    <s v="CP trích trước hàng tháng"/>
    <s v="30L28391"/>
    <s v="Vf6"/>
    <n v="3397"/>
    <d v="2026-05-01T00:00:00"/>
    <n v="611460"/>
    <n v="1"/>
    <n v="611460"/>
    <d v="2026-05-01T00:00:00"/>
    <m/>
  </r>
  <r>
    <n v="133"/>
    <x v="0"/>
    <s v="NĐ"/>
    <x v="2"/>
    <s v="BD, SC PT"/>
    <s v="CP thay lốp"/>
    <s v="CP trích trước hàng tháng"/>
    <s v="30L28412"/>
    <s v="Vf6"/>
    <n v="3228"/>
    <d v="2026-05-01T00:00:00"/>
    <n v="581040"/>
    <n v="1"/>
    <n v="581040"/>
    <d v="2026-05-01T00:00:00"/>
    <m/>
  </r>
  <r>
    <n v="134"/>
    <x v="0"/>
    <s v="NĐ"/>
    <x v="2"/>
    <s v="BD, SC PT"/>
    <s v="CP thay lốp"/>
    <s v="CP trích trước hàng tháng"/>
    <s v="30L28487"/>
    <s v="Vf6"/>
    <n v="3217"/>
    <d v="2026-05-01T00:00:00"/>
    <n v="579060"/>
    <n v="1"/>
    <n v="579060"/>
    <d v="2026-05-01T00:00:00"/>
    <m/>
  </r>
  <r>
    <n v="135"/>
    <x v="0"/>
    <s v="NĐ"/>
    <x v="2"/>
    <s v="BD, SC PT"/>
    <s v="CP thay lốp"/>
    <s v="CP trích trước hàng tháng"/>
    <s v="29B30798"/>
    <s v="Vf6"/>
    <n v="5118"/>
    <d v="2026-05-01T00:00:00"/>
    <n v="921240"/>
    <n v="1"/>
    <n v="921240"/>
    <d v="2026-05-01T00:00:00"/>
    <m/>
  </r>
  <r>
    <n v="136"/>
    <x v="0"/>
    <s v="NĐ"/>
    <x v="2"/>
    <s v="BD, SC PT"/>
    <s v="CP thay lốp"/>
    <s v="CP trích trước hàng tháng"/>
    <s v="29B30595"/>
    <s v="Vf6"/>
    <n v="4691"/>
    <d v="2026-05-01T00:00:00"/>
    <n v="844380"/>
    <n v="1"/>
    <n v="844380"/>
    <d v="2026-05-01T00:00:00"/>
    <m/>
  </r>
  <r>
    <n v="137"/>
    <x v="0"/>
    <s v="NĐ"/>
    <x v="2"/>
    <s v="BD, SC PT"/>
    <s v="CP thay lốp"/>
    <s v="CP trích trước hàng tháng"/>
    <s v="29B30768"/>
    <s v="Vf6"/>
    <n v="5066"/>
    <d v="2026-05-01T00:00:00"/>
    <n v="911880"/>
    <n v="1"/>
    <n v="911880"/>
    <d v="2026-05-01T00:00:00"/>
    <m/>
  </r>
  <r>
    <n v="138"/>
    <x v="0"/>
    <s v="NĐ"/>
    <x v="2"/>
    <s v="BD, SC PT"/>
    <s v="CP thay lốp"/>
    <s v="CP trích trước hàng tháng"/>
    <s v="29B30723"/>
    <s v="Vf6"/>
    <n v="4517"/>
    <d v="2026-05-01T00:00:00"/>
    <n v="813060"/>
    <n v="1"/>
    <n v="813060"/>
    <d v="2026-05-01T00:00:00"/>
    <m/>
  </r>
  <r>
    <n v="139"/>
    <x v="0"/>
    <s v="NĐ"/>
    <x v="2"/>
    <s v="BD, SC PT"/>
    <s v="CP thay lốp"/>
    <s v="CP trích trước hàng tháng"/>
    <s v="29D58872"/>
    <s v="Vf6"/>
    <n v="3021"/>
    <d v="2026-05-01T00:00:00"/>
    <n v="543780"/>
    <n v="1"/>
    <n v="543780"/>
    <d v="2026-05-01T00:00:00"/>
    <m/>
  </r>
  <r>
    <n v="140"/>
    <x v="0"/>
    <s v="NĐ"/>
    <x v="2"/>
    <s v="BD, SC PT"/>
    <s v="CP thay lốp"/>
    <s v="CP trích trước hàng tháng"/>
    <s v="29K00496"/>
    <s v="Ford"/>
    <n v="3064.9499999999971"/>
    <d v="2026-05-01T00:00:00"/>
    <n v="323045.72999999969"/>
    <n v="1"/>
    <n v="323045.72999999969"/>
    <d v="2026-05-01T00:00:00"/>
    <m/>
  </r>
  <r>
    <n v="141"/>
    <x v="0"/>
    <s v="NĐ"/>
    <x v="2"/>
    <s v="BD, SC PT"/>
    <s v="CP thay lốp"/>
    <s v="CP trích trước hàng tháng"/>
    <s v="29K00498"/>
    <s v="Ford"/>
    <n v="2453"/>
    <d v="2026-05-01T00:00:00"/>
    <n v="258546.2"/>
    <n v="1"/>
    <n v="258546.2"/>
    <d v="2026-05-01T00:00:00"/>
    <m/>
  </r>
  <r>
    <n v="142"/>
    <x v="0"/>
    <s v="NĐ"/>
    <x v="2"/>
    <s v="BD, SC PT"/>
    <s v="CP thay lốp"/>
    <s v="CP trích trước hàng tháng"/>
    <s v="29K00927"/>
    <s v="Ford"/>
    <n v="1487"/>
    <d v="2026-05-01T00:00:00"/>
    <n v="156729.80000000002"/>
    <n v="1"/>
    <n v="156729.80000000002"/>
    <d v="2026-05-01T00:00:00"/>
    <m/>
  </r>
  <r>
    <n v="143"/>
    <x v="0"/>
    <s v="NĐ"/>
    <x v="2"/>
    <s v="BD, SC PT"/>
    <s v="CP thay lốp"/>
    <s v="CP trích trước hàng tháng"/>
    <s v="29K05170"/>
    <s v="Solati"/>
    <n v="1818.5699999999488"/>
    <d v="2026-05-01T00:00:00"/>
    <n v="191677.27799999461"/>
    <n v="1"/>
    <n v="191677.27799999461"/>
    <d v="2026-05-01T00:00:00"/>
    <m/>
  </r>
  <r>
    <n v="144"/>
    <x v="0"/>
    <s v="NĐ"/>
    <x v="2"/>
    <s v="BD, SC PT"/>
    <s v="CP thay lốp"/>
    <s v="CP trích trước hàng tháng"/>
    <s v="29K05144"/>
    <s v="Solati"/>
    <n v="2432.140000000014"/>
    <d v="2026-05-01T00:00:00"/>
    <n v="256347.5560000015"/>
    <n v="1"/>
    <n v="256347.5560000015"/>
    <d v="2026-05-01T00:00:00"/>
    <m/>
  </r>
  <r>
    <n v="145"/>
    <x v="0"/>
    <s v="NĐ"/>
    <x v="2"/>
    <s v="BD, SC PT"/>
    <s v="CP thay lốp"/>
    <s v="CP trích trước hàng tháng"/>
    <s v="29K05187"/>
    <s v="Solati"/>
    <n v="2838.3699999999953"/>
    <d v="2026-05-01T00:00:00"/>
    <n v="299164.19799999951"/>
    <n v="1"/>
    <n v="299164.19799999951"/>
    <d v="2026-05-01T00:00:00"/>
    <m/>
  </r>
  <r>
    <n v="146"/>
    <x v="0"/>
    <s v="NĐ"/>
    <x v="2"/>
    <s v="BD, SC PT"/>
    <s v="CP thay ắc quy"/>
    <s v="CP trích trước hàng tháng"/>
    <s v="30E44501"/>
    <s v="Vf6"/>
    <n v="5509"/>
    <d v="2026-05-01T00:00:00"/>
    <n v="101916.5"/>
    <n v="1"/>
    <n v="101916.5"/>
    <d v="2026-05-01T00:00:00"/>
    <m/>
  </r>
  <r>
    <n v="147"/>
    <x v="0"/>
    <s v="NĐ"/>
    <x v="2"/>
    <s v="BD, SC PT"/>
    <s v="CP thay ắc quy"/>
    <s v="CP trích trước hàng tháng"/>
    <s v="30L15572"/>
    <s v="Vf6"/>
    <n v="4916"/>
    <d v="2026-05-01T00:00:00"/>
    <n v="90946"/>
    <n v="1"/>
    <n v="90946"/>
    <d v="2026-05-01T00:00:00"/>
    <m/>
  </r>
  <r>
    <n v="148"/>
    <x v="0"/>
    <s v="NĐ"/>
    <x v="2"/>
    <s v="BD, SC PT"/>
    <s v="CP thay ắc quy"/>
    <s v="CP trích trước hàng tháng"/>
    <s v="30L28152"/>
    <s v="Vf6"/>
    <n v="3064"/>
    <d v="2026-05-01T00:00:00"/>
    <n v="56684"/>
    <n v="1"/>
    <n v="56684"/>
    <d v="2026-05-01T00:00:00"/>
    <m/>
  </r>
  <r>
    <n v="149"/>
    <x v="0"/>
    <s v="NĐ"/>
    <x v="2"/>
    <s v="BD, SC PT"/>
    <s v="CP thay ắc quy"/>
    <s v="CP trích trước hàng tháng"/>
    <s v="30L28164"/>
    <s v="Vf6"/>
    <n v="4830"/>
    <d v="2026-05-01T00:00:00"/>
    <n v="89355"/>
    <n v="1"/>
    <n v="89355"/>
    <d v="2026-05-01T00:00:00"/>
    <m/>
  </r>
  <r>
    <n v="150"/>
    <x v="0"/>
    <s v="NĐ"/>
    <x v="2"/>
    <s v="BD, SC PT"/>
    <s v="CP thay ắc quy"/>
    <s v="CP trích trước hàng tháng"/>
    <s v="30L28227"/>
    <s v="Vf6"/>
    <n v="4153"/>
    <d v="2026-05-01T00:00:00"/>
    <n v="76830.5"/>
    <n v="1"/>
    <n v="76830.5"/>
    <d v="2026-05-01T00:00:00"/>
    <m/>
  </r>
  <r>
    <n v="151"/>
    <x v="0"/>
    <s v="NĐ"/>
    <x v="2"/>
    <s v="BD, SC PT"/>
    <s v="CP thay ắc quy"/>
    <s v="CP trích trước hàng tháng"/>
    <s v="30L28237"/>
    <s v="Vf6"/>
    <n v="656.66999999999825"/>
    <d v="2026-05-01T00:00:00"/>
    <n v="12148.394999999968"/>
    <n v="1"/>
    <n v="12148.394999999968"/>
    <d v="2026-05-01T00:00:00"/>
    <m/>
  </r>
  <r>
    <n v="152"/>
    <x v="0"/>
    <s v="NĐ"/>
    <x v="2"/>
    <s v="BD, SC PT"/>
    <s v="CP thay ắc quy"/>
    <s v="CP trích trước hàng tháng"/>
    <s v="30L28310"/>
    <s v="Vf6"/>
    <n v="4514"/>
    <d v="2026-05-01T00:00:00"/>
    <n v="83509"/>
    <n v="1"/>
    <n v="83509"/>
    <d v="2026-05-01T00:00:00"/>
    <m/>
  </r>
  <r>
    <n v="153"/>
    <x v="0"/>
    <s v="NĐ"/>
    <x v="2"/>
    <s v="BD, SC PT"/>
    <s v="CP thay ắc quy"/>
    <s v="CP trích trước hàng tháng"/>
    <s v="30L28391"/>
    <s v="Vf6"/>
    <n v="3397"/>
    <d v="2026-05-01T00:00:00"/>
    <n v="62844.5"/>
    <n v="1"/>
    <n v="62844.5"/>
    <d v="2026-05-01T00:00:00"/>
    <m/>
  </r>
  <r>
    <n v="154"/>
    <x v="0"/>
    <s v="NĐ"/>
    <x v="2"/>
    <s v="BD, SC PT"/>
    <s v="CP thay ắc quy"/>
    <s v="CP trích trước hàng tháng"/>
    <s v="30L28412"/>
    <s v="Vf6"/>
    <n v="3228"/>
    <d v="2026-05-01T00:00:00"/>
    <n v="59718"/>
    <n v="1"/>
    <n v="59718"/>
    <d v="2026-05-01T00:00:00"/>
    <m/>
  </r>
  <r>
    <n v="155"/>
    <x v="0"/>
    <s v="NĐ"/>
    <x v="2"/>
    <s v="BD, SC PT"/>
    <s v="CP thay ắc quy"/>
    <s v="CP trích trước hàng tháng"/>
    <s v="30L28487"/>
    <s v="Vf6"/>
    <n v="3217"/>
    <d v="2026-05-01T00:00:00"/>
    <n v="59514.5"/>
    <n v="1"/>
    <n v="59514.5"/>
    <d v="2026-05-01T00:00:00"/>
    <m/>
  </r>
  <r>
    <n v="156"/>
    <x v="0"/>
    <s v="NĐ"/>
    <x v="2"/>
    <s v="BD, SC PT"/>
    <s v="CP thay ắc quy"/>
    <s v="CP trích trước hàng tháng"/>
    <s v="29B30798"/>
    <s v="Vf6"/>
    <n v="5118"/>
    <d v="2026-05-01T00:00:00"/>
    <n v="94683"/>
    <n v="1"/>
    <n v="94683"/>
    <d v="2026-05-01T00:00:00"/>
    <m/>
  </r>
  <r>
    <n v="157"/>
    <x v="0"/>
    <s v="NĐ"/>
    <x v="2"/>
    <s v="BD, SC PT"/>
    <s v="CP thay ắc quy"/>
    <s v="CP trích trước hàng tháng"/>
    <s v="29B30595"/>
    <s v="Vf6"/>
    <n v="4691"/>
    <d v="2026-05-01T00:00:00"/>
    <n v="86783.5"/>
    <n v="1"/>
    <n v="86783.5"/>
    <d v="2026-05-01T00:00:00"/>
    <m/>
  </r>
  <r>
    <n v="158"/>
    <x v="0"/>
    <s v="NĐ"/>
    <x v="2"/>
    <s v="BD, SC PT"/>
    <s v="CP thay ắc quy"/>
    <s v="CP trích trước hàng tháng"/>
    <s v="29B30768"/>
    <s v="Vf6"/>
    <n v="5066"/>
    <d v="2026-05-01T00:00:00"/>
    <n v="93721"/>
    <n v="1"/>
    <n v="93721"/>
    <d v="2026-05-01T00:00:00"/>
    <m/>
  </r>
  <r>
    <n v="159"/>
    <x v="0"/>
    <s v="NĐ"/>
    <x v="2"/>
    <s v="BD, SC PT"/>
    <s v="CP thay ắc quy"/>
    <s v="CP trích trước hàng tháng"/>
    <s v="29B30723"/>
    <s v="Vf6"/>
    <n v="4517"/>
    <d v="2026-05-01T00:00:00"/>
    <n v="83564.5"/>
    <n v="1"/>
    <n v="83564.5"/>
    <d v="2026-05-01T00:00:00"/>
    <m/>
  </r>
  <r>
    <n v="160"/>
    <x v="0"/>
    <s v="NĐ"/>
    <x v="2"/>
    <s v="BD, SC PT"/>
    <s v="CP thay ắc quy"/>
    <s v="CP trích trước hàng tháng"/>
    <s v="29D58872"/>
    <s v="Vf6"/>
    <n v="3021"/>
    <d v="2026-05-01T00:00:00"/>
    <n v="55888.5"/>
    <n v="1"/>
    <n v="55888.5"/>
    <d v="2026-05-01T00:00:00"/>
    <m/>
  </r>
  <r>
    <n v="161"/>
    <x v="0"/>
    <s v="NĐ"/>
    <x v="2"/>
    <s v="BD, SC PT"/>
    <s v="CP thay ắc quy"/>
    <s v="CP trích trước hàng tháng"/>
    <s v="29K00496"/>
    <s v="Ford"/>
    <n v="3064.9499999999971"/>
    <d v="2026-05-01T00:00:00"/>
    <n v="56701.574999999946"/>
    <n v="1"/>
    <n v="56701.574999999946"/>
    <d v="2026-05-01T00:00:00"/>
    <m/>
  </r>
  <r>
    <n v="162"/>
    <x v="0"/>
    <s v="NĐ"/>
    <x v="2"/>
    <s v="BD, SC PT"/>
    <s v="CP thay ắc quy"/>
    <s v="CP trích trước hàng tháng"/>
    <s v="29K00498"/>
    <s v="Ford"/>
    <n v="2453"/>
    <d v="2026-05-01T00:00:00"/>
    <n v="45380.5"/>
    <n v="1"/>
    <n v="45380.5"/>
    <d v="2026-05-01T00:00:00"/>
    <m/>
  </r>
  <r>
    <n v="163"/>
    <x v="0"/>
    <s v="NĐ"/>
    <x v="2"/>
    <s v="BD, SC PT"/>
    <s v="CP thay ắc quy"/>
    <s v="CP trích trước hàng tháng"/>
    <s v="29K00927"/>
    <s v="Ford"/>
    <n v="1487"/>
    <d v="2026-05-01T00:00:00"/>
    <n v="27509.5"/>
    <n v="1"/>
    <n v="27509.5"/>
    <d v="2026-05-01T00:00:00"/>
    <m/>
  </r>
  <r>
    <n v="164"/>
    <x v="0"/>
    <s v="NĐ"/>
    <x v="2"/>
    <s v="BD, SC PT"/>
    <s v="CP thay ắc quy"/>
    <s v="CP trích trước hàng tháng"/>
    <s v="29K05170"/>
    <s v="Solati"/>
    <n v="1818.5699999999488"/>
    <d v="2026-05-01T00:00:00"/>
    <n v="53647.814999998489"/>
    <n v="1"/>
    <n v="53647.814999998489"/>
    <d v="2026-05-01T00:00:00"/>
    <m/>
  </r>
  <r>
    <n v="165"/>
    <x v="0"/>
    <s v="NĐ"/>
    <x v="2"/>
    <s v="BD, SC PT"/>
    <s v="CP thay ắc quy"/>
    <s v="CP trích trước hàng tháng"/>
    <s v="29K05144"/>
    <s v="Solati"/>
    <n v="2432.140000000014"/>
    <d v="2026-05-01T00:00:00"/>
    <n v="71748.130000000412"/>
    <n v="1"/>
    <n v="71748.130000000412"/>
    <d v="2026-05-01T00:00:00"/>
    <m/>
  </r>
  <r>
    <n v="166"/>
    <x v="0"/>
    <s v="NĐ"/>
    <x v="2"/>
    <s v="BD, SC PT"/>
    <s v="CP thay ắc quy"/>
    <s v="CP trích trước hàng tháng"/>
    <s v="29K05187"/>
    <s v="Solati"/>
    <n v="2838.3699999999953"/>
    <d v="2026-05-01T00:00:00"/>
    <n v="83731.914999999863"/>
    <n v="1"/>
    <n v="83731.914999999863"/>
    <d v="2026-05-01T00:00:00"/>
    <m/>
  </r>
  <r>
    <n v="167"/>
    <x v="0"/>
    <s v="NĐ"/>
    <x v="2"/>
    <s v="BD, SC PT"/>
    <s v="CP bảo dưỡng"/>
    <s v="CP trích trước hàng tháng"/>
    <s v="30E44501"/>
    <s v="Vf6"/>
    <n v="5509"/>
    <d v="2026-05-01T00:00:00"/>
    <n v="638543.1814008333"/>
    <n v="1"/>
    <n v="638543.1814008333"/>
    <d v="2026-05-01T00:00:00"/>
    <m/>
  </r>
  <r>
    <n v="168"/>
    <x v="0"/>
    <s v="NĐ"/>
    <x v="2"/>
    <s v="BD, SC PT"/>
    <s v="CP bảo dưỡng"/>
    <s v="CP trích trước hàng tháng"/>
    <s v="30L15572"/>
    <s v="Vf6"/>
    <n v="4916"/>
    <d v="2026-05-01T00:00:00"/>
    <n v="569809.09053666668"/>
    <n v="1"/>
    <n v="569809.09053666668"/>
    <d v="2026-05-01T00:00:00"/>
    <m/>
  </r>
  <r>
    <n v="169"/>
    <x v="0"/>
    <s v="NĐ"/>
    <x v="2"/>
    <s v="BD, SC PT"/>
    <s v="CP bảo dưỡng"/>
    <s v="CP trích trước hàng tháng"/>
    <s v="30L28152"/>
    <s v="Vf6"/>
    <n v="3064"/>
    <d v="2026-05-01T00:00:00"/>
    <n v="355145.45431333332"/>
    <n v="1"/>
    <n v="355145.45431333332"/>
    <d v="2026-05-01T00:00:00"/>
    <m/>
  </r>
  <r>
    <n v="170"/>
    <x v="0"/>
    <s v="NĐ"/>
    <x v="2"/>
    <s v="BD, SC PT"/>
    <s v="CP bảo dưỡng"/>
    <s v="CP trích trước hàng tháng"/>
    <s v="30L28164"/>
    <s v="Vf6"/>
    <n v="4830"/>
    <d v="2026-05-01T00:00:00"/>
    <n v="559840.90872499999"/>
    <n v="1"/>
    <n v="559840.90872499999"/>
    <d v="2026-05-01T00:00:00"/>
    <m/>
  </r>
  <r>
    <n v="171"/>
    <x v="0"/>
    <s v="NĐ"/>
    <x v="2"/>
    <s v="BD, SC PT"/>
    <s v="CP bảo dưỡng"/>
    <s v="CP trích trước hàng tháng"/>
    <s v="30L28227"/>
    <s v="Vf6"/>
    <n v="4153"/>
    <d v="2026-05-01T00:00:00"/>
    <n v="481370.45423083333"/>
    <n v="1"/>
    <n v="481370.45423083333"/>
    <d v="2026-05-01T00:00:00"/>
    <m/>
  </r>
  <r>
    <n v="172"/>
    <x v="0"/>
    <s v="NĐ"/>
    <x v="2"/>
    <s v="BD, SC PT"/>
    <s v="CP bảo dưỡng"/>
    <s v="CP trích trước hàng tháng"/>
    <s v="30L28237"/>
    <s v="Vf6"/>
    <n v="656.66999999999825"/>
    <d v="2026-05-01T00:00:00"/>
    <n v="76114.022677524801"/>
    <n v="1"/>
    <n v="76114.022677524801"/>
    <d v="2026-05-01T00:00:00"/>
    <m/>
  </r>
  <r>
    <n v="173"/>
    <x v="0"/>
    <s v="NĐ"/>
    <x v="2"/>
    <s v="BD, SC PT"/>
    <s v="CP bảo dưỡng"/>
    <s v="CP trích trước hàng tháng"/>
    <s v="30L28310"/>
    <s v="Vf6"/>
    <n v="4514"/>
    <d v="2026-05-01T00:00:00"/>
    <n v="523213.63602166669"/>
    <n v="1"/>
    <n v="523213.63602166669"/>
    <d v="2026-05-01T00:00:00"/>
    <m/>
  </r>
  <r>
    <n v="174"/>
    <x v="0"/>
    <s v="NĐ"/>
    <x v="2"/>
    <s v="BD, SC PT"/>
    <s v="CP bảo dưỡng"/>
    <s v="CP trích trước hàng tháng"/>
    <s v="30L28391"/>
    <s v="Vf6"/>
    <n v="3397"/>
    <d v="2026-05-01T00:00:00"/>
    <n v="393743.18156083336"/>
    <n v="1"/>
    <n v="393743.18156083336"/>
    <d v="2026-05-01T00:00:00"/>
    <m/>
  </r>
  <r>
    <n v="175"/>
    <x v="0"/>
    <s v="NĐ"/>
    <x v="2"/>
    <s v="BD, SC PT"/>
    <s v="CP bảo dưỡng"/>
    <s v="CP trích trước hàng tháng"/>
    <s v="30L28412"/>
    <s v="Vf6"/>
    <n v="3228"/>
    <d v="2026-05-01T00:00:00"/>
    <n v="374154.54521000001"/>
    <n v="1"/>
    <n v="374154.54521000001"/>
    <d v="2026-05-01T00:00:00"/>
    <m/>
  </r>
  <r>
    <n v="176"/>
    <x v="0"/>
    <s v="NĐ"/>
    <x v="2"/>
    <s v="BD, SC PT"/>
    <s v="CP bảo dưỡng"/>
    <s v="CP trích trước hàng tháng"/>
    <s v="30L28487"/>
    <s v="Vf6"/>
    <n v="3217"/>
    <d v="2026-05-01T00:00:00"/>
    <n v="372879.54521083337"/>
    <n v="1"/>
    <n v="372879.54521083337"/>
    <d v="2026-05-01T00:00:00"/>
    <m/>
  </r>
  <r>
    <n v="177"/>
    <x v="0"/>
    <s v="NĐ"/>
    <x v="2"/>
    <s v="BD, SC PT"/>
    <s v="CP bảo dưỡng"/>
    <s v="CP trích trước hàng tháng"/>
    <s v="29B30798"/>
    <s v="Vf6"/>
    <n v="5118"/>
    <d v="2026-05-01T00:00:00"/>
    <n v="593222.72688500001"/>
    <n v="1"/>
    <n v="593222.72688500001"/>
    <d v="2026-05-01T00:00:00"/>
    <m/>
  </r>
  <r>
    <n v="178"/>
    <x v="0"/>
    <s v="NĐ"/>
    <x v="2"/>
    <s v="BD, SC PT"/>
    <s v="CP bảo dưỡng"/>
    <s v="CP trích trước hàng tháng"/>
    <s v="29B30595"/>
    <s v="Vf6"/>
    <n v="4691"/>
    <d v="2026-05-01T00:00:00"/>
    <n v="543729.54509916669"/>
    <n v="1"/>
    <n v="543729.54509916669"/>
    <d v="2026-05-01T00:00:00"/>
    <m/>
  </r>
  <r>
    <n v="179"/>
    <x v="0"/>
    <s v="NĐ"/>
    <x v="2"/>
    <s v="BD, SC PT"/>
    <s v="CP bảo dưỡng"/>
    <s v="CP trích trước hàng tháng"/>
    <s v="29B30768"/>
    <s v="Vf6"/>
    <n v="5066"/>
    <d v="2026-05-01T00:00:00"/>
    <n v="587195.45416166668"/>
    <n v="1"/>
    <n v="587195.45416166668"/>
    <d v="2026-05-01T00:00:00"/>
    <m/>
  </r>
  <r>
    <n v="180"/>
    <x v="0"/>
    <s v="NĐ"/>
    <x v="2"/>
    <s v="BD, SC PT"/>
    <s v="CP bảo dưỡng"/>
    <s v="CP trích trước hàng tháng"/>
    <s v="29B30723"/>
    <s v="Vf6"/>
    <n v="4517"/>
    <d v="2026-05-01T00:00:00"/>
    <n v="523561.36329416669"/>
    <n v="1"/>
    <n v="523561.36329416669"/>
    <d v="2026-05-01T00:00:00"/>
    <m/>
  </r>
  <r>
    <n v="181"/>
    <x v="0"/>
    <s v="NĐ"/>
    <x v="2"/>
    <s v="BD, SC PT"/>
    <s v="CP bảo dưỡng"/>
    <s v="CP trích trước hàng tháng"/>
    <s v="29D58872"/>
    <s v="Vf6"/>
    <n v="3021"/>
    <d v="2026-05-01T00:00:00"/>
    <n v="350161.36340750003"/>
    <n v="1"/>
    <n v="350161.36340750003"/>
    <d v="2026-05-01T00:00:00"/>
    <m/>
  </r>
  <r>
    <n v="182"/>
    <x v="0"/>
    <s v="NĐ"/>
    <x v="2"/>
    <s v="BD, SC PT"/>
    <s v="CP bảo dưỡng"/>
    <s v="CP trích trước hàng tháng"/>
    <s v="29K00496"/>
    <s v="Ford"/>
    <n v="3064.9499999999971"/>
    <d v="2026-05-01T00:00:00"/>
    <n v="792604.24319999735"/>
    <n v="1"/>
    <n v="792604.24319999735"/>
    <d v="2026-05-01T00:00:00"/>
    <m/>
  </r>
  <r>
    <n v="183"/>
    <x v="0"/>
    <s v="NĐ"/>
    <x v="2"/>
    <s v="BD, SC PT"/>
    <s v="CP bảo dưỡng"/>
    <s v="CP trích trước hàng tháng"/>
    <s v="29K00498"/>
    <s v="Ford"/>
    <n v="2453"/>
    <d v="2026-05-01T00:00:00"/>
    <n v="634352.34133333177"/>
    <n v="1"/>
    <n v="634352.34133333177"/>
    <d v="2026-05-01T00:00:00"/>
    <m/>
  </r>
  <r>
    <n v="184"/>
    <x v="0"/>
    <s v="NĐ"/>
    <x v="2"/>
    <s v="BD, SC PT"/>
    <s v="CP bảo dưỡng"/>
    <s v="CP trích trước hàng tháng"/>
    <s v="29K00927"/>
    <s v="Ford"/>
    <n v="1487"/>
    <d v="2026-05-01T00:00:00"/>
    <n v="384542.16533333238"/>
    <n v="1"/>
    <n v="384542.16533333238"/>
    <d v="2026-05-01T00:00:00"/>
    <m/>
  </r>
  <r>
    <n v="185"/>
    <x v="0"/>
    <s v="NĐ"/>
    <x v="2"/>
    <s v="BD, SC PT"/>
    <s v="CP bảo dưỡng"/>
    <s v="CP trích trước hàng tháng"/>
    <s v="29K05170"/>
    <s v="Solati"/>
    <n v="1818.5699999999488"/>
    <d v="2026-05-01T00:00:00"/>
    <n v="470287.0515199856"/>
    <n v="1"/>
    <n v="470287.0515199856"/>
    <d v="2026-05-01T00:00:00"/>
    <m/>
  </r>
  <r>
    <n v="186"/>
    <x v="0"/>
    <s v="NĐ"/>
    <x v="2"/>
    <s v="BD, SC PT"/>
    <s v="CP bảo dưỡng"/>
    <s v="CP trích trước hàng tháng"/>
    <s v="29K05144"/>
    <s v="Solati"/>
    <n v="2432.140000000014"/>
    <d v="2026-05-01T00:00:00"/>
    <n v="628957.88970666879"/>
    <n v="1"/>
    <n v="628957.88970666879"/>
    <d v="2026-05-01T00:00:00"/>
    <m/>
  </r>
  <r>
    <n v="187"/>
    <x v="0"/>
    <s v="NĐ"/>
    <x v="2"/>
    <s v="BD, SC PT"/>
    <s v="CP bảo dưỡng"/>
    <s v="CP trích trước hàng tháng"/>
    <s v="29K05187"/>
    <s v="Solati"/>
    <n v="2838.3699999999953"/>
    <d v="2026-05-01T00:00:00"/>
    <n v="734010.05098666367"/>
    <n v="1"/>
    <n v="734010.05098666367"/>
    <d v="2026-05-01T00:00:00"/>
    <m/>
  </r>
  <r>
    <n v="188"/>
    <x v="0"/>
    <s v="NĐ"/>
    <x v="3"/>
    <s v="Tiền dầu"/>
    <s v="Tiền dầu"/>
    <s v="CP phát sinh hàng tháng"/>
    <s v="29K05187"/>
    <s v="Ford"/>
    <m/>
    <d v="2026-05-01T00:00:00"/>
    <n v="2183480"/>
    <n v="1"/>
    <n v="2183480"/>
    <d v="2026-05-01T00:00:00"/>
    <m/>
  </r>
  <r>
    <n v="189"/>
    <x v="0"/>
    <s v="NĐ"/>
    <x v="3"/>
    <s v="Tiền dầu"/>
    <s v="Tiền dầu"/>
    <s v="CP phát sinh hàng tháng"/>
    <s v="29K05144"/>
    <s v="Ford"/>
    <m/>
    <d v="2026-05-01T00:00:00"/>
    <n v="2011100"/>
    <n v="1"/>
    <n v="2011100"/>
    <d v="2026-05-01T00:00:00"/>
    <m/>
  </r>
  <r>
    <n v="190"/>
    <x v="0"/>
    <s v="NĐ"/>
    <x v="3"/>
    <s v="Tiền dầu"/>
    <s v="Tiền dầu"/>
    <s v="CP phát sinh hàng tháng"/>
    <s v="29K00496"/>
    <s v="Ford"/>
    <m/>
    <d v="2026-05-01T00:00:00"/>
    <n v="1710570"/>
    <n v="1"/>
    <n v="1710570"/>
    <d v="2026-05-01T00:00:00"/>
    <m/>
  </r>
  <r>
    <n v="191"/>
    <x v="0"/>
    <s v="NĐ"/>
    <x v="3"/>
    <s v="Tiền dầu"/>
    <s v="Tiền dầu"/>
    <s v="CP phát sinh hàng tháng"/>
    <s v="29K00927"/>
    <s v="Ford"/>
    <m/>
    <d v="2026-05-01T00:00:00"/>
    <n v="2010670"/>
    <n v="1"/>
    <n v="2010670"/>
    <d v="2026-05-01T00:00:00"/>
    <m/>
  </r>
  <r>
    <n v="192"/>
    <x v="0"/>
    <s v="NĐ"/>
    <x v="3"/>
    <s v="Tiền dầu"/>
    <s v="Tiền dầu"/>
    <s v="CP phát sinh hàng tháng"/>
    <s v="29K00498"/>
    <s v="Ford"/>
    <m/>
    <d v="2026-05-01T00:00:00"/>
    <n v="1830610"/>
    <n v="1"/>
    <n v="1830610"/>
    <d v="2026-05-01T00:00:00"/>
    <m/>
  </r>
  <r>
    <n v="193"/>
    <x v="0"/>
    <s v="NĐ"/>
    <x v="3"/>
    <s v="Tiền dầu"/>
    <s v="Tiền dầu"/>
    <s v="CP phát sinh hàng tháng"/>
    <s v="29K05187"/>
    <s v="Ford"/>
    <m/>
    <d v="2026-05-01T00:00:00"/>
    <n v="2160720"/>
    <n v="1"/>
    <n v="2160720"/>
    <d v="2026-05-01T00:00:00"/>
    <m/>
  </r>
  <r>
    <n v="194"/>
    <x v="0"/>
    <s v="NĐ"/>
    <x v="3"/>
    <s v="Tiền dầu"/>
    <s v="Tiền dầu"/>
    <s v="CP phát sinh hàng tháng"/>
    <s v="29K00927"/>
    <s v="Ford"/>
    <m/>
    <d v="2026-05-01T00:00:00"/>
    <n v="1950650"/>
    <n v="1"/>
    <n v="1950650"/>
    <d v="2026-05-01T00:00:00"/>
    <m/>
  </r>
  <r>
    <n v="195"/>
    <x v="0"/>
    <s v="NĐ"/>
    <x v="3"/>
    <s v="Tiền dầu"/>
    <s v="Tiền dầu"/>
    <s v="CP phát sinh hàng tháng"/>
    <s v="29K00496"/>
    <s v="Ford"/>
    <m/>
    <d v="2026-05-01T00:00:00"/>
    <n v="2130710"/>
    <n v="1"/>
    <n v="2130710"/>
    <d v="2026-05-01T00:00:00"/>
    <m/>
  </r>
  <r>
    <n v="196"/>
    <x v="0"/>
    <s v="NĐ"/>
    <x v="3"/>
    <s v="Tiền dầu"/>
    <s v="Tiền dầu"/>
    <s v="CP phát sinh hàng tháng"/>
    <s v="29K00498"/>
    <s v="Ford"/>
    <m/>
    <d v="2026-05-01T00:00:00"/>
    <n v="1993848"/>
    <n v="1"/>
    <n v="1993848"/>
    <d v="2026-05-01T00:00:00"/>
    <m/>
  </r>
  <r>
    <n v="197"/>
    <x v="0"/>
    <s v="NĐ"/>
    <x v="3"/>
    <s v="Tiền dầu"/>
    <s v="Tiền dầu"/>
    <s v="CP phát sinh hàng tháng"/>
    <s v="29K05144"/>
    <s v="Ford"/>
    <m/>
    <d v="2026-05-01T00:00:00"/>
    <n v="1962100"/>
    <n v="1"/>
    <n v="1962100"/>
    <d v="2026-05-01T00:00:00"/>
    <m/>
  </r>
  <r>
    <n v="198"/>
    <x v="0"/>
    <s v="NĐ"/>
    <x v="3"/>
    <s v="Tiền dầu"/>
    <s v="Tiền dầu"/>
    <s v="CP phát sinh hàng tháng"/>
    <s v="29K05187"/>
    <s v="Ford"/>
    <m/>
    <d v="2026-05-01T00:00:00"/>
    <n v="2018160"/>
    <n v="1"/>
    <n v="2018160"/>
    <d v="2026-05-01T00:00:00"/>
    <m/>
  </r>
  <r>
    <n v="199"/>
    <x v="0"/>
    <s v="NĐ"/>
    <x v="3"/>
    <s v="Tiền dầu"/>
    <s v="Tiền dầu"/>
    <s v="CP phát sinh hàng tháng"/>
    <s v="29K05170"/>
    <s v="Ford"/>
    <m/>
    <d v="2026-05-01T00:00:00"/>
    <n v="2102250"/>
    <n v="1"/>
    <n v="2102250"/>
    <d v="2026-05-01T00:00:00"/>
    <m/>
  </r>
  <r>
    <n v="200"/>
    <x v="0"/>
    <s v="NĐ"/>
    <x v="3"/>
    <s v="Tiền dầu"/>
    <s v="Tiền dầu"/>
    <s v="CP phát sinh hàng tháng"/>
    <s v="29K00496"/>
    <s v="Ford"/>
    <m/>
    <d v="2026-05-01T00:00:00"/>
    <n v="1916640"/>
    <n v="1"/>
    <n v="1916640"/>
    <d v="2026-05-01T00:00:00"/>
    <m/>
  </r>
  <r>
    <n v="201"/>
    <x v="0"/>
    <s v="NĐ"/>
    <x v="3"/>
    <s v="Tiền dầu"/>
    <s v="Tiền dầu"/>
    <s v="CP phát sinh hàng tháng"/>
    <s v="29K05187"/>
    <s v="Ford"/>
    <m/>
    <d v="2026-05-01T00:00:00"/>
    <n v="1832160"/>
    <n v="1"/>
    <n v="1832160"/>
    <d v="2026-05-01T00:00:00"/>
    <m/>
  </r>
  <r>
    <n v="202"/>
    <x v="0"/>
    <s v="NĐ"/>
    <x v="3"/>
    <s v="Tiền dầu"/>
    <s v="Tiền dầu"/>
    <s v="CP phát sinh hàng tháng"/>
    <s v="29K00498"/>
    <s v="Ford"/>
    <m/>
    <d v="2026-05-01T00:00:00"/>
    <n v="1858560"/>
    <n v="1"/>
    <n v="1858560"/>
    <d v="2026-05-01T00:00:00"/>
    <m/>
  </r>
  <r>
    <n v="203"/>
    <x v="0"/>
    <s v="NĐ"/>
    <x v="3"/>
    <s v="Tiền dầu"/>
    <s v="Tiền dầu"/>
    <s v="CP phát sinh hàng tháng"/>
    <s v="29K00498"/>
    <s v="Ford"/>
    <m/>
    <d v="2026-05-01T00:00:00"/>
    <n v="1974807"/>
    <n v="1"/>
    <n v="1974807"/>
    <d v="2026-05-01T00:00:00"/>
    <m/>
  </r>
  <r>
    <n v="204"/>
    <x v="0"/>
    <s v="NĐ"/>
    <x v="3"/>
    <s v="Tiền dầu"/>
    <s v="Tiền dầu"/>
    <s v="CP phát sinh hàng tháng"/>
    <s v="29K05187"/>
    <s v="Ford"/>
    <m/>
    <d v="2026-05-01T00:00:00"/>
    <n v="1887680"/>
    <n v="1"/>
    <n v="1887680"/>
    <d v="2026-05-01T00:00:00"/>
    <m/>
  </r>
  <r>
    <n v="205"/>
    <x v="0"/>
    <s v="NĐ"/>
    <x v="3"/>
    <s v="Tiền dầu"/>
    <s v="Tiền dầu"/>
    <s v="CP phát sinh hàng tháng"/>
    <s v="29K00496"/>
    <s v="Ford"/>
    <m/>
    <d v="2026-05-01T00:00:00"/>
    <n v="1945738"/>
    <n v="1"/>
    <n v="1945738"/>
    <d v="2026-05-01T00:00:00"/>
    <m/>
  </r>
  <r>
    <n v="206"/>
    <x v="0"/>
    <s v="NĐ"/>
    <x v="3"/>
    <s v="Tiền dầu"/>
    <s v="Tiền dầu"/>
    <s v="CP phát sinh hàng tháng"/>
    <s v="29K05170"/>
    <s v="Ford"/>
    <m/>
    <d v="2026-05-01T00:00:00"/>
    <n v="2287740"/>
    <n v="1"/>
    <n v="2287740"/>
    <d v="2026-05-01T00:00:00"/>
    <m/>
  </r>
  <r>
    <n v="207"/>
    <x v="0"/>
    <s v="NĐ"/>
    <x v="3"/>
    <s v="Tiền dầu"/>
    <s v="Tiền dầu"/>
    <s v="CP phát sinh hàng tháng"/>
    <s v="29K00496"/>
    <s v="Ford"/>
    <m/>
    <d v="2026-05-01T00:00:00"/>
    <n v="1469974"/>
    <n v="1"/>
    <n v="1469974"/>
    <d v="2026-05-01T00:00:00"/>
    <m/>
  </r>
  <r>
    <n v="208"/>
    <x v="0"/>
    <s v="NĐ"/>
    <x v="3"/>
    <s v="Tiền dầu"/>
    <s v="Tiền dầu"/>
    <s v="CP phát sinh hàng tháng"/>
    <s v="29K00498"/>
    <s v="Ford"/>
    <m/>
    <d v="2026-05-01T00:00:00"/>
    <n v="1898440"/>
    <n v="1"/>
    <n v="1898440"/>
    <d v="2026-05-01T00:00:00"/>
    <m/>
  </r>
  <r>
    <n v="209"/>
    <x v="0"/>
    <s v="NĐ"/>
    <x v="3"/>
    <s v="Tiền dầu"/>
    <s v="Tiền dầu"/>
    <s v="CP phát sinh hàng tháng"/>
    <s v="29K05144"/>
    <s v="Ford"/>
    <m/>
    <d v="2026-05-01T00:00:00"/>
    <n v="2141090"/>
    <n v="1"/>
    <n v="2141090"/>
    <d v="2026-05-01T00:00:00"/>
    <m/>
  </r>
  <r>
    <n v="210"/>
    <x v="0"/>
    <s v="NĐ"/>
    <x v="3"/>
    <s v="Tiền dầu"/>
    <s v="Tiền dầu"/>
    <s v="CP phát sinh hàng tháng"/>
    <s v="29K05187"/>
    <s v="Ford"/>
    <m/>
    <d v="2026-05-01T00:00:00"/>
    <n v="1994440"/>
    <n v="1"/>
    <n v="1994440"/>
    <d v="2026-05-01T00:00:00"/>
    <m/>
  </r>
  <r>
    <n v="211"/>
    <x v="0"/>
    <s v="NĐ"/>
    <x v="3"/>
    <s v="Tiền dầu"/>
    <s v="Tiền dầu"/>
    <s v="CP phát sinh hàng tháng"/>
    <s v="29K00927"/>
    <s v="Ford"/>
    <m/>
    <d v="2026-05-01T00:00:00"/>
    <n v="1745340"/>
    <n v="1"/>
    <n v="1745340"/>
    <d v="2026-05-01T00:00:00"/>
    <m/>
  </r>
  <r>
    <n v="212"/>
    <x v="0"/>
    <s v="NĐ"/>
    <x v="3"/>
    <s v="Tiền dầu"/>
    <s v="Tiền dầu"/>
    <s v="CP phát sinh hàng tháng"/>
    <s v="29K05170"/>
    <s v="Ford"/>
    <m/>
    <d v="2026-05-01T00:00:00"/>
    <n v="1759800"/>
    <n v="1"/>
    <n v="1759800"/>
    <d v="2026-05-01T00:00:00"/>
    <m/>
  </r>
  <r>
    <n v="213"/>
    <x v="0"/>
    <s v="NĐ"/>
    <x v="3"/>
    <s v="Tiền dầu"/>
    <s v="Tiền dầu"/>
    <s v="CP phát sinh hàng tháng"/>
    <s v="29K00496"/>
    <s v="Ford"/>
    <m/>
    <d v="2026-05-01T00:00:00"/>
    <n v="1806641"/>
    <n v="1"/>
    <n v="1806641"/>
    <d v="2026-05-01T00:00:00"/>
    <m/>
  </r>
  <r>
    <n v="214"/>
    <x v="0"/>
    <s v="NĐ"/>
    <x v="3"/>
    <s v="Tiền dầu"/>
    <s v="Tiền dầu"/>
    <s v="CP phát sinh hàng tháng"/>
    <s v="29K05144"/>
    <s v="Ford"/>
    <m/>
    <d v="2026-05-01T00:00:00"/>
    <n v="1759800"/>
    <n v="1"/>
    <n v="1759800"/>
    <d v="2026-05-01T00:00:00"/>
    <m/>
  </r>
  <r>
    <n v="215"/>
    <x v="0"/>
    <s v="NĐ"/>
    <x v="3"/>
    <s v="Tiền dầu"/>
    <s v="Tiền dầu"/>
    <s v="CP phát sinh hàng tháng"/>
    <s v="29K00498"/>
    <s v="Ford"/>
    <m/>
    <d v="2026-05-01T00:00:00"/>
    <n v="1857328"/>
    <n v="1"/>
    <n v="1857328"/>
    <d v="2026-05-01T00:00:00"/>
    <m/>
  </r>
  <r>
    <n v="216"/>
    <x v="0"/>
    <s v="NĐ"/>
    <x v="3"/>
    <s v="Tiền dầu"/>
    <s v="Tiền dầu"/>
    <s v="CP phát sinh hàng tháng"/>
    <s v="29K05170"/>
    <s v="Ford"/>
    <m/>
    <d v="2026-05-01T00:00:00"/>
    <n v="1579200"/>
    <n v="1"/>
    <n v="1579200"/>
    <d v="2026-05-01T00:00:00"/>
    <m/>
  </r>
  <r>
    <n v="217"/>
    <x v="0"/>
    <s v="NĐ"/>
    <x v="3"/>
    <s v="Tiền dầu"/>
    <s v="Tiền dầu"/>
    <s v="CP phát sinh hàng tháng"/>
    <s v="29K00498"/>
    <s v="Ford"/>
    <m/>
    <d v="2026-05-01T00:00:00"/>
    <n v="1532960"/>
    <n v="1"/>
    <n v="1532960"/>
    <d v="2026-05-01T00:00:00"/>
    <m/>
  </r>
  <r>
    <n v="218"/>
    <x v="0"/>
    <s v="NĐ"/>
    <x v="3"/>
    <s v="Tiền dầu"/>
    <s v="Tiền dầu"/>
    <s v="CP phát sinh hàng tháng"/>
    <s v="29K05144"/>
    <s v="Ford"/>
    <m/>
    <d v="2026-05-01T00:00:00"/>
    <n v="1974000"/>
    <n v="1"/>
    <n v="1974000"/>
    <d v="2026-05-01T00:00:00"/>
    <m/>
  </r>
  <r>
    <n v="219"/>
    <x v="0"/>
    <s v="NĐ"/>
    <x v="3"/>
    <s v="Tiền dầu"/>
    <s v="Tiền dầu"/>
    <s v="CP phát sinh hàng tháng"/>
    <s v="29K00927"/>
    <s v="Ford"/>
    <m/>
    <d v="2026-05-01T00:00:00"/>
    <n v="1739438"/>
    <n v="1"/>
    <n v="1739438"/>
    <d v="2026-05-01T00:00:00"/>
    <m/>
  </r>
  <r>
    <n v="220"/>
    <x v="0"/>
    <s v="NĐ"/>
    <x v="3"/>
    <s v="Tiền dầu"/>
    <s v="Tiền dầu"/>
    <s v="CP phát sinh hàng tháng"/>
    <s v="29K00496"/>
    <s v="Ford"/>
    <m/>
    <d v="2026-05-01T00:00:00"/>
    <n v="1768800"/>
    <n v="1"/>
    <n v="1768800"/>
    <d v="2026-05-01T00:00:00"/>
    <m/>
  </r>
  <r>
    <n v="221"/>
    <x v="0"/>
    <s v="NĐ"/>
    <x v="3"/>
    <s v="Tiền dầu"/>
    <s v="Tiền dầu"/>
    <s v="CP phát sinh hàng tháng"/>
    <s v="29K05187"/>
    <s v="Ford"/>
    <m/>
    <d v="2026-05-01T00:00:00"/>
    <n v="1974028"/>
    <n v="1"/>
    <n v="1974028"/>
    <d v="2026-05-01T00:00:00"/>
    <m/>
  </r>
  <r>
    <n v="222"/>
    <x v="0"/>
    <s v="NĐ"/>
    <x v="3"/>
    <s v="Tiền dầu"/>
    <s v="Tiền dầu"/>
    <s v="CP phát sinh hàng tháng"/>
    <m/>
    <s v="Ford"/>
    <m/>
    <d v="2026-05-01T00:00:00"/>
    <m/>
    <n v="1"/>
    <n v="0"/>
    <d v="2026-05-01T00:00:00"/>
    <m/>
  </r>
  <r>
    <n v="223"/>
    <x v="0"/>
    <s v="NĐ"/>
    <x v="3"/>
    <s v="Tiền dầu"/>
    <s v="Tiền dầu"/>
    <s v="CP phát sinh hàng tháng"/>
    <m/>
    <s v="Ford"/>
    <m/>
    <d v="2026-05-01T00:00:00"/>
    <m/>
    <n v="1"/>
    <n v="0"/>
    <d v="2026-05-01T00:00:00"/>
    <m/>
  </r>
  <r>
    <n v="224"/>
    <x v="0"/>
    <s v="NĐ"/>
    <x v="3"/>
    <s v="Tiền dầu"/>
    <s v="Tiền dầu"/>
    <s v="CP phát sinh hàng tháng"/>
    <m/>
    <s v="Ford"/>
    <m/>
    <d v="2026-05-01T00:00:00"/>
    <m/>
    <n v="1"/>
    <n v="0"/>
    <d v="2026-05-01T00:00:00"/>
    <m/>
  </r>
  <r>
    <n v="225"/>
    <x v="0"/>
    <s v="NĐ"/>
    <x v="3"/>
    <s v="Tiền dầu"/>
    <s v="Tiền dầu"/>
    <s v="CP phát sinh hàng tháng"/>
    <m/>
    <s v="Ford"/>
    <m/>
    <d v="2026-05-01T00:00:00"/>
    <m/>
    <n v="1"/>
    <n v="0"/>
    <d v="2026-05-01T00:00:00"/>
    <m/>
  </r>
  <r>
    <n v="226"/>
    <x v="0"/>
    <s v="NĐ"/>
    <x v="3"/>
    <s v="Tiền điện"/>
    <s v="Tiền điện"/>
    <s v="CP phát sinh hàng tháng"/>
    <s v="30L28237"/>
    <s v="Vf6"/>
    <m/>
    <d v="2026-05-01T00:00:00"/>
    <n v="754278"/>
    <n v="1"/>
    <n v="754278"/>
    <d v="2026-05-01T00:00:00"/>
    <m/>
  </r>
  <r>
    <n v="227"/>
    <x v="0"/>
    <s v="NĐ"/>
    <x v="3"/>
    <s v="Tiền điện"/>
    <s v="Tiền điện"/>
    <s v="CP phát sinh hàng tháng"/>
    <s v="30E44501"/>
    <s v="Vf6"/>
    <m/>
    <d v="2026-05-01T00:00:00"/>
    <n v="4829216"/>
    <n v="1"/>
    <n v="4829216"/>
    <d v="2026-05-01T00:00:00"/>
    <m/>
  </r>
  <r>
    <n v="228"/>
    <x v="0"/>
    <s v="NĐ"/>
    <x v="3"/>
    <s v="Tiền điện"/>
    <s v="Tiền điện"/>
    <s v="CP phát sinh hàng tháng"/>
    <s v="30L28412"/>
    <s v="Vf6"/>
    <m/>
    <d v="2026-05-01T00:00:00"/>
    <n v="2641069"/>
    <n v="1"/>
    <n v="2641069"/>
    <d v="2026-05-01T00:00:00"/>
    <m/>
  </r>
  <r>
    <n v="229"/>
    <x v="0"/>
    <s v="NĐ"/>
    <x v="3"/>
    <s v="Tiền điện"/>
    <s v="Tiền điện"/>
    <s v="CP phát sinh hàng tháng"/>
    <s v="30L28152"/>
    <s v="Vf6"/>
    <m/>
    <d v="2026-05-01T00:00:00"/>
    <n v="2703802"/>
    <n v="1"/>
    <n v="2703802"/>
    <d v="2026-05-01T00:00:00"/>
    <m/>
  </r>
  <r>
    <n v="230"/>
    <x v="0"/>
    <s v="NĐ"/>
    <x v="3"/>
    <s v="Tiền điện"/>
    <s v="Tiền điện"/>
    <s v="CP phát sinh hàng tháng"/>
    <s v="30L28487"/>
    <s v="Vf6"/>
    <m/>
    <d v="2026-05-01T00:00:00"/>
    <n v="2849018"/>
    <n v="1"/>
    <n v="2849018"/>
    <d v="2026-05-01T00:00:00"/>
    <m/>
  </r>
  <r>
    <n v="231"/>
    <x v="0"/>
    <s v="NĐ"/>
    <x v="3"/>
    <s v="Tiền điện"/>
    <s v="Tiền điện"/>
    <s v="CP phát sinh hàng tháng"/>
    <s v="29D58872"/>
    <s v="Vf6"/>
    <m/>
    <d v="2026-05-01T00:00:00"/>
    <n v="2971736"/>
    <n v="1"/>
    <n v="2971736"/>
    <d v="2026-05-01T00:00:00"/>
    <m/>
  </r>
  <r>
    <n v="232"/>
    <x v="0"/>
    <s v="NĐ"/>
    <x v="3"/>
    <s v="Tiền điện"/>
    <s v="Tiền điện"/>
    <s v="CP phát sinh hàng tháng"/>
    <s v="30L28391"/>
    <s v="Vf6"/>
    <m/>
    <d v="2026-05-01T00:00:00"/>
    <n v="2740493"/>
    <n v="1"/>
    <n v="2740493"/>
    <d v="2026-05-01T00:00:00"/>
    <m/>
  </r>
  <r>
    <n v="233"/>
    <x v="0"/>
    <s v="NĐ"/>
    <x v="3"/>
    <s v="Tiền điện"/>
    <s v="Tiền điện"/>
    <s v="CP phát sinh hàng tháng"/>
    <s v="29B30723"/>
    <s v="Vf6"/>
    <m/>
    <d v="2026-05-01T00:00:00"/>
    <n v="4389863"/>
    <n v="1"/>
    <n v="4389863"/>
    <d v="2026-05-01T00:00:00"/>
    <m/>
  </r>
  <r>
    <n v="234"/>
    <x v="0"/>
    <s v="NĐ"/>
    <x v="3"/>
    <s v="Tiền điện"/>
    <s v="Tiền điện"/>
    <s v="CP phát sinh hàng tháng"/>
    <s v="29B30768"/>
    <s v="Vf6"/>
    <m/>
    <d v="2026-05-01T00:00:00"/>
    <n v="3921160"/>
    <n v="1"/>
    <n v="3921160"/>
    <d v="2026-05-01T00:00:00"/>
    <m/>
  </r>
  <r>
    <n v="235"/>
    <x v="0"/>
    <s v="NĐ"/>
    <x v="3"/>
    <s v="Tiền điện"/>
    <s v="Tiền điện"/>
    <s v="CP phát sinh hàng tháng"/>
    <s v="29B30798"/>
    <s v="Vf6"/>
    <m/>
    <d v="2026-05-01T00:00:00"/>
    <n v="4377865"/>
    <n v="1"/>
    <n v="4377865"/>
    <d v="2026-05-01T00:00:00"/>
    <m/>
  </r>
  <r>
    <n v="236"/>
    <x v="0"/>
    <s v="NĐ"/>
    <x v="3"/>
    <s v="Tiền điện"/>
    <s v="Tiền điện"/>
    <s v="CP phát sinh hàng tháng"/>
    <s v="30L28227"/>
    <s v="Vf6"/>
    <m/>
    <d v="2026-05-01T00:00:00"/>
    <n v="3558583"/>
    <n v="1"/>
    <n v="3558583"/>
    <d v="2026-05-01T00:00:00"/>
    <m/>
  </r>
  <r>
    <n v="237"/>
    <x v="0"/>
    <s v="NĐ"/>
    <x v="3"/>
    <s v="Tiền điện"/>
    <s v="Tiền điện"/>
    <s v="CP phát sinh hàng tháng"/>
    <s v="29B30595"/>
    <s v="Vf6"/>
    <m/>
    <d v="2026-05-01T00:00:00"/>
    <n v="3473360"/>
    <n v="1"/>
    <n v="3473360"/>
    <d v="2026-05-01T00:00:00"/>
    <m/>
  </r>
  <r>
    <n v="238"/>
    <x v="0"/>
    <s v="NĐ"/>
    <x v="3"/>
    <s v="Tiền điện"/>
    <s v="Tiền điện"/>
    <s v="CP phát sinh hàng tháng"/>
    <s v="30L28164"/>
    <s v="Vf6"/>
    <m/>
    <d v="2026-05-01T00:00:00"/>
    <n v="3912551"/>
    <n v="1"/>
    <n v="3912551"/>
    <d v="2026-05-01T00:00:00"/>
    <m/>
  </r>
  <r>
    <n v="239"/>
    <x v="0"/>
    <s v="NĐ"/>
    <x v="3"/>
    <s v="Tiền điện"/>
    <s v="Tiền điện"/>
    <s v="CP phát sinh hàng tháng"/>
    <s v="30L15572"/>
    <s v="Vf6"/>
    <m/>
    <d v="2026-05-01T00:00:00"/>
    <n v="3990366"/>
    <n v="1"/>
    <n v="3990366"/>
    <d v="2026-05-01T00:00:00"/>
    <m/>
  </r>
  <r>
    <n v="240"/>
    <x v="0"/>
    <s v="NĐ"/>
    <x v="3"/>
    <s v="Tiền điện"/>
    <s v="Tiền điện"/>
    <s v="CP phát sinh hàng tháng"/>
    <s v="30L28310"/>
    <s v="Vf6"/>
    <m/>
    <d v="2026-05-01T00:00:00"/>
    <n v="4052020"/>
    <n v="1"/>
    <n v="4052020"/>
    <d v="2026-05-01T00:00:00"/>
    <m/>
  </r>
  <r>
    <n v="241"/>
    <x v="0"/>
    <s v="NĐ"/>
    <x v="3"/>
    <s v="Tiền điện"/>
    <s v="Tiền điện"/>
    <s v="CP phát sinh hàng tháng"/>
    <s v="30L28412"/>
    <s v="Vf6"/>
    <m/>
    <d v="2026-05-16T00:00:00"/>
    <n v="3000"/>
    <n v="1"/>
    <n v="3000"/>
    <d v="2026-05-16T00:00:00"/>
    <s v="phụ phí sạc t5"/>
  </r>
  <r>
    <n v="242"/>
    <x v="0"/>
    <s v="NĐ"/>
    <x v="3"/>
    <s v="Tiền điện"/>
    <s v="Tiền điện"/>
    <s v="CP phát sinh hàng tháng"/>
    <m/>
    <s v="Vf6"/>
    <m/>
    <d v="2026-05-01T00:00:00"/>
    <m/>
    <n v="1"/>
    <n v="0"/>
    <d v="2026-05-01T00:00:00"/>
    <m/>
  </r>
  <r>
    <n v="243"/>
    <x v="0"/>
    <s v="NĐ"/>
    <x v="3"/>
    <s v="Tiền điện"/>
    <s v="Tiền điện"/>
    <s v="CP phát sinh hàng tháng"/>
    <m/>
    <s v="Vf6"/>
    <m/>
    <d v="2026-05-01T00:00:00"/>
    <m/>
    <n v="1"/>
    <n v="0"/>
    <d v="2026-05-01T00:00:00"/>
    <m/>
  </r>
  <r>
    <n v="244"/>
    <x v="0"/>
    <s v="NĐ"/>
    <x v="3"/>
    <s v="Tiền điện"/>
    <s v="Tiền điện"/>
    <s v="CP phát sinh hàng tháng"/>
    <m/>
    <s v="Vf6"/>
    <m/>
    <d v="2026-05-01T00:00:00"/>
    <m/>
    <n v="1"/>
    <n v="0"/>
    <d v="2026-05-01T00:00:00"/>
    <m/>
  </r>
  <r>
    <n v="245"/>
    <x v="0"/>
    <s v="NĐ"/>
    <x v="3"/>
    <s v="Tiền điện"/>
    <s v="Tiền điện"/>
    <s v="CP phát sinh hàng tháng"/>
    <m/>
    <s v="Vf6"/>
    <m/>
    <d v="2026-05-01T00:00:00"/>
    <m/>
    <n v="1"/>
    <n v="0"/>
    <d v="2026-05-01T00:00:00"/>
    <m/>
  </r>
  <r>
    <n v="246"/>
    <x v="0"/>
    <s v="NĐ"/>
    <x v="4"/>
    <s v="CP vá lốp"/>
    <s v="Chi tiền vá lốp xe TC 30L28310"/>
    <s v="CP phát sinh hàng tháng"/>
    <m/>
    <m/>
    <m/>
    <d v="2026-05-01T00:00:00"/>
    <n v="60000"/>
    <n v="1"/>
    <n v="60000"/>
    <d v="2026-05-01T00:00:00"/>
    <m/>
  </r>
  <r>
    <n v="247"/>
    <x v="0"/>
    <s v="NĐ"/>
    <x v="4"/>
    <s v="CP vá lốp"/>
    <s v="Chi tiền vá lốp xe TC 29B30768"/>
    <s v="CP phát sinh hàng tháng"/>
    <m/>
    <m/>
    <m/>
    <d v="2026-05-01T00:00:00"/>
    <n v="60000"/>
    <n v="1"/>
    <n v="60000"/>
    <d v="2026-05-01T00:00:00"/>
    <m/>
  </r>
  <r>
    <n v="248"/>
    <x v="0"/>
    <s v="NĐ"/>
    <x v="4"/>
    <s v="CP vá lốp"/>
    <s v="Chi tiền vá  lốp xe TC 30L28164"/>
    <s v="CP phát sinh hàng tháng"/>
    <m/>
    <m/>
    <m/>
    <d v="2026-05-01T00:00:00"/>
    <n v="120000"/>
    <n v="1"/>
    <n v="120000"/>
    <d v="2026-05-01T00:00:00"/>
    <m/>
  </r>
  <r>
    <n v="249"/>
    <x v="0"/>
    <s v="NĐ"/>
    <x v="4"/>
    <s v="CP vá lốp"/>
    <s v="Chi tiền vá  lốp xe TC 29B30768"/>
    <s v="CP phát sinh hàng tháng"/>
    <m/>
    <m/>
    <m/>
    <d v="2026-05-01T00:00:00"/>
    <n v="60000"/>
    <n v="1"/>
    <n v="60000"/>
    <d v="2026-05-01T00:00:00"/>
    <m/>
  </r>
  <r>
    <n v="250"/>
    <x v="0"/>
    <s v="NĐ"/>
    <x v="4"/>
    <s v="CP vá lốp"/>
    <s v="Chi tiền vá  lốp xe TC 29B30768"/>
    <s v="CP phát sinh hàng tháng"/>
    <m/>
    <m/>
    <m/>
    <d v="2026-05-01T00:00:00"/>
    <n v="60000"/>
    <n v="1"/>
    <n v="60000"/>
    <d v="2026-05-01T00:00:00"/>
    <m/>
  </r>
  <r>
    <n v="251"/>
    <x v="0"/>
    <s v="NĐ"/>
    <x v="4"/>
    <s v="CP vá lốp"/>
    <s v="Chi tiền vá lốp  + đảo lốp xe TC 30L28391"/>
    <s v="CP phát sinh hàng tháng"/>
    <m/>
    <m/>
    <m/>
    <d v="2026-05-01T00:00:00"/>
    <n v="90000"/>
    <n v="1"/>
    <n v="90000"/>
    <d v="2026-05-01T00:00:00"/>
    <m/>
  </r>
  <r>
    <n v="252"/>
    <x v="0"/>
    <s v="NĐ"/>
    <x v="4"/>
    <s v="CP vá lốp"/>
    <s v="Chi tiền vá lốp xe TC 30L28164"/>
    <s v="CP phát sinh hàng tháng"/>
    <m/>
    <m/>
    <m/>
    <d v="2026-05-01T00:00:00"/>
    <n v="120000"/>
    <n v="1"/>
    <n v="120000"/>
    <d v="2026-05-01T00:00:00"/>
    <m/>
  </r>
  <r>
    <n v="253"/>
    <x v="0"/>
    <s v="NĐ"/>
    <x v="4"/>
    <s v="CP vá lốp"/>
    <s v="Chi tiền vá lốp xe TC 30L28487"/>
    <s v="CP phát sinh hàng tháng"/>
    <m/>
    <m/>
    <m/>
    <d v="2026-05-01T00:00:00"/>
    <n v="60000"/>
    <n v="1"/>
    <n v="60000"/>
    <d v="2026-05-01T00:00:00"/>
    <m/>
  </r>
  <r>
    <n v="254"/>
    <x v="0"/>
    <s v="NĐ"/>
    <x v="4"/>
    <s v="CP vá lốp"/>
    <s v="Chi tiền vá lốp xe TC 30L28391"/>
    <s v="CP phát sinh hàng tháng"/>
    <m/>
    <m/>
    <m/>
    <d v="2026-05-01T00:00:00"/>
    <n v="60000"/>
    <n v="1"/>
    <n v="60000"/>
    <d v="2026-05-01T00:00:00"/>
    <m/>
  </r>
  <r>
    <n v="255"/>
    <x v="0"/>
    <s v="NĐ"/>
    <x v="4"/>
    <s v="CP vá lốp"/>
    <s v="Chi tiền vá lốp xe TC 30L28152"/>
    <s v="CP phát sinh hàng tháng"/>
    <m/>
    <m/>
    <m/>
    <d v="2026-05-01T00:00:00"/>
    <n v="60000"/>
    <n v="1"/>
    <n v="60000"/>
    <d v="2026-05-01T00:00:00"/>
    <m/>
  </r>
  <r>
    <n v="256"/>
    <x v="0"/>
    <s v="NĐ"/>
    <x v="4"/>
    <s v="CP vá lốp"/>
    <s v="Chi tiền vá lốp xe TC 30L28164"/>
    <s v="CP phát sinh hàng tháng"/>
    <m/>
    <m/>
    <m/>
    <d v="2026-05-01T00:00:00"/>
    <n v="100000"/>
    <n v="1"/>
    <n v="100000"/>
    <d v="2026-05-01T00:00:00"/>
    <m/>
  </r>
  <r>
    <n v="257"/>
    <x v="0"/>
    <s v="NĐ"/>
    <x v="4"/>
    <s v="CP vá lốp"/>
    <s v="Chi tiền vá lốp xe TC 29D44501"/>
    <s v="CP phát sinh hàng tháng"/>
    <m/>
    <m/>
    <m/>
    <d v="2026-05-01T00:00:00"/>
    <n v="60000"/>
    <n v="1"/>
    <n v="60000"/>
    <d v="2026-05-01T00:00:00"/>
    <m/>
  </r>
  <r>
    <n v="258"/>
    <x v="0"/>
    <s v="NĐ"/>
    <x v="4"/>
    <s v="CP vá lốp"/>
    <s v="Chi tiền vá lốp xe TC 30L28391"/>
    <s v="CP phát sinh hàng tháng"/>
    <m/>
    <m/>
    <m/>
    <d v="2026-05-01T00:00:00"/>
    <n v="60000"/>
    <n v="1"/>
    <n v="60000"/>
    <d v="2026-05-01T00:00:00"/>
    <m/>
  </r>
  <r>
    <n v="259"/>
    <x v="0"/>
    <s v="NĐ"/>
    <x v="4"/>
    <s v="CP vá lốp"/>
    <s v="Chi tiền vá lốp xe TC 29B30798"/>
    <s v="CP phát sinh hàng tháng"/>
    <m/>
    <m/>
    <m/>
    <d v="2026-05-01T00:00:00"/>
    <n v="60000"/>
    <n v="1"/>
    <n v="60000"/>
    <d v="2026-05-01T00:00:00"/>
    <m/>
  </r>
  <r>
    <n v="260"/>
    <x v="0"/>
    <s v="NĐ"/>
    <x v="4"/>
    <s v="CP vá lốp"/>
    <s v="Chi tiền vá lốp xe TC 29B30768"/>
    <s v="CP phát sinh hàng tháng"/>
    <m/>
    <m/>
    <m/>
    <d v="2026-05-01T00:00:00"/>
    <n v="60000"/>
    <n v="1"/>
    <n v="60000"/>
    <d v="2026-05-01T00:00:00"/>
    <m/>
  </r>
  <r>
    <n v="261"/>
    <x v="0"/>
    <s v="NĐ"/>
    <x v="4"/>
    <s v="CP vá lốp"/>
    <s v="Chi tiền vá lốp xe TC 29B30723"/>
    <s v="CP phát sinh hàng tháng"/>
    <m/>
    <m/>
    <m/>
    <d v="2026-05-01T00:00:00"/>
    <n v="100000"/>
    <n v="1"/>
    <n v="100000"/>
    <d v="2026-05-01T00:00:00"/>
    <m/>
  </r>
  <r>
    <n v="262"/>
    <x v="0"/>
    <s v="NĐ"/>
    <x v="4"/>
    <s v="CP vá lốp"/>
    <s v="chi tiền đảo lốp 30L28152"/>
    <s v="CP phát sinh hàng tháng"/>
    <m/>
    <m/>
    <m/>
    <d v="2026-05-01T00:00:00"/>
    <n v="120000"/>
    <n v="1"/>
    <n v="120000"/>
    <d v="2026-05-01T00:00:00"/>
    <m/>
  </r>
  <r>
    <n v="263"/>
    <x v="0"/>
    <s v="NĐ"/>
    <x v="4"/>
    <s v="CP vá lốp"/>
    <s v="Chi tiền vá lốp xe TC 30L28391"/>
    <s v="CP phát sinh hàng tháng"/>
    <m/>
    <m/>
    <m/>
    <d v="2026-05-01T00:00:00"/>
    <n v="60000"/>
    <n v="1"/>
    <n v="60000"/>
    <d v="2026-05-01T00:00:00"/>
    <m/>
  </r>
  <r>
    <n v="264"/>
    <x v="0"/>
    <s v="NĐ"/>
    <x v="4"/>
    <s v="CP vá lốp"/>
    <s v="Chi tiền vá lốp xe TC 30L28227"/>
    <s v="CP phát sinh hàng tháng"/>
    <m/>
    <m/>
    <m/>
    <d v="2026-05-01T00:00:00"/>
    <n v="60000"/>
    <n v="1"/>
    <n v="60000"/>
    <d v="2026-05-01T00:00:00"/>
    <m/>
  </r>
  <r>
    <n v="265"/>
    <x v="0"/>
    <s v="NĐ"/>
    <x v="4"/>
    <s v="CP vá lốp"/>
    <s v="Chi tiền vá lốp xe TC 30L28164"/>
    <s v="CP phát sinh hàng tháng"/>
    <m/>
    <m/>
    <m/>
    <d v="2026-05-01T00:00:00"/>
    <n v="200000"/>
    <n v="1"/>
    <n v="200000"/>
    <d v="2026-05-01T00:00:00"/>
    <m/>
  </r>
  <r>
    <n v="266"/>
    <x v="0"/>
    <s v="NĐ"/>
    <x v="4"/>
    <s v="CP vá lốp"/>
    <s v="Chi tiền vá lốp xe TC 29B30798"/>
    <s v="CP phát sinh hàng tháng"/>
    <m/>
    <m/>
    <m/>
    <d v="2026-05-01T00:00:00"/>
    <n v="60000"/>
    <n v="1"/>
    <n v="60000"/>
    <d v="2026-05-01T00:00:00"/>
    <m/>
  </r>
  <r>
    <n v="267"/>
    <x v="0"/>
    <s v="NĐ"/>
    <x v="5"/>
    <s v="CP điện nước"/>
    <s v="Thu tiền điện nước chủ nhà trả cho vp"/>
    <s v="CP phát sinh hàng tháng"/>
    <m/>
    <m/>
    <m/>
    <d v="2026-05-01T00:00:00"/>
    <n v="-700000"/>
    <n v="1"/>
    <n v="-700000"/>
    <d v="2026-05-01T00:00:00"/>
    <m/>
  </r>
  <r>
    <n v="268"/>
    <x v="0"/>
    <s v="NĐ"/>
    <x v="5"/>
    <s v="CP rửa xe"/>
    <s v="Chi tiền mua nước rửa xe"/>
    <s v="CP phát sinh hàng tháng"/>
    <m/>
    <m/>
    <m/>
    <d v="2026-05-01T00:00:00"/>
    <n v="300000"/>
    <n v="1"/>
    <n v="300000"/>
    <d v="2026-05-01T00:00:00"/>
    <m/>
  </r>
  <r>
    <n v="269"/>
    <x v="0"/>
    <s v="NĐ"/>
    <x v="5"/>
    <s v="CP điện nước"/>
    <s v="Chi tiền đổi 5 bình nước"/>
    <s v="CP phát sinh hàng tháng"/>
    <m/>
    <m/>
    <m/>
    <d v="2026-05-01T00:00:00"/>
    <n v="110000"/>
    <n v="1"/>
    <n v="110000"/>
    <d v="2026-05-01T00:00:00"/>
    <m/>
  </r>
  <r>
    <n v="270"/>
    <x v="0"/>
    <s v="NĐ"/>
    <x v="4"/>
    <s v="CP quản lý khác"/>
    <s v="Chi tiền mua dây mạng máy chấm công"/>
    <s v="CP phát sinh hàng tháng"/>
    <m/>
    <m/>
    <m/>
    <d v="2026-05-01T00:00:00"/>
    <n v="60000"/>
    <n v="1"/>
    <n v="60000"/>
    <d v="2026-05-01T00:00:00"/>
    <m/>
  </r>
  <r>
    <n v="271"/>
    <x v="0"/>
    <s v="NĐ"/>
    <x v="4"/>
    <s v="CP quản lý khác"/>
    <s v="Chi tiền mua chổi gạt nước nvs"/>
    <s v="CP phát sinh hàng tháng"/>
    <m/>
    <m/>
    <m/>
    <d v="2026-05-01T00:00:00"/>
    <n v="32000"/>
    <n v="1"/>
    <n v="32000"/>
    <d v="2026-05-01T00:00:00"/>
    <m/>
  </r>
  <r>
    <n v="272"/>
    <x v="0"/>
    <s v="NĐ"/>
    <x v="4"/>
    <s v="CP quản lý khác"/>
    <s v="Chi tiền mua 2 quạt treo tường"/>
    <s v="CP phát sinh hàng tháng"/>
    <m/>
    <m/>
    <m/>
    <d v="2026-05-01T00:00:00"/>
    <n v="1000000"/>
    <n v="1"/>
    <n v="1000000"/>
    <d v="2026-05-01T00:00:00"/>
    <m/>
  </r>
  <r>
    <n v="273"/>
    <x v="0"/>
    <s v="NĐ"/>
    <x v="4"/>
    <s v="CP thờ cúng"/>
    <s v="Mua đồ thắp hương mùng 1/4 PVTHK 85TAT"/>
    <s v="CP phát sinh hàng tháng"/>
    <m/>
    <m/>
    <m/>
    <d v="2026-05-01T00:00:00"/>
    <n v="300000"/>
    <n v="1"/>
    <n v="300000"/>
    <d v="2026-05-01T00:00:00"/>
    <m/>
  </r>
  <r>
    <n v="274"/>
    <x v="0"/>
    <s v="NĐ"/>
    <x v="4"/>
    <s v="CP điện nước"/>
    <s v="Chi tiền đổi nước 5 bình"/>
    <s v="CP phát sinh hàng tháng"/>
    <m/>
    <m/>
    <m/>
    <d v="2026-05-01T00:00:00"/>
    <n v="110000"/>
    <n v="1"/>
    <n v="110000"/>
    <d v="2026-05-01T00:00:00"/>
    <m/>
  </r>
  <r>
    <n v="275"/>
    <x v="0"/>
    <s v="NĐ"/>
    <x v="4"/>
    <s v="CP quản lý khác"/>
    <s v="Bảo dưỡng ĐH PVTHK"/>
    <s v="CP phát sinh hàng tháng"/>
    <m/>
    <m/>
    <m/>
    <d v="2026-05-01T00:00:00"/>
    <n v="450000"/>
    <n v="1"/>
    <n v="450000"/>
    <d v="2026-05-01T00:00:00"/>
    <m/>
  </r>
  <r>
    <n v="276"/>
    <x v="0"/>
    <s v="NĐ"/>
    <x v="4"/>
    <s v="CP rửa xe"/>
    <m/>
    <s v="CP phát sinh hàng tháng"/>
    <m/>
    <m/>
    <m/>
    <d v="2026-05-01T00:00:00"/>
    <m/>
    <n v="1"/>
    <n v="0"/>
    <d v="2026-05-01T00:00:00"/>
    <m/>
  </r>
  <r>
    <n v="277"/>
    <x v="0"/>
    <s v="NĐ"/>
    <x v="5"/>
    <s v="CP thờ cúng"/>
    <m/>
    <s v="CP phát sinh hàng tháng"/>
    <m/>
    <m/>
    <m/>
    <d v="2026-05-01T00:00:00"/>
    <m/>
    <n v="1"/>
    <n v="0"/>
    <d v="2026-05-01T00:00:00"/>
    <m/>
  </r>
  <r>
    <n v="278"/>
    <x v="0"/>
    <s v="NĐ"/>
    <x v="5"/>
    <s v="CP quản lý khác"/>
    <m/>
    <s v="CP phát sinh hàng tháng"/>
    <m/>
    <m/>
    <m/>
    <d v="2026-05-01T00:00:00"/>
    <m/>
    <n v="1"/>
    <n v="0"/>
    <d v="2026-05-01T00:00:00"/>
    <m/>
  </r>
  <r>
    <n v="279"/>
    <x v="0"/>
    <s v="NĐ"/>
    <x v="5"/>
    <m/>
    <m/>
    <s v="CP phát sinh hàng tháng"/>
    <m/>
    <m/>
    <m/>
    <d v="2026-05-01T00:00:00"/>
    <m/>
    <n v="1"/>
    <n v="0"/>
    <d v="2026-05-01T00:00:00"/>
    <m/>
  </r>
  <r>
    <n v="280"/>
    <x v="0"/>
    <s v="NĐ"/>
    <x v="5"/>
    <m/>
    <m/>
    <s v="CP phát sinh hàng tháng"/>
    <m/>
    <m/>
    <m/>
    <d v="2026-05-01T00:00:00"/>
    <m/>
    <n v="1"/>
    <n v="0"/>
    <d v="2026-05-01T00:00:00"/>
    <m/>
  </r>
  <r>
    <n v="281"/>
    <x v="0"/>
    <s v="NĐ"/>
    <x v="5"/>
    <m/>
    <m/>
    <s v="CP phát sinh hàng tháng"/>
    <m/>
    <m/>
    <m/>
    <d v="2026-05-01T00:00:00"/>
    <m/>
    <n v="1"/>
    <n v="0"/>
    <d v="2026-05-01T00:00:00"/>
    <m/>
  </r>
  <r>
    <n v="282"/>
    <x v="0"/>
    <s v="NĐ"/>
    <x v="5"/>
    <m/>
    <m/>
    <s v="CP phát sinh hàng tháng"/>
    <m/>
    <m/>
    <m/>
    <d v="2026-05-01T00:00:00"/>
    <m/>
    <n v="1"/>
    <n v="0"/>
    <d v="2026-05-01T00:00:00"/>
    <m/>
  </r>
  <r>
    <n v="283"/>
    <x v="0"/>
    <s v="NĐ"/>
    <x v="5"/>
    <m/>
    <m/>
    <s v="CP phát sinh hàng tháng"/>
    <m/>
    <m/>
    <m/>
    <d v="2026-05-01T00:00:00"/>
    <m/>
    <n v="1"/>
    <n v="0"/>
    <d v="2026-05-01T00:00:00"/>
    <m/>
  </r>
  <r>
    <n v="284"/>
    <x v="0"/>
    <s v="NĐ"/>
    <x v="5"/>
    <m/>
    <m/>
    <s v="CP phát sinh hàng tháng"/>
    <m/>
    <m/>
    <m/>
    <d v="2026-05-01T00:00:00"/>
    <m/>
    <n v="1"/>
    <n v="0"/>
    <d v="2026-05-01T00:00:00"/>
    <m/>
  </r>
  <r>
    <n v="285"/>
    <x v="0"/>
    <s v="NĐ"/>
    <x v="5"/>
    <m/>
    <m/>
    <s v="CP phát sinh hàng tháng"/>
    <m/>
    <m/>
    <m/>
    <d v="2026-05-01T00:00:00"/>
    <m/>
    <n v="1"/>
    <n v="0"/>
    <d v="2026-05-01T00:00:00"/>
    <m/>
  </r>
  <r>
    <n v="286"/>
    <x v="0"/>
    <s v="NĐ"/>
    <x v="5"/>
    <m/>
    <m/>
    <s v="CP phát sinh hàng tháng"/>
    <m/>
    <m/>
    <m/>
    <d v="2026-05-01T00:00:00"/>
    <m/>
    <n v="1"/>
    <n v="0"/>
    <d v="2026-05-01T00:00:00"/>
    <m/>
  </r>
  <r>
    <n v="287"/>
    <x v="0"/>
    <s v="NĐ"/>
    <x v="5"/>
    <m/>
    <m/>
    <s v="CP phát sinh hàng tháng"/>
    <m/>
    <m/>
    <m/>
    <d v="2026-05-01T00:00:00"/>
    <m/>
    <n v="1"/>
    <n v="0"/>
    <d v="2026-05-01T00:00:00"/>
    <m/>
  </r>
  <r>
    <n v="288"/>
    <x v="0"/>
    <s v="NĐ"/>
    <x v="5"/>
    <m/>
    <m/>
    <s v="CP phát sinh hàng tháng"/>
    <m/>
    <m/>
    <m/>
    <d v="2026-05-01T00:00:00"/>
    <m/>
    <n v="1"/>
    <n v="0"/>
    <d v="2026-05-01T00:00:00"/>
    <m/>
  </r>
  <r>
    <n v="289"/>
    <x v="0"/>
    <s v="NĐ"/>
    <x v="5"/>
    <s v="CP điện nước"/>
    <s v="Tiền điện VPNĐ t5"/>
    <s v="CP phát sinh hàng tháng"/>
    <m/>
    <m/>
    <m/>
    <d v="2026-05-01T00:00:00"/>
    <n v="5395594"/>
    <n v="1"/>
    <n v="5395594"/>
    <d v="2026-05-01T00:00:00"/>
    <m/>
  </r>
  <r>
    <n v="290"/>
    <x v="0"/>
    <s v="NĐ"/>
    <x v="4"/>
    <s v="CP rửa xe"/>
    <s v="Chi phí điện nước t5 bãi rửa xe"/>
    <s v="CP phát sinh hàng tháng"/>
    <m/>
    <m/>
    <m/>
    <d v="2026-05-01T00:00:00"/>
    <n v="1647900"/>
    <n v="1"/>
    <n v="1647900"/>
    <d v="2026-05-01T00:00:00"/>
    <m/>
  </r>
  <r>
    <n v="291"/>
    <x v="0"/>
    <s v="NĐ"/>
    <x v="5"/>
    <s v="Văn phòng phẩm"/>
    <s v="Chi phí VPP t5/2026"/>
    <s v="CP phát sinh hàng tháng"/>
    <m/>
    <m/>
    <m/>
    <d v="2026-05-01T00:00:00"/>
    <n v="1778713"/>
    <n v="1"/>
    <n v="1778713"/>
    <d v="2026-05-01T00:00:00"/>
    <m/>
  </r>
  <r>
    <n v="292"/>
    <x v="0"/>
    <s v="NĐ"/>
    <x v="5"/>
    <s v="CP điện thoại, wifi"/>
    <s v="Chi phí cước điện thoại + internet t5/2026 VP 85 Trần Anh Tông"/>
    <s v="CP phát sinh hàng tháng"/>
    <m/>
    <m/>
    <m/>
    <d v="2026-05-01T00:00:00"/>
    <n v="797178"/>
    <n v="1"/>
    <n v="797178"/>
    <d v="2026-05-01T00:00:00"/>
    <m/>
  </r>
  <r>
    <n v="293"/>
    <x v="0"/>
    <s v="NĐ"/>
    <x v="5"/>
    <s v="CP điện nước"/>
    <s v="Chi tiền nước t5"/>
    <s v="CP phát sinh hàng tháng"/>
    <m/>
    <m/>
    <m/>
    <d v="2026-05-01T00:00:00"/>
    <n v="409975"/>
    <n v="1"/>
    <n v="409975"/>
    <d v="2026-05-01T00:00:00"/>
    <m/>
  </r>
  <r>
    <n v="294"/>
    <x v="0"/>
    <s v="NĐ"/>
    <x v="5"/>
    <s v="CP điện thoại trung chuyển"/>
    <s v="Tiền điện thoại qua App"/>
    <s v="CP phát sinh hàng tháng"/>
    <m/>
    <m/>
    <m/>
    <d v="2026-05-01T00:00:00"/>
    <n v="1040392"/>
    <n v="1"/>
    <n v="1040392"/>
    <d v="2026-05-01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7E922-A4C2-4631-BAF8-BE9F38D576C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0" firstHeaderRow="1" firstDataRow="1" firstDataCol="1" rowPageCount="1" colPageCount="1"/>
  <pivotFields count="16">
    <pivotField showAll="0"/>
    <pivotField axis="axisPage" numFmtId="178" showAll="0">
      <items count="2">
        <item x="0"/>
        <item t="default"/>
      </items>
    </pivotField>
    <pivotField showAll="0"/>
    <pivotField axis="axisRow" showAll="0">
      <items count="9">
        <item x="2"/>
        <item x="0"/>
        <item x="1"/>
        <item x="3"/>
        <item x="5"/>
        <item m="1" x="7"/>
        <item x="4"/>
        <item h="1"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dataField="1" showAll="0"/>
    <pivotField numFmtId="178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Items count="1">
    <i/>
  </colItems>
  <pageFields count="1">
    <pageField fld="1" hier="0"/>
  </pageFields>
  <dataFields count="1">
    <dataField name="Sum of Chi phí khấu trừ quỹ lương tháng" fld="13" baseField="3" baseItem="0" numFmtId="179"/>
  </dataFields>
  <formats count="3"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A293-E74C-4959-A11C-7DA75FF2F3F7}">
  <dimension ref="A1:C10"/>
  <sheetViews>
    <sheetView workbookViewId="0">
      <selection activeCell="B15" sqref="B15"/>
    </sheetView>
  </sheetViews>
  <sheetFormatPr defaultRowHeight="15" x14ac:dyDescent="0.25"/>
  <cols>
    <col min="1" max="1" width="27.5703125" bestFit="1" customWidth="1"/>
    <col min="2" max="2" width="37.5703125" bestFit="1" customWidth="1"/>
    <col min="3" max="7" width="28" bestFit="1" customWidth="1"/>
    <col min="8" max="8" width="11.42578125" bestFit="1" customWidth="1"/>
  </cols>
  <sheetData>
    <row r="1" spans="1:3" x14ac:dyDescent="0.25">
      <c r="A1" s="14" t="s">
        <v>1</v>
      </c>
      <c r="B1" t="s">
        <v>320</v>
      </c>
    </row>
    <row r="3" spans="1:3" x14ac:dyDescent="0.25">
      <c r="A3" s="14" t="s">
        <v>80</v>
      </c>
      <c r="B3" t="s">
        <v>82</v>
      </c>
    </row>
    <row r="4" spans="1:3" x14ac:dyDescent="0.25">
      <c r="A4" s="15" t="s">
        <v>56</v>
      </c>
      <c r="B4" s="16">
        <v>25917510.094314989</v>
      </c>
      <c r="C4" s="37"/>
    </row>
    <row r="5" spans="1:3" x14ac:dyDescent="0.25">
      <c r="A5" s="15" t="s">
        <v>16</v>
      </c>
      <c r="B5" s="16">
        <v>301899961.11111122</v>
      </c>
      <c r="C5" s="37"/>
    </row>
    <row r="6" spans="1:3" x14ac:dyDescent="0.25">
      <c r="A6" s="15" t="s">
        <v>50</v>
      </c>
      <c r="B6" s="16">
        <v>528257.75</v>
      </c>
      <c r="C6" s="37"/>
    </row>
    <row r="7" spans="1:3" x14ac:dyDescent="0.25">
      <c r="A7" s="15" t="s">
        <v>64</v>
      </c>
      <c r="B7" s="16">
        <v>115937852</v>
      </c>
      <c r="C7" s="37"/>
    </row>
    <row r="8" spans="1:3" x14ac:dyDescent="0.25">
      <c r="A8" s="15" t="s">
        <v>68</v>
      </c>
      <c r="B8" s="16">
        <v>9131852</v>
      </c>
      <c r="C8" s="37"/>
    </row>
    <row r="9" spans="1:3" x14ac:dyDescent="0.25">
      <c r="A9" s="15" t="s">
        <v>69</v>
      </c>
      <c r="B9" s="16">
        <v>5289900</v>
      </c>
      <c r="C9" s="37"/>
    </row>
    <row r="10" spans="1:3" x14ac:dyDescent="0.25">
      <c r="A10" s="15" t="s">
        <v>81</v>
      </c>
      <c r="B10" s="16">
        <v>458705332.95542622</v>
      </c>
      <c r="C10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B7AA-6DB0-48BE-97F4-020D6635C3DE}">
  <dimension ref="A1:P298"/>
  <sheetViews>
    <sheetView tabSelected="1" topLeftCell="E1" zoomScale="85" zoomScaleNormal="85" workbookViewId="0">
      <pane ySplit="1" topLeftCell="A7" activePane="bottomLeft" state="frozen"/>
      <selection pane="bottomLeft" activeCell="Q22" sqref="Q22"/>
    </sheetView>
  </sheetViews>
  <sheetFormatPr defaultRowHeight="15" x14ac:dyDescent="0.25"/>
  <cols>
    <col min="1" max="1" width="5.85546875" customWidth="1"/>
    <col min="4" max="4" width="30.42578125" customWidth="1"/>
    <col min="5" max="5" width="23.85546875" customWidth="1"/>
    <col min="6" max="6" width="35.28515625" customWidth="1"/>
    <col min="7" max="7" width="34.42578125" customWidth="1"/>
    <col min="8" max="8" width="11.85546875" customWidth="1"/>
    <col min="9" max="9" width="15.140625" customWidth="1"/>
    <col min="11" max="12" width="14" customWidth="1"/>
    <col min="14" max="14" width="14.28515625" customWidth="1"/>
    <col min="15" max="15" width="16.42578125" customWidth="1"/>
  </cols>
  <sheetData>
    <row r="1" spans="1:16" ht="63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79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1" t="s">
        <v>14</v>
      </c>
    </row>
    <row r="2" spans="1:16" ht="15.75" x14ac:dyDescent="0.25">
      <c r="A2" s="5">
        <f>SUBTOTAL(3,$B$2:B2)</f>
        <v>1</v>
      </c>
      <c r="B2" s="6">
        <v>46143</v>
      </c>
      <c r="C2" s="6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7" t="s">
        <v>20</v>
      </c>
      <c r="I2" s="7" t="s">
        <v>21</v>
      </c>
      <c r="J2" s="7"/>
      <c r="K2" s="8">
        <v>45408</v>
      </c>
      <c r="L2" s="9">
        <v>775807999.99999797</v>
      </c>
      <c r="M2" s="10">
        <v>60</v>
      </c>
      <c r="N2" s="9">
        <f>IF(B2&gt;O2,"",L2/M2)</f>
        <v>12930133.3333333</v>
      </c>
      <c r="O2" s="11">
        <f>EDATE(K2, M2-1)</f>
        <v>47203</v>
      </c>
      <c r="P2" s="12"/>
    </row>
    <row r="3" spans="1:16" ht="15.75" x14ac:dyDescent="0.25">
      <c r="A3" s="5">
        <f>SUBTOTAL(3,$B$2:B3)</f>
        <v>2</v>
      </c>
      <c r="B3" s="6">
        <v>46143</v>
      </c>
      <c r="C3" s="6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7" t="s">
        <v>22</v>
      </c>
      <c r="I3" s="7" t="s">
        <v>21</v>
      </c>
      <c r="J3" s="7"/>
      <c r="K3" s="8">
        <v>45408</v>
      </c>
      <c r="L3" s="9">
        <v>775807999.99999797</v>
      </c>
      <c r="M3" s="10">
        <v>60</v>
      </c>
      <c r="N3" s="9">
        <f t="shared" ref="N3:N69" si="0">IF(B3&gt;O3,"",L3/M3)</f>
        <v>12930133.3333333</v>
      </c>
      <c r="O3" s="11">
        <f t="shared" ref="O3:O69" si="1">EDATE(K3, M3-1)</f>
        <v>47203</v>
      </c>
      <c r="P3" s="12"/>
    </row>
    <row r="4" spans="1:16" ht="15.75" x14ac:dyDescent="0.25">
      <c r="A4" s="5">
        <f>SUBTOTAL(3,$B$2:B4)</f>
        <v>3</v>
      </c>
      <c r="B4" s="6">
        <v>46143</v>
      </c>
      <c r="C4" s="6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7" t="s">
        <v>23</v>
      </c>
      <c r="I4" s="7" t="s">
        <v>24</v>
      </c>
      <c r="J4" s="7"/>
      <c r="K4" s="8">
        <v>45530</v>
      </c>
      <c r="L4" s="9">
        <v>785000000</v>
      </c>
      <c r="M4" s="10">
        <v>60</v>
      </c>
      <c r="N4" s="9">
        <f t="shared" si="0"/>
        <v>13083333.333333334</v>
      </c>
      <c r="O4" s="11">
        <f t="shared" si="1"/>
        <v>47325</v>
      </c>
      <c r="P4" s="12"/>
    </row>
    <row r="5" spans="1:16" ht="15.75" x14ac:dyDescent="0.25">
      <c r="A5" s="5">
        <f>SUBTOTAL(3,$B$2:B5)</f>
        <v>4</v>
      </c>
      <c r="B5" s="6">
        <v>46143</v>
      </c>
      <c r="C5" s="6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7" t="s">
        <v>25</v>
      </c>
      <c r="I5" s="7" t="s">
        <v>24</v>
      </c>
      <c r="J5" s="7"/>
      <c r="K5" s="8">
        <v>45530</v>
      </c>
      <c r="L5" s="9">
        <v>785000000</v>
      </c>
      <c r="M5" s="10">
        <v>60</v>
      </c>
      <c r="N5" s="9">
        <f t="shared" si="0"/>
        <v>13083333.333333334</v>
      </c>
      <c r="O5" s="11">
        <f t="shared" si="1"/>
        <v>47325</v>
      </c>
      <c r="P5" s="12"/>
    </row>
    <row r="6" spans="1:16" ht="15.75" x14ac:dyDescent="0.25">
      <c r="A6" s="5">
        <f>SUBTOTAL(3,$B$2:B6)</f>
        <v>5</v>
      </c>
      <c r="B6" s="6">
        <v>46143</v>
      </c>
      <c r="C6" s="6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7" t="s">
        <v>26</v>
      </c>
      <c r="I6" s="7" t="s">
        <v>24</v>
      </c>
      <c r="J6" s="7"/>
      <c r="K6" s="8">
        <v>45530</v>
      </c>
      <c r="L6" s="9">
        <v>785000000</v>
      </c>
      <c r="M6" s="10">
        <v>60</v>
      </c>
      <c r="N6" s="9">
        <f t="shared" si="0"/>
        <v>13083333.333333334</v>
      </c>
      <c r="O6" s="11">
        <f t="shared" si="1"/>
        <v>47325</v>
      </c>
      <c r="P6" s="12"/>
    </row>
    <row r="7" spans="1:16" ht="15.75" x14ac:dyDescent="0.25">
      <c r="A7" s="5">
        <f>SUBTOTAL(3,$B$2:B7)</f>
        <v>6</v>
      </c>
      <c r="B7" s="6">
        <v>46143</v>
      </c>
      <c r="C7" s="6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7" t="s">
        <v>61</v>
      </c>
      <c r="I7" s="7" t="s">
        <v>24</v>
      </c>
      <c r="J7" s="7"/>
      <c r="K7" s="8">
        <v>45530</v>
      </c>
      <c r="L7" s="9">
        <v>785000000</v>
      </c>
      <c r="M7" s="10">
        <v>60</v>
      </c>
      <c r="N7" s="9">
        <f t="shared" si="0"/>
        <v>13083333.333333334</v>
      </c>
      <c r="O7" s="11">
        <f t="shared" si="1"/>
        <v>47325</v>
      </c>
      <c r="P7" s="12"/>
    </row>
    <row r="8" spans="1:16" ht="15.75" x14ac:dyDescent="0.25">
      <c r="A8" s="5">
        <f>SUBTOTAL(3,$B$2:B8)</f>
        <v>7</v>
      </c>
      <c r="B8" s="6">
        <v>46143</v>
      </c>
      <c r="C8" s="6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7" t="s">
        <v>27</v>
      </c>
      <c r="I8" s="7" t="s">
        <v>24</v>
      </c>
      <c r="J8" s="7"/>
      <c r="K8" s="8">
        <v>45530</v>
      </c>
      <c r="L8" s="9">
        <v>785000000</v>
      </c>
      <c r="M8" s="10">
        <v>60</v>
      </c>
      <c r="N8" s="9">
        <f t="shared" si="0"/>
        <v>13083333.333333334</v>
      </c>
      <c r="O8" s="11">
        <f t="shared" si="1"/>
        <v>47325</v>
      </c>
      <c r="P8" s="12"/>
    </row>
    <row r="9" spans="1:16" ht="15.75" x14ac:dyDescent="0.25">
      <c r="A9" s="5">
        <f>SUBTOTAL(3,$B$2:B9)</f>
        <v>8</v>
      </c>
      <c r="B9" s="6">
        <v>46143</v>
      </c>
      <c r="C9" s="6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7" t="s">
        <v>28</v>
      </c>
      <c r="I9" s="7" t="s">
        <v>24</v>
      </c>
      <c r="J9" s="7"/>
      <c r="K9" s="8">
        <v>45530</v>
      </c>
      <c r="L9" s="9">
        <v>785000000</v>
      </c>
      <c r="M9" s="10">
        <v>60</v>
      </c>
      <c r="N9" s="9">
        <f t="shared" si="0"/>
        <v>13083333.333333334</v>
      </c>
      <c r="O9" s="11">
        <f t="shared" si="1"/>
        <v>47325</v>
      </c>
      <c r="P9" s="12"/>
    </row>
    <row r="10" spans="1:16" ht="15.75" x14ac:dyDescent="0.25">
      <c r="A10" s="5">
        <f>SUBTOTAL(3,$B$2:B10)</f>
        <v>9</v>
      </c>
      <c r="B10" s="6">
        <v>46143</v>
      </c>
      <c r="C10" s="6" t="s">
        <v>15</v>
      </c>
      <c r="D10" s="5" t="s">
        <v>16</v>
      </c>
      <c r="E10" s="5" t="s">
        <v>17</v>
      </c>
      <c r="F10" s="5" t="s">
        <v>18</v>
      </c>
      <c r="G10" s="5" t="s">
        <v>19</v>
      </c>
      <c r="H10" s="7" t="s">
        <v>29</v>
      </c>
      <c r="I10" s="7" t="s">
        <v>24</v>
      </c>
      <c r="J10" s="7"/>
      <c r="K10" s="8">
        <v>45530</v>
      </c>
      <c r="L10" s="9">
        <v>785000000</v>
      </c>
      <c r="M10" s="10">
        <v>60</v>
      </c>
      <c r="N10" s="9">
        <f t="shared" si="0"/>
        <v>13083333.333333334</v>
      </c>
      <c r="O10" s="11">
        <f t="shared" si="1"/>
        <v>47325</v>
      </c>
      <c r="P10" s="12"/>
    </row>
    <row r="11" spans="1:16" ht="15.75" x14ac:dyDescent="0.25">
      <c r="A11" s="5">
        <f>SUBTOTAL(3,$B$2:B11)</f>
        <v>10</v>
      </c>
      <c r="B11" s="6">
        <v>46143</v>
      </c>
      <c r="C11" s="6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7" t="s">
        <v>30</v>
      </c>
      <c r="I11" s="7" t="s">
        <v>24</v>
      </c>
      <c r="J11" s="7"/>
      <c r="K11" s="8">
        <v>45530</v>
      </c>
      <c r="L11" s="9">
        <v>785000000</v>
      </c>
      <c r="M11" s="10">
        <v>60</v>
      </c>
      <c r="N11" s="9">
        <f t="shared" si="0"/>
        <v>13083333.333333334</v>
      </c>
      <c r="O11" s="11">
        <f t="shared" si="1"/>
        <v>47325</v>
      </c>
      <c r="P11" s="12"/>
    </row>
    <row r="12" spans="1:16" ht="15.75" x14ac:dyDescent="0.25">
      <c r="A12" s="5">
        <f>SUBTOTAL(3,$B$2:B12)</f>
        <v>11</v>
      </c>
      <c r="B12" s="6">
        <v>46143</v>
      </c>
      <c r="C12" s="6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7" t="s">
        <v>31</v>
      </c>
      <c r="I12" s="7" t="s">
        <v>24</v>
      </c>
      <c r="J12" s="7"/>
      <c r="K12" s="8">
        <v>45530</v>
      </c>
      <c r="L12" s="9">
        <v>785000000</v>
      </c>
      <c r="M12" s="10">
        <v>60</v>
      </c>
      <c r="N12" s="9">
        <f t="shared" si="0"/>
        <v>13083333.333333334</v>
      </c>
      <c r="O12" s="11">
        <f t="shared" si="1"/>
        <v>47325</v>
      </c>
      <c r="P12" s="12"/>
    </row>
    <row r="13" spans="1:16" ht="15.75" x14ac:dyDescent="0.25">
      <c r="A13" s="5">
        <f>SUBTOTAL(3,$B$2:B13)</f>
        <v>12</v>
      </c>
      <c r="B13" s="6">
        <v>46143</v>
      </c>
      <c r="C13" s="6" t="s">
        <v>15</v>
      </c>
      <c r="D13" s="5" t="s">
        <v>16</v>
      </c>
      <c r="E13" s="5" t="s">
        <v>17</v>
      </c>
      <c r="F13" s="5" t="s">
        <v>18</v>
      </c>
      <c r="G13" s="5" t="s">
        <v>19</v>
      </c>
      <c r="H13" s="7" t="s">
        <v>32</v>
      </c>
      <c r="I13" s="7" t="s">
        <v>24</v>
      </c>
      <c r="J13" s="7"/>
      <c r="K13" s="8">
        <v>45530</v>
      </c>
      <c r="L13" s="9">
        <v>785000000</v>
      </c>
      <c r="M13" s="10">
        <v>60</v>
      </c>
      <c r="N13" s="9">
        <f t="shared" si="0"/>
        <v>13083333.333333334</v>
      </c>
      <c r="O13" s="11">
        <f t="shared" si="1"/>
        <v>47325</v>
      </c>
      <c r="P13" s="12"/>
    </row>
    <row r="14" spans="1:16" ht="15.75" x14ac:dyDescent="0.25">
      <c r="A14" s="5">
        <f>SUBTOTAL(3,$B$2:B14)</f>
        <v>13</v>
      </c>
      <c r="B14" s="6">
        <v>46143</v>
      </c>
      <c r="C14" s="6" t="s">
        <v>15</v>
      </c>
      <c r="D14" s="5" t="s">
        <v>16</v>
      </c>
      <c r="E14" s="5" t="s">
        <v>17</v>
      </c>
      <c r="F14" s="5" t="s">
        <v>18</v>
      </c>
      <c r="G14" s="5" t="s">
        <v>19</v>
      </c>
      <c r="H14" s="7" t="s">
        <v>33</v>
      </c>
      <c r="I14" s="7" t="s">
        <v>24</v>
      </c>
      <c r="J14" s="7"/>
      <c r="K14" s="8">
        <v>45729</v>
      </c>
      <c r="L14" s="9">
        <v>785000000</v>
      </c>
      <c r="M14" s="10">
        <v>60</v>
      </c>
      <c r="N14" s="9">
        <f t="shared" si="0"/>
        <v>13083333.333333334</v>
      </c>
      <c r="O14" s="11">
        <f t="shared" si="1"/>
        <v>47527</v>
      </c>
      <c r="P14" s="12"/>
    </row>
    <row r="15" spans="1:16" ht="15.75" x14ac:dyDescent="0.25">
      <c r="A15" s="5">
        <f>SUBTOTAL(3,$B$2:B15)</f>
        <v>14</v>
      </c>
      <c r="B15" s="6">
        <v>46143</v>
      </c>
      <c r="C15" s="6" t="s">
        <v>15</v>
      </c>
      <c r="D15" s="5" t="s">
        <v>16</v>
      </c>
      <c r="E15" s="5" t="s">
        <v>17</v>
      </c>
      <c r="F15" s="5" t="s">
        <v>18</v>
      </c>
      <c r="G15" s="5" t="s">
        <v>19</v>
      </c>
      <c r="H15" s="7" t="s">
        <v>34</v>
      </c>
      <c r="I15" s="7" t="s">
        <v>24</v>
      </c>
      <c r="J15" s="7"/>
      <c r="K15" s="8">
        <v>45729</v>
      </c>
      <c r="L15" s="9">
        <v>785000000</v>
      </c>
      <c r="M15" s="10">
        <v>60</v>
      </c>
      <c r="N15" s="9">
        <f t="shared" si="0"/>
        <v>13083333.333333334</v>
      </c>
      <c r="O15" s="11">
        <f t="shared" si="1"/>
        <v>47527</v>
      </c>
      <c r="P15" s="12"/>
    </row>
    <row r="16" spans="1:16" ht="15.75" x14ac:dyDescent="0.25">
      <c r="A16" s="5">
        <f>SUBTOTAL(3,$B$2:B16)</f>
        <v>15</v>
      </c>
      <c r="B16" s="6">
        <v>46143</v>
      </c>
      <c r="C16" s="6" t="s">
        <v>15</v>
      </c>
      <c r="D16" s="5" t="s">
        <v>16</v>
      </c>
      <c r="E16" s="5" t="s">
        <v>17</v>
      </c>
      <c r="F16" s="5" t="s">
        <v>18</v>
      </c>
      <c r="G16" s="5" t="s">
        <v>19</v>
      </c>
      <c r="H16" s="7" t="s">
        <v>35</v>
      </c>
      <c r="I16" s="7" t="s">
        <v>24</v>
      </c>
      <c r="J16" s="7"/>
      <c r="K16" s="8">
        <v>45729</v>
      </c>
      <c r="L16" s="9">
        <v>785000000</v>
      </c>
      <c r="M16" s="10">
        <v>60</v>
      </c>
      <c r="N16" s="9">
        <f t="shared" si="0"/>
        <v>13083333.333333334</v>
      </c>
      <c r="O16" s="11">
        <f t="shared" si="1"/>
        <v>47527</v>
      </c>
      <c r="P16" s="12"/>
    </row>
    <row r="17" spans="1:16" ht="15.75" x14ac:dyDescent="0.25">
      <c r="A17" s="5">
        <f>SUBTOTAL(3,$B$2:B17)</f>
        <v>16</v>
      </c>
      <c r="B17" s="6">
        <v>46143</v>
      </c>
      <c r="C17" s="6" t="s">
        <v>15</v>
      </c>
      <c r="D17" s="5" t="s">
        <v>16</v>
      </c>
      <c r="E17" s="5" t="s">
        <v>17</v>
      </c>
      <c r="F17" s="5" t="s">
        <v>18</v>
      </c>
      <c r="G17" s="5" t="s">
        <v>19</v>
      </c>
      <c r="H17" s="7" t="s">
        <v>36</v>
      </c>
      <c r="I17" s="7" t="s">
        <v>24</v>
      </c>
      <c r="J17" s="7"/>
      <c r="K17" s="8">
        <v>45729</v>
      </c>
      <c r="L17" s="9">
        <v>785000000</v>
      </c>
      <c r="M17" s="10">
        <v>60</v>
      </c>
      <c r="N17" s="9">
        <f t="shared" si="0"/>
        <v>13083333.333333334</v>
      </c>
      <c r="O17" s="11">
        <f t="shared" si="1"/>
        <v>47527</v>
      </c>
      <c r="P17" s="12"/>
    </row>
    <row r="18" spans="1:16" ht="15.75" x14ac:dyDescent="0.25">
      <c r="A18" s="5">
        <f>SUBTOTAL(3,$B$2:B18)</f>
        <v>17</v>
      </c>
      <c r="B18" s="6">
        <v>46143</v>
      </c>
      <c r="C18" s="6" t="s">
        <v>15</v>
      </c>
      <c r="D18" s="5" t="s">
        <v>16</v>
      </c>
      <c r="E18" s="5" t="s">
        <v>17</v>
      </c>
      <c r="F18" s="5" t="s">
        <v>18</v>
      </c>
      <c r="G18" s="5" t="s">
        <v>19</v>
      </c>
      <c r="H18" s="7" t="s">
        <v>37</v>
      </c>
      <c r="I18" s="7" t="s">
        <v>24</v>
      </c>
      <c r="J18" s="7"/>
      <c r="K18" s="8">
        <v>45729</v>
      </c>
      <c r="L18" s="9">
        <v>785000000</v>
      </c>
      <c r="M18" s="10">
        <v>60</v>
      </c>
      <c r="N18" s="9">
        <f t="shared" si="0"/>
        <v>13083333.333333334</v>
      </c>
      <c r="O18" s="11">
        <f t="shared" si="1"/>
        <v>47527</v>
      </c>
      <c r="P18" s="12"/>
    </row>
    <row r="19" spans="1:16" ht="15.75" x14ac:dyDescent="0.25">
      <c r="A19" s="5">
        <f>SUBTOTAL(3,$B$2:B19)</f>
        <v>18</v>
      </c>
      <c r="B19" s="6">
        <v>46143</v>
      </c>
      <c r="C19" s="6" t="s">
        <v>15</v>
      </c>
      <c r="D19" s="5" t="s">
        <v>16</v>
      </c>
      <c r="E19" s="5" t="s">
        <v>17</v>
      </c>
      <c r="F19" s="5" t="s">
        <v>18</v>
      </c>
      <c r="G19" s="5" t="s">
        <v>19</v>
      </c>
      <c r="H19" s="7" t="s">
        <v>38</v>
      </c>
      <c r="I19" s="7" t="s">
        <v>24</v>
      </c>
      <c r="J19" s="7"/>
      <c r="K19" s="8">
        <v>45408</v>
      </c>
      <c r="L19" s="9">
        <v>775807999.99999797</v>
      </c>
      <c r="M19" s="10">
        <v>60</v>
      </c>
      <c r="N19" s="9">
        <f t="shared" si="0"/>
        <v>12930133.3333333</v>
      </c>
      <c r="O19" s="11">
        <f t="shared" si="1"/>
        <v>47203</v>
      </c>
      <c r="P19" s="12"/>
    </row>
    <row r="20" spans="1:16" ht="15.75" x14ac:dyDescent="0.25">
      <c r="A20" s="5">
        <f>SUBTOTAL(3,$B$2:B20)</f>
        <v>19</v>
      </c>
      <c r="B20" s="6">
        <v>46143</v>
      </c>
      <c r="C20" s="6" t="s">
        <v>15</v>
      </c>
      <c r="D20" s="5" t="s">
        <v>16</v>
      </c>
      <c r="E20" s="5" t="s">
        <v>17</v>
      </c>
      <c r="F20" s="5" t="s">
        <v>321</v>
      </c>
      <c r="G20" s="5" t="s">
        <v>19</v>
      </c>
      <c r="H20" s="7" t="s">
        <v>179</v>
      </c>
      <c r="I20" s="7" t="s">
        <v>93</v>
      </c>
      <c r="J20" s="7"/>
      <c r="K20" s="8">
        <v>46143</v>
      </c>
      <c r="L20" s="9">
        <f>535500000</f>
        <v>535500000</v>
      </c>
      <c r="M20" s="10">
        <v>36</v>
      </c>
      <c r="N20" s="9">
        <f>IF(B20&gt;O20,"",L20/M20)</f>
        <v>14875000</v>
      </c>
      <c r="O20" s="11">
        <f>EDATE(K20, M20-1)</f>
        <v>47209</v>
      </c>
      <c r="P20" s="12"/>
    </row>
    <row r="21" spans="1:16" ht="15.75" x14ac:dyDescent="0.25">
      <c r="A21" s="5">
        <f>SUBTOTAL(3,$B$2:B21)</f>
        <v>20</v>
      </c>
      <c r="B21" s="6">
        <v>46143</v>
      </c>
      <c r="C21" s="6" t="s">
        <v>15</v>
      </c>
      <c r="D21" s="5" t="s">
        <v>16</v>
      </c>
      <c r="E21" s="5" t="s">
        <v>17</v>
      </c>
      <c r="F21" s="5" t="s">
        <v>321</v>
      </c>
      <c r="G21" s="5" t="s">
        <v>19</v>
      </c>
      <c r="H21" s="7" t="s">
        <v>178</v>
      </c>
      <c r="I21" s="7" t="s">
        <v>93</v>
      </c>
      <c r="J21" s="7"/>
      <c r="K21" s="8">
        <v>46143</v>
      </c>
      <c r="L21" s="9">
        <f>535500000</f>
        <v>535500000</v>
      </c>
      <c r="M21" s="10">
        <v>36</v>
      </c>
      <c r="N21" s="9">
        <f>IF(B21&gt;O21,"",L21/M21)</f>
        <v>14875000</v>
      </c>
      <c r="O21" s="11">
        <f>EDATE(K21, M21-1)</f>
        <v>47209</v>
      </c>
      <c r="P21" s="12"/>
    </row>
    <row r="22" spans="1:16" ht="15.75" x14ac:dyDescent="0.25">
      <c r="A22" s="5">
        <f>SUBTOTAL(3,$B$2:B22)</f>
        <v>21</v>
      </c>
      <c r="B22" s="6">
        <v>46143</v>
      </c>
      <c r="C22" s="6" t="s">
        <v>15</v>
      </c>
      <c r="D22" s="5" t="s">
        <v>16</v>
      </c>
      <c r="E22" s="5" t="s">
        <v>17</v>
      </c>
      <c r="F22" s="5" t="s">
        <v>321</v>
      </c>
      <c r="G22" s="5" t="s">
        <v>19</v>
      </c>
      <c r="H22" s="7" t="s">
        <v>177</v>
      </c>
      <c r="I22" s="7" t="s">
        <v>93</v>
      </c>
      <c r="J22" s="7"/>
      <c r="K22" s="8">
        <v>46143</v>
      </c>
      <c r="L22" s="9">
        <f>535500000</f>
        <v>535500000</v>
      </c>
      <c r="M22" s="10">
        <v>36</v>
      </c>
      <c r="N22" s="9">
        <f>IF(B22&gt;O22,"",L22/M22)</f>
        <v>14875000</v>
      </c>
      <c r="O22" s="11">
        <f>EDATE(K22, M22-1)</f>
        <v>47209</v>
      </c>
      <c r="P22" s="12"/>
    </row>
    <row r="23" spans="1:16" ht="15.75" x14ac:dyDescent="0.25">
      <c r="A23" s="5">
        <f>SUBTOTAL(3,$B$2:B23)</f>
        <v>22</v>
      </c>
      <c r="B23" s="6">
        <v>46143</v>
      </c>
      <c r="C23" s="6" t="s">
        <v>15</v>
      </c>
      <c r="D23" s="5" t="s">
        <v>16</v>
      </c>
      <c r="E23" s="5" t="s">
        <v>39</v>
      </c>
      <c r="F23" s="5" t="s">
        <v>40</v>
      </c>
      <c r="G23" s="5" t="s">
        <v>19</v>
      </c>
      <c r="H23" s="7" t="s">
        <v>23</v>
      </c>
      <c r="I23" s="7" t="s">
        <v>24</v>
      </c>
      <c r="J23" s="7"/>
      <c r="K23" s="8">
        <v>45895</v>
      </c>
      <c r="L23" s="9">
        <v>7322000</v>
      </c>
      <c r="M23" s="10">
        <v>12</v>
      </c>
      <c r="N23" s="9">
        <f t="shared" si="0"/>
        <v>610166.66666666663</v>
      </c>
      <c r="O23" s="11">
        <f t="shared" si="1"/>
        <v>46229</v>
      </c>
      <c r="P23" s="12"/>
    </row>
    <row r="24" spans="1:16" ht="15.75" x14ac:dyDescent="0.25">
      <c r="A24" s="5">
        <f>SUBTOTAL(3,$B$2:B24)</f>
        <v>23</v>
      </c>
      <c r="B24" s="6">
        <v>46143</v>
      </c>
      <c r="C24" s="6" t="s">
        <v>15</v>
      </c>
      <c r="D24" s="5" t="s">
        <v>16</v>
      </c>
      <c r="E24" s="5" t="s">
        <v>39</v>
      </c>
      <c r="F24" s="5" t="s">
        <v>40</v>
      </c>
      <c r="G24" s="5" t="s">
        <v>19</v>
      </c>
      <c r="H24" s="7" t="s">
        <v>25</v>
      </c>
      <c r="I24" s="7" t="s">
        <v>24</v>
      </c>
      <c r="J24" s="7"/>
      <c r="K24" s="8">
        <v>45895</v>
      </c>
      <c r="L24" s="9">
        <v>7322000</v>
      </c>
      <c r="M24" s="10">
        <v>12</v>
      </c>
      <c r="N24" s="9">
        <f t="shared" si="0"/>
        <v>610166.66666666663</v>
      </c>
      <c r="O24" s="11">
        <f t="shared" si="1"/>
        <v>46229</v>
      </c>
      <c r="P24" s="12"/>
    </row>
    <row r="25" spans="1:16" ht="15.75" x14ac:dyDescent="0.25">
      <c r="A25" s="5">
        <f>SUBTOTAL(3,$B$2:B25)</f>
        <v>24</v>
      </c>
      <c r="B25" s="6">
        <v>46143</v>
      </c>
      <c r="C25" s="6" t="s">
        <v>15</v>
      </c>
      <c r="D25" s="5" t="s">
        <v>16</v>
      </c>
      <c r="E25" s="5" t="s">
        <v>39</v>
      </c>
      <c r="F25" s="5" t="s">
        <v>40</v>
      </c>
      <c r="G25" s="5" t="s">
        <v>19</v>
      </c>
      <c r="H25" s="7" t="s">
        <v>26</v>
      </c>
      <c r="I25" s="7" t="s">
        <v>41</v>
      </c>
      <c r="J25" s="7"/>
      <c r="K25" s="8">
        <v>45895</v>
      </c>
      <c r="L25" s="9">
        <v>7322000</v>
      </c>
      <c r="M25" s="10">
        <v>12</v>
      </c>
      <c r="N25" s="9">
        <f t="shared" si="0"/>
        <v>610166.66666666663</v>
      </c>
      <c r="O25" s="11">
        <f t="shared" si="1"/>
        <v>46229</v>
      </c>
      <c r="P25" s="12"/>
    </row>
    <row r="26" spans="1:16" ht="15.75" x14ac:dyDescent="0.25">
      <c r="A26" s="5">
        <f>SUBTOTAL(3,$B$2:B26)</f>
        <v>25</v>
      </c>
      <c r="B26" s="6">
        <v>46143</v>
      </c>
      <c r="C26" s="6" t="s">
        <v>15</v>
      </c>
      <c r="D26" s="5" t="s">
        <v>16</v>
      </c>
      <c r="E26" s="5" t="s">
        <v>39</v>
      </c>
      <c r="F26" s="5" t="s">
        <v>40</v>
      </c>
      <c r="G26" s="5" t="s">
        <v>19</v>
      </c>
      <c r="H26" s="7" t="s">
        <v>61</v>
      </c>
      <c r="I26" s="7" t="s">
        <v>24</v>
      </c>
      <c r="J26" s="7"/>
      <c r="K26" s="8">
        <v>45895</v>
      </c>
      <c r="L26" s="9">
        <v>7322000</v>
      </c>
      <c r="M26" s="10">
        <v>12</v>
      </c>
      <c r="N26" s="9">
        <f t="shared" si="0"/>
        <v>610166.66666666663</v>
      </c>
      <c r="O26" s="11">
        <f t="shared" si="1"/>
        <v>46229</v>
      </c>
      <c r="P26" s="12"/>
    </row>
    <row r="27" spans="1:16" ht="15.75" x14ac:dyDescent="0.25">
      <c r="A27" s="5">
        <f>SUBTOTAL(3,$B$2:B27)</f>
        <v>26</v>
      </c>
      <c r="B27" s="6">
        <v>46143</v>
      </c>
      <c r="C27" s="6" t="s">
        <v>15</v>
      </c>
      <c r="D27" s="5" t="s">
        <v>16</v>
      </c>
      <c r="E27" s="5" t="s">
        <v>39</v>
      </c>
      <c r="F27" s="5" t="s">
        <v>40</v>
      </c>
      <c r="G27" s="5" t="s">
        <v>19</v>
      </c>
      <c r="H27" s="7" t="s">
        <v>27</v>
      </c>
      <c r="I27" s="7" t="s">
        <v>24</v>
      </c>
      <c r="J27" s="7"/>
      <c r="K27" s="8">
        <v>45895</v>
      </c>
      <c r="L27" s="9">
        <v>7322000</v>
      </c>
      <c r="M27" s="10">
        <v>12</v>
      </c>
      <c r="N27" s="9">
        <f t="shared" si="0"/>
        <v>610166.66666666663</v>
      </c>
      <c r="O27" s="11">
        <f t="shared" si="1"/>
        <v>46229</v>
      </c>
      <c r="P27" s="12"/>
    </row>
    <row r="28" spans="1:16" ht="15.75" x14ac:dyDescent="0.25">
      <c r="A28" s="5">
        <f>SUBTOTAL(3,$B$2:B28)</f>
        <v>27</v>
      </c>
      <c r="B28" s="6">
        <v>46143</v>
      </c>
      <c r="C28" s="6" t="s">
        <v>15</v>
      </c>
      <c r="D28" s="5" t="s">
        <v>16</v>
      </c>
      <c r="E28" s="5" t="s">
        <v>39</v>
      </c>
      <c r="F28" s="5" t="s">
        <v>40</v>
      </c>
      <c r="G28" s="5" t="s">
        <v>19</v>
      </c>
      <c r="H28" s="7" t="s">
        <v>28</v>
      </c>
      <c r="I28" s="7" t="s">
        <v>24</v>
      </c>
      <c r="J28" s="7"/>
      <c r="K28" s="8">
        <v>45895</v>
      </c>
      <c r="L28" s="9">
        <v>7322000</v>
      </c>
      <c r="M28" s="10">
        <v>12</v>
      </c>
      <c r="N28" s="9">
        <f t="shared" si="0"/>
        <v>610166.66666666663</v>
      </c>
      <c r="O28" s="11">
        <f t="shared" si="1"/>
        <v>46229</v>
      </c>
      <c r="P28" s="12"/>
    </row>
    <row r="29" spans="1:16" ht="15.75" x14ac:dyDescent="0.25">
      <c r="A29" s="5">
        <f>SUBTOTAL(3,$B$2:B29)</f>
        <v>28</v>
      </c>
      <c r="B29" s="6">
        <v>46143</v>
      </c>
      <c r="C29" s="6" t="s">
        <v>15</v>
      </c>
      <c r="D29" s="5" t="s">
        <v>16</v>
      </c>
      <c r="E29" s="5" t="s">
        <v>39</v>
      </c>
      <c r="F29" s="5" t="s">
        <v>40</v>
      </c>
      <c r="G29" s="5" t="s">
        <v>19</v>
      </c>
      <c r="H29" s="7" t="s">
        <v>29</v>
      </c>
      <c r="I29" s="7" t="s">
        <v>24</v>
      </c>
      <c r="J29" s="7"/>
      <c r="K29" s="8">
        <v>45895</v>
      </c>
      <c r="L29" s="9">
        <v>7322000</v>
      </c>
      <c r="M29" s="10">
        <v>12</v>
      </c>
      <c r="N29" s="9">
        <f t="shared" si="0"/>
        <v>610166.66666666663</v>
      </c>
      <c r="O29" s="11">
        <f t="shared" si="1"/>
        <v>46229</v>
      </c>
      <c r="P29" s="12"/>
    </row>
    <row r="30" spans="1:16" ht="15.75" x14ac:dyDescent="0.25">
      <c r="A30" s="5">
        <f>SUBTOTAL(3,$B$2:B30)</f>
        <v>29</v>
      </c>
      <c r="B30" s="6">
        <v>46143</v>
      </c>
      <c r="C30" s="6" t="s">
        <v>15</v>
      </c>
      <c r="D30" s="5" t="s">
        <v>16</v>
      </c>
      <c r="E30" s="5" t="s">
        <v>39</v>
      </c>
      <c r="F30" s="5" t="s">
        <v>40</v>
      </c>
      <c r="G30" s="5" t="s">
        <v>19</v>
      </c>
      <c r="H30" s="7" t="s">
        <v>30</v>
      </c>
      <c r="I30" s="7" t="s">
        <v>24</v>
      </c>
      <c r="J30" s="7"/>
      <c r="K30" s="8">
        <v>45895</v>
      </c>
      <c r="L30" s="9">
        <v>7322000</v>
      </c>
      <c r="M30" s="10">
        <v>12</v>
      </c>
      <c r="N30" s="9">
        <f t="shared" si="0"/>
        <v>610166.66666666663</v>
      </c>
      <c r="O30" s="11">
        <f t="shared" si="1"/>
        <v>46229</v>
      </c>
      <c r="P30" s="12"/>
    </row>
    <row r="31" spans="1:16" ht="15.75" x14ac:dyDescent="0.25">
      <c r="A31" s="5">
        <f>SUBTOTAL(3,$B$2:B31)</f>
        <v>30</v>
      </c>
      <c r="B31" s="6">
        <v>46143</v>
      </c>
      <c r="C31" s="6" t="s">
        <v>15</v>
      </c>
      <c r="D31" s="5" t="s">
        <v>16</v>
      </c>
      <c r="E31" s="5" t="s">
        <v>39</v>
      </c>
      <c r="F31" s="5" t="s">
        <v>40</v>
      </c>
      <c r="G31" s="5" t="s">
        <v>19</v>
      </c>
      <c r="H31" s="7" t="s">
        <v>31</v>
      </c>
      <c r="I31" s="7" t="s">
        <v>24</v>
      </c>
      <c r="J31" s="7"/>
      <c r="K31" s="8">
        <v>45895</v>
      </c>
      <c r="L31" s="9">
        <v>7322000</v>
      </c>
      <c r="M31" s="10">
        <v>12</v>
      </c>
      <c r="N31" s="9">
        <f t="shared" si="0"/>
        <v>610166.66666666663</v>
      </c>
      <c r="O31" s="11">
        <f t="shared" si="1"/>
        <v>46229</v>
      </c>
      <c r="P31" s="12"/>
    </row>
    <row r="32" spans="1:16" ht="15.75" x14ac:dyDescent="0.25">
      <c r="A32" s="5">
        <f>SUBTOTAL(3,$B$2:B32)</f>
        <v>31</v>
      </c>
      <c r="B32" s="6">
        <v>46143</v>
      </c>
      <c r="C32" s="6" t="s">
        <v>15</v>
      </c>
      <c r="D32" s="5" t="s">
        <v>16</v>
      </c>
      <c r="E32" s="5" t="s">
        <v>39</v>
      </c>
      <c r="F32" s="5" t="s">
        <v>40</v>
      </c>
      <c r="G32" s="5" t="s">
        <v>19</v>
      </c>
      <c r="H32" s="7" t="s">
        <v>32</v>
      </c>
      <c r="I32" s="7" t="s">
        <v>24</v>
      </c>
      <c r="J32" s="7"/>
      <c r="K32" s="8">
        <v>45895</v>
      </c>
      <c r="L32" s="9">
        <v>7322000</v>
      </c>
      <c r="M32" s="10">
        <v>12</v>
      </c>
      <c r="N32" s="9">
        <f t="shared" si="0"/>
        <v>610166.66666666663</v>
      </c>
      <c r="O32" s="11">
        <f t="shared" si="1"/>
        <v>46229</v>
      </c>
      <c r="P32" s="12"/>
    </row>
    <row r="33" spans="1:16" ht="15.75" x14ac:dyDescent="0.25">
      <c r="A33" s="5">
        <f>SUBTOTAL(3,$B$2:B33)</f>
        <v>32</v>
      </c>
      <c r="B33" s="6">
        <v>46143</v>
      </c>
      <c r="C33" s="6" t="s">
        <v>15</v>
      </c>
      <c r="D33" s="5" t="s">
        <v>16</v>
      </c>
      <c r="E33" s="5" t="s">
        <v>39</v>
      </c>
      <c r="F33" s="5" t="s">
        <v>40</v>
      </c>
      <c r="G33" s="5" t="s">
        <v>19</v>
      </c>
      <c r="H33" s="7" t="s">
        <v>20</v>
      </c>
      <c r="I33" s="7" t="s">
        <v>21</v>
      </c>
      <c r="J33" s="7"/>
      <c r="K33" s="8">
        <v>46113</v>
      </c>
      <c r="L33" s="9">
        <v>11544000</v>
      </c>
      <c r="M33" s="10">
        <v>12</v>
      </c>
      <c r="N33" s="9">
        <f t="shared" si="0"/>
        <v>962000</v>
      </c>
      <c r="O33" s="11">
        <f t="shared" si="1"/>
        <v>46447</v>
      </c>
      <c r="P33" s="12"/>
    </row>
    <row r="34" spans="1:16" ht="15.75" x14ac:dyDescent="0.25">
      <c r="A34" s="5">
        <f>SUBTOTAL(3,$B$2:B34)</f>
        <v>33</v>
      </c>
      <c r="B34" s="6">
        <v>46143</v>
      </c>
      <c r="C34" s="6" t="s">
        <v>15</v>
      </c>
      <c r="D34" s="5" t="s">
        <v>16</v>
      </c>
      <c r="E34" s="5" t="s">
        <v>39</v>
      </c>
      <c r="F34" s="5" t="s">
        <v>40</v>
      </c>
      <c r="G34" s="5" t="s">
        <v>19</v>
      </c>
      <c r="H34" s="7" t="s">
        <v>22</v>
      </c>
      <c r="I34" s="7" t="s">
        <v>21</v>
      </c>
      <c r="J34" s="7"/>
      <c r="K34" s="8">
        <v>46113</v>
      </c>
      <c r="L34" s="9">
        <v>11544000</v>
      </c>
      <c r="M34" s="10">
        <v>12</v>
      </c>
      <c r="N34" s="9">
        <f t="shared" si="0"/>
        <v>962000</v>
      </c>
      <c r="O34" s="11">
        <f t="shared" si="1"/>
        <v>46447</v>
      </c>
      <c r="P34" s="12"/>
    </row>
    <row r="35" spans="1:16" ht="15.75" x14ac:dyDescent="0.25">
      <c r="A35" s="5">
        <f>SUBTOTAL(3,$B$2:B35)</f>
        <v>34</v>
      </c>
      <c r="B35" s="6">
        <v>46143</v>
      </c>
      <c r="C35" s="6" t="s">
        <v>15</v>
      </c>
      <c r="D35" s="5" t="s">
        <v>16</v>
      </c>
      <c r="E35" s="5" t="s">
        <v>39</v>
      </c>
      <c r="F35" s="5" t="s">
        <v>40</v>
      </c>
      <c r="G35" s="5" t="s">
        <v>19</v>
      </c>
      <c r="H35" s="7" t="s">
        <v>38</v>
      </c>
      <c r="I35" s="7" t="s">
        <v>21</v>
      </c>
      <c r="J35" s="7"/>
      <c r="K35" s="8">
        <v>46113</v>
      </c>
      <c r="L35" s="9">
        <v>11544000</v>
      </c>
      <c r="M35" s="10">
        <v>12</v>
      </c>
      <c r="N35" s="9">
        <f t="shared" si="0"/>
        <v>962000</v>
      </c>
      <c r="O35" s="11">
        <f t="shared" si="1"/>
        <v>46447</v>
      </c>
      <c r="P35" s="12"/>
    </row>
    <row r="36" spans="1:16" ht="15.75" x14ac:dyDescent="0.25">
      <c r="A36" s="5">
        <f>SUBTOTAL(3,$B$2:B36)</f>
        <v>35</v>
      </c>
      <c r="B36" s="6">
        <v>46143</v>
      </c>
      <c r="C36" s="6" t="s">
        <v>15</v>
      </c>
      <c r="D36" s="5" t="s">
        <v>16</v>
      </c>
      <c r="E36" s="5" t="s">
        <v>39</v>
      </c>
      <c r="F36" s="5" t="s">
        <v>40</v>
      </c>
      <c r="G36" s="5" t="s">
        <v>19</v>
      </c>
      <c r="H36" s="7" t="s">
        <v>33</v>
      </c>
      <c r="I36" s="7" t="s">
        <v>24</v>
      </c>
      <c r="J36" s="7"/>
      <c r="K36" s="8">
        <v>46082</v>
      </c>
      <c r="L36" s="9">
        <v>7322000</v>
      </c>
      <c r="M36" s="10">
        <v>12</v>
      </c>
      <c r="N36" s="9">
        <f t="shared" si="0"/>
        <v>610166.66666666663</v>
      </c>
      <c r="O36" s="11">
        <f t="shared" si="1"/>
        <v>46419</v>
      </c>
      <c r="P36" s="12"/>
    </row>
    <row r="37" spans="1:16" ht="15.75" x14ac:dyDescent="0.25">
      <c r="A37" s="5">
        <f>SUBTOTAL(3,$B$2:B37)</f>
        <v>36</v>
      </c>
      <c r="B37" s="6">
        <v>46143</v>
      </c>
      <c r="C37" s="6" t="s">
        <v>15</v>
      </c>
      <c r="D37" s="5" t="s">
        <v>16</v>
      </c>
      <c r="E37" s="5" t="s">
        <v>39</v>
      </c>
      <c r="F37" s="5" t="s">
        <v>40</v>
      </c>
      <c r="G37" s="5" t="s">
        <v>19</v>
      </c>
      <c r="H37" s="7" t="s">
        <v>34</v>
      </c>
      <c r="I37" s="7" t="s">
        <v>24</v>
      </c>
      <c r="J37" s="7"/>
      <c r="K37" s="8">
        <v>46082</v>
      </c>
      <c r="L37" s="9">
        <v>7322000</v>
      </c>
      <c r="M37" s="10">
        <v>12</v>
      </c>
      <c r="N37" s="9">
        <f t="shared" si="0"/>
        <v>610166.66666666663</v>
      </c>
      <c r="O37" s="11">
        <f t="shared" si="1"/>
        <v>46419</v>
      </c>
      <c r="P37" s="12"/>
    </row>
    <row r="38" spans="1:16" ht="15.75" x14ac:dyDescent="0.25">
      <c r="A38" s="5">
        <f>SUBTOTAL(3,$B$2:B38)</f>
        <v>37</v>
      </c>
      <c r="B38" s="6">
        <v>46143</v>
      </c>
      <c r="C38" s="6" t="s">
        <v>15</v>
      </c>
      <c r="D38" s="5" t="s">
        <v>16</v>
      </c>
      <c r="E38" s="5" t="s">
        <v>39</v>
      </c>
      <c r="F38" s="5" t="s">
        <v>40</v>
      </c>
      <c r="G38" s="5" t="s">
        <v>19</v>
      </c>
      <c r="H38" s="7" t="s">
        <v>35</v>
      </c>
      <c r="I38" s="7" t="s">
        <v>24</v>
      </c>
      <c r="J38" s="7"/>
      <c r="K38" s="8">
        <v>46082</v>
      </c>
      <c r="L38" s="9">
        <v>7322000</v>
      </c>
      <c r="M38" s="10">
        <v>12</v>
      </c>
      <c r="N38" s="9">
        <f t="shared" si="0"/>
        <v>610166.66666666663</v>
      </c>
      <c r="O38" s="11">
        <f t="shared" si="1"/>
        <v>46419</v>
      </c>
      <c r="P38" s="12"/>
    </row>
    <row r="39" spans="1:16" ht="15.75" x14ac:dyDescent="0.25">
      <c r="A39" s="5">
        <f>SUBTOTAL(3,$B$2:B39)</f>
        <v>38</v>
      </c>
      <c r="B39" s="6">
        <v>46143</v>
      </c>
      <c r="C39" s="6" t="s">
        <v>15</v>
      </c>
      <c r="D39" s="5" t="s">
        <v>16</v>
      </c>
      <c r="E39" s="5" t="s">
        <v>39</v>
      </c>
      <c r="F39" s="5" t="s">
        <v>40</v>
      </c>
      <c r="G39" s="5" t="s">
        <v>19</v>
      </c>
      <c r="H39" s="7" t="s">
        <v>36</v>
      </c>
      <c r="I39" s="7" t="s">
        <v>24</v>
      </c>
      <c r="J39" s="7"/>
      <c r="K39" s="8">
        <v>46082</v>
      </c>
      <c r="L39" s="9">
        <v>7322000</v>
      </c>
      <c r="M39" s="10">
        <v>12</v>
      </c>
      <c r="N39" s="9">
        <f t="shared" si="0"/>
        <v>610166.66666666663</v>
      </c>
      <c r="O39" s="11">
        <f t="shared" si="1"/>
        <v>46419</v>
      </c>
      <c r="P39" s="12"/>
    </row>
    <row r="40" spans="1:16" ht="15.75" x14ac:dyDescent="0.25">
      <c r="A40" s="5">
        <f>SUBTOTAL(3,$B$2:B40)</f>
        <v>39</v>
      </c>
      <c r="B40" s="6">
        <v>46143</v>
      </c>
      <c r="C40" s="6" t="s">
        <v>15</v>
      </c>
      <c r="D40" s="5" t="s">
        <v>16</v>
      </c>
      <c r="E40" s="5" t="s">
        <v>39</v>
      </c>
      <c r="F40" s="5" t="s">
        <v>40</v>
      </c>
      <c r="G40" s="5" t="s">
        <v>19</v>
      </c>
      <c r="H40" s="7" t="s">
        <v>37</v>
      </c>
      <c r="I40" s="7" t="s">
        <v>24</v>
      </c>
      <c r="J40" s="7"/>
      <c r="K40" s="8">
        <v>46082</v>
      </c>
      <c r="L40" s="9">
        <v>7322000</v>
      </c>
      <c r="M40" s="10">
        <v>12</v>
      </c>
      <c r="N40" s="9">
        <f t="shared" si="0"/>
        <v>610166.66666666663</v>
      </c>
      <c r="O40" s="11">
        <f t="shared" si="1"/>
        <v>46419</v>
      </c>
      <c r="P40" s="12"/>
    </row>
    <row r="41" spans="1:16" ht="15.75" x14ac:dyDescent="0.25">
      <c r="A41" s="5">
        <f>SUBTOTAL(3,$B$2:B41)</f>
        <v>40</v>
      </c>
      <c r="B41" s="6">
        <v>46143</v>
      </c>
      <c r="C41" s="6" t="s">
        <v>15</v>
      </c>
      <c r="D41" s="5" t="s">
        <v>16</v>
      </c>
      <c r="E41" s="5" t="s">
        <v>42</v>
      </c>
      <c r="F41" s="5" t="s">
        <v>43</v>
      </c>
      <c r="G41" s="5" t="s">
        <v>19</v>
      </c>
      <c r="H41" s="7" t="s">
        <v>23</v>
      </c>
      <c r="I41" s="7" t="s">
        <v>24</v>
      </c>
      <c r="J41" s="7"/>
      <c r="K41" s="8">
        <v>45895</v>
      </c>
      <c r="L41" s="9">
        <v>2160000</v>
      </c>
      <c r="M41" s="10">
        <v>12</v>
      </c>
      <c r="N41" s="9">
        <f t="shared" si="0"/>
        <v>180000</v>
      </c>
      <c r="O41" s="11">
        <f t="shared" si="1"/>
        <v>46229</v>
      </c>
      <c r="P41" s="12"/>
    </row>
    <row r="42" spans="1:16" ht="15.75" x14ac:dyDescent="0.25">
      <c r="A42" s="5">
        <f>SUBTOTAL(3,$B$2:B42)</f>
        <v>41</v>
      </c>
      <c r="B42" s="6">
        <v>46143</v>
      </c>
      <c r="C42" s="6" t="s">
        <v>15</v>
      </c>
      <c r="D42" s="5" t="s">
        <v>16</v>
      </c>
      <c r="E42" s="5" t="s">
        <v>42</v>
      </c>
      <c r="F42" s="5" t="s">
        <v>43</v>
      </c>
      <c r="G42" s="5" t="s">
        <v>19</v>
      </c>
      <c r="H42" s="7" t="s">
        <v>25</v>
      </c>
      <c r="I42" s="7" t="s">
        <v>24</v>
      </c>
      <c r="J42" s="7"/>
      <c r="K42" s="8">
        <v>45895</v>
      </c>
      <c r="L42" s="9">
        <v>2160000</v>
      </c>
      <c r="M42" s="10">
        <v>12</v>
      </c>
      <c r="N42" s="9">
        <f t="shared" si="0"/>
        <v>180000</v>
      </c>
      <c r="O42" s="11">
        <f t="shared" si="1"/>
        <v>46229</v>
      </c>
      <c r="P42" s="12"/>
    </row>
    <row r="43" spans="1:16" ht="15.75" x14ac:dyDescent="0.25">
      <c r="A43" s="5">
        <f>SUBTOTAL(3,$B$2:B43)</f>
        <v>42</v>
      </c>
      <c r="B43" s="6">
        <v>46143</v>
      </c>
      <c r="C43" s="6" t="s">
        <v>15</v>
      </c>
      <c r="D43" s="5" t="s">
        <v>16</v>
      </c>
      <c r="E43" s="5" t="s">
        <v>42</v>
      </c>
      <c r="F43" s="5" t="s">
        <v>43</v>
      </c>
      <c r="G43" s="5" t="s">
        <v>19</v>
      </c>
      <c r="H43" s="7" t="s">
        <v>26</v>
      </c>
      <c r="I43" s="7" t="s">
        <v>41</v>
      </c>
      <c r="J43" s="7"/>
      <c r="K43" s="8">
        <v>45895</v>
      </c>
      <c r="L43" s="9">
        <v>2160000</v>
      </c>
      <c r="M43" s="10">
        <v>12</v>
      </c>
      <c r="N43" s="9">
        <f t="shared" si="0"/>
        <v>180000</v>
      </c>
      <c r="O43" s="11">
        <f t="shared" si="1"/>
        <v>46229</v>
      </c>
      <c r="P43" s="12"/>
    </row>
    <row r="44" spans="1:16" ht="15.75" x14ac:dyDescent="0.25">
      <c r="A44" s="5">
        <f>SUBTOTAL(3,$B$2:B44)</f>
        <v>43</v>
      </c>
      <c r="B44" s="6">
        <v>46143</v>
      </c>
      <c r="C44" s="6" t="s">
        <v>15</v>
      </c>
      <c r="D44" s="5" t="s">
        <v>16</v>
      </c>
      <c r="E44" s="5" t="s">
        <v>42</v>
      </c>
      <c r="F44" s="5" t="s">
        <v>43</v>
      </c>
      <c r="G44" s="5" t="s">
        <v>19</v>
      </c>
      <c r="H44" s="7" t="s">
        <v>61</v>
      </c>
      <c r="I44" s="7" t="s">
        <v>24</v>
      </c>
      <c r="J44" s="7"/>
      <c r="K44" s="8">
        <v>45895</v>
      </c>
      <c r="L44" s="9">
        <v>2160000</v>
      </c>
      <c r="M44" s="10">
        <v>12</v>
      </c>
      <c r="N44" s="9">
        <f t="shared" si="0"/>
        <v>180000</v>
      </c>
      <c r="O44" s="11">
        <f t="shared" si="1"/>
        <v>46229</v>
      </c>
      <c r="P44" s="12"/>
    </row>
    <row r="45" spans="1:16" ht="15.75" x14ac:dyDescent="0.25">
      <c r="A45" s="5">
        <f>SUBTOTAL(3,$B$2:B45)</f>
        <v>44</v>
      </c>
      <c r="B45" s="6">
        <v>46143</v>
      </c>
      <c r="C45" s="6" t="s">
        <v>15</v>
      </c>
      <c r="D45" s="5" t="s">
        <v>16</v>
      </c>
      <c r="E45" s="5" t="s">
        <v>42</v>
      </c>
      <c r="F45" s="5" t="s">
        <v>43</v>
      </c>
      <c r="G45" s="5" t="s">
        <v>19</v>
      </c>
      <c r="H45" s="7" t="s">
        <v>27</v>
      </c>
      <c r="I45" s="7" t="s">
        <v>24</v>
      </c>
      <c r="J45" s="7"/>
      <c r="K45" s="8">
        <v>45895</v>
      </c>
      <c r="L45" s="9">
        <v>2160000</v>
      </c>
      <c r="M45" s="10">
        <v>12</v>
      </c>
      <c r="N45" s="9">
        <f t="shared" si="0"/>
        <v>180000</v>
      </c>
      <c r="O45" s="11">
        <f t="shared" si="1"/>
        <v>46229</v>
      </c>
      <c r="P45" s="12"/>
    </row>
    <row r="46" spans="1:16" ht="15.75" x14ac:dyDescent="0.25">
      <c r="A46" s="5">
        <f>SUBTOTAL(3,$B$2:B46)</f>
        <v>45</v>
      </c>
      <c r="B46" s="6">
        <v>46143</v>
      </c>
      <c r="C46" s="6" t="s">
        <v>15</v>
      </c>
      <c r="D46" s="5" t="s">
        <v>16</v>
      </c>
      <c r="E46" s="5" t="s">
        <v>42</v>
      </c>
      <c r="F46" s="5" t="s">
        <v>43</v>
      </c>
      <c r="G46" s="5" t="s">
        <v>19</v>
      </c>
      <c r="H46" s="7" t="s">
        <v>28</v>
      </c>
      <c r="I46" s="7" t="s">
        <v>24</v>
      </c>
      <c r="J46" s="7"/>
      <c r="K46" s="8">
        <v>45895</v>
      </c>
      <c r="L46" s="9">
        <v>2160000</v>
      </c>
      <c r="M46" s="10">
        <v>12</v>
      </c>
      <c r="N46" s="9">
        <f t="shared" si="0"/>
        <v>180000</v>
      </c>
      <c r="O46" s="11">
        <f t="shared" si="1"/>
        <v>46229</v>
      </c>
      <c r="P46" s="12"/>
    </row>
    <row r="47" spans="1:16" ht="15.75" x14ac:dyDescent="0.25">
      <c r="A47" s="5">
        <f>SUBTOTAL(3,$B$2:B47)</f>
        <v>46</v>
      </c>
      <c r="B47" s="6">
        <v>46143</v>
      </c>
      <c r="C47" s="6" t="s">
        <v>15</v>
      </c>
      <c r="D47" s="5" t="s">
        <v>16</v>
      </c>
      <c r="E47" s="5" t="s">
        <v>42</v>
      </c>
      <c r="F47" s="5" t="s">
        <v>43</v>
      </c>
      <c r="G47" s="5" t="s">
        <v>19</v>
      </c>
      <c r="H47" s="7" t="s">
        <v>29</v>
      </c>
      <c r="I47" s="7" t="s">
        <v>24</v>
      </c>
      <c r="J47" s="7"/>
      <c r="K47" s="8">
        <v>45895</v>
      </c>
      <c r="L47" s="9">
        <v>2160000</v>
      </c>
      <c r="M47" s="10">
        <v>12</v>
      </c>
      <c r="N47" s="9">
        <f t="shared" si="0"/>
        <v>180000</v>
      </c>
      <c r="O47" s="11">
        <f t="shared" si="1"/>
        <v>46229</v>
      </c>
      <c r="P47" s="12"/>
    </row>
    <row r="48" spans="1:16" ht="15.75" x14ac:dyDescent="0.25">
      <c r="A48" s="5">
        <f>SUBTOTAL(3,$B$2:B48)</f>
        <v>47</v>
      </c>
      <c r="B48" s="6">
        <v>46143</v>
      </c>
      <c r="C48" s="6" t="s">
        <v>15</v>
      </c>
      <c r="D48" s="5" t="s">
        <v>16</v>
      </c>
      <c r="E48" s="5" t="s">
        <v>42</v>
      </c>
      <c r="F48" s="5" t="s">
        <v>43</v>
      </c>
      <c r="G48" s="5" t="s">
        <v>19</v>
      </c>
      <c r="H48" s="7" t="s">
        <v>30</v>
      </c>
      <c r="I48" s="7" t="s">
        <v>24</v>
      </c>
      <c r="J48" s="7"/>
      <c r="K48" s="8">
        <v>45895</v>
      </c>
      <c r="L48" s="9">
        <v>2160000</v>
      </c>
      <c r="M48" s="10">
        <v>12</v>
      </c>
      <c r="N48" s="9">
        <f t="shared" si="0"/>
        <v>180000</v>
      </c>
      <c r="O48" s="11">
        <f t="shared" si="1"/>
        <v>46229</v>
      </c>
      <c r="P48" s="12"/>
    </row>
    <row r="49" spans="1:16" ht="15.75" x14ac:dyDescent="0.25">
      <c r="A49" s="5">
        <f>SUBTOTAL(3,$B$2:B49)</f>
        <v>48</v>
      </c>
      <c r="B49" s="6">
        <v>46143</v>
      </c>
      <c r="C49" s="6" t="s">
        <v>15</v>
      </c>
      <c r="D49" s="5" t="s">
        <v>16</v>
      </c>
      <c r="E49" s="5" t="s">
        <v>42</v>
      </c>
      <c r="F49" s="5" t="s">
        <v>43</v>
      </c>
      <c r="G49" s="5" t="s">
        <v>19</v>
      </c>
      <c r="H49" s="7" t="s">
        <v>31</v>
      </c>
      <c r="I49" s="7" t="s">
        <v>24</v>
      </c>
      <c r="J49" s="7"/>
      <c r="K49" s="8">
        <v>45895</v>
      </c>
      <c r="L49" s="9">
        <v>2160000</v>
      </c>
      <c r="M49" s="10">
        <v>12</v>
      </c>
      <c r="N49" s="9">
        <f t="shared" si="0"/>
        <v>180000</v>
      </c>
      <c r="O49" s="11">
        <f t="shared" si="1"/>
        <v>46229</v>
      </c>
      <c r="P49" s="12"/>
    </row>
    <row r="50" spans="1:16" ht="15.75" x14ac:dyDescent="0.25">
      <c r="A50" s="5">
        <f>SUBTOTAL(3,$B$2:B50)</f>
        <v>49</v>
      </c>
      <c r="B50" s="6">
        <v>46143</v>
      </c>
      <c r="C50" s="6" t="s">
        <v>15</v>
      </c>
      <c r="D50" s="5" t="s">
        <v>16</v>
      </c>
      <c r="E50" s="5" t="s">
        <v>42</v>
      </c>
      <c r="F50" s="5" t="s">
        <v>43</v>
      </c>
      <c r="G50" s="5" t="s">
        <v>19</v>
      </c>
      <c r="H50" s="7" t="s">
        <v>32</v>
      </c>
      <c r="I50" s="7" t="s">
        <v>24</v>
      </c>
      <c r="J50" s="7"/>
      <c r="K50" s="8">
        <v>45895</v>
      </c>
      <c r="L50" s="9">
        <v>2160000</v>
      </c>
      <c r="M50" s="10">
        <v>12</v>
      </c>
      <c r="N50" s="9">
        <f t="shared" si="0"/>
        <v>180000</v>
      </c>
      <c r="O50" s="11">
        <f t="shared" si="1"/>
        <v>46229</v>
      </c>
      <c r="P50" s="12"/>
    </row>
    <row r="51" spans="1:16" ht="15.75" x14ac:dyDescent="0.25">
      <c r="A51" s="5">
        <f>SUBTOTAL(3,$B$2:B51)</f>
        <v>50</v>
      </c>
      <c r="B51" s="6">
        <v>46143</v>
      </c>
      <c r="C51" s="6" t="s">
        <v>15</v>
      </c>
      <c r="D51" s="5" t="s">
        <v>16</v>
      </c>
      <c r="E51" s="5" t="s">
        <v>42</v>
      </c>
      <c r="F51" s="5" t="s">
        <v>43</v>
      </c>
      <c r="G51" s="5" t="s">
        <v>19</v>
      </c>
      <c r="H51" s="7" t="s">
        <v>20</v>
      </c>
      <c r="I51" s="7" t="s">
        <v>21</v>
      </c>
      <c r="J51" s="7"/>
      <c r="K51" s="8">
        <v>46113</v>
      </c>
      <c r="L51" s="9">
        <v>3240000</v>
      </c>
      <c r="M51" s="10">
        <v>12</v>
      </c>
      <c r="N51" s="9">
        <f t="shared" si="0"/>
        <v>270000</v>
      </c>
      <c r="O51" s="11">
        <f t="shared" si="1"/>
        <v>46447</v>
      </c>
      <c r="P51" s="12"/>
    </row>
    <row r="52" spans="1:16" ht="15.75" x14ac:dyDescent="0.25">
      <c r="A52" s="5">
        <f>SUBTOTAL(3,$B$2:B52)</f>
        <v>51</v>
      </c>
      <c r="B52" s="6">
        <v>46143</v>
      </c>
      <c r="C52" s="6" t="s">
        <v>15</v>
      </c>
      <c r="D52" s="5" t="s">
        <v>16</v>
      </c>
      <c r="E52" s="5" t="s">
        <v>42</v>
      </c>
      <c r="F52" s="5" t="s">
        <v>43</v>
      </c>
      <c r="G52" s="5" t="s">
        <v>19</v>
      </c>
      <c r="H52" s="7" t="s">
        <v>22</v>
      </c>
      <c r="I52" s="7" t="s">
        <v>21</v>
      </c>
      <c r="J52" s="7"/>
      <c r="K52" s="8">
        <v>46113</v>
      </c>
      <c r="L52" s="9">
        <v>3240000</v>
      </c>
      <c r="M52" s="10">
        <v>12</v>
      </c>
      <c r="N52" s="9">
        <f t="shared" si="0"/>
        <v>270000</v>
      </c>
      <c r="O52" s="11">
        <f t="shared" si="1"/>
        <v>46447</v>
      </c>
      <c r="P52" s="12"/>
    </row>
    <row r="53" spans="1:16" ht="15.75" x14ac:dyDescent="0.25">
      <c r="A53" s="5">
        <f>SUBTOTAL(3,$B$2:B53)</f>
        <v>52</v>
      </c>
      <c r="B53" s="6">
        <v>46143</v>
      </c>
      <c r="C53" s="6" t="s">
        <v>15</v>
      </c>
      <c r="D53" s="5" t="s">
        <v>16</v>
      </c>
      <c r="E53" s="5" t="s">
        <v>42</v>
      </c>
      <c r="F53" s="5" t="s">
        <v>43</v>
      </c>
      <c r="G53" s="5" t="s">
        <v>19</v>
      </c>
      <c r="H53" s="7" t="s">
        <v>38</v>
      </c>
      <c r="I53" s="7" t="s">
        <v>21</v>
      </c>
      <c r="J53" s="7"/>
      <c r="K53" s="8">
        <v>46113</v>
      </c>
      <c r="L53" s="9">
        <v>3240000</v>
      </c>
      <c r="M53" s="10">
        <v>12</v>
      </c>
      <c r="N53" s="9">
        <f t="shared" si="0"/>
        <v>270000</v>
      </c>
      <c r="O53" s="11">
        <f t="shared" si="1"/>
        <v>46447</v>
      </c>
      <c r="P53" s="12"/>
    </row>
    <row r="54" spans="1:16" ht="15.75" x14ac:dyDescent="0.25">
      <c r="A54" s="5">
        <f>SUBTOTAL(3,$B$2:B54)</f>
        <v>53</v>
      </c>
      <c r="B54" s="6">
        <v>46143</v>
      </c>
      <c r="C54" s="6" t="s">
        <v>15</v>
      </c>
      <c r="D54" s="5" t="s">
        <v>16</v>
      </c>
      <c r="E54" s="5" t="s">
        <v>42</v>
      </c>
      <c r="F54" s="5" t="s">
        <v>43</v>
      </c>
      <c r="G54" s="5" t="s">
        <v>19</v>
      </c>
      <c r="H54" s="7" t="s">
        <v>33</v>
      </c>
      <c r="I54" s="7" t="s">
        <v>24</v>
      </c>
      <c r="J54" s="7"/>
      <c r="K54" s="8">
        <v>46082</v>
      </c>
      <c r="L54" s="9">
        <v>2160000</v>
      </c>
      <c r="M54" s="10">
        <v>12</v>
      </c>
      <c r="N54" s="9">
        <f t="shared" si="0"/>
        <v>180000</v>
      </c>
      <c r="O54" s="11">
        <f t="shared" si="1"/>
        <v>46419</v>
      </c>
      <c r="P54" s="12"/>
    </row>
    <row r="55" spans="1:16" ht="15.75" x14ac:dyDescent="0.25">
      <c r="A55" s="5">
        <f>SUBTOTAL(3,$B$2:B55)</f>
        <v>54</v>
      </c>
      <c r="B55" s="6">
        <v>46143</v>
      </c>
      <c r="C55" s="6" t="s">
        <v>15</v>
      </c>
      <c r="D55" s="5" t="s">
        <v>16</v>
      </c>
      <c r="E55" s="5" t="s">
        <v>42</v>
      </c>
      <c r="F55" s="5" t="s">
        <v>43</v>
      </c>
      <c r="G55" s="5" t="s">
        <v>19</v>
      </c>
      <c r="H55" s="7" t="s">
        <v>34</v>
      </c>
      <c r="I55" s="7" t="s">
        <v>24</v>
      </c>
      <c r="J55" s="7"/>
      <c r="K55" s="8">
        <v>46082</v>
      </c>
      <c r="L55" s="9">
        <v>2160000</v>
      </c>
      <c r="M55" s="10">
        <v>12</v>
      </c>
      <c r="N55" s="9">
        <f t="shared" si="0"/>
        <v>180000</v>
      </c>
      <c r="O55" s="11">
        <f t="shared" si="1"/>
        <v>46419</v>
      </c>
      <c r="P55" s="12"/>
    </row>
    <row r="56" spans="1:16" ht="15.75" x14ac:dyDescent="0.25">
      <c r="A56" s="5">
        <f>SUBTOTAL(3,$B$2:B56)</f>
        <v>55</v>
      </c>
      <c r="B56" s="6">
        <v>46143</v>
      </c>
      <c r="C56" s="6" t="s">
        <v>15</v>
      </c>
      <c r="D56" s="5" t="s">
        <v>16</v>
      </c>
      <c r="E56" s="5" t="s">
        <v>42</v>
      </c>
      <c r="F56" s="5" t="s">
        <v>43</v>
      </c>
      <c r="G56" s="5" t="s">
        <v>19</v>
      </c>
      <c r="H56" s="7" t="s">
        <v>35</v>
      </c>
      <c r="I56" s="7" t="s">
        <v>24</v>
      </c>
      <c r="J56" s="7"/>
      <c r="K56" s="8">
        <v>46082</v>
      </c>
      <c r="L56" s="9">
        <v>2160000</v>
      </c>
      <c r="M56" s="10">
        <v>12</v>
      </c>
      <c r="N56" s="9">
        <f t="shared" si="0"/>
        <v>180000</v>
      </c>
      <c r="O56" s="11">
        <f t="shared" si="1"/>
        <v>46419</v>
      </c>
      <c r="P56" s="12"/>
    </row>
    <row r="57" spans="1:16" ht="15.75" x14ac:dyDescent="0.25">
      <c r="A57" s="5">
        <f>SUBTOTAL(3,$B$2:B57)</f>
        <v>56</v>
      </c>
      <c r="B57" s="6">
        <v>46143</v>
      </c>
      <c r="C57" s="6" t="s">
        <v>15</v>
      </c>
      <c r="D57" s="5" t="s">
        <v>16</v>
      </c>
      <c r="E57" s="5" t="s">
        <v>42</v>
      </c>
      <c r="F57" s="5" t="s">
        <v>43</v>
      </c>
      <c r="G57" s="5" t="s">
        <v>19</v>
      </c>
      <c r="H57" s="7" t="s">
        <v>36</v>
      </c>
      <c r="I57" s="7" t="s">
        <v>24</v>
      </c>
      <c r="J57" s="7"/>
      <c r="K57" s="8">
        <v>46082</v>
      </c>
      <c r="L57" s="9">
        <v>2160000</v>
      </c>
      <c r="M57" s="10">
        <v>12</v>
      </c>
      <c r="N57" s="9">
        <f t="shared" si="0"/>
        <v>180000</v>
      </c>
      <c r="O57" s="11">
        <f t="shared" si="1"/>
        <v>46419</v>
      </c>
      <c r="P57" s="12"/>
    </row>
    <row r="58" spans="1:16" ht="15.75" x14ac:dyDescent="0.25">
      <c r="A58" s="5">
        <f>SUBTOTAL(3,$B$2:B58)</f>
        <v>57</v>
      </c>
      <c r="B58" s="6">
        <v>46143</v>
      </c>
      <c r="C58" s="6" t="s">
        <v>15</v>
      </c>
      <c r="D58" s="5" t="s">
        <v>16</v>
      </c>
      <c r="E58" s="5" t="s">
        <v>42</v>
      </c>
      <c r="F58" s="5" t="s">
        <v>43</v>
      </c>
      <c r="G58" s="5" t="s">
        <v>19</v>
      </c>
      <c r="H58" s="7" t="s">
        <v>37</v>
      </c>
      <c r="I58" s="7" t="s">
        <v>24</v>
      </c>
      <c r="J58" s="7"/>
      <c r="K58" s="8">
        <v>46082</v>
      </c>
      <c r="L58" s="9">
        <v>2160000</v>
      </c>
      <c r="M58" s="10">
        <v>12</v>
      </c>
      <c r="N58" s="9">
        <f t="shared" si="0"/>
        <v>180000</v>
      </c>
      <c r="O58" s="11">
        <f t="shared" si="1"/>
        <v>46419</v>
      </c>
      <c r="P58" s="12"/>
    </row>
    <row r="59" spans="1:16" ht="15.75" x14ac:dyDescent="0.25">
      <c r="A59" s="5">
        <f>SUBTOTAL(3,$B$2:B59)</f>
        <v>58</v>
      </c>
      <c r="B59" s="6">
        <v>46143</v>
      </c>
      <c r="C59" s="6" t="s">
        <v>15</v>
      </c>
      <c r="D59" s="5" t="s">
        <v>16</v>
      </c>
      <c r="E59" s="5" t="s">
        <v>44</v>
      </c>
      <c r="F59" s="5" t="s">
        <v>45</v>
      </c>
      <c r="G59" s="5" t="s">
        <v>19</v>
      </c>
      <c r="H59" s="7" t="s">
        <v>20</v>
      </c>
      <c r="I59" s="7" t="s">
        <v>21</v>
      </c>
      <c r="J59" s="7"/>
      <c r="K59" s="8">
        <v>45413</v>
      </c>
      <c r="L59" s="9">
        <v>12800000</v>
      </c>
      <c r="M59" s="10">
        <v>24</v>
      </c>
      <c r="N59" s="9" t="str">
        <f t="shared" si="0"/>
        <v/>
      </c>
      <c r="O59" s="11">
        <f t="shared" si="1"/>
        <v>46113</v>
      </c>
      <c r="P59" s="12"/>
    </row>
    <row r="60" spans="1:16" ht="15.75" x14ac:dyDescent="0.25">
      <c r="A60" s="5">
        <f>SUBTOTAL(3,$B$2:B60)</f>
        <v>59</v>
      </c>
      <c r="B60" s="6">
        <v>46143</v>
      </c>
      <c r="C60" s="6" t="s">
        <v>15</v>
      </c>
      <c r="D60" s="5" t="s">
        <v>16</v>
      </c>
      <c r="E60" s="5" t="s">
        <v>44</v>
      </c>
      <c r="F60" s="5" t="s">
        <v>45</v>
      </c>
      <c r="G60" s="5" t="s">
        <v>19</v>
      </c>
      <c r="H60" s="7" t="s">
        <v>22</v>
      </c>
      <c r="I60" s="7" t="s">
        <v>21</v>
      </c>
      <c r="J60" s="7"/>
      <c r="K60" s="8">
        <v>45413</v>
      </c>
      <c r="L60" s="9">
        <v>12800000</v>
      </c>
      <c r="M60" s="10">
        <v>24</v>
      </c>
      <c r="N60" s="9" t="str">
        <f t="shared" si="0"/>
        <v/>
      </c>
      <c r="O60" s="11">
        <f t="shared" si="1"/>
        <v>46113</v>
      </c>
      <c r="P60" s="12"/>
    </row>
    <row r="61" spans="1:16" ht="15.75" x14ac:dyDescent="0.25">
      <c r="A61" s="5">
        <f>SUBTOTAL(3,$B$2:B61)</f>
        <v>60</v>
      </c>
      <c r="B61" s="6">
        <v>46143</v>
      </c>
      <c r="C61" s="6" t="s">
        <v>15</v>
      </c>
      <c r="D61" s="5" t="s">
        <v>16</v>
      </c>
      <c r="E61" s="5" t="s">
        <v>44</v>
      </c>
      <c r="F61" s="5" t="s">
        <v>45</v>
      </c>
      <c r="G61" s="5" t="s">
        <v>19</v>
      </c>
      <c r="H61" s="7" t="s">
        <v>38</v>
      </c>
      <c r="I61" s="7" t="s">
        <v>21</v>
      </c>
      <c r="J61" s="7"/>
      <c r="K61" s="8">
        <v>45413</v>
      </c>
      <c r="L61" s="9">
        <v>12800000</v>
      </c>
      <c r="M61" s="10">
        <v>36</v>
      </c>
      <c r="N61" s="9">
        <f t="shared" si="0"/>
        <v>355555.55555555556</v>
      </c>
      <c r="O61" s="11">
        <f t="shared" si="1"/>
        <v>46478</v>
      </c>
      <c r="P61" s="12"/>
    </row>
    <row r="62" spans="1:16" ht="15.75" x14ac:dyDescent="0.25">
      <c r="A62" s="5">
        <f>SUBTOTAL(3,$B$2:B62)</f>
        <v>61</v>
      </c>
      <c r="B62" s="6">
        <v>46143</v>
      </c>
      <c r="C62" s="6" t="s">
        <v>15</v>
      </c>
      <c r="D62" s="5" t="s">
        <v>16</v>
      </c>
      <c r="E62" s="5" t="s">
        <v>44</v>
      </c>
      <c r="F62" s="5" t="s">
        <v>46</v>
      </c>
      <c r="G62" s="5" t="s">
        <v>19</v>
      </c>
      <c r="H62" s="7" t="s">
        <v>20</v>
      </c>
      <c r="I62" s="7" t="s">
        <v>21</v>
      </c>
      <c r="J62" s="7"/>
      <c r="K62" s="8">
        <v>45566</v>
      </c>
      <c r="L62" s="9">
        <v>27000000</v>
      </c>
      <c r="M62" s="10">
        <v>19</v>
      </c>
      <c r="N62" s="9" t="str">
        <f t="shared" si="0"/>
        <v/>
      </c>
      <c r="O62" s="11">
        <f t="shared" si="1"/>
        <v>46113</v>
      </c>
      <c r="P62" s="12"/>
    </row>
    <row r="63" spans="1:16" ht="15.75" x14ac:dyDescent="0.25">
      <c r="A63" s="5">
        <f>SUBTOTAL(3,$B$2:B63)</f>
        <v>62</v>
      </c>
      <c r="B63" s="6">
        <v>46143</v>
      </c>
      <c r="C63" s="6" t="s">
        <v>15</v>
      </c>
      <c r="D63" s="5" t="s">
        <v>16</v>
      </c>
      <c r="E63" s="5" t="s">
        <v>44</v>
      </c>
      <c r="F63" s="5" t="s">
        <v>46</v>
      </c>
      <c r="G63" s="5" t="s">
        <v>19</v>
      </c>
      <c r="H63" s="7" t="s">
        <v>22</v>
      </c>
      <c r="I63" s="7" t="s">
        <v>21</v>
      </c>
      <c r="J63" s="7"/>
      <c r="K63" s="8">
        <v>45566</v>
      </c>
      <c r="L63" s="9">
        <v>27000000</v>
      </c>
      <c r="M63" s="10">
        <v>19</v>
      </c>
      <c r="N63" s="9" t="str">
        <f t="shared" si="0"/>
        <v/>
      </c>
      <c r="O63" s="11">
        <f t="shared" si="1"/>
        <v>46113</v>
      </c>
      <c r="P63" s="12"/>
    </row>
    <row r="64" spans="1:16" ht="15.75" x14ac:dyDescent="0.25">
      <c r="A64" s="5">
        <f>SUBTOTAL(3,$B$2:B64)</f>
        <v>63</v>
      </c>
      <c r="B64" s="6">
        <v>46143</v>
      </c>
      <c r="C64" s="6" t="s">
        <v>15</v>
      </c>
      <c r="D64" s="5" t="s">
        <v>16</v>
      </c>
      <c r="E64" s="5" t="s">
        <v>44</v>
      </c>
      <c r="F64" s="5" t="s">
        <v>46</v>
      </c>
      <c r="G64" s="5" t="s">
        <v>19</v>
      </c>
      <c r="H64" s="7" t="s">
        <v>38</v>
      </c>
      <c r="I64" s="7" t="s">
        <v>21</v>
      </c>
      <c r="J64" s="7"/>
      <c r="K64" s="8">
        <v>45566</v>
      </c>
      <c r="L64" s="9">
        <v>27000000</v>
      </c>
      <c r="M64" s="10">
        <v>19</v>
      </c>
      <c r="N64" s="9" t="str">
        <f t="shared" si="0"/>
        <v/>
      </c>
      <c r="O64" s="11">
        <f t="shared" si="1"/>
        <v>46113</v>
      </c>
      <c r="P64" s="12"/>
    </row>
    <row r="65" spans="1:16" ht="15.75" x14ac:dyDescent="0.25">
      <c r="A65" s="5">
        <f>SUBTOTAL(3,$B$2:B65)</f>
        <v>64</v>
      </c>
      <c r="B65" s="6">
        <v>46143</v>
      </c>
      <c r="C65" s="6" t="s">
        <v>15</v>
      </c>
      <c r="D65" s="5" t="s">
        <v>16</v>
      </c>
      <c r="E65" s="5" t="s">
        <v>44</v>
      </c>
      <c r="F65" s="5" t="s">
        <v>47</v>
      </c>
      <c r="G65" s="5" t="s">
        <v>19</v>
      </c>
      <c r="H65" s="7" t="s">
        <v>20</v>
      </c>
      <c r="I65" s="7" t="s">
        <v>21</v>
      </c>
      <c r="J65" s="7"/>
      <c r="K65" s="8">
        <v>45408</v>
      </c>
      <c r="L65" s="9">
        <v>5200000</v>
      </c>
      <c r="M65" s="10">
        <v>24</v>
      </c>
      <c r="N65" s="9" t="str">
        <f t="shared" si="0"/>
        <v/>
      </c>
      <c r="O65" s="11">
        <f t="shared" si="1"/>
        <v>46107</v>
      </c>
      <c r="P65" s="12"/>
    </row>
    <row r="66" spans="1:16" ht="15.75" x14ac:dyDescent="0.25">
      <c r="A66" s="5">
        <f>SUBTOTAL(3,$B$2:B66)</f>
        <v>65</v>
      </c>
      <c r="B66" s="6">
        <v>46143</v>
      </c>
      <c r="C66" s="6" t="s">
        <v>15</v>
      </c>
      <c r="D66" s="5" t="s">
        <v>16</v>
      </c>
      <c r="E66" s="5" t="s">
        <v>44</v>
      </c>
      <c r="F66" s="5" t="s">
        <v>47</v>
      </c>
      <c r="G66" s="5" t="s">
        <v>19</v>
      </c>
      <c r="H66" s="7" t="s">
        <v>22</v>
      </c>
      <c r="I66" s="7" t="s">
        <v>21</v>
      </c>
      <c r="J66" s="7"/>
      <c r="K66" s="8">
        <v>45408</v>
      </c>
      <c r="L66" s="9">
        <v>5200000</v>
      </c>
      <c r="M66" s="10">
        <v>24</v>
      </c>
      <c r="N66" s="9" t="str">
        <f t="shared" si="0"/>
        <v/>
      </c>
      <c r="O66" s="11">
        <f t="shared" si="1"/>
        <v>46107</v>
      </c>
      <c r="P66" s="12"/>
    </row>
    <row r="67" spans="1:16" ht="15.75" x14ac:dyDescent="0.25">
      <c r="A67" s="5">
        <f>SUBTOTAL(3,$B$2:B67)</f>
        <v>66</v>
      </c>
      <c r="B67" s="6">
        <v>46143</v>
      </c>
      <c r="C67" s="6" t="s">
        <v>15</v>
      </c>
      <c r="D67" s="5" t="s">
        <v>16</v>
      </c>
      <c r="E67" s="5" t="s">
        <v>44</v>
      </c>
      <c r="F67" s="5" t="s">
        <v>47</v>
      </c>
      <c r="G67" s="5" t="s">
        <v>19</v>
      </c>
      <c r="H67" s="7" t="s">
        <v>23</v>
      </c>
      <c r="I67" s="7" t="s">
        <v>24</v>
      </c>
      <c r="J67" s="7"/>
      <c r="K67" s="8">
        <v>45566</v>
      </c>
      <c r="L67" s="9">
        <v>5200000</v>
      </c>
      <c r="M67" s="10">
        <v>12</v>
      </c>
      <c r="N67" s="9" t="str">
        <f t="shared" si="0"/>
        <v/>
      </c>
      <c r="O67" s="11">
        <f t="shared" si="1"/>
        <v>45901</v>
      </c>
      <c r="P67" s="12"/>
    </row>
    <row r="68" spans="1:16" ht="15.75" x14ac:dyDescent="0.25">
      <c r="A68" s="5">
        <f>SUBTOTAL(3,$B$2:B68)</f>
        <v>67</v>
      </c>
      <c r="B68" s="6">
        <v>46143</v>
      </c>
      <c r="C68" s="6" t="s">
        <v>15</v>
      </c>
      <c r="D68" s="5" t="s">
        <v>16</v>
      </c>
      <c r="E68" s="5" t="s">
        <v>44</v>
      </c>
      <c r="F68" s="5" t="s">
        <v>47</v>
      </c>
      <c r="G68" s="5" t="s">
        <v>19</v>
      </c>
      <c r="H68" s="7" t="s">
        <v>25</v>
      </c>
      <c r="I68" s="7" t="s">
        <v>24</v>
      </c>
      <c r="J68" s="7"/>
      <c r="K68" s="8">
        <v>45566</v>
      </c>
      <c r="L68" s="9">
        <v>5200000</v>
      </c>
      <c r="M68" s="10">
        <v>12</v>
      </c>
      <c r="N68" s="9" t="str">
        <f t="shared" si="0"/>
        <v/>
      </c>
      <c r="O68" s="11">
        <f t="shared" si="1"/>
        <v>45901</v>
      </c>
      <c r="P68" s="12"/>
    </row>
    <row r="69" spans="1:16" ht="15.75" x14ac:dyDescent="0.25">
      <c r="A69" s="5">
        <f>SUBTOTAL(3,$B$2:B69)</f>
        <v>68</v>
      </c>
      <c r="B69" s="6">
        <v>46143</v>
      </c>
      <c r="C69" s="6" t="s">
        <v>15</v>
      </c>
      <c r="D69" s="5" t="s">
        <v>16</v>
      </c>
      <c r="E69" s="5" t="s">
        <v>44</v>
      </c>
      <c r="F69" s="5" t="s">
        <v>47</v>
      </c>
      <c r="G69" s="5" t="s">
        <v>19</v>
      </c>
      <c r="H69" s="7" t="s">
        <v>26</v>
      </c>
      <c r="I69" s="7" t="s">
        <v>24</v>
      </c>
      <c r="J69" s="7"/>
      <c r="K69" s="8">
        <v>45566</v>
      </c>
      <c r="L69" s="9">
        <v>5200000</v>
      </c>
      <c r="M69" s="10">
        <v>12</v>
      </c>
      <c r="N69" s="9" t="str">
        <f t="shared" si="0"/>
        <v/>
      </c>
      <c r="O69" s="11">
        <f t="shared" si="1"/>
        <v>45901</v>
      </c>
      <c r="P69" s="12"/>
    </row>
    <row r="70" spans="1:16" ht="15.75" x14ac:dyDescent="0.25">
      <c r="A70" s="5">
        <f>SUBTOTAL(3,$B$2:B70)</f>
        <v>69</v>
      </c>
      <c r="B70" s="6">
        <v>46143</v>
      </c>
      <c r="C70" s="6" t="s">
        <v>15</v>
      </c>
      <c r="D70" s="5" t="s">
        <v>16</v>
      </c>
      <c r="E70" s="5" t="s">
        <v>44</v>
      </c>
      <c r="F70" s="5" t="s">
        <v>47</v>
      </c>
      <c r="G70" s="5" t="s">
        <v>19</v>
      </c>
      <c r="H70" s="7" t="s">
        <v>61</v>
      </c>
      <c r="I70" s="7" t="s">
        <v>24</v>
      </c>
      <c r="J70" s="7"/>
      <c r="K70" s="8">
        <v>45566</v>
      </c>
      <c r="L70" s="9">
        <v>5200000</v>
      </c>
      <c r="M70" s="10">
        <v>12</v>
      </c>
      <c r="N70" s="9" t="str">
        <f t="shared" ref="N70:N122" si="2">IF(B70&gt;O70,"",L70/M70)</f>
        <v/>
      </c>
      <c r="O70" s="11">
        <f t="shared" ref="O70:O122" si="3">EDATE(K70, M70-1)</f>
        <v>45901</v>
      </c>
      <c r="P70" s="12"/>
    </row>
    <row r="71" spans="1:16" ht="15.75" x14ac:dyDescent="0.25">
      <c r="A71" s="5">
        <f>SUBTOTAL(3,$B$2:B71)</f>
        <v>70</v>
      </c>
      <c r="B71" s="6">
        <v>46143</v>
      </c>
      <c r="C71" s="6" t="s">
        <v>15</v>
      </c>
      <c r="D71" s="5" t="s">
        <v>16</v>
      </c>
      <c r="E71" s="5" t="s">
        <v>44</v>
      </c>
      <c r="F71" s="5" t="s">
        <v>47</v>
      </c>
      <c r="G71" s="5" t="s">
        <v>19</v>
      </c>
      <c r="H71" s="7" t="s">
        <v>27</v>
      </c>
      <c r="I71" s="7" t="s">
        <v>24</v>
      </c>
      <c r="J71" s="7"/>
      <c r="K71" s="8">
        <v>45566</v>
      </c>
      <c r="L71" s="9">
        <v>5200000</v>
      </c>
      <c r="M71" s="10">
        <v>12</v>
      </c>
      <c r="N71" s="9" t="str">
        <f t="shared" si="2"/>
        <v/>
      </c>
      <c r="O71" s="11">
        <f t="shared" si="3"/>
        <v>45901</v>
      </c>
      <c r="P71" s="12"/>
    </row>
    <row r="72" spans="1:16" ht="15.75" x14ac:dyDescent="0.25">
      <c r="A72" s="5">
        <f>SUBTOTAL(3,$B$2:B72)</f>
        <v>71</v>
      </c>
      <c r="B72" s="6">
        <v>46143</v>
      </c>
      <c r="C72" s="6" t="s">
        <v>15</v>
      </c>
      <c r="D72" s="5" t="s">
        <v>16</v>
      </c>
      <c r="E72" s="5" t="s">
        <v>44</v>
      </c>
      <c r="F72" s="5" t="s">
        <v>47</v>
      </c>
      <c r="G72" s="5" t="s">
        <v>19</v>
      </c>
      <c r="H72" s="7" t="s">
        <v>28</v>
      </c>
      <c r="I72" s="7" t="s">
        <v>24</v>
      </c>
      <c r="J72" s="7"/>
      <c r="K72" s="8">
        <v>45566</v>
      </c>
      <c r="L72" s="9">
        <v>5200000</v>
      </c>
      <c r="M72" s="10">
        <v>12</v>
      </c>
      <c r="N72" s="9" t="str">
        <f t="shared" si="2"/>
        <v/>
      </c>
      <c r="O72" s="11">
        <f t="shared" si="3"/>
        <v>45901</v>
      </c>
      <c r="P72" s="12"/>
    </row>
    <row r="73" spans="1:16" ht="15.75" x14ac:dyDescent="0.25">
      <c r="A73" s="5">
        <f>SUBTOTAL(3,$B$2:B73)</f>
        <v>72</v>
      </c>
      <c r="B73" s="6">
        <v>46143</v>
      </c>
      <c r="C73" s="6" t="s">
        <v>15</v>
      </c>
      <c r="D73" s="5" t="s">
        <v>16</v>
      </c>
      <c r="E73" s="5" t="s">
        <v>44</v>
      </c>
      <c r="F73" s="5" t="s">
        <v>47</v>
      </c>
      <c r="G73" s="5" t="s">
        <v>19</v>
      </c>
      <c r="H73" s="7" t="s">
        <v>29</v>
      </c>
      <c r="I73" s="7" t="s">
        <v>24</v>
      </c>
      <c r="J73" s="7"/>
      <c r="K73" s="8">
        <v>45566</v>
      </c>
      <c r="L73" s="9">
        <v>5200000</v>
      </c>
      <c r="M73" s="10">
        <v>12</v>
      </c>
      <c r="N73" s="9" t="str">
        <f t="shared" si="2"/>
        <v/>
      </c>
      <c r="O73" s="11">
        <f t="shared" si="3"/>
        <v>45901</v>
      </c>
      <c r="P73" s="12"/>
    </row>
    <row r="74" spans="1:16" ht="15.75" x14ac:dyDescent="0.25">
      <c r="A74" s="5">
        <f>SUBTOTAL(3,$B$2:B74)</f>
        <v>73</v>
      </c>
      <c r="B74" s="6">
        <v>46143</v>
      </c>
      <c r="C74" s="6" t="s">
        <v>15</v>
      </c>
      <c r="D74" s="5" t="s">
        <v>16</v>
      </c>
      <c r="E74" s="5" t="s">
        <v>44</v>
      </c>
      <c r="F74" s="5" t="s">
        <v>47</v>
      </c>
      <c r="G74" s="5" t="s">
        <v>19</v>
      </c>
      <c r="H74" s="7" t="s">
        <v>30</v>
      </c>
      <c r="I74" s="7" t="s">
        <v>24</v>
      </c>
      <c r="J74" s="7"/>
      <c r="K74" s="8">
        <v>45566</v>
      </c>
      <c r="L74" s="9">
        <v>5200000</v>
      </c>
      <c r="M74" s="10">
        <v>12</v>
      </c>
      <c r="N74" s="9" t="str">
        <f t="shared" si="2"/>
        <v/>
      </c>
      <c r="O74" s="11">
        <f t="shared" si="3"/>
        <v>45901</v>
      </c>
      <c r="P74" s="12"/>
    </row>
    <row r="75" spans="1:16" ht="15" customHeight="1" x14ac:dyDescent="0.25">
      <c r="A75" s="5">
        <f>SUBTOTAL(3,$B$2:B75)</f>
        <v>74</v>
      </c>
      <c r="B75" s="6">
        <v>46143</v>
      </c>
      <c r="C75" s="6" t="s">
        <v>15</v>
      </c>
      <c r="D75" s="5" t="s">
        <v>16</v>
      </c>
      <c r="E75" s="5" t="s">
        <v>44</v>
      </c>
      <c r="F75" s="5" t="s">
        <v>47</v>
      </c>
      <c r="G75" s="5" t="s">
        <v>19</v>
      </c>
      <c r="H75" s="7" t="s">
        <v>31</v>
      </c>
      <c r="I75" s="7" t="s">
        <v>24</v>
      </c>
      <c r="J75" s="7"/>
      <c r="K75" s="8">
        <v>45566</v>
      </c>
      <c r="L75" s="9">
        <v>5200000</v>
      </c>
      <c r="M75" s="10">
        <v>12</v>
      </c>
      <c r="N75" s="9" t="str">
        <f t="shared" si="2"/>
        <v/>
      </c>
      <c r="O75" s="11">
        <f t="shared" si="3"/>
        <v>45901</v>
      </c>
      <c r="P75" s="12"/>
    </row>
    <row r="76" spans="1:16" ht="15.75" x14ac:dyDescent="0.25">
      <c r="A76" s="5">
        <f>SUBTOTAL(3,$B$2:B76)</f>
        <v>75</v>
      </c>
      <c r="B76" s="6">
        <v>46143</v>
      </c>
      <c r="C76" s="6" t="s">
        <v>15</v>
      </c>
      <c r="D76" s="5" t="s">
        <v>16</v>
      </c>
      <c r="E76" s="5" t="s">
        <v>44</v>
      </c>
      <c r="F76" s="5" t="s">
        <v>47</v>
      </c>
      <c r="G76" s="5" t="s">
        <v>19</v>
      </c>
      <c r="H76" s="7" t="s">
        <v>32</v>
      </c>
      <c r="I76" s="7" t="s">
        <v>24</v>
      </c>
      <c r="J76" s="7"/>
      <c r="K76" s="8">
        <v>45566</v>
      </c>
      <c r="L76" s="9">
        <v>5200000</v>
      </c>
      <c r="M76" s="10">
        <v>12</v>
      </c>
      <c r="N76" s="9" t="str">
        <f t="shared" si="2"/>
        <v/>
      </c>
      <c r="O76" s="11">
        <f t="shared" si="3"/>
        <v>45901</v>
      </c>
      <c r="P76" s="12"/>
    </row>
    <row r="77" spans="1:16" ht="15.75" x14ac:dyDescent="0.25">
      <c r="A77" s="5">
        <f>SUBTOTAL(3,$B$2:B77)</f>
        <v>76</v>
      </c>
      <c r="B77" s="6">
        <v>46143</v>
      </c>
      <c r="C77" s="6" t="s">
        <v>15</v>
      </c>
      <c r="D77" s="5" t="s">
        <v>16</v>
      </c>
      <c r="E77" s="5" t="s">
        <v>44</v>
      </c>
      <c r="F77" s="5" t="s">
        <v>47</v>
      </c>
      <c r="G77" s="5" t="s">
        <v>19</v>
      </c>
      <c r="H77" s="7" t="s">
        <v>33</v>
      </c>
      <c r="I77" s="7" t="s">
        <v>24</v>
      </c>
      <c r="J77" s="7"/>
      <c r="K77" s="8">
        <v>45729</v>
      </c>
      <c r="L77" s="9">
        <v>5200000</v>
      </c>
      <c r="M77" s="10">
        <v>24</v>
      </c>
      <c r="N77" s="9">
        <f t="shared" si="2"/>
        <v>216666.66666666666</v>
      </c>
      <c r="O77" s="11">
        <f t="shared" si="3"/>
        <v>46431</v>
      </c>
      <c r="P77" s="12"/>
    </row>
    <row r="78" spans="1:16" ht="15.75" x14ac:dyDescent="0.25">
      <c r="A78" s="5">
        <f>SUBTOTAL(3,$B$2:B78)</f>
        <v>77</v>
      </c>
      <c r="B78" s="6">
        <v>46143</v>
      </c>
      <c r="C78" s="6" t="s">
        <v>15</v>
      </c>
      <c r="D78" s="5" t="s">
        <v>16</v>
      </c>
      <c r="E78" s="5" t="s">
        <v>44</v>
      </c>
      <c r="F78" s="5" t="s">
        <v>47</v>
      </c>
      <c r="G78" s="5" t="s">
        <v>19</v>
      </c>
      <c r="H78" s="7" t="s">
        <v>34</v>
      </c>
      <c r="I78" s="7" t="s">
        <v>24</v>
      </c>
      <c r="J78" s="7"/>
      <c r="K78" s="8">
        <v>45729</v>
      </c>
      <c r="L78" s="9">
        <v>5200000</v>
      </c>
      <c r="M78" s="10">
        <v>24</v>
      </c>
      <c r="N78" s="9">
        <f t="shared" si="2"/>
        <v>216666.66666666666</v>
      </c>
      <c r="O78" s="11">
        <f t="shared" si="3"/>
        <v>46431</v>
      </c>
      <c r="P78" s="12"/>
    </row>
    <row r="79" spans="1:16" ht="15.75" x14ac:dyDescent="0.25">
      <c r="A79" s="5">
        <f>SUBTOTAL(3,$B$2:B79)</f>
        <v>78</v>
      </c>
      <c r="B79" s="6">
        <v>46143</v>
      </c>
      <c r="C79" s="6" t="s">
        <v>15</v>
      </c>
      <c r="D79" s="5" t="s">
        <v>16</v>
      </c>
      <c r="E79" s="5" t="s">
        <v>44</v>
      </c>
      <c r="F79" s="5" t="s">
        <v>47</v>
      </c>
      <c r="G79" s="5" t="s">
        <v>19</v>
      </c>
      <c r="H79" s="7" t="s">
        <v>35</v>
      </c>
      <c r="I79" s="7" t="s">
        <v>24</v>
      </c>
      <c r="J79" s="7"/>
      <c r="K79" s="8">
        <v>45729</v>
      </c>
      <c r="L79" s="9">
        <v>5200000</v>
      </c>
      <c r="M79" s="10">
        <v>24</v>
      </c>
      <c r="N79" s="9">
        <f t="shared" si="2"/>
        <v>216666.66666666666</v>
      </c>
      <c r="O79" s="11">
        <f t="shared" si="3"/>
        <v>46431</v>
      </c>
      <c r="P79" s="12"/>
    </row>
    <row r="80" spans="1:16" ht="15.75" x14ac:dyDescent="0.25">
      <c r="A80" s="5">
        <f>SUBTOTAL(3,$B$2:B80)</f>
        <v>79</v>
      </c>
      <c r="B80" s="6">
        <v>46143</v>
      </c>
      <c r="C80" s="6" t="s">
        <v>15</v>
      </c>
      <c r="D80" s="5" t="s">
        <v>16</v>
      </c>
      <c r="E80" s="5" t="s">
        <v>44</v>
      </c>
      <c r="F80" s="5" t="s">
        <v>47</v>
      </c>
      <c r="G80" s="5" t="s">
        <v>19</v>
      </c>
      <c r="H80" s="7" t="s">
        <v>36</v>
      </c>
      <c r="I80" s="7" t="s">
        <v>24</v>
      </c>
      <c r="J80" s="7"/>
      <c r="K80" s="8">
        <v>45729</v>
      </c>
      <c r="L80" s="9">
        <v>5200000</v>
      </c>
      <c r="M80" s="10">
        <v>24</v>
      </c>
      <c r="N80" s="9">
        <f t="shared" si="2"/>
        <v>216666.66666666666</v>
      </c>
      <c r="O80" s="11">
        <f t="shared" si="3"/>
        <v>46431</v>
      </c>
      <c r="P80" s="12"/>
    </row>
    <row r="81" spans="1:16" ht="15.75" x14ac:dyDescent="0.25">
      <c r="A81" s="5">
        <f>SUBTOTAL(3,$B$2:B81)</f>
        <v>80</v>
      </c>
      <c r="B81" s="6">
        <v>46143</v>
      </c>
      <c r="C81" s="6" t="s">
        <v>15</v>
      </c>
      <c r="D81" s="5" t="s">
        <v>16</v>
      </c>
      <c r="E81" s="5" t="s">
        <v>44</v>
      </c>
      <c r="F81" s="5" t="s">
        <v>47</v>
      </c>
      <c r="G81" s="5" t="s">
        <v>19</v>
      </c>
      <c r="H81" s="7" t="s">
        <v>37</v>
      </c>
      <c r="I81" s="7" t="s">
        <v>24</v>
      </c>
      <c r="J81" s="7"/>
      <c r="K81" s="8">
        <v>45729</v>
      </c>
      <c r="L81" s="9">
        <v>5200000</v>
      </c>
      <c r="M81" s="10">
        <v>24</v>
      </c>
      <c r="N81" s="9">
        <f t="shared" si="2"/>
        <v>216666.66666666666</v>
      </c>
      <c r="O81" s="11">
        <f t="shared" si="3"/>
        <v>46431</v>
      </c>
      <c r="P81" s="12"/>
    </row>
    <row r="82" spans="1:16" ht="15.75" x14ac:dyDescent="0.25">
      <c r="A82" s="5">
        <f>SUBTOTAL(3,$B$2:B82)</f>
        <v>81</v>
      </c>
      <c r="B82" s="6">
        <v>46143</v>
      </c>
      <c r="C82" s="6" t="s">
        <v>15</v>
      </c>
      <c r="D82" s="5" t="s">
        <v>16</v>
      </c>
      <c r="E82" s="5" t="s">
        <v>44</v>
      </c>
      <c r="F82" s="5" t="s">
        <v>47</v>
      </c>
      <c r="G82" s="5" t="s">
        <v>19</v>
      </c>
      <c r="H82" s="7" t="s">
        <v>38</v>
      </c>
      <c r="I82" s="7" t="s">
        <v>21</v>
      </c>
      <c r="J82" s="7"/>
      <c r="K82" s="8">
        <v>45408</v>
      </c>
      <c r="L82" s="9">
        <v>5200000</v>
      </c>
      <c r="M82" s="10">
        <v>24</v>
      </c>
      <c r="N82" s="9" t="str">
        <f t="shared" si="2"/>
        <v/>
      </c>
      <c r="O82" s="11">
        <f t="shared" si="3"/>
        <v>46107</v>
      </c>
      <c r="P82" s="12"/>
    </row>
    <row r="83" spans="1:16" ht="15.75" x14ac:dyDescent="0.25">
      <c r="A83" s="5">
        <f>SUBTOTAL(3,$B$2:B83)</f>
        <v>82</v>
      </c>
      <c r="B83" s="6">
        <v>46143</v>
      </c>
      <c r="C83" s="6" t="s">
        <v>15</v>
      </c>
      <c r="D83" s="5" t="s">
        <v>16</v>
      </c>
      <c r="E83" s="5" t="s">
        <v>44</v>
      </c>
      <c r="F83" s="5" t="s">
        <v>48</v>
      </c>
      <c r="G83" s="5" t="s">
        <v>19</v>
      </c>
      <c r="H83" s="7" t="s">
        <v>23</v>
      </c>
      <c r="I83" s="7" t="s">
        <v>24</v>
      </c>
      <c r="J83" s="7"/>
      <c r="K83" s="8">
        <v>45627</v>
      </c>
      <c r="L83" s="9">
        <v>1600000</v>
      </c>
      <c r="M83" s="10">
        <v>18</v>
      </c>
      <c r="N83" s="9">
        <f t="shared" si="2"/>
        <v>88888.888888888891</v>
      </c>
      <c r="O83" s="11">
        <f t="shared" si="3"/>
        <v>46143</v>
      </c>
      <c r="P83" s="12"/>
    </row>
    <row r="84" spans="1:16" ht="15.75" x14ac:dyDescent="0.25">
      <c r="A84" s="5">
        <f>SUBTOTAL(3,$B$2:B84)</f>
        <v>83</v>
      </c>
      <c r="B84" s="6">
        <v>46143</v>
      </c>
      <c r="C84" s="6" t="s">
        <v>15</v>
      </c>
      <c r="D84" s="5" t="s">
        <v>16</v>
      </c>
      <c r="E84" s="5" t="s">
        <v>44</v>
      </c>
      <c r="F84" s="5" t="s">
        <v>48</v>
      </c>
      <c r="G84" s="5" t="s">
        <v>19</v>
      </c>
      <c r="H84" s="7" t="s">
        <v>25</v>
      </c>
      <c r="I84" s="7" t="s">
        <v>24</v>
      </c>
      <c r="J84" s="7"/>
      <c r="K84" s="8">
        <v>45627</v>
      </c>
      <c r="L84" s="9">
        <v>1600000</v>
      </c>
      <c r="M84" s="10">
        <v>18</v>
      </c>
      <c r="N84" s="9">
        <f t="shared" si="2"/>
        <v>88888.888888888891</v>
      </c>
      <c r="O84" s="11">
        <f t="shared" si="3"/>
        <v>46143</v>
      </c>
      <c r="P84" s="12"/>
    </row>
    <row r="85" spans="1:16" ht="15.75" x14ac:dyDescent="0.25">
      <c r="A85" s="5">
        <f>SUBTOTAL(3,$B$2:B85)</f>
        <v>84</v>
      </c>
      <c r="B85" s="6">
        <v>46143</v>
      </c>
      <c r="C85" s="6" t="s">
        <v>15</v>
      </c>
      <c r="D85" s="5" t="s">
        <v>16</v>
      </c>
      <c r="E85" s="5" t="s">
        <v>44</v>
      </c>
      <c r="F85" s="5" t="s">
        <v>48</v>
      </c>
      <c r="G85" s="5" t="s">
        <v>19</v>
      </c>
      <c r="H85" s="7" t="s">
        <v>26</v>
      </c>
      <c r="I85" s="7" t="s">
        <v>24</v>
      </c>
      <c r="J85" s="7"/>
      <c r="K85" s="8">
        <v>45627</v>
      </c>
      <c r="L85" s="9">
        <v>1600000</v>
      </c>
      <c r="M85" s="10">
        <v>18</v>
      </c>
      <c r="N85" s="9">
        <f t="shared" si="2"/>
        <v>88888.888888888891</v>
      </c>
      <c r="O85" s="11">
        <f t="shared" si="3"/>
        <v>46143</v>
      </c>
      <c r="P85" s="12"/>
    </row>
    <row r="86" spans="1:16" ht="15.75" x14ac:dyDescent="0.25">
      <c r="A86" s="5">
        <f>SUBTOTAL(3,$B$2:B86)</f>
        <v>85</v>
      </c>
      <c r="B86" s="6">
        <v>46143</v>
      </c>
      <c r="C86" s="6" t="s">
        <v>15</v>
      </c>
      <c r="D86" s="5" t="s">
        <v>16</v>
      </c>
      <c r="E86" s="5" t="s">
        <v>44</v>
      </c>
      <c r="F86" s="5" t="s">
        <v>48</v>
      </c>
      <c r="G86" s="5" t="s">
        <v>19</v>
      </c>
      <c r="H86" s="7" t="s">
        <v>61</v>
      </c>
      <c r="I86" s="7" t="s">
        <v>24</v>
      </c>
      <c r="J86" s="7"/>
      <c r="K86" s="8">
        <v>45627</v>
      </c>
      <c r="L86" s="9">
        <v>1600000</v>
      </c>
      <c r="M86" s="10">
        <v>18</v>
      </c>
      <c r="N86" s="9">
        <f t="shared" si="2"/>
        <v>88888.888888888891</v>
      </c>
      <c r="O86" s="11">
        <f t="shared" si="3"/>
        <v>46143</v>
      </c>
      <c r="P86" s="12"/>
    </row>
    <row r="87" spans="1:16" ht="15.75" x14ac:dyDescent="0.25">
      <c r="A87" s="5">
        <f>SUBTOTAL(3,$B$2:B87)</f>
        <v>86</v>
      </c>
      <c r="B87" s="6">
        <v>46143</v>
      </c>
      <c r="C87" s="6" t="s">
        <v>15</v>
      </c>
      <c r="D87" s="5" t="s">
        <v>16</v>
      </c>
      <c r="E87" s="5" t="s">
        <v>44</v>
      </c>
      <c r="F87" s="5" t="s">
        <v>48</v>
      </c>
      <c r="G87" s="5" t="s">
        <v>19</v>
      </c>
      <c r="H87" s="7" t="s">
        <v>27</v>
      </c>
      <c r="I87" s="7" t="s">
        <v>24</v>
      </c>
      <c r="J87" s="7"/>
      <c r="K87" s="8">
        <v>45627</v>
      </c>
      <c r="L87" s="9">
        <v>1600000</v>
      </c>
      <c r="M87" s="10">
        <v>18</v>
      </c>
      <c r="N87" s="9">
        <f t="shared" si="2"/>
        <v>88888.888888888891</v>
      </c>
      <c r="O87" s="11">
        <f t="shared" si="3"/>
        <v>46143</v>
      </c>
      <c r="P87" s="12"/>
    </row>
    <row r="88" spans="1:16" ht="15.75" x14ac:dyDescent="0.25">
      <c r="A88" s="5">
        <f>SUBTOTAL(3,$B$2:B88)</f>
        <v>87</v>
      </c>
      <c r="B88" s="6">
        <v>46143</v>
      </c>
      <c r="C88" s="6" t="s">
        <v>15</v>
      </c>
      <c r="D88" s="5" t="s">
        <v>16</v>
      </c>
      <c r="E88" s="5" t="s">
        <v>44</v>
      </c>
      <c r="F88" s="5" t="s">
        <v>48</v>
      </c>
      <c r="G88" s="5" t="s">
        <v>19</v>
      </c>
      <c r="H88" s="7" t="s">
        <v>28</v>
      </c>
      <c r="I88" s="7" t="s">
        <v>24</v>
      </c>
      <c r="J88" s="7"/>
      <c r="K88" s="8">
        <v>45627</v>
      </c>
      <c r="L88" s="9">
        <v>1600000</v>
      </c>
      <c r="M88" s="10">
        <v>18</v>
      </c>
      <c r="N88" s="9">
        <f t="shared" si="2"/>
        <v>88888.888888888891</v>
      </c>
      <c r="O88" s="11">
        <f t="shared" si="3"/>
        <v>46143</v>
      </c>
      <c r="P88" s="12"/>
    </row>
    <row r="89" spans="1:16" ht="15.75" x14ac:dyDescent="0.25">
      <c r="A89" s="5">
        <f>SUBTOTAL(3,$B$2:B89)</f>
        <v>88</v>
      </c>
      <c r="B89" s="6">
        <v>46143</v>
      </c>
      <c r="C89" s="6" t="s">
        <v>15</v>
      </c>
      <c r="D89" s="5" t="s">
        <v>16</v>
      </c>
      <c r="E89" s="5" t="s">
        <v>44</v>
      </c>
      <c r="F89" s="5" t="s">
        <v>48</v>
      </c>
      <c r="G89" s="5" t="s">
        <v>19</v>
      </c>
      <c r="H89" s="7" t="s">
        <v>29</v>
      </c>
      <c r="I89" s="7" t="s">
        <v>24</v>
      </c>
      <c r="J89" s="7"/>
      <c r="K89" s="8">
        <v>45627</v>
      </c>
      <c r="L89" s="9">
        <v>1600000</v>
      </c>
      <c r="M89" s="10">
        <v>18</v>
      </c>
      <c r="N89" s="9">
        <f t="shared" si="2"/>
        <v>88888.888888888891</v>
      </c>
      <c r="O89" s="11">
        <f t="shared" si="3"/>
        <v>46143</v>
      </c>
      <c r="P89" s="12"/>
    </row>
    <row r="90" spans="1:16" ht="15.75" x14ac:dyDescent="0.25">
      <c r="A90" s="5">
        <f>SUBTOTAL(3,$B$2:B90)</f>
        <v>89</v>
      </c>
      <c r="B90" s="6">
        <v>46143</v>
      </c>
      <c r="C90" s="6" t="s">
        <v>15</v>
      </c>
      <c r="D90" s="5" t="s">
        <v>16</v>
      </c>
      <c r="E90" s="5" t="s">
        <v>44</v>
      </c>
      <c r="F90" s="5" t="s">
        <v>48</v>
      </c>
      <c r="G90" s="5" t="s">
        <v>19</v>
      </c>
      <c r="H90" s="7" t="s">
        <v>30</v>
      </c>
      <c r="I90" s="7" t="s">
        <v>24</v>
      </c>
      <c r="J90" s="7"/>
      <c r="K90" s="8">
        <v>45627</v>
      </c>
      <c r="L90" s="9">
        <v>1600000</v>
      </c>
      <c r="M90" s="10">
        <v>18</v>
      </c>
      <c r="N90" s="9">
        <f t="shared" si="2"/>
        <v>88888.888888888891</v>
      </c>
      <c r="O90" s="11">
        <f t="shared" si="3"/>
        <v>46143</v>
      </c>
      <c r="P90" s="12"/>
    </row>
    <row r="91" spans="1:16" ht="15.75" x14ac:dyDescent="0.25">
      <c r="A91" s="5">
        <f>SUBTOTAL(3,$B$2:B91)</f>
        <v>90</v>
      </c>
      <c r="B91" s="6">
        <v>46143</v>
      </c>
      <c r="C91" s="6" t="s">
        <v>15</v>
      </c>
      <c r="D91" s="5" t="s">
        <v>16</v>
      </c>
      <c r="E91" s="5" t="s">
        <v>44</v>
      </c>
      <c r="F91" s="5" t="s">
        <v>48</v>
      </c>
      <c r="G91" s="5" t="s">
        <v>19</v>
      </c>
      <c r="H91" s="7" t="s">
        <v>31</v>
      </c>
      <c r="I91" s="7" t="s">
        <v>24</v>
      </c>
      <c r="J91" s="7"/>
      <c r="K91" s="8">
        <v>45627</v>
      </c>
      <c r="L91" s="9">
        <v>1600000</v>
      </c>
      <c r="M91" s="10">
        <v>18</v>
      </c>
      <c r="N91" s="9">
        <f t="shared" si="2"/>
        <v>88888.888888888891</v>
      </c>
      <c r="O91" s="11">
        <f t="shared" si="3"/>
        <v>46143</v>
      </c>
      <c r="P91" s="12"/>
    </row>
    <row r="92" spans="1:16" ht="15.75" x14ac:dyDescent="0.25">
      <c r="A92" s="5">
        <f>SUBTOTAL(3,$B$2:B92)</f>
        <v>91</v>
      </c>
      <c r="B92" s="6">
        <v>46143</v>
      </c>
      <c r="C92" s="6" t="s">
        <v>15</v>
      </c>
      <c r="D92" s="5" t="s">
        <v>16</v>
      </c>
      <c r="E92" s="5" t="s">
        <v>44</v>
      </c>
      <c r="F92" s="5" t="s">
        <v>48</v>
      </c>
      <c r="G92" s="5" t="s">
        <v>19</v>
      </c>
      <c r="H92" s="7" t="s">
        <v>32</v>
      </c>
      <c r="I92" s="7" t="s">
        <v>24</v>
      </c>
      <c r="J92" s="7"/>
      <c r="K92" s="8">
        <v>45627</v>
      </c>
      <c r="L92" s="9">
        <v>1600000</v>
      </c>
      <c r="M92" s="10">
        <v>18</v>
      </c>
      <c r="N92" s="9">
        <f t="shared" si="2"/>
        <v>88888.888888888891</v>
      </c>
      <c r="O92" s="11">
        <f t="shared" si="3"/>
        <v>46143</v>
      </c>
      <c r="P92" s="12"/>
    </row>
    <row r="93" spans="1:16" ht="15.75" x14ac:dyDescent="0.25">
      <c r="A93" s="5">
        <f>SUBTOTAL(3,$B$2:B93)</f>
        <v>92</v>
      </c>
      <c r="B93" s="6">
        <v>46143</v>
      </c>
      <c r="C93" s="6" t="s">
        <v>15</v>
      </c>
      <c r="D93" s="5" t="s">
        <v>16</v>
      </c>
      <c r="E93" s="5" t="s">
        <v>44</v>
      </c>
      <c r="F93" s="5" t="s">
        <v>48</v>
      </c>
      <c r="G93" s="5" t="s">
        <v>19</v>
      </c>
      <c r="H93" s="7" t="s">
        <v>33</v>
      </c>
      <c r="I93" s="7" t="s">
        <v>24</v>
      </c>
      <c r="J93" s="7"/>
      <c r="K93" s="8">
        <v>45723</v>
      </c>
      <c r="L93" s="9">
        <v>1365000</v>
      </c>
      <c r="M93" s="10">
        <v>12</v>
      </c>
      <c r="N93" s="9" t="str">
        <f t="shared" si="2"/>
        <v/>
      </c>
      <c r="O93" s="11">
        <f t="shared" si="3"/>
        <v>46060</v>
      </c>
      <c r="P93" s="12"/>
    </row>
    <row r="94" spans="1:16" ht="15.75" x14ac:dyDescent="0.25">
      <c r="A94" s="5">
        <f>SUBTOTAL(3,$B$2:B94)</f>
        <v>93</v>
      </c>
      <c r="B94" s="6">
        <v>46143</v>
      </c>
      <c r="C94" s="6" t="s">
        <v>15</v>
      </c>
      <c r="D94" s="5" t="s">
        <v>16</v>
      </c>
      <c r="E94" s="5" t="s">
        <v>44</v>
      </c>
      <c r="F94" s="5" t="s">
        <v>48</v>
      </c>
      <c r="G94" s="5" t="s">
        <v>19</v>
      </c>
      <c r="H94" s="7" t="s">
        <v>34</v>
      </c>
      <c r="I94" s="7" t="s">
        <v>24</v>
      </c>
      <c r="J94" s="7"/>
      <c r="K94" s="8">
        <v>45717</v>
      </c>
      <c r="L94" s="9">
        <v>1365000</v>
      </c>
      <c r="M94" s="10">
        <v>12</v>
      </c>
      <c r="N94" s="9" t="str">
        <f t="shared" si="2"/>
        <v/>
      </c>
      <c r="O94" s="11">
        <f t="shared" si="3"/>
        <v>46054</v>
      </c>
      <c r="P94" s="12"/>
    </row>
    <row r="95" spans="1:16" ht="15.75" x14ac:dyDescent="0.25">
      <c r="A95" s="5">
        <f>SUBTOTAL(3,$B$2:B95)</f>
        <v>94</v>
      </c>
      <c r="B95" s="6">
        <v>46143</v>
      </c>
      <c r="C95" s="6" t="s">
        <v>15</v>
      </c>
      <c r="D95" s="5" t="s">
        <v>16</v>
      </c>
      <c r="E95" s="5" t="s">
        <v>44</v>
      </c>
      <c r="F95" s="5" t="s">
        <v>48</v>
      </c>
      <c r="G95" s="5" t="s">
        <v>19</v>
      </c>
      <c r="H95" s="7" t="s">
        <v>35</v>
      </c>
      <c r="I95" s="7" t="s">
        <v>24</v>
      </c>
      <c r="J95" s="7"/>
      <c r="K95" s="8">
        <v>45717</v>
      </c>
      <c r="L95" s="9">
        <v>1365000</v>
      </c>
      <c r="M95" s="10">
        <v>12</v>
      </c>
      <c r="N95" s="9" t="str">
        <f t="shared" si="2"/>
        <v/>
      </c>
      <c r="O95" s="11">
        <f t="shared" si="3"/>
        <v>46054</v>
      </c>
      <c r="P95" s="12"/>
    </row>
    <row r="96" spans="1:16" ht="15.75" x14ac:dyDescent="0.25">
      <c r="A96" s="5">
        <f>SUBTOTAL(3,$B$2:B96)</f>
        <v>95</v>
      </c>
      <c r="B96" s="6">
        <v>46143</v>
      </c>
      <c r="C96" s="6" t="s">
        <v>15</v>
      </c>
      <c r="D96" s="5" t="s">
        <v>16</v>
      </c>
      <c r="E96" s="5" t="s">
        <v>44</v>
      </c>
      <c r="F96" s="5" t="s">
        <v>48</v>
      </c>
      <c r="G96" s="5" t="s">
        <v>19</v>
      </c>
      <c r="H96" s="7" t="s">
        <v>36</v>
      </c>
      <c r="I96" s="7" t="s">
        <v>24</v>
      </c>
      <c r="J96" s="7"/>
      <c r="K96" s="8">
        <v>45717</v>
      </c>
      <c r="L96" s="9">
        <v>1365000</v>
      </c>
      <c r="M96" s="10">
        <v>12</v>
      </c>
      <c r="N96" s="9" t="str">
        <f t="shared" si="2"/>
        <v/>
      </c>
      <c r="O96" s="11">
        <f t="shared" si="3"/>
        <v>46054</v>
      </c>
      <c r="P96" s="12"/>
    </row>
    <row r="97" spans="1:16" ht="15.75" x14ac:dyDescent="0.25">
      <c r="A97" s="5">
        <f>SUBTOTAL(3,$B$2:B97)</f>
        <v>96</v>
      </c>
      <c r="B97" s="6">
        <v>46143</v>
      </c>
      <c r="C97" s="6" t="s">
        <v>15</v>
      </c>
      <c r="D97" s="5" t="s">
        <v>16</v>
      </c>
      <c r="E97" s="5" t="s">
        <v>44</v>
      </c>
      <c r="F97" s="5" t="s">
        <v>48</v>
      </c>
      <c r="G97" s="5" t="s">
        <v>19</v>
      </c>
      <c r="H97" s="7" t="s">
        <v>37</v>
      </c>
      <c r="I97" s="7" t="s">
        <v>24</v>
      </c>
      <c r="J97" s="7"/>
      <c r="K97" s="8">
        <v>45717</v>
      </c>
      <c r="L97" s="9">
        <v>1365000</v>
      </c>
      <c r="M97" s="10">
        <v>12</v>
      </c>
      <c r="N97" s="9" t="str">
        <f t="shared" si="2"/>
        <v/>
      </c>
      <c r="O97" s="11">
        <f t="shared" si="3"/>
        <v>46054</v>
      </c>
      <c r="P97" s="12"/>
    </row>
    <row r="98" spans="1:16" ht="15.75" x14ac:dyDescent="0.25">
      <c r="A98" s="5">
        <f>SUBTOTAL(3,$B$2:B98)</f>
        <v>97</v>
      </c>
      <c r="B98" s="6">
        <v>46143</v>
      </c>
      <c r="C98" s="6" t="s">
        <v>15</v>
      </c>
      <c r="D98" s="5" t="s">
        <v>16</v>
      </c>
      <c r="E98" s="5" t="s">
        <v>44</v>
      </c>
      <c r="F98" s="5" t="s">
        <v>49</v>
      </c>
      <c r="G98" s="5" t="s">
        <v>19</v>
      </c>
      <c r="H98" s="7" t="s">
        <v>20</v>
      </c>
      <c r="I98" s="13" t="s">
        <v>21</v>
      </c>
      <c r="J98" s="7"/>
      <c r="K98" s="8">
        <v>46143</v>
      </c>
      <c r="L98" s="9">
        <v>700000</v>
      </c>
      <c r="M98" s="10">
        <v>12</v>
      </c>
      <c r="N98" s="9">
        <f t="shared" si="2"/>
        <v>58333.333333333336</v>
      </c>
      <c r="O98" s="11">
        <f t="shared" si="3"/>
        <v>46478</v>
      </c>
      <c r="P98" s="12"/>
    </row>
    <row r="99" spans="1:16" ht="15.75" x14ac:dyDescent="0.25">
      <c r="A99" s="5">
        <f>SUBTOTAL(3,$B$2:B99)</f>
        <v>98</v>
      </c>
      <c r="B99" s="6">
        <v>46143</v>
      </c>
      <c r="C99" s="6" t="s">
        <v>15</v>
      </c>
      <c r="D99" s="5" t="s">
        <v>16</v>
      </c>
      <c r="E99" s="5" t="s">
        <v>44</v>
      </c>
      <c r="F99" s="5" t="s">
        <v>49</v>
      </c>
      <c r="G99" s="5" t="s">
        <v>19</v>
      </c>
      <c r="H99" s="7" t="s">
        <v>22</v>
      </c>
      <c r="I99" s="13" t="s">
        <v>21</v>
      </c>
      <c r="J99" s="7"/>
      <c r="K99" s="8">
        <v>46143</v>
      </c>
      <c r="L99" s="9">
        <v>700000</v>
      </c>
      <c r="M99" s="10">
        <v>12</v>
      </c>
      <c r="N99" s="9">
        <f t="shared" si="2"/>
        <v>58333.333333333336</v>
      </c>
      <c r="O99" s="11">
        <f t="shared" si="3"/>
        <v>46478</v>
      </c>
      <c r="P99" s="12"/>
    </row>
    <row r="100" spans="1:16" ht="15.75" x14ac:dyDescent="0.25">
      <c r="A100" s="5">
        <f>SUBTOTAL(3,$B$2:B100)</f>
        <v>99</v>
      </c>
      <c r="B100" s="6">
        <v>46143</v>
      </c>
      <c r="C100" s="6" t="s">
        <v>15</v>
      </c>
      <c r="D100" s="5" t="s">
        <v>16</v>
      </c>
      <c r="E100" s="5" t="s">
        <v>44</v>
      </c>
      <c r="F100" s="5" t="s">
        <v>49</v>
      </c>
      <c r="G100" s="5" t="s">
        <v>19</v>
      </c>
      <c r="H100" s="7" t="s">
        <v>23</v>
      </c>
      <c r="I100" s="13" t="s">
        <v>24</v>
      </c>
      <c r="J100" s="7"/>
      <c r="K100" s="8">
        <v>45836</v>
      </c>
      <c r="L100" s="9">
        <v>700000</v>
      </c>
      <c r="M100" s="10">
        <v>12</v>
      </c>
      <c r="N100" s="9">
        <f t="shared" si="2"/>
        <v>58333.333333333336</v>
      </c>
      <c r="O100" s="11">
        <f t="shared" si="3"/>
        <v>46170</v>
      </c>
      <c r="P100" s="12"/>
    </row>
    <row r="101" spans="1:16" ht="15.75" x14ac:dyDescent="0.25">
      <c r="A101" s="5">
        <f>SUBTOTAL(3,$B$2:B101)</f>
        <v>100</v>
      </c>
      <c r="B101" s="6">
        <v>46143</v>
      </c>
      <c r="C101" s="6" t="s">
        <v>15</v>
      </c>
      <c r="D101" s="5" t="s">
        <v>16</v>
      </c>
      <c r="E101" s="5" t="s">
        <v>44</v>
      </c>
      <c r="F101" s="5" t="s">
        <v>49</v>
      </c>
      <c r="G101" s="5" t="s">
        <v>19</v>
      </c>
      <c r="H101" s="7" t="s">
        <v>25</v>
      </c>
      <c r="I101" s="13" t="s">
        <v>24</v>
      </c>
      <c r="J101" s="7"/>
      <c r="K101" s="8">
        <v>45836</v>
      </c>
      <c r="L101" s="9">
        <v>700000</v>
      </c>
      <c r="M101" s="10">
        <v>12</v>
      </c>
      <c r="N101" s="9">
        <f t="shared" si="2"/>
        <v>58333.333333333336</v>
      </c>
      <c r="O101" s="11">
        <f t="shared" si="3"/>
        <v>46170</v>
      </c>
      <c r="P101" s="12"/>
    </row>
    <row r="102" spans="1:16" ht="15.75" x14ac:dyDescent="0.25">
      <c r="A102" s="5">
        <f>SUBTOTAL(3,$B$2:B102)</f>
        <v>101</v>
      </c>
      <c r="B102" s="6">
        <v>46143</v>
      </c>
      <c r="C102" s="6" t="s">
        <v>15</v>
      </c>
      <c r="D102" s="5" t="s">
        <v>16</v>
      </c>
      <c r="E102" s="5" t="s">
        <v>44</v>
      </c>
      <c r="F102" s="5" t="s">
        <v>49</v>
      </c>
      <c r="G102" s="5" t="s">
        <v>19</v>
      </c>
      <c r="H102" s="7" t="s">
        <v>26</v>
      </c>
      <c r="I102" s="13" t="s">
        <v>24</v>
      </c>
      <c r="J102" s="7"/>
      <c r="K102" s="8">
        <v>45836</v>
      </c>
      <c r="L102" s="9">
        <v>700000</v>
      </c>
      <c r="M102" s="10">
        <v>12</v>
      </c>
      <c r="N102" s="9">
        <f t="shared" si="2"/>
        <v>58333.333333333336</v>
      </c>
      <c r="O102" s="11">
        <f t="shared" si="3"/>
        <v>46170</v>
      </c>
      <c r="P102" s="12"/>
    </row>
    <row r="103" spans="1:16" ht="15.75" x14ac:dyDescent="0.25">
      <c r="A103" s="5">
        <f>SUBTOTAL(3,$B$2:B103)</f>
        <v>102</v>
      </c>
      <c r="B103" s="6">
        <v>46143</v>
      </c>
      <c r="C103" s="6" t="s">
        <v>15</v>
      </c>
      <c r="D103" s="5" t="s">
        <v>16</v>
      </c>
      <c r="E103" s="5" t="s">
        <v>44</v>
      </c>
      <c r="F103" s="5" t="s">
        <v>49</v>
      </c>
      <c r="G103" s="5" t="s">
        <v>19</v>
      </c>
      <c r="H103" s="7" t="s">
        <v>61</v>
      </c>
      <c r="I103" s="13" t="s">
        <v>24</v>
      </c>
      <c r="J103" s="7"/>
      <c r="K103" s="8">
        <v>45836</v>
      </c>
      <c r="L103" s="9">
        <v>700000</v>
      </c>
      <c r="M103" s="10">
        <v>12</v>
      </c>
      <c r="N103" s="9">
        <f t="shared" si="2"/>
        <v>58333.333333333336</v>
      </c>
      <c r="O103" s="11">
        <f t="shared" si="3"/>
        <v>46170</v>
      </c>
      <c r="P103" s="12"/>
    </row>
    <row r="104" spans="1:16" ht="15.75" x14ac:dyDescent="0.25">
      <c r="A104" s="5">
        <f>SUBTOTAL(3,$B$2:B104)</f>
        <v>103</v>
      </c>
      <c r="B104" s="6">
        <v>46143</v>
      </c>
      <c r="C104" s="6" t="s">
        <v>15</v>
      </c>
      <c r="D104" s="5" t="s">
        <v>16</v>
      </c>
      <c r="E104" s="5" t="s">
        <v>44</v>
      </c>
      <c r="F104" s="5" t="s">
        <v>49</v>
      </c>
      <c r="G104" s="5" t="s">
        <v>19</v>
      </c>
      <c r="H104" s="7" t="s">
        <v>27</v>
      </c>
      <c r="I104" s="13" t="s">
        <v>24</v>
      </c>
      <c r="J104" s="7"/>
      <c r="K104" s="8">
        <v>45836</v>
      </c>
      <c r="L104" s="9">
        <v>700000</v>
      </c>
      <c r="M104" s="10">
        <v>12</v>
      </c>
      <c r="N104" s="9">
        <f t="shared" si="2"/>
        <v>58333.333333333336</v>
      </c>
      <c r="O104" s="11">
        <f t="shared" si="3"/>
        <v>46170</v>
      </c>
      <c r="P104" s="12"/>
    </row>
    <row r="105" spans="1:16" ht="15.75" x14ac:dyDescent="0.25">
      <c r="A105" s="5">
        <f>SUBTOTAL(3,$B$2:B105)</f>
        <v>104</v>
      </c>
      <c r="B105" s="6">
        <v>46143</v>
      </c>
      <c r="C105" s="6" t="s">
        <v>15</v>
      </c>
      <c r="D105" s="5" t="s">
        <v>16</v>
      </c>
      <c r="E105" s="5" t="s">
        <v>44</v>
      </c>
      <c r="F105" s="5" t="s">
        <v>49</v>
      </c>
      <c r="G105" s="5" t="s">
        <v>19</v>
      </c>
      <c r="H105" s="7" t="s">
        <v>28</v>
      </c>
      <c r="I105" s="13" t="s">
        <v>24</v>
      </c>
      <c r="J105" s="7"/>
      <c r="K105" s="8">
        <v>45836</v>
      </c>
      <c r="L105" s="9">
        <v>700000</v>
      </c>
      <c r="M105" s="10">
        <v>12</v>
      </c>
      <c r="N105" s="9">
        <f t="shared" si="2"/>
        <v>58333.333333333336</v>
      </c>
      <c r="O105" s="11">
        <f t="shared" si="3"/>
        <v>46170</v>
      </c>
      <c r="P105" s="12"/>
    </row>
    <row r="106" spans="1:16" ht="15.75" x14ac:dyDescent="0.25">
      <c r="A106" s="5">
        <f>SUBTOTAL(3,$B$2:B106)</f>
        <v>105</v>
      </c>
      <c r="B106" s="6">
        <v>46143</v>
      </c>
      <c r="C106" s="6" t="s">
        <v>15</v>
      </c>
      <c r="D106" s="5" t="s">
        <v>16</v>
      </c>
      <c r="E106" s="5" t="s">
        <v>44</v>
      </c>
      <c r="F106" s="5" t="s">
        <v>49</v>
      </c>
      <c r="G106" s="5" t="s">
        <v>19</v>
      </c>
      <c r="H106" s="7" t="s">
        <v>29</v>
      </c>
      <c r="I106" s="13" t="s">
        <v>24</v>
      </c>
      <c r="J106" s="7"/>
      <c r="K106" s="8">
        <v>45836</v>
      </c>
      <c r="L106" s="9">
        <v>700000</v>
      </c>
      <c r="M106" s="10">
        <v>12</v>
      </c>
      <c r="N106" s="9">
        <f t="shared" si="2"/>
        <v>58333.333333333336</v>
      </c>
      <c r="O106" s="11">
        <f t="shared" si="3"/>
        <v>46170</v>
      </c>
      <c r="P106" s="12"/>
    </row>
    <row r="107" spans="1:16" ht="15.75" x14ac:dyDescent="0.25">
      <c r="A107" s="5">
        <f>SUBTOTAL(3,$B$2:B107)</f>
        <v>106</v>
      </c>
      <c r="B107" s="6">
        <v>46143</v>
      </c>
      <c r="C107" s="6" t="s">
        <v>15</v>
      </c>
      <c r="D107" s="5" t="s">
        <v>16</v>
      </c>
      <c r="E107" s="5" t="s">
        <v>44</v>
      </c>
      <c r="F107" s="5" t="s">
        <v>49</v>
      </c>
      <c r="G107" s="5" t="s">
        <v>19</v>
      </c>
      <c r="H107" s="7" t="s">
        <v>30</v>
      </c>
      <c r="I107" s="13" t="s">
        <v>24</v>
      </c>
      <c r="J107" s="7"/>
      <c r="K107" s="8">
        <v>45836</v>
      </c>
      <c r="L107" s="9">
        <v>700000</v>
      </c>
      <c r="M107" s="10">
        <v>12</v>
      </c>
      <c r="N107" s="9">
        <f t="shared" si="2"/>
        <v>58333.333333333336</v>
      </c>
      <c r="O107" s="11">
        <f t="shared" si="3"/>
        <v>46170</v>
      </c>
      <c r="P107" s="12"/>
    </row>
    <row r="108" spans="1:16" ht="15.75" x14ac:dyDescent="0.25">
      <c r="A108" s="5">
        <f>SUBTOTAL(3,$B$2:B108)</f>
        <v>107</v>
      </c>
      <c r="B108" s="6">
        <v>46143</v>
      </c>
      <c r="C108" s="6" t="s">
        <v>15</v>
      </c>
      <c r="D108" s="5" t="s">
        <v>16</v>
      </c>
      <c r="E108" s="5" t="s">
        <v>44</v>
      </c>
      <c r="F108" s="5" t="s">
        <v>49</v>
      </c>
      <c r="G108" s="5" t="s">
        <v>19</v>
      </c>
      <c r="H108" s="7" t="s">
        <v>31</v>
      </c>
      <c r="I108" s="7" t="s">
        <v>24</v>
      </c>
      <c r="J108" s="7"/>
      <c r="K108" s="8">
        <v>45836</v>
      </c>
      <c r="L108" s="9">
        <v>700000</v>
      </c>
      <c r="M108" s="10">
        <v>12</v>
      </c>
      <c r="N108" s="9">
        <f t="shared" si="2"/>
        <v>58333.333333333336</v>
      </c>
      <c r="O108" s="11">
        <f t="shared" si="3"/>
        <v>46170</v>
      </c>
      <c r="P108" s="12"/>
    </row>
    <row r="109" spans="1:16" ht="15.75" x14ac:dyDescent="0.25">
      <c r="A109" s="5">
        <f>SUBTOTAL(3,$B$2:B109)</f>
        <v>108</v>
      </c>
      <c r="B109" s="6">
        <v>46143</v>
      </c>
      <c r="C109" s="6" t="s">
        <v>15</v>
      </c>
      <c r="D109" s="5" t="s">
        <v>16</v>
      </c>
      <c r="E109" s="5" t="s">
        <v>44</v>
      </c>
      <c r="F109" s="5" t="s">
        <v>49</v>
      </c>
      <c r="G109" s="5" t="s">
        <v>19</v>
      </c>
      <c r="H109" s="7" t="s">
        <v>32</v>
      </c>
      <c r="I109" s="7" t="s">
        <v>24</v>
      </c>
      <c r="J109" s="7"/>
      <c r="K109" s="8">
        <v>45836</v>
      </c>
      <c r="L109" s="9">
        <v>700000</v>
      </c>
      <c r="M109" s="10">
        <v>12</v>
      </c>
      <c r="N109" s="9">
        <f t="shared" si="2"/>
        <v>58333.333333333336</v>
      </c>
      <c r="O109" s="11">
        <f t="shared" si="3"/>
        <v>46170</v>
      </c>
      <c r="P109" s="12"/>
    </row>
    <row r="110" spans="1:16" ht="15.75" x14ac:dyDescent="0.25">
      <c r="A110" s="5">
        <f>SUBTOTAL(3,$B$2:B110)</f>
        <v>109</v>
      </c>
      <c r="B110" s="6">
        <v>46143</v>
      </c>
      <c r="C110" s="6" t="s">
        <v>15</v>
      </c>
      <c r="D110" s="5" t="s">
        <v>16</v>
      </c>
      <c r="E110" s="5" t="s">
        <v>44</v>
      </c>
      <c r="F110" s="5" t="s">
        <v>49</v>
      </c>
      <c r="G110" s="5" t="s">
        <v>19</v>
      </c>
      <c r="H110" s="7" t="s">
        <v>33</v>
      </c>
      <c r="I110" s="7" t="s">
        <v>24</v>
      </c>
      <c r="J110" s="7"/>
      <c r="K110" s="8">
        <v>46082</v>
      </c>
      <c r="L110" s="9">
        <v>700000</v>
      </c>
      <c r="M110" s="10">
        <v>12</v>
      </c>
      <c r="N110" s="9">
        <f t="shared" si="2"/>
        <v>58333.333333333336</v>
      </c>
      <c r="O110" s="11">
        <f t="shared" si="3"/>
        <v>46419</v>
      </c>
      <c r="P110" s="12"/>
    </row>
    <row r="111" spans="1:16" ht="15.75" x14ac:dyDescent="0.25">
      <c r="A111" s="5">
        <f>SUBTOTAL(3,$B$2:B111)</f>
        <v>110</v>
      </c>
      <c r="B111" s="6">
        <v>46143</v>
      </c>
      <c r="C111" s="6" t="s">
        <v>15</v>
      </c>
      <c r="D111" s="5" t="s">
        <v>16</v>
      </c>
      <c r="E111" s="5" t="s">
        <v>44</v>
      </c>
      <c r="F111" s="5" t="s">
        <v>49</v>
      </c>
      <c r="G111" s="5" t="s">
        <v>19</v>
      </c>
      <c r="H111" s="7" t="s">
        <v>34</v>
      </c>
      <c r="I111" s="7" t="s">
        <v>24</v>
      </c>
      <c r="J111" s="7"/>
      <c r="K111" s="8">
        <v>46082</v>
      </c>
      <c r="L111" s="9">
        <v>700000</v>
      </c>
      <c r="M111" s="10">
        <v>12</v>
      </c>
      <c r="N111" s="9">
        <f t="shared" si="2"/>
        <v>58333.333333333336</v>
      </c>
      <c r="O111" s="11">
        <f t="shared" si="3"/>
        <v>46419</v>
      </c>
      <c r="P111" s="12"/>
    </row>
    <row r="112" spans="1:16" ht="15.75" x14ac:dyDescent="0.25">
      <c r="A112" s="5">
        <f>SUBTOTAL(3,$B$2:B112)</f>
        <v>111</v>
      </c>
      <c r="B112" s="6">
        <v>46143</v>
      </c>
      <c r="C112" s="6" t="s">
        <v>15</v>
      </c>
      <c r="D112" s="5" t="s">
        <v>16</v>
      </c>
      <c r="E112" s="5" t="s">
        <v>44</v>
      </c>
      <c r="F112" s="5" t="s">
        <v>49</v>
      </c>
      <c r="G112" s="5" t="s">
        <v>19</v>
      </c>
      <c r="H112" s="7" t="s">
        <v>35</v>
      </c>
      <c r="I112" s="7" t="s">
        <v>24</v>
      </c>
      <c r="J112" s="7"/>
      <c r="K112" s="8">
        <v>46082</v>
      </c>
      <c r="L112" s="9">
        <v>700000</v>
      </c>
      <c r="M112" s="10">
        <v>12</v>
      </c>
      <c r="N112" s="9">
        <f t="shared" si="2"/>
        <v>58333.333333333336</v>
      </c>
      <c r="O112" s="11">
        <f t="shared" si="3"/>
        <v>46419</v>
      </c>
      <c r="P112" s="12"/>
    </row>
    <row r="113" spans="1:16" ht="15.75" x14ac:dyDescent="0.25">
      <c r="A113" s="5">
        <f>SUBTOTAL(3,$B$2:B113)</f>
        <v>112</v>
      </c>
      <c r="B113" s="6">
        <v>46143</v>
      </c>
      <c r="C113" s="6" t="s">
        <v>15</v>
      </c>
      <c r="D113" s="5" t="s">
        <v>16</v>
      </c>
      <c r="E113" s="5" t="s">
        <v>44</v>
      </c>
      <c r="F113" s="5" t="s">
        <v>49</v>
      </c>
      <c r="G113" s="5" t="s">
        <v>19</v>
      </c>
      <c r="H113" s="7" t="s">
        <v>36</v>
      </c>
      <c r="I113" s="7" t="s">
        <v>24</v>
      </c>
      <c r="J113" s="7"/>
      <c r="K113" s="8">
        <v>46082</v>
      </c>
      <c r="L113" s="9">
        <v>700000</v>
      </c>
      <c r="M113" s="10">
        <v>12</v>
      </c>
      <c r="N113" s="9">
        <f t="shared" si="2"/>
        <v>58333.333333333336</v>
      </c>
      <c r="O113" s="11">
        <f t="shared" si="3"/>
        <v>46419</v>
      </c>
      <c r="P113" s="12"/>
    </row>
    <row r="114" spans="1:16" ht="15.75" x14ac:dyDescent="0.25">
      <c r="A114" s="5">
        <f>SUBTOTAL(3,$B$2:B114)</f>
        <v>113</v>
      </c>
      <c r="B114" s="6">
        <v>46143</v>
      </c>
      <c r="C114" s="6" t="s">
        <v>15</v>
      </c>
      <c r="D114" s="5" t="s">
        <v>16</v>
      </c>
      <c r="E114" s="5" t="s">
        <v>44</v>
      </c>
      <c r="F114" s="5" t="s">
        <v>49</v>
      </c>
      <c r="G114" s="5" t="s">
        <v>19</v>
      </c>
      <c r="H114" s="7" t="s">
        <v>37</v>
      </c>
      <c r="I114" s="7" t="s">
        <v>24</v>
      </c>
      <c r="J114" s="7"/>
      <c r="K114" s="8">
        <v>46082</v>
      </c>
      <c r="L114" s="9">
        <v>700000</v>
      </c>
      <c r="M114" s="10">
        <v>12</v>
      </c>
      <c r="N114" s="9">
        <f t="shared" si="2"/>
        <v>58333.333333333336</v>
      </c>
      <c r="O114" s="11">
        <f t="shared" si="3"/>
        <v>46419</v>
      </c>
      <c r="P114" s="12"/>
    </row>
    <row r="115" spans="1:16" ht="15.75" x14ac:dyDescent="0.25">
      <c r="A115" s="5">
        <f>SUBTOTAL(3,$B$2:B115)</f>
        <v>114</v>
      </c>
      <c r="B115" s="6">
        <v>46143</v>
      </c>
      <c r="C115" s="6" t="s">
        <v>15</v>
      </c>
      <c r="D115" s="5" t="s">
        <v>16</v>
      </c>
      <c r="E115" s="5" t="s">
        <v>44</v>
      </c>
      <c r="F115" s="5" t="s">
        <v>49</v>
      </c>
      <c r="G115" s="5" t="s">
        <v>19</v>
      </c>
      <c r="H115" s="7" t="s">
        <v>38</v>
      </c>
      <c r="I115" s="7" t="s">
        <v>21</v>
      </c>
      <c r="J115" s="7"/>
      <c r="K115" s="8">
        <v>46113</v>
      </c>
      <c r="L115" s="9">
        <v>700000</v>
      </c>
      <c r="M115" s="10">
        <v>12</v>
      </c>
      <c r="N115" s="9">
        <f t="shared" si="2"/>
        <v>58333.333333333336</v>
      </c>
      <c r="O115" s="11">
        <f t="shared" si="3"/>
        <v>46447</v>
      </c>
      <c r="P115" s="12"/>
    </row>
    <row r="116" spans="1:16" ht="15.75" x14ac:dyDescent="0.25">
      <c r="A116" s="5">
        <f>SUBTOTAL(3,$B$2:B116)</f>
        <v>115</v>
      </c>
      <c r="B116" s="6">
        <v>46143</v>
      </c>
      <c r="C116" s="6" t="s">
        <v>15</v>
      </c>
      <c r="D116" s="5" t="s">
        <v>50</v>
      </c>
      <c r="E116" s="5" t="s">
        <v>51</v>
      </c>
      <c r="F116" s="5" t="s">
        <v>52</v>
      </c>
      <c r="G116" s="5" t="s">
        <v>19</v>
      </c>
      <c r="H116" s="7"/>
      <c r="I116" s="7"/>
      <c r="J116" s="7"/>
      <c r="K116" s="8">
        <v>45413</v>
      </c>
      <c r="L116" s="9">
        <v>7440000</v>
      </c>
      <c r="M116" s="10">
        <v>24</v>
      </c>
      <c r="N116" s="9" t="str">
        <f t="shared" si="2"/>
        <v/>
      </c>
      <c r="O116" s="11">
        <f t="shared" si="3"/>
        <v>46113</v>
      </c>
      <c r="P116" s="5"/>
    </row>
    <row r="117" spans="1:16" ht="15.75" x14ac:dyDescent="0.25">
      <c r="A117" s="5">
        <f>SUBTOTAL(3,$B$2:B117)</f>
        <v>116</v>
      </c>
      <c r="B117" s="6">
        <v>46143</v>
      </c>
      <c r="C117" s="6" t="s">
        <v>15</v>
      </c>
      <c r="D117" s="5" t="s">
        <v>50</v>
      </c>
      <c r="E117" s="5" t="s">
        <v>51</v>
      </c>
      <c r="F117" s="5" t="s">
        <v>53</v>
      </c>
      <c r="G117" s="5" t="s">
        <v>19</v>
      </c>
      <c r="H117" s="7"/>
      <c r="I117" s="7"/>
      <c r="J117" s="7"/>
      <c r="K117" s="8">
        <v>45413</v>
      </c>
      <c r="L117" s="9">
        <v>18800000</v>
      </c>
      <c r="M117" s="10">
        <v>24</v>
      </c>
      <c r="N117" s="9" t="str">
        <f t="shared" si="2"/>
        <v/>
      </c>
      <c r="O117" s="11">
        <f t="shared" si="3"/>
        <v>46113</v>
      </c>
      <c r="P117" s="5"/>
    </row>
    <row r="118" spans="1:16" ht="15.75" x14ac:dyDescent="0.25">
      <c r="A118" s="5">
        <f>SUBTOTAL(3,$B$2:B118)</f>
        <v>117</v>
      </c>
      <c r="B118" s="6">
        <v>46143</v>
      </c>
      <c r="C118" s="6" t="s">
        <v>15</v>
      </c>
      <c r="D118" s="5" t="s">
        <v>50</v>
      </c>
      <c r="E118" s="5" t="s">
        <v>51</v>
      </c>
      <c r="F118" s="5" t="s">
        <v>54</v>
      </c>
      <c r="G118" s="5" t="s">
        <v>19</v>
      </c>
      <c r="H118" s="7"/>
      <c r="I118" s="7"/>
      <c r="J118" s="7"/>
      <c r="K118" s="8">
        <v>45566</v>
      </c>
      <c r="L118" s="9">
        <v>8993000</v>
      </c>
      <c r="M118" s="10">
        <v>24</v>
      </c>
      <c r="N118" s="9">
        <f t="shared" si="2"/>
        <v>374708.33333333331</v>
      </c>
      <c r="O118" s="11">
        <f t="shared" si="3"/>
        <v>46266</v>
      </c>
      <c r="P118" s="5"/>
    </row>
    <row r="119" spans="1:16" ht="15.75" x14ac:dyDescent="0.25">
      <c r="A119" s="5">
        <f>SUBTOTAL(3,$B$2:B119)</f>
        <v>118</v>
      </c>
      <c r="B119" s="6">
        <v>46143</v>
      </c>
      <c r="C119" s="6" t="s">
        <v>15</v>
      </c>
      <c r="D119" s="5" t="s">
        <v>50</v>
      </c>
      <c r="E119" s="5" t="s">
        <v>51</v>
      </c>
      <c r="F119" s="5" t="s">
        <v>55</v>
      </c>
      <c r="G119" s="5" t="s">
        <v>19</v>
      </c>
      <c r="H119" s="7"/>
      <c r="I119" s="7"/>
      <c r="J119" s="7"/>
      <c r="K119" s="8">
        <v>45962</v>
      </c>
      <c r="L119" s="9">
        <v>1842593</v>
      </c>
      <c r="M119" s="10">
        <v>12</v>
      </c>
      <c r="N119" s="9">
        <f t="shared" si="2"/>
        <v>153549.41666666666</v>
      </c>
      <c r="O119" s="11">
        <f t="shared" si="3"/>
        <v>46296</v>
      </c>
      <c r="P119" s="5"/>
    </row>
    <row r="120" spans="1:16" ht="15.75" x14ac:dyDescent="0.25">
      <c r="A120" s="5">
        <f>SUBTOTAL(3,$B$2:B120)</f>
        <v>119</v>
      </c>
      <c r="B120" s="6">
        <v>46143</v>
      </c>
      <c r="C120" s="6" t="s">
        <v>15</v>
      </c>
      <c r="D120" s="5" t="s">
        <v>56</v>
      </c>
      <c r="E120" s="5" t="s">
        <v>57</v>
      </c>
      <c r="F120" s="5" t="s">
        <v>58</v>
      </c>
      <c r="G120" s="5" t="s">
        <v>59</v>
      </c>
      <c r="H120" s="7" t="s">
        <v>20</v>
      </c>
      <c r="I120" s="7" t="s">
        <v>21</v>
      </c>
      <c r="J120" s="31">
        <f>VLOOKUP(H120,'KM sử dụng T5'!A:H,8,0)</f>
        <v>3064.9499999999971</v>
      </c>
      <c r="K120" s="8">
        <v>46143</v>
      </c>
      <c r="L120" s="9">
        <f>J120*SUMIFS('Đơn giá SCBD'!F:F,'Đơn giá SCBD'!A:A,'Chi tiết'!F120,'Đơn giá SCBD'!B:B,'Chi tiết'!I120)</f>
        <v>393079.83749999962</v>
      </c>
      <c r="M120" s="10">
        <v>1</v>
      </c>
      <c r="N120" s="9">
        <f t="shared" si="2"/>
        <v>393079.83749999962</v>
      </c>
      <c r="O120" s="11">
        <f t="shared" si="3"/>
        <v>46143</v>
      </c>
      <c r="P120" s="12"/>
    </row>
    <row r="121" spans="1:16" ht="15.75" x14ac:dyDescent="0.25">
      <c r="A121" s="5">
        <f>SUBTOTAL(3,$B$2:B121)</f>
        <v>120</v>
      </c>
      <c r="B121" s="6">
        <v>46143</v>
      </c>
      <c r="C121" s="6" t="s">
        <v>15</v>
      </c>
      <c r="D121" s="5" t="s">
        <v>56</v>
      </c>
      <c r="E121" s="5" t="s">
        <v>57</v>
      </c>
      <c r="F121" s="5" t="s">
        <v>58</v>
      </c>
      <c r="G121" s="5" t="s">
        <v>59</v>
      </c>
      <c r="H121" s="7" t="s">
        <v>22</v>
      </c>
      <c r="I121" s="7" t="s">
        <v>21</v>
      </c>
      <c r="J121" s="31">
        <f>VLOOKUP(H121,'KM sử dụng T5'!A:H,8,0)</f>
        <v>2453</v>
      </c>
      <c r="K121" s="8">
        <v>46143</v>
      </c>
      <c r="L121" s="9">
        <f>J121*SUMIFS('Đơn giá SCBD'!F:F,'Đơn giá SCBD'!A:A,'Chi tiết'!F121,'Đơn giá SCBD'!B:B,'Chi tiết'!I121)</f>
        <v>314597.25</v>
      </c>
      <c r="M121" s="10">
        <v>1</v>
      </c>
      <c r="N121" s="9">
        <f t="shared" si="2"/>
        <v>314597.25</v>
      </c>
      <c r="O121" s="11">
        <f t="shared" si="3"/>
        <v>46143</v>
      </c>
      <c r="P121" s="12"/>
    </row>
    <row r="122" spans="1:16" ht="15.75" x14ac:dyDescent="0.25">
      <c r="A122" s="5">
        <f>SUBTOTAL(3,$B$2:B122)</f>
        <v>121</v>
      </c>
      <c r="B122" s="6">
        <v>46143</v>
      </c>
      <c r="C122" s="6" t="s">
        <v>15</v>
      </c>
      <c r="D122" s="5" t="s">
        <v>56</v>
      </c>
      <c r="E122" s="5" t="s">
        <v>57</v>
      </c>
      <c r="F122" s="5" t="s">
        <v>58</v>
      </c>
      <c r="G122" s="5" t="s">
        <v>59</v>
      </c>
      <c r="H122" s="7" t="s">
        <v>38</v>
      </c>
      <c r="I122" s="7" t="s">
        <v>21</v>
      </c>
      <c r="J122" s="31">
        <f>VLOOKUP(H122,'KM sử dụng T5'!A:H,8,0)</f>
        <v>1487</v>
      </c>
      <c r="K122" s="8">
        <v>46143</v>
      </c>
      <c r="L122" s="9">
        <f>J122*SUMIFS('Đơn giá SCBD'!F:F,'Đơn giá SCBD'!A:A,'Chi tiết'!F122,'Đơn giá SCBD'!B:B,'Chi tiết'!I122)</f>
        <v>190707.75</v>
      </c>
      <c r="M122" s="10">
        <v>1</v>
      </c>
      <c r="N122" s="9">
        <f t="shared" si="2"/>
        <v>190707.75</v>
      </c>
      <c r="O122" s="11">
        <f t="shared" si="3"/>
        <v>46143</v>
      </c>
      <c r="P122" s="12"/>
    </row>
    <row r="123" spans="1:16" ht="15.75" x14ac:dyDescent="0.25">
      <c r="A123" s="5">
        <f>SUBTOTAL(3,$B$2:B123)</f>
        <v>122</v>
      </c>
      <c r="B123" s="6">
        <v>46143</v>
      </c>
      <c r="C123" s="6" t="s">
        <v>15</v>
      </c>
      <c r="D123" s="5" t="s">
        <v>56</v>
      </c>
      <c r="E123" s="5" t="s">
        <v>57</v>
      </c>
      <c r="F123" s="5" t="s">
        <v>58</v>
      </c>
      <c r="G123" s="5" t="s">
        <v>59</v>
      </c>
      <c r="H123" s="7" t="s">
        <v>179</v>
      </c>
      <c r="I123" s="7" t="s">
        <v>93</v>
      </c>
      <c r="J123" s="31">
        <f>VLOOKUP(H123,'KM sử dụng T5'!A:H,8,0)</f>
        <v>1818.5699999999488</v>
      </c>
      <c r="K123" s="8">
        <v>46143</v>
      </c>
      <c r="L123" s="9">
        <f>J123*SUMIFS('Đơn giá SCBD'!F:F,'Đơn giá SCBD'!A:A,'Chi tiết'!F123,'Đơn giá SCBD'!B:B,'Chi tiết'!I123)</f>
        <v>184130.21249999481</v>
      </c>
      <c r="M123" s="10">
        <v>1</v>
      </c>
      <c r="N123" s="9">
        <f t="shared" ref="N123:N186" si="4">IF(B123&gt;O123,"",L123/M123)</f>
        <v>184130.21249999481</v>
      </c>
      <c r="O123" s="11">
        <f t="shared" ref="O123:O186" si="5">EDATE(K123, M123-1)</f>
        <v>46143</v>
      </c>
      <c r="P123" s="12"/>
    </row>
    <row r="124" spans="1:16" ht="15.75" x14ac:dyDescent="0.25">
      <c r="A124" s="5">
        <f>SUBTOTAL(3,$B$2:B124)</f>
        <v>123</v>
      </c>
      <c r="B124" s="6">
        <v>46143</v>
      </c>
      <c r="C124" s="6" t="s">
        <v>15</v>
      </c>
      <c r="D124" s="5" t="s">
        <v>56</v>
      </c>
      <c r="E124" s="5" t="s">
        <v>57</v>
      </c>
      <c r="F124" s="5" t="s">
        <v>58</v>
      </c>
      <c r="G124" s="5" t="s">
        <v>59</v>
      </c>
      <c r="H124" s="7" t="s">
        <v>178</v>
      </c>
      <c r="I124" s="7" t="s">
        <v>93</v>
      </c>
      <c r="J124" s="31">
        <f>VLOOKUP(H124,'KM sử dụng T5'!A:H,8,0)</f>
        <v>2432.140000000014</v>
      </c>
      <c r="K124" s="8">
        <v>46143</v>
      </c>
      <c r="L124" s="9">
        <f>J124*SUMIFS('Đơn giá SCBD'!F:F,'Đơn giá SCBD'!A:A,'Chi tiết'!F124,'Đơn giá SCBD'!B:B,'Chi tiết'!I124)</f>
        <v>246254.17500000141</v>
      </c>
      <c r="M124" s="10">
        <v>1</v>
      </c>
      <c r="N124" s="9">
        <f t="shared" si="4"/>
        <v>246254.17500000141</v>
      </c>
      <c r="O124" s="11">
        <f t="shared" si="5"/>
        <v>46143</v>
      </c>
      <c r="P124" s="12"/>
    </row>
    <row r="125" spans="1:16" ht="15.75" x14ac:dyDescent="0.25">
      <c r="A125" s="5">
        <f>SUBTOTAL(3,$B$2:B125)</f>
        <v>124</v>
      </c>
      <c r="B125" s="6">
        <v>46143</v>
      </c>
      <c r="C125" s="6" t="s">
        <v>15</v>
      </c>
      <c r="D125" s="5" t="s">
        <v>56</v>
      </c>
      <c r="E125" s="5" t="s">
        <v>57</v>
      </c>
      <c r="F125" s="5" t="s">
        <v>58</v>
      </c>
      <c r="G125" s="5" t="s">
        <v>59</v>
      </c>
      <c r="H125" s="7" t="s">
        <v>177</v>
      </c>
      <c r="I125" s="7" t="s">
        <v>93</v>
      </c>
      <c r="J125" s="31">
        <f>VLOOKUP(H125,'KM sử dụng T5'!A:H,8,0)</f>
        <v>2838.3699999999953</v>
      </c>
      <c r="K125" s="8">
        <v>46143</v>
      </c>
      <c r="L125" s="9">
        <f>J125*SUMIFS('Đơn giá SCBD'!F:F,'Đơn giá SCBD'!A:A,'Chi tiết'!F125,'Đơn giá SCBD'!B:B,'Chi tiết'!I125)</f>
        <v>287384.96249999956</v>
      </c>
      <c r="M125" s="10">
        <v>1</v>
      </c>
      <c r="N125" s="9">
        <f t="shared" si="4"/>
        <v>287384.96249999956</v>
      </c>
      <c r="O125" s="11">
        <f t="shared" si="5"/>
        <v>46143</v>
      </c>
      <c r="P125" s="12"/>
    </row>
    <row r="126" spans="1:16" ht="15.75" x14ac:dyDescent="0.25">
      <c r="A126" s="5">
        <f>SUBTOTAL(3,$B$2:B126)</f>
        <v>125</v>
      </c>
      <c r="B126" s="6">
        <v>46143</v>
      </c>
      <c r="C126" s="6" t="s">
        <v>15</v>
      </c>
      <c r="D126" s="5" t="s">
        <v>56</v>
      </c>
      <c r="E126" s="5" t="s">
        <v>57</v>
      </c>
      <c r="F126" s="5" t="s">
        <v>60</v>
      </c>
      <c r="G126" s="5" t="s">
        <v>59</v>
      </c>
      <c r="H126" s="7" t="s">
        <v>27</v>
      </c>
      <c r="I126" s="7" t="s">
        <v>24</v>
      </c>
      <c r="J126" s="31">
        <f>VLOOKUP(H126,'KM sử dụng T5'!A:H,8,0)</f>
        <v>5509</v>
      </c>
      <c r="K126" s="8">
        <v>46143</v>
      </c>
      <c r="L126" s="9">
        <f>J126*SUMIFS('Đơn giá SCBD'!F:F,'Đơn giá SCBD'!A:A,'Chi tiết'!F126,'Đơn giá SCBD'!B:B,'Chi tiết'!I126)</f>
        <v>991620</v>
      </c>
      <c r="M126" s="10">
        <v>1</v>
      </c>
      <c r="N126" s="9">
        <f t="shared" si="4"/>
        <v>991620</v>
      </c>
      <c r="O126" s="11">
        <f t="shared" si="5"/>
        <v>46143</v>
      </c>
      <c r="P126" s="12"/>
    </row>
    <row r="127" spans="1:16" ht="15.75" x14ac:dyDescent="0.25">
      <c r="A127" s="5">
        <f>SUBTOTAL(3,$B$2:B127)</f>
        <v>126</v>
      </c>
      <c r="B127" s="6">
        <v>46143</v>
      </c>
      <c r="C127" s="6" t="s">
        <v>15</v>
      </c>
      <c r="D127" s="5" t="s">
        <v>56</v>
      </c>
      <c r="E127" s="5" t="s">
        <v>57</v>
      </c>
      <c r="F127" s="5" t="s">
        <v>60</v>
      </c>
      <c r="G127" s="5" t="s">
        <v>59</v>
      </c>
      <c r="H127" s="7" t="s">
        <v>23</v>
      </c>
      <c r="I127" s="7" t="s">
        <v>24</v>
      </c>
      <c r="J127" s="31">
        <f>VLOOKUP(H127,'KM sử dụng T5'!A:H,8,0)</f>
        <v>4916</v>
      </c>
      <c r="K127" s="8">
        <v>46143</v>
      </c>
      <c r="L127" s="9">
        <f>J127*SUMIFS('Đơn giá SCBD'!F:F,'Đơn giá SCBD'!A:A,'Chi tiết'!F127,'Đơn giá SCBD'!B:B,'Chi tiết'!I127)</f>
        <v>884880</v>
      </c>
      <c r="M127" s="10">
        <v>1</v>
      </c>
      <c r="N127" s="9">
        <f t="shared" si="4"/>
        <v>884880</v>
      </c>
      <c r="O127" s="11">
        <f t="shared" si="5"/>
        <v>46143</v>
      </c>
      <c r="P127" s="12"/>
    </row>
    <row r="128" spans="1:16" ht="15.75" x14ac:dyDescent="0.25">
      <c r="A128" s="5">
        <f>SUBTOTAL(3,$B$2:B128)</f>
        <v>127</v>
      </c>
      <c r="B128" s="6">
        <v>46143</v>
      </c>
      <c r="C128" s="6" t="s">
        <v>15</v>
      </c>
      <c r="D128" s="5" t="s">
        <v>56</v>
      </c>
      <c r="E128" s="5" t="s">
        <v>57</v>
      </c>
      <c r="F128" s="5" t="s">
        <v>60</v>
      </c>
      <c r="G128" s="5" t="s">
        <v>59</v>
      </c>
      <c r="H128" s="7" t="s">
        <v>31</v>
      </c>
      <c r="I128" s="7" t="s">
        <v>24</v>
      </c>
      <c r="J128" s="31">
        <f>VLOOKUP(H128,'KM sử dụng T5'!A:H,8,0)</f>
        <v>3064</v>
      </c>
      <c r="K128" s="8">
        <v>46143</v>
      </c>
      <c r="L128" s="9">
        <f>J128*SUMIFS('Đơn giá SCBD'!F:F,'Đơn giá SCBD'!A:A,'Chi tiết'!F128,'Đơn giá SCBD'!B:B,'Chi tiết'!I128)</f>
        <v>551520</v>
      </c>
      <c r="M128" s="10">
        <v>1</v>
      </c>
      <c r="N128" s="9">
        <f t="shared" si="4"/>
        <v>551520</v>
      </c>
      <c r="O128" s="11">
        <f t="shared" si="5"/>
        <v>46143</v>
      </c>
      <c r="P128" s="12"/>
    </row>
    <row r="129" spans="1:16" ht="15.75" x14ac:dyDescent="0.25">
      <c r="A129" s="5">
        <f>SUBTOTAL(3,$B$2:B129)</f>
        <v>128</v>
      </c>
      <c r="B129" s="6">
        <v>46143</v>
      </c>
      <c r="C129" s="6" t="s">
        <v>15</v>
      </c>
      <c r="D129" s="5" t="s">
        <v>56</v>
      </c>
      <c r="E129" s="5" t="s">
        <v>57</v>
      </c>
      <c r="F129" s="5" t="s">
        <v>60</v>
      </c>
      <c r="G129" s="5" t="s">
        <v>59</v>
      </c>
      <c r="H129" s="7" t="s">
        <v>28</v>
      </c>
      <c r="I129" s="7" t="s">
        <v>24</v>
      </c>
      <c r="J129" s="31">
        <f>VLOOKUP(H129,'KM sử dụng T5'!A:H,8,0)</f>
        <v>4830</v>
      </c>
      <c r="K129" s="8">
        <v>46143</v>
      </c>
      <c r="L129" s="9">
        <f>J129*SUMIFS('Đơn giá SCBD'!F:F,'Đơn giá SCBD'!A:A,'Chi tiết'!F129,'Đơn giá SCBD'!B:B,'Chi tiết'!I129)</f>
        <v>869400</v>
      </c>
      <c r="M129" s="10">
        <v>1</v>
      </c>
      <c r="N129" s="9">
        <f t="shared" si="4"/>
        <v>869400</v>
      </c>
      <c r="O129" s="11">
        <f t="shared" si="5"/>
        <v>46143</v>
      </c>
      <c r="P129" s="12"/>
    </row>
    <row r="130" spans="1:16" ht="15.75" x14ac:dyDescent="0.25">
      <c r="A130" s="5">
        <f>SUBTOTAL(3,$B$2:B130)</f>
        <v>129</v>
      </c>
      <c r="B130" s="6">
        <v>46143</v>
      </c>
      <c r="C130" s="6" t="s">
        <v>15</v>
      </c>
      <c r="D130" s="5" t="s">
        <v>56</v>
      </c>
      <c r="E130" s="5" t="s">
        <v>57</v>
      </c>
      <c r="F130" s="5" t="s">
        <v>60</v>
      </c>
      <c r="G130" s="5" t="s">
        <v>59</v>
      </c>
      <c r="H130" s="7" t="s">
        <v>29</v>
      </c>
      <c r="I130" s="7" t="s">
        <v>24</v>
      </c>
      <c r="J130" s="31">
        <f>VLOOKUP(H130,'KM sử dụng T5'!A:H,8,0)</f>
        <v>4153</v>
      </c>
      <c r="K130" s="8">
        <v>46143</v>
      </c>
      <c r="L130" s="9">
        <f>J130*SUMIFS('Đơn giá SCBD'!F:F,'Đơn giá SCBD'!A:A,'Chi tiết'!F130,'Đơn giá SCBD'!B:B,'Chi tiết'!I130)</f>
        <v>747540</v>
      </c>
      <c r="M130" s="10">
        <v>1</v>
      </c>
      <c r="N130" s="9">
        <f t="shared" si="4"/>
        <v>747540</v>
      </c>
      <c r="O130" s="11">
        <f t="shared" si="5"/>
        <v>46143</v>
      </c>
      <c r="P130" s="12"/>
    </row>
    <row r="131" spans="1:16" ht="15.75" x14ac:dyDescent="0.25">
      <c r="A131" s="5">
        <f>SUBTOTAL(3,$B$2:B131)</f>
        <v>130</v>
      </c>
      <c r="B131" s="6">
        <v>46143</v>
      </c>
      <c r="C131" s="6" t="s">
        <v>15</v>
      </c>
      <c r="D131" s="5" t="s">
        <v>56</v>
      </c>
      <c r="E131" s="5" t="s">
        <v>57</v>
      </c>
      <c r="F131" s="5" t="s">
        <v>60</v>
      </c>
      <c r="G131" s="5" t="s">
        <v>59</v>
      </c>
      <c r="H131" s="7" t="s">
        <v>32</v>
      </c>
      <c r="I131" s="7" t="s">
        <v>24</v>
      </c>
      <c r="J131" s="31">
        <f>VLOOKUP(H131,'KM sử dụng T5'!A:H,8,0)</f>
        <v>656.66999999999825</v>
      </c>
      <c r="K131" s="8">
        <v>46143</v>
      </c>
      <c r="L131" s="9">
        <f>J131*SUMIFS('Đơn giá SCBD'!F:F,'Đơn giá SCBD'!A:A,'Chi tiết'!F131,'Đơn giá SCBD'!B:B,'Chi tiết'!I131)</f>
        <v>118200.59999999969</v>
      </c>
      <c r="M131" s="10">
        <v>1</v>
      </c>
      <c r="N131" s="9">
        <f t="shared" si="4"/>
        <v>118200.59999999969</v>
      </c>
      <c r="O131" s="11">
        <f t="shared" si="5"/>
        <v>46143</v>
      </c>
      <c r="P131" s="12"/>
    </row>
    <row r="132" spans="1:16" ht="15.75" x14ac:dyDescent="0.25">
      <c r="A132" s="5">
        <f>SUBTOTAL(3,$B$2:B132)</f>
        <v>131</v>
      </c>
      <c r="B132" s="6">
        <v>46143</v>
      </c>
      <c r="C132" s="6" t="s">
        <v>15</v>
      </c>
      <c r="D132" s="5" t="s">
        <v>56</v>
      </c>
      <c r="E132" s="5" t="s">
        <v>57</v>
      </c>
      <c r="F132" s="5" t="s">
        <v>60</v>
      </c>
      <c r="G132" s="5" t="s">
        <v>59</v>
      </c>
      <c r="H132" s="7" t="s">
        <v>26</v>
      </c>
      <c r="I132" s="7" t="s">
        <v>24</v>
      </c>
      <c r="J132" s="31">
        <f>VLOOKUP(H132,'KM sử dụng T5'!A:H,8,0)</f>
        <v>4514</v>
      </c>
      <c r="K132" s="8">
        <v>46143</v>
      </c>
      <c r="L132" s="9">
        <f>J132*SUMIFS('Đơn giá SCBD'!F:F,'Đơn giá SCBD'!A:A,'Chi tiết'!F132,'Đơn giá SCBD'!B:B,'Chi tiết'!I132)</f>
        <v>812520</v>
      </c>
      <c r="M132" s="10">
        <v>1</v>
      </c>
      <c r="N132" s="9">
        <f t="shared" si="4"/>
        <v>812520</v>
      </c>
      <c r="O132" s="11">
        <f t="shared" si="5"/>
        <v>46143</v>
      </c>
      <c r="P132" s="12"/>
    </row>
    <row r="133" spans="1:16" ht="15.75" x14ac:dyDescent="0.25">
      <c r="A133" s="5">
        <f>SUBTOTAL(3,$B$2:B133)</f>
        <v>132</v>
      </c>
      <c r="B133" s="6">
        <v>46143</v>
      </c>
      <c r="C133" s="6" t="s">
        <v>15</v>
      </c>
      <c r="D133" s="5" t="s">
        <v>56</v>
      </c>
      <c r="E133" s="5" t="s">
        <v>57</v>
      </c>
      <c r="F133" s="5" t="s">
        <v>60</v>
      </c>
      <c r="G133" s="5" t="s">
        <v>59</v>
      </c>
      <c r="H133" s="7" t="s">
        <v>25</v>
      </c>
      <c r="I133" s="7" t="s">
        <v>24</v>
      </c>
      <c r="J133" s="31">
        <f>VLOOKUP(H133,'KM sử dụng T5'!A:H,8,0)</f>
        <v>3397</v>
      </c>
      <c r="K133" s="8">
        <v>46143</v>
      </c>
      <c r="L133" s="9">
        <f>J133*SUMIFS('Đơn giá SCBD'!F:F,'Đơn giá SCBD'!A:A,'Chi tiết'!F133,'Đơn giá SCBD'!B:B,'Chi tiết'!I133)</f>
        <v>611460</v>
      </c>
      <c r="M133" s="10">
        <v>1</v>
      </c>
      <c r="N133" s="9">
        <f t="shared" si="4"/>
        <v>611460</v>
      </c>
      <c r="O133" s="11">
        <f t="shared" si="5"/>
        <v>46143</v>
      </c>
      <c r="P133" s="12"/>
    </row>
    <row r="134" spans="1:16" ht="15.75" x14ac:dyDescent="0.25">
      <c r="A134" s="5">
        <f>SUBTOTAL(3,$B$2:B134)</f>
        <v>133</v>
      </c>
      <c r="B134" s="6">
        <v>46143</v>
      </c>
      <c r="C134" s="6" t="s">
        <v>15</v>
      </c>
      <c r="D134" s="5" t="s">
        <v>56</v>
      </c>
      <c r="E134" s="5" t="s">
        <v>57</v>
      </c>
      <c r="F134" s="5" t="s">
        <v>60</v>
      </c>
      <c r="G134" s="5" t="s">
        <v>59</v>
      </c>
      <c r="H134" s="7" t="s">
        <v>61</v>
      </c>
      <c r="I134" s="7" t="s">
        <v>24</v>
      </c>
      <c r="J134" s="31">
        <f>VLOOKUP(H134,'KM sử dụng T5'!A:H,8,0)</f>
        <v>3228</v>
      </c>
      <c r="K134" s="8">
        <v>46143</v>
      </c>
      <c r="L134" s="9">
        <f>J134*SUMIFS('Đơn giá SCBD'!F:F,'Đơn giá SCBD'!A:A,'Chi tiết'!F134,'Đơn giá SCBD'!B:B,'Chi tiết'!I134)</f>
        <v>581040</v>
      </c>
      <c r="M134" s="10">
        <v>1</v>
      </c>
      <c r="N134" s="9">
        <f t="shared" si="4"/>
        <v>581040</v>
      </c>
      <c r="O134" s="11">
        <f t="shared" si="5"/>
        <v>46143</v>
      </c>
      <c r="P134" s="12"/>
    </row>
    <row r="135" spans="1:16" ht="15.75" x14ac:dyDescent="0.25">
      <c r="A135" s="5">
        <f>SUBTOTAL(3,$B$2:B135)</f>
        <v>134</v>
      </c>
      <c r="B135" s="6">
        <v>46143</v>
      </c>
      <c r="C135" s="6" t="s">
        <v>15</v>
      </c>
      <c r="D135" s="5" t="s">
        <v>56</v>
      </c>
      <c r="E135" s="5" t="s">
        <v>57</v>
      </c>
      <c r="F135" s="5" t="s">
        <v>60</v>
      </c>
      <c r="G135" s="5" t="s">
        <v>59</v>
      </c>
      <c r="H135" s="7" t="s">
        <v>30</v>
      </c>
      <c r="I135" s="7" t="s">
        <v>24</v>
      </c>
      <c r="J135" s="31">
        <f>VLOOKUP(H135,'KM sử dụng T5'!A:H,8,0)</f>
        <v>3217</v>
      </c>
      <c r="K135" s="8">
        <v>46143</v>
      </c>
      <c r="L135" s="9">
        <f>J135*SUMIFS('Đơn giá SCBD'!F:F,'Đơn giá SCBD'!A:A,'Chi tiết'!F135,'Đơn giá SCBD'!B:B,'Chi tiết'!I135)</f>
        <v>579060</v>
      </c>
      <c r="M135" s="10">
        <v>1</v>
      </c>
      <c r="N135" s="9">
        <f t="shared" si="4"/>
        <v>579060</v>
      </c>
      <c r="O135" s="11">
        <f t="shared" si="5"/>
        <v>46143</v>
      </c>
      <c r="P135" s="12"/>
    </row>
    <row r="136" spans="1:16" ht="15.75" x14ac:dyDescent="0.25">
      <c r="A136" s="5">
        <f>SUBTOTAL(3,$B$2:B136)</f>
        <v>135</v>
      </c>
      <c r="B136" s="6">
        <v>46143</v>
      </c>
      <c r="C136" s="6" t="s">
        <v>15</v>
      </c>
      <c r="D136" s="5" t="s">
        <v>56</v>
      </c>
      <c r="E136" s="5" t="s">
        <v>57</v>
      </c>
      <c r="F136" s="5" t="s">
        <v>60</v>
      </c>
      <c r="G136" s="5" t="s">
        <v>59</v>
      </c>
      <c r="H136" s="7" t="s">
        <v>33</v>
      </c>
      <c r="I136" s="7" t="s">
        <v>24</v>
      </c>
      <c r="J136" s="31">
        <f>VLOOKUP(H136,'KM sử dụng T5'!A:H,8,0)</f>
        <v>5118</v>
      </c>
      <c r="K136" s="8">
        <v>46143</v>
      </c>
      <c r="L136" s="9">
        <f>J136*SUMIFS('Đơn giá SCBD'!F:F,'Đơn giá SCBD'!A:A,'Chi tiết'!F136,'Đơn giá SCBD'!B:B,'Chi tiết'!I136)</f>
        <v>921240</v>
      </c>
      <c r="M136" s="10">
        <v>1</v>
      </c>
      <c r="N136" s="9">
        <f t="shared" si="4"/>
        <v>921240</v>
      </c>
      <c r="O136" s="11">
        <f t="shared" si="5"/>
        <v>46143</v>
      </c>
      <c r="P136" s="12"/>
    </row>
    <row r="137" spans="1:16" ht="15.75" x14ac:dyDescent="0.25">
      <c r="A137" s="5">
        <f>SUBTOTAL(3,$B$2:B137)</f>
        <v>136</v>
      </c>
      <c r="B137" s="6">
        <v>46143</v>
      </c>
      <c r="C137" s="6" t="s">
        <v>15</v>
      </c>
      <c r="D137" s="5" t="s">
        <v>56</v>
      </c>
      <c r="E137" s="5" t="s">
        <v>57</v>
      </c>
      <c r="F137" s="5" t="s">
        <v>60</v>
      </c>
      <c r="G137" s="5" t="s">
        <v>59</v>
      </c>
      <c r="H137" s="7" t="s">
        <v>35</v>
      </c>
      <c r="I137" s="7" t="s">
        <v>24</v>
      </c>
      <c r="J137" s="31">
        <f>VLOOKUP(H137,'KM sử dụng T5'!A:H,8,0)</f>
        <v>4691</v>
      </c>
      <c r="K137" s="8">
        <v>46143</v>
      </c>
      <c r="L137" s="9">
        <f>J137*SUMIFS('Đơn giá SCBD'!F:F,'Đơn giá SCBD'!A:A,'Chi tiết'!F137,'Đơn giá SCBD'!B:B,'Chi tiết'!I137)</f>
        <v>844380</v>
      </c>
      <c r="M137" s="10">
        <v>1</v>
      </c>
      <c r="N137" s="9">
        <f t="shared" si="4"/>
        <v>844380</v>
      </c>
      <c r="O137" s="11">
        <f t="shared" si="5"/>
        <v>46143</v>
      </c>
      <c r="P137" s="12"/>
    </row>
    <row r="138" spans="1:16" ht="15.75" x14ac:dyDescent="0.25">
      <c r="A138" s="5">
        <f>SUBTOTAL(3,$B$2:B138)</f>
        <v>137</v>
      </c>
      <c r="B138" s="6">
        <v>46143</v>
      </c>
      <c r="C138" s="6" t="s">
        <v>15</v>
      </c>
      <c r="D138" s="5" t="s">
        <v>56</v>
      </c>
      <c r="E138" s="5" t="s">
        <v>57</v>
      </c>
      <c r="F138" s="5" t="s">
        <v>60</v>
      </c>
      <c r="G138" s="5" t="s">
        <v>59</v>
      </c>
      <c r="H138" s="7" t="s">
        <v>34</v>
      </c>
      <c r="I138" s="7" t="s">
        <v>24</v>
      </c>
      <c r="J138" s="31">
        <f>VLOOKUP(H138,'KM sử dụng T5'!A:H,8,0)</f>
        <v>5066</v>
      </c>
      <c r="K138" s="8">
        <v>46143</v>
      </c>
      <c r="L138" s="9">
        <f>J138*SUMIFS('Đơn giá SCBD'!F:F,'Đơn giá SCBD'!A:A,'Chi tiết'!F138,'Đơn giá SCBD'!B:B,'Chi tiết'!I138)</f>
        <v>911880</v>
      </c>
      <c r="M138" s="10">
        <v>1</v>
      </c>
      <c r="N138" s="9">
        <f t="shared" si="4"/>
        <v>911880</v>
      </c>
      <c r="O138" s="11">
        <f t="shared" si="5"/>
        <v>46143</v>
      </c>
      <c r="P138" s="12"/>
    </row>
    <row r="139" spans="1:16" ht="15.75" x14ac:dyDescent="0.25">
      <c r="A139" s="5">
        <f>SUBTOTAL(3,$B$2:B139)</f>
        <v>138</v>
      </c>
      <c r="B139" s="6">
        <v>46143</v>
      </c>
      <c r="C139" s="6" t="s">
        <v>15</v>
      </c>
      <c r="D139" s="5" t="s">
        <v>56</v>
      </c>
      <c r="E139" s="5" t="s">
        <v>57</v>
      </c>
      <c r="F139" s="5" t="s">
        <v>60</v>
      </c>
      <c r="G139" s="5" t="s">
        <v>59</v>
      </c>
      <c r="H139" s="7" t="s">
        <v>36</v>
      </c>
      <c r="I139" s="7" t="s">
        <v>24</v>
      </c>
      <c r="J139" s="31">
        <f>VLOOKUP(H139,'KM sử dụng T5'!A:H,8,0)</f>
        <v>4517</v>
      </c>
      <c r="K139" s="8">
        <v>46143</v>
      </c>
      <c r="L139" s="9">
        <f>J139*SUMIFS('Đơn giá SCBD'!F:F,'Đơn giá SCBD'!A:A,'Chi tiết'!F139,'Đơn giá SCBD'!B:B,'Chi tiết'!I139)</f>
        <v>813060</v>
      </c>
      <c r="M139" s="10">
        <v>1</v>
      </c>
      <c r="N139" s="9">
        <f t="shared" si="4"/>
        <v>813060</v>
      </c>
      <c r="O139" s="11">
        <f t="shared" si="5"/>
        <v>46143</v>
      </c>
      <c r="P139" s="12"/>
    </row>
    <row r="140" spans="1:16" ht="15.75" x14ac:dyDescent="0.25">
      <c r="A140" s="5">
        <f>SUBTOTAL(3,$B$2:B140)</f>
        <v>139</v>
      </c>
      <c r="B140" s="6">
        <v>46143</v>
      </c>
      <c r="C140" s="6" t="s">
        <v>15</v>
      </c>
      <c r="D140" s="5" t="s">
        <v>56</v>
      </c>
      <c r="E140" s="5" t="s">
        <v>57</v>
      </c>
      <c r="F140" s="5" t="s">
        <v>60</v>
      </c>
      <c r="G140" s="5" t="s">
        <v>59</v>
      </c>
      <c r="H140" s="7" t="s">
        <v>37</v>
      </c>
      <c r="I140" s="7" t="s">
        <v>24</v>
      </c>
      <c r="J140" s="31">
        <f>VLOOKUP(H140,'KM sử dụng T5'!A:H,8,0)</f>
        <v>3021</v>
      </c>
      <c r="K140" s="8">
        <v>46143</v>
      </c>
      <c r="L140" s="9">
        <f>J140*SUMIFS('Đơn giá SCBD'!F:F,'Đơn giá SCBD'!A:A,'Chi tiết'!F140,'Đơn giá SCBD'!B:B,'Chi tiết'!I140)</f>
        <v>543780</v>
      </c>
      <c r="M140" s="10">
        <v>1</v>
      </c>
      <c r="N140" s="9">
        <f t="shared" si="4"/>
        <v>543780</v>
      </c>
      <c r="O140" s="11">
        <f t="shared" si="5"/>
        <v>46143</v>
      </c>
      <c r="P140" s="12"/>
    </row>
    <row r="141" spans="1:16" ht="15.75" x14ac:dyDescent="0.25">
      <c r="A141" s="5">
        <f>SUBTOTAL(3,$B$2:B141)</f>
        <v>140</v>
      </c>
      <c r="B141" s="6">
        <v>46143</v>
      </c>
      <c r="C141" s="6" t="s">
        <v>15</v>
      </c>
      <c r="D141" s="5" t="s">
        <v>56</v>
      </c>
      <c r="E141" s="5" t="s">
        <v>57</v>
      </c>
      <c r="F141" s="5" t="s">
        <v>60</v>
      </c>
      <c r="G141" s="5" t="s">
        <v>59</v>
      </c>
      <c r="H141" s="7" t="s">
        <v>20</v>
      </c>
      <c r="I141" s="7" t="s">
        <v>21</v>
      </c>
      <c r="J141" s="31">
        <f>VLOOKUP(H141,'KM sử dụng T5'!A:H,8,0)</f>
        <v>3064.9499999999971</v>
      </c>
      <c r="K141" s="8">
        <v>46143</v>
      </c>
      <c r="L141" s="9">
        <f>J141*SUMIFS('Đơn giá SCBD'!F:F,'Đơn giá SCBD'!A:A,'Chi tiết'!F141,'Đơn giá SCBD'!B:B,'Chi tiết'!I141)</f>
        <v>323045.72999999969</v>
      </c>
      <c r="M141" s="10">
        <v>1</v>
      </c>
      <c r="N141" s="9">
        <f t="shared" si="4"/>
        <v>323045.72999999969</v>
      </c>
      <c r="O141" s="11">
        <f t="shared" si="5"/>
        <v>46143</v>
      </c>
      <c r="P141" s="12"/>
    </row>
    <row r="142" spans="1:16" ht="15.75" x14ac:dyDescent="0.25">
      <c r="A142" s="5">
        <f>SUBTOTAL(3,$B$2:B142)</f>
        <v>141</v>
      </c>
      <c r="B142" s="6">
        <v>46143</v>
      </c>
      <c r="C142" s="6" t="s">
        <v>15</v>
      </c>
      <c r="D142" s="5" t="s">
        <v>56</v>
      </c>
      <c r="E142" s="5" t="s">
        <v>57</v>
      </c>
      <c r="F142" s="5" t="s">
        <v>60</v>
      </c>
      <c r="G142" s="5" t="s">
        <v>59</v>
      </c>
      <c r="H142" s="7" t="s">
        <v>22</v>
      </c>
      <c r="I142" s="7" t="s">
        <v>21</v>
      </c>
      <c r="J142" s="31">
        <f>VLOOKUP(H142,'KM sử dụng T5'!A:H,8,0)</f>
        <v>2453</v>
      </c>
      <c r="K142" s="8">
        <v>46143</v>
      </c>
      <c r="L142" s="9">
        <f>J142*SUMIFS('Đơn giá SCBD'!F:F,'Đơn giá SCBD'!A:A,'Chi tiết'!F142,'Đơn giá SCBD'!B:B,'Chi tiết'!I142)</f>
        <v>258546.2</v>
      </c>
      <c r="M142" s="10">
        <v>1</v>
      </c>
      <c r="N142" s="9">
        <f t="shared" si="4"/>
        <v>258546.2</v>
      </c>
      <c r="O142" s="11">
        <f t="shared" si="5"/>
        <v>46143</v>
      </c>
      <c r="P142" s="12"/>
    </row>
    <row r="143" spans="1:16" ht="15.75" x14ac:dyDescent="0.25">
      <c r="A143" s="5">
        <f>SUBTOTAL(3,$B$2:B143)</f>
        <v>142</v>
      </c>
      <c r="B143" s="6">
        <v>46143</v>
      </c>
      <c r="C143" s="6" t="s">
        <v>15</v>
      </c>
      <c r="D143" s="5" t="s">
        <v>56</v>
      </c>
      <c r="E143" s="5" t="s">
        <v>57</v>
      </c>
      <c r="F143" s="5" t="s">
        <v>60</v>
      </c>
      <c r="G143" s="5" t="s">
        <v>59</v>
      </c>
      <c r="H143" s="7" t="s">
        <v>38</v>
      </c>
      <c r="I143" s="7" t="s">
        <v>21</v>
      </c>
      <c r="J143" s="31">
        <f>VLOOKUP(H143,'KM sử dụng T5'!A:H,8,0)</f>
        <v>1487</v>
      </c>
      <c r="K143" s="8">
        <v>46143</v>
      </c>
      <c r="L143" s="9">
        <f>J143*SUMIFS('Đơn giá SCBD'!F:F,'Đơn giá SCBD'!A:A,'Chi tiết'!F143,'Đơn giá SCBD'!B:B,'Chi tiết'!I143)</f>
        <v>156729.80000000002</v>
      </c>
      <c r="M143" s="10">
        <v>1</v>
      </c>
      <c r="N143" s="9">
        <f t="shared" si="4"/>
        <v>156729.80000000002</v>
      </c>
      <c r="O143" s="11">
        <f t="shared" si="5"/>
        <v>46143</v>
      </c>
      <c r="P143" s="12"/>
    </row>
    <row r="144" spans="1:16" ht="15.75" x14ac:dyDescent="0.25">
      <c r="A144" s="5">
        <f>SUBTOTAL(3,$B$2:B144)</f>
        <v>143</v>
      </c>
      <c r="B144" s="6">
        <v>46143</v>
      </c>
      <c r="C144" s="6" t="s">
        <v>15</v>
      </c>
      <c r="D144" s="5" t="s">
        <v>56</v>
      </c>
      <c r="E144" s="5" t="s">
        <v>57</v>
      </c>
      <c r="F144" s="5" t="s">
        <v>60</v>
      </c>
      <c r="G144" s="5" t="s">
        <v>59</v>
      </c>
      <c r="H144" s="7" t="s">
        <v>179</v>
      </c>
      <c r="I144" s="7" t="s">
        <v>93</v>
      </c>
      <c r="J144" s="31">
        <f>VLOOKUP(H144,'KM sử dụng T5'!A:H,8,0)</f>
        <v>1818.5699999999488</v>
      </c>
      <c r="K144" s="8">
        <v>46143</v>
      </c>
      <c r="L144" s="9">
        <f>J144*SUMIFS('Đơn giá SCBD'!F:F,'Đơn giá SCBD'!A:A,'Chi tiết'!F144,'Đơn giá SCBD'!B:B,'Chi tiết'!I144)</f>
        <v>191677.27799999461</v>
      </c>
      <c r="M144" s="10">
        <v>1</v>
      </c>
      <c r="N144" s="9">
        <f t="shared" si="4"/>
        <v>191677.27799999461</v>
      </c>
      <c r="O144" s="11">
        <f t="shared" si="5"/>
        <v>46143</v>
      </c>
      <c r="P144" s="12"/>
    </row>
    <row r="145" spans="1:16" ht="15.75" x14ac:dyDescent="0.25">
      <c r="A145" s="5">
        <f>SUBTOTAL(3,$B$2:B145)</f>
        <v>144</v>
      </c>
      <c r="B145" s="6">
        <v>46143</v>
      </c>
      <c r="C145" s="6" t="s">
        <v>15</v>
      </c>
      <c r="D145" s="5" t="s">
        <v>56</v>
      </c>
      <c r="E145" s="5" t="s">
        <v>57</v>
      </c>
      <c r="F145" s="5" t="s">
        <v>60</v>
      </c>
      <c r="G145" s="5" t="s">
        <v>59</v>
      </c>
      <c r="H145" s="7" t="s">
        <v>178</v>
      </c>
      <c r="I145" s="7" t="s">
        <v>93</v>
      </c>
      <c r="J145" s="31">
        <f>VLOOKUP(H145,'KM sử dụng T5'!A:H,8,0)</f>
        <v>2432.140000000014</v>
      </c>
      <c r="K145" s="8">
        <v>46143</v>
      </c>
      <c r="L145" s="9">
        <f>J145*SUMIFS('Đơn giá SCBD'!F:F,'Đơn giá SCBD'!A:A,'Chi tiết'!F145,'Đơn giá SCBD'!B:B,'Chi tiết'!I145)</f>
        <v>256347.5560000015</v>
      </c>
      <c r="M145" s="10">
        <v>1</v>
      </c>
      <c r="N145" s="9">
        <f t="shared" si="4"/>
        <v>256347.5560000015</v>
      </c>
      <c r="O145" s="11">
        <f t="shared" si="5"/>
        <v>46143</v>
      </c>
      <c r="P145" s="12"/>
    </row>
    <row r="146" spans="1:16" ht="15.75" x14ac:dyDescent="0.25">
      <c r="A146" s="5">
        <f>SUBTOTAL(3,$B$2:B146)</f>
        <v>145</v>
      </c>
      <c r="B146" s="6">
        <v>46143</v>
      </c>
      <c r="C146" s="6" t="s">
        <v>15</v>
      </c>
      <c r="D146" s="5" t="s">
        <v>56</v>
      </c>
      <c r="E146" s="5" t="s">
        <v>57</v>
      </c>
      <c r="F146" s="5" t="s">
        <v>60</v>
      </c>
      <c r="G146" s="5" t="s">
        <v>59</v>
      </c>
      <c r="H146" s="7" t="s">
        <v>177</v>
      </c>
      <c r="I146" s="7" t="s">
        <v>93</v>
      </c>
      <c r="J146" s="31">
        <f>VLOOKUP(H146,'KM sử dụng T5'!A:H,8,0)</f>
        <v>2838.3699999999953</v>
      </c>
      <c r="K146" s="8">
        <v>46143</v>
      </c>
      <c r="L146" s="9">
        <f>J146*SUMIFS('Đơn giá SCBD'!F:F,'Đơn giá SCBD'!A:A,'Chi tiết'!F146,'Đơn giá SCBD'!B:B,'Chi tiết'!I146)</f>
        <v>299164.19799999951</v>
      </c>
      <c r="M146" s="10">
        <v>1</v>
      </c>
      <c r="N146" s="9">
        <f t="shared" si="4"/>
        <v>299164.19799999951</v>
      </c>
      <c r="O146" s="11">
        <f t="shared" si="5"/>
        <v>46143</v>
      </c>
      <c r="P146" s="12"/>
    </row>
    <row r="147" spans="1:16" ht="15.75" x14ac:dyDescent="0.25">
      <c r="A147" s="5">
        <f>SUBTOTAL(3,$B$2:B147)</f>
        <v>146</v>
      </c>
      <c r="B147" s="6">
        <v>46143</v>
      </c>
      <c r="C147" s="6" t="s">
        <v>15</v>
      </c>
      <c r="D147" s="5" t="s">
        <v>56</v>
      </c>
      <c r="E147" s="5" t="s">
        <v>57</v>
      </c>
      <c r="F147" s="5" t="s">
        <v>62</v>
      </c>
      <c r="G147" s="5" t="s">
        <v>59</v>
      </c>
      <c r="H147" s="7" t="s">
        <v>27</v>
      </c>
      <c r="I147" s="7" t="s">
        <v>24</v>
      </c>
      <c r="J147" s="31">
        <f>VLOOKUP(H147,'KM sử dụng T5'!A:H,8,0)</f>
        <v>5509</v>
      </c>
      <c r="K147" s="8">
        <v>46143</v>
      </c>
      <c r="L147" s="9">
        <f>J147*SUMIFS('Đơn giá SCBD'!F:F,'Đơn giá SCBD'!A:A,'Chi tiết'!F147,'Đơn giá SCBD'!B:B,'Chi tiết'!I147)</f>
        <v>101916.5</v>
      </c>
      <c r="M147" s="10">
        <v>1</v>
      </c>
      <c r="N147" s="9">
        <f t="shared" si="4"/>
        <v>101916.5</v>
      </c>
      <c r="O147" s="11">
        <f t="shared" si="5"/>
        <v>46143</v>
      </c>
      <c r="P147" s="12"/>
    </row>
    <row r="148" spans="1:16" ht="15.75" x14ac:dyDescent="0.25">
      <c r="A148" s="5">
        <f>SUBTOTAL(3,$B$2:B148)</f>
        <v>147</v>
      </c>
      <c r="B148" s="6">
        <v>46143</v>
      </c>
      <c r="C148" s="6" t="s">
        <v>15</v>
      </c>
      <c r="D148" s="5" t="s">
        <v>56</v>
      </c>
      <c r="E148" s="5" t="s">
        <v>57</v>
      </c>
      <c r="F148" s="5" t="s">
        <v>62</v>
      </c>
      <c r="G148" s="5" t="s">
        <v>59</v>
      </c>
      <c r="H148" s="7" t="s">
        <v>23</v>
      </c>
      <c r="I148" s="7" t="s">
        <v>24</v>
      </c>
      <c r="J148" s="31">
        <f>VLOOKUP(H148,'KM sử dụng T5'!A:H,8,0)</f>
        <v>4916</v>
      </c>
      <c r="K148" s="8">
        <v>46143</v>
      </c>
      <c r="L148" s="9">
        <f>J148*SUMIFS('Đơn giá SCBD'!F:F,'Đơn giá SCBD'!A:A,'Chi tiết'!F148,'Đơn giá SCBD'!B:B,'Chi tiết'!I148)</f>
        <v>90946</v>
      </c>
      <c r="M148" s="10">
        <v>1</v>
      </c>
      <c r="N148" s="9">
        <f t="shared" si="4"/>
        <v>90946</v>
      </c>
      <c r="O148" s="11">
        <f t="shared" si="5"/>
        <v>46143</v>
      </c>
      <c r="P148" s="12"/>
    </row>
    <row r="149" spans="1:16" ht="15.75" x14ac:dyDescent="0.25">
      <c r="A149" s="5">
        <f>SUBTOTAL(3,$B$2:B149)</f>
        <v>148</v>
      </c>
      <c r="B149" s="6">
        <v>46143</v>
      </c>
      <c r="C149" s="6" t="s">
        <v>15</v>
      </c>
      <c r="D149" s="5" t="s">
        <v>56</v>
      </c>
      <c r="E149" s="5" t="s">
        <v>57</v>
      </c>
      <c r="F149" s="5" t="s">
        <v>62</v>
      </c>
      <c r="G149" s="5" t="s">
        <v>59</v>
      </c>
      <c r="H149" s="7" t="s">
        <v>31</v>
      </c>
      <c r="I149" s="7" t="s">
        <v>24</v>
      </c>
      <c r="J149" s="31">
        <f>VLOOKUP(H149,'KM sử dụng T5'!A:H,8,0)</f>
        <v>3064</v>
      </c>
      <c r="K149" s="8">
        <v>46143</v>
      </c>
      <c r="L149" s="9">
        <f>J149*SUMIFS('Đơn giá SCBD'!F:F,'Đơn giá SCBD'!A:A,'Chi tiết'!F149,'Đơn giá SCBD'!B:B,'Chi tiết'!I149)</f>
        <v>56684</v>
      </c>
      <c r="M149" s="10">
        <v>1</v>
      </c>
      <c r="N149" s="9">
        <f t="shared" si="4"/>
        <v>56684</v>
      </c>
      <c r="O149" s="11">
        <f t="shared" si="5"/>
        <v>46143</v>
      </c>
      <c r="P149" s="12"/>
    </row>
    <row r="150" spans="1:16" ht="15.75" x14ac:dyDescent="0.25">
      <c r="A150" s="5">
        <f>SUBTOTAL(3,$B$2:B150)</f>
        <v>149</v>
      </c>
      <c r="B150" s="6">
        <v>46143</v>
      </c>
      <c r="C150" s="6" t="s">
        <v>15</v>
      </c>
      <c r="D150" s="5" t="s">
        <v>56</v>
      </c>
      <c r="E150" s="5" t="s">
        <v>57</v>
      </c>
      <c r="F150" s="5" t="s">
        <v>62</v>
      </c>
      <c r="G150" s="5" t="s">
        <v>59</v>
      </c>
      <c r="H150" s="7" t="s">
        <v>28</v>
      </c>
      <c r="I150" s="7" t="s">
        <v>24</v>
      </c>
      <c r="J150" s="31">
        <f>VLOOKUP(H150,'KM sử dụng T5'!A:H,8,0)</f>
        <v>4830</v>
      </c>
      <c r="K150" s="8">
        <v>46143</v>
      </c>
      <c r="L150" s="9">
        <f>J150*SUMIFS('Đơn giá SCBD'!F:F,'Đơn giá SCBD'!A:A,'Chi tiết'!F150,'Đơn giá SCBD'!B:B,'Chi tiết'!I150)</f>
        <v>89355</v>
      </c>
      <c r="M150" s="10">
        <v>1</v>
      </c>
      <c r="N150" s="9">
        <f t="shared" si="4"/>
        <v>89355</v>
      </c>
      <c r="O150" s="11">
        <f t="shared" si="5"/>
        <v>46143</v>
      </c>
      <c r="P150" s="12"/>
    </row>
    <row r="151" spans="1:16" ht="15.75" x14ac:dyDescent="0.25">
      <c r="A151" s="5">
        <f>SUBTOTAL(3,$B$2:B151)</f>
        <v>150</v>
      </c>
      <c r="B151" s="6">
        <v>46143</v>
      </c>
      <c r="C151" s="6" t="s">
        <v>15</v>
      </c>
      <c r="D151" s="5" t="s">
        <v>56</v>
      </c>
      <c r="E151" s="5" t="s">
        <v>57</v>
      </c>
      <c r="F151" s="5" t="s">
        <v>62</v>
      </c>
      <c r="G151" s="5" t="s">
        <v>59</v>
      </c>
      <c r="H151" s="7" t="s">
        <v>29</v>
      </c>
      <c r="I151" s="7" t="s">
        <v>24</v>
      </c>
      <c r="J151" s="31">
        <f>VLOOKUP(H151,'KM sử dụng T5'!A:H,8,0)</f>
        <v>4153</v>
      </c>
      <c r="K151" s="8">
        <v>46143</v>
      </c>
      <c r="L151" s="9">
        <f>J151*SUMIFS('Đơn giá SCBD'!F:F,'Đơn giá SCBD'!A:A,'Chi tiết'!F151,'Đơn giá SCBD'!B:B,'Chi tiết'!I151)</f>
        <v>76830.5</v>
      </c>
      <c r="M151" s="10">
        <v>1</v>
      </c>
      <c r="N151" s="9">
        <f t="shared" si="4"/>
        <v>76830.5</v>
      </c>
      <c r="O151" s="11">
        <f t="shared" si="5"/>
        <v>46143</v>
      </c>
      <c r="P151" s="12"/>
    </row>
    <row r="152" spans="1:16" ht="15.75" x14ac:dyDescent="0.25">
      <c r="A152" s="5">
        <f>SUBTOTAL(3,$B$2:B152)</f>
        <v>151</v>
      </c>
      <c r="B152" s="6">
        <v>46143</v>
      </c>
      <c r="C152" s="6" t="s">
        <v>15</v>
      </c>
      <c r="D152" s="5" t="s">
        <v>56</v>
      </c>
      <c r="E152" s="5" t="s">
        <v>57</v>
      </c>
      <c r="F152" s="5" t="s">
        <v>62</v>
      </c>
      <c r="G152" s="5" t="s">
        <v>59</v>
      </c>
      <c r="H152" s="7" t="s">
        <v>32</v>
      </c>
      <c r="I152" s="7" t="s">
        <v>24</v>
      </c>
      <c r="J152" s="31">
        <f>VLOOKUP(H152,'KM sử dụng T5'!A:H,8,0)</f>
        <v>656.66999999999825</v>
      </c>
      <c r="K152" s="8">
        <v>46143</v>
      </c>
      <c r="L152" s="9">
        <f>J152*SUMIFS('Đơn giá SCBD'!F:F,'Đơn giá SCBD'!A:A,'Chi tiết'!F152,'Đơn giá SCBD'!B:B,'Chi tiết'!I152)</f>
        <v>12148.394999999968</v>
      </c>
      <c r="M152" s="10">
        <v>1</v>
      </c>
      <c r="N152" s="9">
        <f t="shared" si="4"/>
        <v>12148.394999999968</v>
      </c>
      <c r="O152" s="11">
        <f t="shared" si="5"/>
        <v>46143</v>
      </c>
      <c r="P152" s="12"/>
    </row>
    <row r="153" spans="1:16" ht="15.75" x14ac:dyDescent="0.25">
      <c r="A153" s="5">
        <f>SUBTOTAL(3,$B$2:B153)</f>
        <v>152</v>
      </c>
      <c r="B153" s="6">
        <v>46143</v>
      </c>
      <c r="C153" s="6" t="s">
        <v>15</v>
      </c>
      <c r="D153" s="5" t="s">
        <v>56</v>
      </c>
      <c r="E153" s="5" t="s">
        <v>57</v>
      </c>
      <c r="F153" s="5" t="s">
        <v>62</v>
      </c>
      <c r="G153" s="5" t="s">
        <v>59</v>
      </c>
      <c r="H153" s="7" t="s">
        <v>26</v>
      </c>
      <c r="I153" s="7" t="s">
        <v>24</v>
      </c>
      <c r="J153" s="31">
        <f>VLOOKUP(H153,'KM sử dụng T5'!A:H,8,0)</f>
        <v>4514</v>
      </c>
      <c r="K153" s="8">
        <v>46143</v>
      </c>
      <c r="L153" s="9">
        <f>J153*SUMIFS('Đơn giá SCBD'!F:F,'Đơn giá SCBD'!A:A,'Chi tiết'!F153,'Đơn giá SCBD'!B:B,'Chi tiết'!I153)</f>
        <v>83509</v>
      </c>
      <c r="M153" s="10">
        <v>1</v>
      </c>
      <c r="N153" s="9">
        <f t="shared" si="4"/>
        <v>83509</v>
      </c>
      <c r="O153" s="11">
        <f t="shared" si="5"/>
        <v>46143</v>
      </c>
      <c r="P153" s="12"/>
    </row>
    <row r="154" spans="1:16" ht="15.75" x14ac:dyDescent="0.25">
      <c r="A154" s="5">
        <f>SUBTOTAL(3,$B$2:B154)</f>
        <v>153</v>
      </c>
      <c r="B154" s="6">
        <v>46143</v>
      </c>
      <c r="C154" s="6" t="s">
        <v>15</v>
      </c>
      <c r="D154" s="5" t="s">
        <v>56</v>
      </c>
      <c r="E154" s="5" t="s">
        <v>57</v>
      </c>
      <c r="F154" s="5" t="s">
        <v>62</v>
      </c>
      <c r="G154" s="5" t="s">
        <v>59</v>
      </c>
      <c r="H154" s="7" t="s">
        <v>25</v>
      </c>
      <c r="I154" s="7" t="s">
        <v>24</v>
      </c>
      <c r="J154" s="31">
        <f>VLOOKUP(H154,'KM sử dụng T5'!A:H,8,0)</f>
        <v>3397</v>
      </c>
      <c r="K154" s="8">
        <v>46143</v>
      </c>
      <c r="L154" s="9">
        <f>J154*SUMIFS('Đơn giá SCBD'!F:F,'Đơn giá SCBD'!A:A,'Chi tiết'!F154,'Đơn giá SCBD'!B:B,'Chi tiết'!I154)</f>
        <v>62844.5</v>
      </c>
      <c r="M154" s="10">
        <v>1</v>
      </c>
      <c r="N154" s="9">
        <f t="shared" si="4"/>
        <v>62844.5</v>
      </c>
      <c r="O154" s="11">
        <f t="shared" si="5"/>
        <v>46143</v>
      </c>
      <c r="P154" s="12"/>
    </row>
    <row r="155" spans="1:16" ht="15.75" x14ac:dyDescent="0.25">
      <c r="A155" s="5">
        <f>SUBTOTAL(3,$B$2:B155)</f>
        <v>154</v>
      </c>
      <c r="B155" s="6">
        <v>46143</v>
      </c>
      <c r="C155" s="6" t="s">
        <v>15</v>
      </c>
      <c r="D155" s="5" t="s">
        <v>56</v>
      </c>
      <c r="E155" s="5" t="s">
        <v>57</v>
      </c>
      <c r="F155" s="5" t="s">
        <v>62</v>
      </c>
      <c r="G155" s="5" t="s">
        <v>59</v>
      </c>
      <c r="H155" s="7" t="s">
        <v>61</v>
      </c>
      <c r="I155" s="7" t="s">
        <v>24</v>
      </c>
      <c r="J155" s="31">
        <f>VLOOKUP(H155,'KM sử dụng T5'!A:H,8,0)</f>
        <v>3228</v>
      </c>
      <c r="K155" s="8">
        <v>46143</v>
      </c>
      <c r="L155" s="9">
        <f>J155*SUMIFS('Đơn giá SCBD'!F:F,'Đơn giá SCBD'!A:A,'Chi tiết'!F155,'Đơn giá SCBD'!B:B,'Chi tiết'!I155)</f>
        <v>59718</v>
      </c>
      <c r="M155" s="10">
        <v>1</v>
      </c>
      <c r="N155" s="9">
        <f t="shared" si="4"/>
        <v>59718</v>
      </c>
      <c r="O155" s="11">
        <f t="shared" si="5"/>
        <v>46143</v>
      </c>
      <c r="P155" s="12"/>
    </row>
    <row r="156" spans="1:16" ht="15.75" x14ac:dyDescent="0.25">
      <c r="A156" s="5">
        <f>SUBTOTAL(3,$B$2:B156)</f>
        <v>155</v>
      </c>
      <c r="B156" s="6">
        <v>46143</v>
      </c>
      <c r="C156" s="6" t="s">
        <v>15</v>
      </c>
      <c r="D156" s="5" t="s">
        <v>56</v>
      </c>
      <c r="E156" s="5" t="s">
        <v>57</v>
      </c>
      <c r="F156" s="5" t="s">
        <v>62</v>
      </c>
      <c r="G156" s="5" t="s">
        <v>59</v>
      </c>
      <c r="H156" s="7" t="s">
        <v>30</v>
      </c>
      <c r="I156" s="7" t="s">
        <v>24</v>
      </c>
      <c r="J156" s="31">
        <f>VLOOKUP(H156,'KM sử dụng T5'!A:H,8,0)</f>
        <v>3217</v>
      </c>
      <c r="K156" s="8">
        <v>46143</v>
      </c>
      <c r="L156" s="9">
        <f>J156*SUMIFS('Đơn giá SCBD'!F:F,'Đơn giá SCBD'!A:A,'Chi tiết'!F156,'Đơn giá SCBD'!B:B,'Chi tiết'!I156)</f>
        <v>59514.5</v>
      </c>
      <c r="M156" s="10">
        <v>1</v>
      </c>
      <c r="N156" s="9">
        <f t="shared" si="4"/>
        <v>59514.5</v>
      </c>
      <c r="O156" s="11">
        <f t="shared" si="5"/>
        <v>46143</v>
      </c>
      <c r="P156" s="12"/>
    </row>
    <row r="157" spans="1:16" ht="15.75" x14ac:dyDescent="0.25">
      <c r="A157" s="5">
        <f>SUBTOTAL(3,$B$2:B157)</f>
        <v>156</v>
      </c>
      <c r="B157" s="6">
        <v>46143</v>
      </c>
      <c r="C157" s="6" t="s">
        <v>15</v>
      </c>
      <c r="D157" s="5" t="s">
        <v>56</v>
      </c>
      <c r="E157" s="5" t="s">
        <v>57</v>
      </c>
      <c r="F157" s="5" t="s">
        <v>62</v>
      </c>
      <c r="G157" s="5" t="s">
        <v>59</v>
      </c>
      <c r="H157" s="7" t="s">
        <v>33</v>
      </c>
      <c r="I157" s="7" t="s">
        <v>24</v>
      </c>
      <c r="J157" s="31">
        <f>VLOOKUP(H157,'KM sử dụng T5'!A:H,8,0)</f>
        <v>5118</v>
      </c>
      <c r="K157" s="8">
        <v>46143</v>
      </c>
      <c r="L157" s="9">
        <f>J157*SUMIFS('Đơn giá SCBD'!F:F,'Đơn giá SCBD'!A:A,'Chi tiết'!F157,'Đơn giá SCBD'!B:B,'Chi tiết'!I157)</f>
        <v>94683</v>
      </c>
      <c r="M157" s="10">
        <v>1</v>
      </c>
      <c r="N157" s="9">
        <f t="shared" si="4"/>
        <v>94683</v>
      </c>
      <c r="O157" s="11">
        <f t="shared" si="5"/>
        <v>46143</v>
      </c>
      <c r="P157" s="12"/>
    </row>
    <row r="158" spans="1:16" ht="15.75" x14ac:dyDescent="0.25">
      <c r="A158" s="5">
        <f>SUBTOTAL(3,$B$2:B158)</f>
        <v>157</v>
      </c>
      <c r="B158" s="6">
        <v>46143</v>
      </c>
      <c r="C158" s="6" t="s">
        <v>15</v>
      </c>
      <c r="D158" s="5" t="s">
        <v>56</v>
      </c>
      <c r="E158" s="5" t="s">
        <v>57</v>
      </c>
      <c r="F158" s="5" t="s">
        <v>62</v>
      </c>
      <c r="G158" s="5" t="s">
        <v>59</v>
      </c>
      <c r="H158" s="7" t="s">
        <v>35</v>
      </c>
      <c r="I158" s="7" t="s">
        <v>24</v>
      </c>
      <c r="J158" s="31">
        <f>VLOOKUP(H158,'KM sử dụng T5'!A:H,8,0)</f>
        <v>4691</v>
      </c>
      <c r="K158" s="8">
        <v>46143</v>
      </c>
      <c r="L158" s="9">
        <f>J158*SUMIFS('Đơn giá SCBD'!F:F,'Đơn giá SCBD'!A:A,'Chi tiết'!F158,'Đơn giá SCBD'!B:B,'Chi tiết'!I158)</f>
        <v>86783.5</v>
      </c>
      <c r="M158" s="10">
        <v>1</v>
      </c>
      <c r="N158" s="9">
        <f t="shared" si="4"/>
        <v>86783.5</v>
      </c>
      <c r="O158" s="11">
        <f t="shared" si="5"/>
        <v>46143</v>
      </c>
      <c r="P158" s="12"/>
    </row>
    <row r="159" spans="1:16" ht="15.75" x14ac:dyDescent="0.25">
      <c r="A159" s="5">
        <f>SUBTOTAL(3,$B$2:B159)</f>
        <v>158</v>
      </c>
      <c r="B159" s="6">
        <v>46143</v>
      </c>
      <c r="C159" s="6" t="s">
        <v>15</v>
      </c>
      <c r="D159" s="5" t="s">
        <v>56</v>
      </c>
      <c r="E159" s="5" t="s">
        <v>57</v>
      </c>
      <c r="F159" s="5" t="s">
        <v>62</v>
      </c>
      <c r="G159" s="5" t="s">
        <v>59</v>
      </c>
      <c r="H159" s="7" t="s">
        <v>34</v>
      </c>
      <c r="I159" s="7" t="s">
        <v>24</v>
      </c>
      <c r="J159" s="31">
        <f>VLOOKUP(H159,'KM sử dụng T5'!A:H,8,0)</f>
        <v>5066</v>
      </c>
      <c r="K159" s="8">
        <v>46143</v>
      </c>
      <c r="L159" s="9">
        <f>J159*SUMIFS('Đơn giá SCBD'!F:F,'Đơn giá SCBD'!A:A,'Chi tiết'!F159,'Đơn giá SCBD'!B:B,'Chi tiết'!I159)</f>
        <v>93721</v>
      </c>
      <c r="M159" s="10">
        <v>1</v>
      </c>
      <c r="N159" s="9">
        <f t="shared" si="4"/>
        <v>93721</v>
      </c>
      <c r="O159" s="11">
        <f t="shared" si="5"/>
        <v>46143</v>
      </c>
      <c r="P159" s="12"/>
    </row>
    <row r="160" spans="1:16" ht="15.75" x14ac:dyDescent="0.25">
      <c r="A160" s="5">
        <f>SUBTOTAL(3,$B$2:B160)</f>
        <v>159</v>
      </c>
      <c r="B160" s="6">
        <v>46143</v>
      </c>
      <c r="C160" s="6" t="s">
        <v>15</v>
      </c>
      <c r="D160" s="5" t="s">
        <v>56</v>
      </c>
      <c r="E160" s="5" t="s">
        <v>57</v>
      </c>
      <c r="F160" s="5" t="s">
        <v>62</v>
      </c>
      <c r="G160" s="5" t="s">
        <v>59</v>
      </c>
      <c r="H160" s="7" t="s">
        <v>36</v>
      </c>
      <c r="I160" s="7" t="s">
        <v>24</v>
      </c>
      <c r="J160" s="31">
        <f>VLOOKUP(H160,'KM sử dụng T5'!A:H,8,0)</f>
        <v>4517</v>
      </c>
      <c r="K160" s="8">
        <v>46143</v>
      </c>
      <c r="L160" s="9">
        <f>J160*SUMIFS('Đơn giá SCBD'!F:F,'Đơn giá SCBD'!A:A,'Chi tiết'!F160,'Đơn giá SCBD'!B:B,'Chi tiết'!I160)</f>
        <v>83564.5</v>
      </c>
      <c r="M160" s="10">
        <v>1</v>
      </c>
      <c r="N160" s="9">
        <f t="shared" si="4"/>
        <v>83564.5</v>
      </c>
      <c r="O160" s="11">
        <f t="shared" si="5"/>
        <v>46143</v>
      </c>
      <c r="P160" s="12"/>
    </row>
    <row r="161" spans="1:16" ht="15.75" x14ac:dyDescent="0.25">
      <c r="A161" s="5">
        <f>SUBTOTAL(3,$B$2:B161)</f>
        <v>160</v>
      </c>
      <c r="B161" s="6">
        <v>46143</v>
      </c>
      <c r="C161" s="6" t="s">
        <v>15</v>
      </c>
      <c r="D161" s="5" t="s">
        <v>56</v>
      </c>
      <c r="E161" s="5" t="s">
        <v>57</v>
      </c>
      <c r="F161" s="5" t="s">
        <v>62</v>
      </c>
      <c r="G161" s="5" t="s">
        <v>59</v>
      </c>
      <c r="H161" s="7" t="s">
        <v>37</v>
      </c>
      <c r="I161" s="7" t="s">
        <v>24</v>
      </c>
      <c r="J161" s="31">
        <f>VLOOKUP(H161,'KM sử dụng T5'!A:H,8,0)</f>
        <v>3021</v>
      </c>
      <c r="K161" s="8">
        <v>46143</v>
      </c>
      <c r="L161" s="9">
        <f>J161*SUMIFS('Đơn giá SCBD'!F:F,'Đơn giá SCBD'!A:A,'Chi tiết'!F161,'Đơn giá SCBD'!B:B,'Chi tiết'!I161)</f>
        <v>55888.5</v>
      </c>
      <c r="M161" s="10">
        <v>1</v>
      </c>
      <c r="N161" s="9">
        <f t="shared" si="4"/>
        <v>55888.5</v>
      </c>
      <c r="O161" s="11">
        <f t="shared" si="5"/>
        <v>46143</v>
      </c>
      <c r="P161" s="12"/>
    </row>
    <row r="162" spans="1:16" ht="15.75" x14ac:dyDescent="0.25">
      <c r="A162" s="5">
        <f>SUBTOTAL(3,$B$2:B162)</f>
        <v>161</v>
      </c>
      <c r="B162" s="6">
        <v>46143</v>
      </c>
      <c r="C162" s="6" t="s">
        <v>15</v>
      </c>
      <c r="D162" s="5" t="s">
        <v>56</v>
      </c>
      <c r="E162" s="5" t="s">
        <v>57</v>
      </c>
      <c r="F162" s="5" t="s">
        <v>62</v>
      </c>
      <c r="G162" s="5" t="s">
        <v>59</v>
      </c>
      <c r="H162" s="7" t="s">
        <v>20</v>
      </c>
      <c r="I162" s="7" t="s">
        <v>21</v>
      </c>
      <c r="J162" s="31">
        <f>VLOOKUP(H162,'KM sử dụng T5'!A:H,8,0)</f>
        <v>3064.9499999999971</v>
      </c>
      <c r="K162" s="8">
        <v>46143</v>
      </c>
      <c r="L162" s="9">
        <f>J162*SUMIFS('Đơn giá SCBD'!F:F,'Đơn giá SCBD'!A:A,'Chi tiết'!F162,'Đơn giá SCBD'!B:B,'Chi tiết'!I162)</f>
        <v>56701.574999999946</v>
      </c>
      <c r="M162" s="10">
        <v>1</v>
      </c>
      <c r="N162" s="9">
        <f t="shared" si="4"/>
        <v>56701.574999999946</v>
      </c>
      <c r="O162" s="11">
        <f t="shared" si="5"/>
        <v>46143</v>
      </c>
      <c r="P162" s="12"/>
    </row>
    <row r="163" spans="1:16" ht="15.75" x14ac:dyDescent="0.25">
      <c r="A163" s="5">
        <f>SUBTOTAL(3,$B$2:B163)</f>
        <v>162</v>
      </c>
      <c r="B163" s="6">
        <v>46143</v>
      </c>
      <c r="C163" s="6" t="s">
        <v>15</v>
      </c>
      <c r="D163" s="5" t="s">
        <v>56</v>
      </c>
      <c r="E163" s="5" t="s">
        <v>57</v>
      </c>
      <c r="F163" s="5" t="s">
        <v>62</v>
      </c>
      <c r="G163" s="5" t="s">
        <v>59</v>
      </c>
      <c r="H163" s="7" t="s">
        <v>22</v>
      </c>
      <c r="I163" s="7" t="s">
        <v>21</v>
      </c>
      <c r="J163" s="31">
        <f>VLOOKUP(H163,'KM sử dụng T5'!A:H,8,0)</f>
        <v>2453</v>
      </c>
      <c r="K163" s="8">
        <v>46143</v>
      </c>
      <c r="L163" s="9">
        <f>J163*SUMIFS('Đơn giá SCBD'!F:F,'Đơn giá SCBD'!A:A,'Chi tiết'!F163,'Đơn giá SCBD'!B:B,'Chi tiết'!I163)</f>
        <v>45380.5</v>
      </c>
      <c r="M163" s="10">
        <v>1</v>
      </c>
      <c r="N163" s="9">
        <f t="shared" si="4"/>
        <v>45380.5</v>
      </c>
      <c r="O163" s="11">
        <f t="shared" si="5"/>
        <v>46143</v>
      </c>
      <c r="P163" s="12"/>
    </row>
    <row r="164" spans="1:16" ht="15.75" x14ac:dyDescent="0.25">
      <c r="A164" s="5">
        <f>SUBTOTAL(3,$B$2:B164)</f>
        <v>163</v>
      </c>
      <c r="B164" s="6">
        <v>46143</v>
      </c>
      <c r="C164" s="6" t="s">
        <v>15</v>
      </c>
      <c r="D164" s="5" t="s">
        <v>56</v>
      </c>
      <c r="E164" s="5" t="s">
        <v>57</v>
      </c>
      <c r="F164" s="5" t="s">
        <v>62</v>
      </c>
      <c r="G164" s="5" t="s">
        <v>59</v>
      </c>
      <c r="H164" s="7" t="s">
        <v>38</v>
      </c>
      <c r="I164" s="7" t="s">
        <v>21</v>
      </c>
      <c r="J164" s="31">
        <f>VLOOKUP(H164,'KM sử dụng T5'!A:H,8,0)</f>
        <v>1487</v>
      </c>
      <c r="K164" s="8">
        <v>46143</v>
      </c>
      <c r="L164" s="9">
        <f>J164*SUMIFS('Đơn giá SCBD'!F:F,'Đơn giá SCBD'!A:A,'Chi tiết'!F164,'Đơn giá SCBD'!B:B,'Chi tiết'!I164)</f>
        <v>27509.5</v>
      </c>
      <c r="M164" s="10">
        <v>1</v>
      </c>
      <c r="N164" s="9">
        <f t="shared" si="4"/>
        <v>27509.5</v>
      </c>
      <c r="O164" s="11">
        <f t="shared" si="5"/>
        <v>46143</v>
      </c>
      <c r="P164" s="12"/>
    </row>
    <row r="165" spans="1:16" ht="15.75" x14ac:dyDescent="0.25">
      <c r="A165" s="5">
        <f>SUBTOTAL(3,$B$2:B165)</f>
        <v>164</v>
      </c>
      <c r="B165" s="6">
        <v>46143</v>
      </c>
      <c r="C165" s="6" t="s">
        <v>15</v>
      </c>
      <c r="D165" s="5" t="s">
        <v>56</v>
      </c>
      <c r="E165" s="5" t="s">
        <v>57</v>
      </c>
      <c r="F165" s="5" t="s">
        <v>62</v>
      </c>
      <c r="G165" s="5" t="s">
        <v>59</v>
      </c>
      <c r="H165" s="7" t="s">
        <v>179</v>
      </c>
      <c r="I165" s="7" t="s">
        <v>93</v>
      </c>
      <c r="J165" s="31">
        <f>VLOOKUP(H165,'KM sử dụng T5'!A:H,8,0)</f>
        <v>1818.5699999999488</v>
      </c>
      <c r="K165" s="8">
        <v>46143</v>
      </c>
      <c r="L165" s="9">
        <f>J165*SUMIFS('Đơn giá SCBD'!F:F,'Đơn giá SCBD'!A:A,'Chi tiết'!F165,'Đơn giá SCBD'!B:B,'Chi tiết'!I165)</f>
        <v>53647.814999998489</v>
      </c>
      <c r="M165" s="10">
        <v>1</v>
      </c>
      <c r="N165" s="9">
        <f t="shared" si="4"/>
        <v>53647.814999998489</v>
      </c>
      <c r="O165" s="11">
        <f t="shared" si="5"/>
        <v>46143</v>
      </c>
      <c r="P165" s="12"/>
    </row>
    <row r="166" spans="1:16" ht="15.75" x14ac:dyDescent="0.25">
      <c r="A166" s="5">
        <f>SUBTOTAL(3,$B$2:B166)</f>
        <v>165</v>
      </c>
      <c r="B166" s="6">
        <v>46143</v>
      </c>
      <c r="C166" s="6" t="s">
        <v>15</v>
      </c>
      <c r="D166" s="5" t="s">
        <v>56</v>
      </c>
      <c r="E166" s="5" t="s">
        <v>57</v>
      </c>
      <c r="F166" s="5" t="s">
        <v>62</v>
      </c>
      <c r="G166" s="5" t="s">
        <v>59</v>
      </c>
      <c r="H166" s="7" t="s">
        <v>178</v>
      </c>
      <c r="I166" s="7" t="s">
        <v>93</v>
      </c>
      <c r="J166" s="31">
        <f>VLOOKUP(H166,'KM sử dụng T5'!A:H,8,0)</f>
        <v>2432.140000000014</v>
      </c>
      <c r="K166" s="8">
        <v>46143</v>
      </c>
      <c r="L166" s="9">
        <f>J166*SUMIFS('Đơn giá SCBD'!F:F,'Đơn giá SCBD'!A:A,'Chi tiết'!F166,'Đơn giá SCBD'!B:B,'Chi tiết'!I166)</f>
        <v>71748.130000000412</v>
      </c>
      <c r="M166" s="10">
        <v>1</v>
      </c>
      <c r="N166" s="9">
        <f t="shared" si="4"/>
        <v>71748.130000000412</v>
      </c>
      <c r="O166" s="11">
        <f t="shared" si="5"/>
        <v>46143</v>
      </c>
      <c r="P166" s="12"/>
    </row>
    <row r="167" spans="1:16" ht="15.75" x14ac:dyDescent="0.25">
      <c r="A167" s="5">
        <f>SUBTOTAL(3,$B$2:B167)</f>
        <v>166</v>
      </c>
      <c r="B167" s="6">
        <v>46143</v>
      </c>
      <c r="C167" s="6" t="s">
        <v>15</v>
      </c>
      <c r="D167" s="5" t="s">
        <v>56</v>
      </c>
      <c r="E167" s="5" t="s">
        <v>57</v>
      </c>
      <c r="F167" s="5" t="s">
        <v>62</v>
      </c>
      <c r="G167" s="5" t="s">
        <v>59</v>
      </c>
      <c r="H167" s="7" t="s">
        <v>177</v>
      </c>
      <c r="I167" s="7" t="s">
        <v>93</v>
      </c>
      <c r="J167" s="31">
        <f>VLOOKUP(H167,'KM sử dụng T5'!A:H,8,0)</f>
        <v>2838.3699999999953</v>
      </c>
      <c r="K167" s="8">
        <v>46143</v>
      </c>
      <c r="L167" s="9">
        <f>J167*SUMIFS('Đơn giá SCBD'!F:F,'Đơn giá SCBD'!A:A,'Chi tiết'!F167,'Đơn giá SCBD'!B:B,'Chi tiết'!I167)</f>
        <v>83731.914999999863</v>
      </c>
      <c r="M167" s="10">
        <v>1</v>
      </c>
      <c r="N167" s="9">
        <f t="shared" si="4"/>
        <v>83731.914999999863</v>
      </c>
      <c r="O167" s="11">
        <f t="shared" si="5"/>
        <v>46143</v>
      </c>
      <c r="P167" s="12"/>
    </row>
    <row r="168" spans="1:16" ht="15.75" x14ac:dyDescent="0.25">
      <c r="A168" s="5">
        <f>SUBTOTAL(3,$B$2:B168)</f>
        <v>167</v>
      </c>
      <c r="B168" s="6">
        <v>46143</v>
      </c>
      <c r="C168" s="6" t="s">
        <v>15</v>
      </c>
      <c r="D168" s="5" t="s">
        <v>56</v>
      </c>
      <c r="E168" s="5" t="s">
        <v>57</v>
      </c>
      <c r="F168" s="5" t="s">
        <v>63</v>
      </c>
      <c r="G168" s="5" t="s">
        <v>59</v>
      </c>
      <c r="H168" s="7" t="s">
        <v>27</v>
      </c>
      <c r="I168" s="7" t="s">
        <v>24</v>
      </c>
      <c r="J168" s="31">
        <f>VLOOKUP(H168,'KM sử dụng T5'!A:H,8,0)</f>
        <v>5509</v>
      </c>
      <c r="K168" s="8">
        <v>46143</v>
      </c>
      <c r="L168" s="9">
        <f>J168*SUMIFS('Đơn giá SCBD'!F:F,'Đơn giá SCBD'!A:A,'Chi tiết'!F168,'Đơn giá SCBD'!B:B,'Chi tiết'!I168)</f>
        <v>638543.1814008333</v>
      </c>
      <c r="M168" s="10">
        <v>1</v>
      </c>
      <c r="N168" s="9">
        <f t="shared" si="4"/>
        <v>638543.1814008333</v>
      </c>
      <c r="O168" s="11">
        <f t="shared" si="5"/>
        <v>46143</v>
      </c>
      <c r="P168" s="12"/>
    </row>
    <row r="169" spans="1:16" ht="15.75" x14ac:dyDescent="0.25">
      <c r="A169" s="5">
        <f>SUBTOTAL(3,$B$2:B169)</f>
        <v>168</v>
      </c>
      <c r="B169" s="6">
        <v>46143</v>
      </c>
      <c r="C169" s="6" t="s">
        <v>15</v>
      </c>
      <c r="D169" s="5" t="s">
        <v>56</v>
      </c>
      <c r="E169" s="5" t="s">
        <v>57</v>
      </c>
      <c r="F169" s="5" t="s">
        <v>63</v>
      </c>
      <c r="G169" s="5" t="s">
        <v>59</v>
      </c>
      <c r="H169" s="7" t="s">
        <v>23</v>
      </c>
      <c r="I169" s="7" t="s">
        <v>24</v>
      </c>
      <c r="J169" s="31">
        <f>VLOOKUP(H169,'KM sử dụng T5'!A:H,8,0)</f>
        <v>4916</v>
      </c>
      <c r="K169" s="8">
        <v>46143</v>
      </c>
      <c r="L169" s="9">
        <f>J169*SUMIFS('Đơn giá SCBD'!F:F,'Đơn giá SCBD'!A:A,'Chi tiết'!F169,'Đơn giá SCBD'!B:B,'Chi tiết'!I169)</f>
        <v>569809.09053666668</v>
      </c>
      <c r="M169" s="10">
        <v>1</v>
      </c>
      <c r="N169" s="9">
        <f t="shared" si="4"/>
        <v>569809.09053666668</v>
      </c>
      <c r="O169" s="11">
        <f t="shared" si="5"/>
        <v>46143</v>
      </c>
      <c r="P169" s="12"/>
    </row>
    <row r="170" spans="1:16" ht="15.75" x14ac:dyDescent="0.25">
      <c r="A170" s="5">
        <f>SUBTOTAL(3,$B$2:B170)</f>
        <v>169</v>
      </c>
      <c r="B170" s="6">
        <v>46143</v>
      </c>
      <c r="C170" s="6" t="s">
        <v>15</v>
      </c>
      <c r="D170" s="5" t="s">
        <v>56</v>
      </c>
      <c r="E170" s="5" t="s">
        <v>57</v>
      </c>
      <c r="F170" s="5" t="s">
        <v>63</v>
      </c>
      <c r="G170" s="5" t="s">
        <v>59</v>
      </c>
      <c r="H170" s="7" t="s">
        <v>31</v>
      </c>
      <c r="I170" s="7" t="s">
        <v>24</v>
      </c>
      <c r="J170" s="31">
        <f>VLOOKUP(H170,'KM sử dụng T5'!A:H,8,0)</f>
        <v>3064</v>
      </c>
      <c r="K170" s="8">
        <v>46143</v>
      </c>
      <c r="L170" s="9">
        <f>J170*SUMIFS('Đơn giá SCBD'!F:F,'Đơn giá SCBD'!A:A,'Chi tiết'!F170,'Đơn giá SCBD'!B:B,'Chi tiết'!I170)</f>
        <v>355145.45431333332</v>
      </c>
      <c r="M170" s="10">
        <v>1</v>
      </c>
      <c r="N170" s="9">
        <f t="shared" si="4"/>
        <v>355145.45431333332</v>
      </c>
      <c r="O170" s="11">
        <f t="shared" si="5"/>
        <v>46143</v>
      </c>
      <c r="P170" s="12"/>
    </row>
    <row r="171" spans="1:16" ht="15.75" x14ac:dyDescent="0.25">
      <c r="A171" s="5">
        <f>SUBTOTAL(3,$B$2:B171)</f>
        <v>170</v>
      </c>
      <c r="B171" s="6">
        <v>46143</v>
      </c>
      <c r="C171" s="6" t="s">
        <v>15</v>
      </c>
      <c r="D171" s="5" t="s">
        <v>56</v>
      </c>
      <c r="E171" s="5" t="s">
        <v>57</v>
      </c>
      <c r="F171" s="5" t="s">
        <v>63</v>
      </c>
      <c r="G171" s="5" t="s">
        <v>59</v>
      </c>
      <c r="H171" s="7" t="s">
        <v>28</v>
      </c>
      <c r="I171" s="7" t="s">
        <v>24</v>
      </c>
      <c r="J171" s="31">
        <f>VLOOKUP(H171,'KM sử dụng T5'!A:H,8,0)</f>
        <v>4830</v>
      </c>
      <c r="K171" s="8">
        <v>46143</v>
      </c>
      <c r="L171" s="9">
        <f>J171*SUMIFS('Đơn giá SCBD'!F:F,'Đơn giá SCBD'!A:A,'Chi tiết'!F171,'Đơn giá SCBD'!B:B,'Chi tiết'!I171)</f>
        <v>559840.90872499999</v>
      </c>
      <c r="M171" s="10">
        <v>1</v>
      </c>
      <c r="N171" s="9">
        <f t="shared" si="4"/>
        <v>559840.90872499999</v>
      </c>
      <c r="O171" s="11">
        <f t="shared" si="5"/>
        <v>46143</v>
      </c>
      <c r="P171" s="12"/>
    </row>
    <row r="172" spans="1:16" ht="15.75" x14ac:dyDescent="0.25">
      <c r="A172" s="5">
        <f>SUBTOTAL(3,$B$2:B172)</f>
        <v>171</v>
      </c>
      <c r="B172" s="6">
        <v>46143</v>
      </c>
      <c r="C172" s="6" t="s">
        <v>15</v>
      </c>
      <c r="D172" s="5" t="s">
        <v>56</v>
      </c>
      <c r="E172" s="5" t="s">
        <v>57</v>
      </c>
      <c r="F172" s="5" t="s">
        <v>63</v>
      </c>
      <c r="G172" s="5" t="s">
        <v>59</v>
      </c>
      <c r="H172" s="7" t="s">
        <v>29</v>
      </c>
      <c r="I172" s="7" t="s">
        <v>24</v>
      </c>
      <c r="J172" s="31">
        <f>VLOOKUP(H172,'KM sử dụng T5'!A:H,8,0)</f>
        <v>4153</v>
      </c>
      <c r="K172" s="8">
        <v>46143</v>
      </c>
      <c r="L172" s="9">
        <f>J172*SUMIFS('Đơn giá SCBD'!F:F,'Đơn giá SCBD'!A:A,'Chi tiết'!F172,'Đơn giá SCBD'!B:B,'Chi tiết'!I172)</f>
        <v>481370.45423083333</v>
      </c>
      <c r="M172" s="10">
        <v>1</v>
      </c>
      <c r="N172" s="9">
        <f t="shared" si="4"/>
        <v>481370.45423083333</v>
      </c>
      <c r="O172" s="11">
        <f t="shared" si="5"/>
        <v>46143</v>
      </c>
      <c r="P172" s="12"/>
    </row>
    <row r="173" spans="1:16" ht="15.75" x14ac:dyDescent="0.25">
      <c r="A173" s="5">
        <f>SUBTOTAL(3,$B$2:B173)</f>
        <v>172</v>
      </c>
      <c r="B173" s="6">
        <v>46143</v>
      </c>
      <c r="C173" s="6" t="s">
        <v>15</v>
      </c>
      <c r="D173" s="5" t="s">
        <v>56</v>
      </c>
      <c r="E173" s="5" t="s">
        <v>57</v>
      </c>
      <c r="F173" s="5" t="s">
        <v>63</v>
      </c>
      <c r="G173" s="5" t="s">
        <v>59</v>
      </c>
      <c r="H173" s="7" t="s">
        <v>32</v>
      </c>
      <c r="I173" s="7" t="s">
        <v>24</v>
      </c>
      <c r="J173" s="31">
        <f>VLOOKUP(H173,'KM sử dụng T5'!A:H,8,0)</f>
        <v>656.66999999999825</v>
      </c>
      <c r="K173" s="8">
        <v>46143</v>
      </c>
      <c r="L173" s="9">
        <f>J173*SUMIFS('Đơn giá SCBD'!F:F,'Đơn giá SCBD'!A:A,'Chi tiết'!F173,'Đơn giá SCBD'!B:B,'Chi tiết'!I173)</f>
        <v>76114.022677524801</v>
      </c>
      <c r="M173" s="10">
        <v>1</v>
      </c>
      <c r="N173" s="9">
        <f t="shared" si="4"/>
        <v>76114.022677524801</v>
      </c>
      <c r="O173" s="11">
        <f t="shared" si="5"/>
        <v>46143</v>
      </c>
      <c r="P173" s="12"/>
    </row>
    <row r="174" spans="1:16" ht="15.75" x14ac:dyDescent="0.25">
      <c r="A174" s="5">
        <f>SUBTOTAL(3,$B$2:B174)</f>
        <v>173</v>
      </c>
      <c r="B174" s="6">
        <v>46143</v>
      </c>
      <c r="C174" s="6" t="s">
        <v>15</v>
      </c>
      <c r="D174" s="5" t="s">
        <v>56</v>
      </c>
      <c r="E174" s="5" t="s">
        <v>57</v>
      </c>
      <c r="F174" s="5" t="s">
        <v>63</v>
      </c>
      <c r="G174" s="5" t="s">
        <v>59</v>
      </c>
      <c r="H174" s="7" t="s">
        <v>26</v>
      </c>
      <c r="I174" s="7" t="s">
        <v>24</v>
      </c>
      <c r="J174" s="31">
        <f>VLOOKUP(H174,'KM sử dụng T5'!A:H,8,0)</f>
        <v>4514</v>
      </c>
      <c r="K174" s="8">
        <v>46143</v>
      </c>
      <c r="L174" s="9">
        <f>J174*SUMIFS('Đơn giá SCBD'!F:F,'Đơn giá SCBD'!A:A,'Chi tiết'!F174,'Đơn giá SCBD'!B:B,'Chi tiết'!I174)</f>
        <v>523213.63602166669</v>
      </c>
      <c r="M174" s="10">
        <v>1</v>
      </c>
      <c r="N174" s="9">
        <f t="shared" si="4"/>
        <v>523213.63602166669</v>
      </c>
      <c r="O174" s="11">
        <f t="shared" si="5"/>
        <v>46143</v>
      </c>
      <c r="P174" s="12"/>
    </row>
    <row r="175" spans="1:16" ht="15.75" x14ac:dyDescent="0.25">
      <c r="A175" s="5">
        <f>SUBTOTAL(3,$B$2:B175)</f>
        <v>174</v>
      </c>
      <c r="B175" s="6">
        <v>46143</v>
      </c>
      <c r="C175" s="6" t="s">
        <v>15</v>
      </c>
      <c r="D175" s="5" t="s">
        <v>56</v>
      </c>
      <c r="E175" s="5" t="s">
        <v>57</v>
      </c>
      <c r="F175" s="5" t="s">
        <v>63</v>
      </c>
      <c r="G175" s="5" t="s">
        <v>59</v>
      </c>
      <c r="H175" s="7" t="s">
        <v>25</v>
      </c>
      <c r="I175" s="7" t="s">
        <v>24</v>
      </c>
      <c r="J175" s="31">
        <f>VLOOKUP(H175,'KM sử dụng T5'!A:H,8,0)</f>
        <v>3397</v>
      </c>
      <c r="K175" s="8">
        <v>46143</v>
      </c>
      <c r="L175" s="9">
        <f>J175*SUMIFS('Đơn giá SCBD'!F:F,'Đơn giá SCBD'!A:A,'Chi tiết'!F175,'Đơn giá SCBD'!B:B,'Chi tiết'!I175)</f>
        <v>393743.18156083336</v>
      </c>
      <c r="M175" s="10">
        <v>1</v>
      </c>
      <c r="N175" s="9">
        <f t="shared" si="4"/>
        <v>393743.18156083336</v>
      </c>
      <c r="O175" s="11">
        <f t="shared" si="5"/>
        <v>46143</v>
      </c>
      <c r="P175" s="12"/>
    </row>
    <row r="176" spans="1:16" ht="15.75" x14ac:dyDescent="0.25">
      <c r="A176" s="5">
        <f>SUBTOTAL(3,$B$2:B176)</f>
        <v>175</v>
      </c>
      <c r="B176" s="6">
        <v>46143</v>
      </c>
      <c r="C176" s="6" t="s">
        <v>15</v>
      </c>
      <c r="D176" s="5" t="s">
        <v>56</v>
      </c>
      <c r="E176" s="5" t="s">
        <v>57</v>
      </c>
      <c r="F176" s="5" t="s">
        <v>63</v>
      </c>
      <c r="G176" s="5" t="s">
        <v>59</v>
      </c>
      <c r="H176" s="7" t="s">
        <v>61</v>
      </c>
      <c r="I176" s="7" t="s">
        <v>24</v>
      </c>
      <c r="J176" s="31">
        <f>VLOOKUP(H176,'KM sử dụng T5'!A:H,8,0)</f>
        <v>3228</v>
      </c>
      <c r="K176" s="8">
        <v>46143</v>
      </c>
      <c r="L176" s="9">
        <f>J176*SUMIFS('Đơn giá SCBD'!F:F,'Đơn giá SCBD'!A:A,'Chi tiết'!F176,'Đơn giá SCBD'!B:B,'Chi tiết'!I176)</f>
        <v>374154.54521000001</v>
      </c>
      <c r="M176" s="10">
        <v>1</v>
      </c>
      <c r="N176" s="9">
        <f t="shared" si="4"/>
        <v>374154.54521000001</v>
      </c>
      <c r="O176" s="11">
        <f t="shared" si="5"/>
        <v>46143</v>
      </c>
      <c r="P176" s="12"/>
    </row>
    <row r="177" spans="1:16" ht="15.75" x14ac:dyDescent="0.25">
      <c r="A177" s="5">
        <f>SUBTOTAL(3,$B$2:B177)</f>
        <v>176</v>
      </c>
      <c r="B177" s="6">
        <v>46143</v>
      </c>
      <c r="C177" s="6" t="s">
        <v>15</v>
      </c>
      <c r="D177" s="5" t="s">
        <v>56</v>
      </c>
      <c r="E177" s="5" t="s">
        <v>57</v>
      </c>
      <c r="F177" s="5" t="s">
        <v>63</v>
      </c>
      <c r="G177" s="5" t="s">
        <v>59</v>
      </c>
      <c r="H177" s="7" t="s">
        <v>30</v>
      </c>
      <c r="I177" s="7" t="s">
        <v>24</v>
      </c>
      <c r="J177" s="31">
        <f>VLOOKUP(H177,'KM sử dụng T5'!A:H,8,0)</f>
        <v>3217</v>
      </c>
      <c r="K177" s="8">
        <v>46143</v>
      </c>
      <c r="L177" s="9">
        <f>J177*SUMIFS('Đơn giá SCBD'!F:F,'Đơn giá SCBD'!A:A,'Chi tiết'!F177,'Đơn giá SCBD'!B:B,'Chi tiết'!I177)</f>
        <v>372879.54521083337</v>
      </c>
      <c r="M177" s="10">
        <v>1</v>
      </c>
      <c r="N177" s="9">
        <f t="shared" si="4"/>
        <v>372879.54521083337</v>
      </c>
      <c r="O177" s="11">
        <f t="shared" si="5"/>
        <v>46143</v>
      </c>
      <c r="P177" s="12"/>
    </row>
    <row r="178" spans="1:16" ht="15.75" x14ac:dyDescent="0.25">
      <c r="A178" s="5">
        <f>SUBTOTAL(3,$B$2:B178)</f>
        <v>177</v>
      </c>
      <c r="B178" s="6">
        <v>46143</v>
      </c>
      <c r="C178" s="6" t="s">
        <v>15</v>
      </c>
      <c r="D178" s="5" t="s">
        <v>56</v>
      </c>
      <c r="E178" s="5" t="s">
        <v>57</v>
      </c>
      <c r="F178" s="5" t="s">
        <v>63</v>
      </c>
      <c r="G178" s="5" t="s">
        <v>59</v>
      </c>
      <c r="H178" s="7" t="s">
        <v>33</v>
      </c>
      <c r="I178" s="7" t="s">
        <v>24</v>
      </c>
      <c r="J178" s="31">
        <f>VLOOKUP(H178,'KM sử dụng T5'!A:H,8,0)</f>
        <v>5118</v>
      </c>
      <c r="K178" s="8">
        <v>46143</v>
      </c>
      <c r="L178" s="9">
        <f>J178*SUMIFS('Đơn giá SCBD'!F:F,'Đơn giá SCBD'!A:A,'Chi tiết'!F178,'Đơn giá SCBD'!B:B,'Chi tiết'!I178)</f>
        <v>593222.72688500001</v>
      </c>
      <c r="M178" s="10">
        <v>1</v>
      </c>
      <c r="N178" s="9">
        <f t="shared" si="4"/>
        <v>593222.72688500001</v>
      </c>
      <c r="O178" s="11">
        <f t="shared" si="5"/>
        <v>46143</v>
      </c>
      <c r="P178" s="12"/>
    </row>
    <row r="179" spans="1:16" ht="15.75" x14ac:dyDescent="0.25">
      <c r="A179" s="5">
        <f>SUBTOTAL(3,$B$2:B179)</f>
        <v>178</v>
      </c>
      <c r="B179" s="6">
        <v>46143</v>
      </c>
      <c r="C179" s="6" t="s">
        <v>15</v>
      </c>
      <c r="D179" s="5" t="s">
        <v>56</v>
      </c>
      <c r="E179" s="5" t="s">
        <v>57</v>
      </c>
      <c r="F179" s="5" t="s">
        <v>63</v>
      </c>
      <c r="G179" s="5" t="s">
        <v>59</v>
      </c>
      <c r="H179" s="7" t="s">
        <v>35</v>
      </c>
      <c r="I179" s="7" t="s">
        <v>24</v>
      </c>
      <c r="J179" s="31">
        <f>VLOOKUP(H179,'KM sử dụng T5'!A:H,8,0)</f>
        <v>4691</v>
      </c>
      <c r="K179" s="8">
        <v>46143</v>
      </c>
      <c r="L179" s="9">
        <f>J179*SUMIFS('Đơn giá SCBD'!F:F,'Đơn giá SCBD'!A:A,'Chi tiết'!F179,'Đơn giá SCBD'!B:B,'Chi tiết'!I179)</f>
        <v>543729.54509916669</v>
      </c>
      <c r="M179" s="10">
        <v>1</v>
      </c>
      <c r="N179" s="9">
        <f t="shared" si="4"/>
        <v>543729.54509916669</v>
      </c>
      <c r="O179" s="11">
        <f t="shared" si="5"/>
        <v>46143</v>
      </c>
      <c r="P179" s="12"/>
    </row>
    <row r="180" spans="1:16" ht="15.75" x14ac:dyDescent="0.25">
      <c r="A180" s="5">
        <f>SUBTOTAL(3,$B$2:B180)</f>
        <v>179</v>
      </c>
      <c r="B180" s="6">
        <v>46143</v>
      </c>
      <c r="C180" s="6" t="s">
        <v>15</v>
      </c>
      <c r="D180" s="5" t="s">
        <v>56</v>
      </c>
      <c r="E180" s="5" t="s">
        <v>57</v>
      </c>
      <c r="F180" s="5" t="s">
        <v>63</v>
      </c>
      <c r="G180" s="5" t="s">
        <v>59</v>
      </c>
      <c r="H180" s="7" t="s">
        <v>34</v>
      </c>
      <c r="I180" s="7" t="s">
        <v>24</v>
      </c>
      <c r="J180" s="31">
        <f>VLOOKUP(H180,'KM sử dụng T5'!A:H,8,0)</f>
        <v>5066</v>
      </c>
      <c r="K180" s="8">
        <v>46143</v>
      </c>
      <c r="L180" s="9">
        <f>J180*SUMIFS('Đơn giá SCBD'!F:F,'Đơn giá SCBD'!A:A,'Chi tiết'!F180,'Đơn giá SCBD'!B:B,'Chi tiết'!I180)</f>
        <v>587195.45416166668</v>
      </c>
      <c r="M180" s="10">
        <v>1</v>
      </c>
      <c r="N180" s="9">
        <f t="shared" si="4"/>
        <v>587195.45416166668</v>
      </c>
      <c r="O180" s="11">
        <f t="shared" si="5"/>
        <v>46143</v>
      </c>
      <c r="P180" s="12"/>
    </row>
    <row r="181" spans="1:16" ht="15.75" x14ac:dyDescent="0.25">
      <c r="A181" s="5">
        <f>SUBTOTAL(3,$B$2:B181)</f>
        <v>180</v>
      </c>
      <c r="B181" s="6">
        <v>46143</v>
      </c>
      <c r="C181" s="6" t="s">
        <v>15</v>
      </c>
      <c r="D181" s="5" t="s">
        <v>56</v>
      </c>
      <c r="E181" s="5" t="s">
        <v>57</v>
      </c>
      <c r="F181" s="5" t="s">
        <v>63</v>
      </c>
      <c r="G181" s="5" t="s">
        <v>59</v>
      </c>
      <c r="H181" s="7" t="s">
        <v>36</v>
      </c>
      <c r="I181" s="7" t="s">
        <v>24</v>
      </c>
      <c r="J181" s="31">
        <f>VLOOKUP(H181,'KM sử dụng T5'!A:H,8,0)</f>
        <v>4517</v>
      </c>
      <c r="K181" s="8">
        <v>46143</v>
      </c>
      <c r="L181" s="9">
        <f>J181*SUMIFS('Đơn giá SCBD'!F:F,'Đơn giá SCBD'!A:A,'Chi tiết'!F181,'Đơn giá SCBD'!B:B,'Chi tiết'!I181)</f>
        <v>523561.36329416669</v>
      </c>
      <c r="M181" s="10">
        <v>1</v>
      </c>
      <c r="N181" s="9">
        <f t="shared" si="4"/>
        <v>523561.36329416669</v>
      </c>
      <c r="O181" s="11">
        <f t="shared" si="5"/>
        <v>46143</v>
      </c>
      <c r="P181" s="12"/>
    </row>
    <row r="182" spans="1:16" ht="15.75" x14ac:dyDescent="0.25">
      <c r="A182" s="5">
        <f>SUBTOTAL(3,$B$2:B182)</f>
        <v>181</v>
      </c>
      <c r="B182" s="6">
        <v>46143</v>
      </c>
      <c r="C182" s="6" t="s">
        <v>15</v>
      </c>
      <c r="D182" s="5" t="s">
        <v>56</v>
      </c>
      <c r="E182" s="5" t="s">
        <v>57</v>
      </c>
      <c r="F182" s="5" t="s">
        <v>63</v>
      </c>
      <c r="G182" s="5" t="s">
        <v>59</v>
      </c>
      <c r="H182" s="7" t="s">
        <v>37</v>
      </c>
      <c r="I182" s="7" t="s">
        <v>24</v>
      </c>
      <c r="J182" s="31">
        <f>VLOOKUP(H182,'KM sử dụng T5'!A:H,8,0)</f>
        <v>3021</v>
      </c>
      <c r="K182" s="8">
        <v>46143</v>
      </c>
      <c r="L182" s="9">
        <f>J182*SUMIFS('Đơn giá SCBD'!F:F,'Đơn giá SCBD'!A:A,'Chi tiết'!F182,'Đơn giá SCBD'!B:B,'Chi tiết'!I182)</f>
        <v>350161.36340750003</v>
      </c>
      <c r="M182" s="10">
        <v>1</v>
      </c>
      <c r="N182" s="9">
        <f t="shared" si="4"/>
        <v>350161.36340750003</v>
      </c>
      <c r="O182" s="11">
        <f t="shared" si="5"/>
        <v>46143</v>
      </c>
      <c r="P182" s="12"/>
    </row>
    <row r="183" spans="1:16" ht="15.75" x14ac:dyDescent="0.25">
      <c r="A183" s="5">
        <f>SUBTOTAL(3,$B$2:B183)</f>
        <v>182</v>
      </c>
      <c r="B183" s="6">
        <v>46143</v>
      </c>
      <c r="C183" s="6" t="s">
        <v>15</v>
      </c>
      <c r="D183" s="5" t="s">
        <v>56</v>
      </c>
      <c r="E183" s="5" t="s">
        <v>57</v>
      </c>
      <c r="F183" s="5" t="s">
        <v>63</v>
      </c>
      <c r="G183" s="5" t="s">
        <v>59</v>
      </c>
      <c r="H183" s="7" t="s">
        <v>20</v>
      </c>
      <c r="I183" s="7" t="s">
        <v>21</v>
      </c>
      <c r="J183" s="31">
        <f>VLOOKUP(H183,'KM sử dụng T5'!A:H,8,0)</f>
        <v>3064.9499999999971</v>
      </c>
      <c r="K183" s="8">
        <v>46143</v>
      </c>
      <c r="L183" s="9">
        <f>J183*SUMIFS('Đơn giá SCBD'!F:F,'Đơn giá SCBD'!A:A,'Chi tiết'!F183,'Đơn giá SCBD'!B:B,'Chi tiết'!I183)</f>
        <v>792604.24319999735</v>
      </c>
      <c r="M183" s="10">
        <v>1</v>
      </c>
      <c r="N183" s="9">
        <f t="shared" si="4"/>
        <v>792604.24319999735</v>
      </c>
      <c r="O183" s="11">
        <f t="shared" si="5"/>
        <v>46143</v>
      </c>
      <c r="P183" s="12"/>
    </row>
    <row r="184" spans="1:16" ht="15.75" x14ac:dyDescent="0.25">
      <c r="A184" s="5">
        <f>SUBTOTAL(3,$B$2:B184)</f>
        <v>183</v>
      </c>
      <c r="B184" s="6">
        <v>46143</v>
      </c>
      <c r="C184" s="6" t="s">
        <v>15</v>
      </c>
      <c r="D184" s="5" t="s">
        <v>56</v>
      </c>
      <c r="E184" s="5" t="s">
        <v>57</v>
      </c>
      <c r="F184" s="5" t="s">
        <v>63</v>
      </c>
      <c r="G184" s="5" t="s">
        <v>59</v>
      </c>
      <c r="H184" s="7" t="s">
        <v>22</v>
      </c>
      <c r="I184" s="7" t="s">
        <v>21</v>
      </c>
      <c r="J184" s="31">
        <f>VLOOKUP(H184,'KM sử dụng T5'!A:H,8,0)</f>
        <v>2453</v>
      </c>
      <c r="K184" s="8">
        <v>46143</v>
      </c>
      <c r="L184" s="9">
        <f>J184*SUMIFS('Đơn giá SCBD'!F:F,'Đơn giá SCBD'!A:A,'Chi tiết'!F184,'Đơn giá SCBD'!B:B,'Chi tiết'!I184)</f>
        <v>634352.34133333177</v>
      </c>
      <c r="M184" s="10">
        <v>1</v>
      </c>
      <c r="N184" s="9">
        <f t="shared" si="4"/>
        <v>634352.34133333177</v>
      </c>
      <c r="O184" s="11">
        <f t="shared" si="5"/>
        <v>46143</v>
      </c>
      <c r="P184" s="12"/>
    </row>
    <row r="185" spans="1:16" ht="15.75" x14ac:dyDescent="0.25">
      <c r="A185" s="5">
        <f>SUBTOTAL(3,$B$2:B185)</f>
        <v>184</v>
      </c>
      <c r="B185" s="6">
        <v>46143</v>
      </c>
      <c r="C185" s="6" t="s">
        <v>15</v>
      </c>
      <c r="D185" s="5" t="s">
        <v>56</v>
      </c>
      <c r="E185" s="5" t="s">
        <v>57</v>
      </c>
      <c r="F185" s="5" t="s">
        <v>63</v>
      </c>
      <c r="G185" s="5" t="s">
        <v>59</v>
      </c>
      <c r="H185" s="7" t="s">
        <v>38</v>
      </c>
      <c r="I185" s="7" t="s">
        <v>21</v>
      </c>
      <c r="J185" s="31">
        <f>VLOOKUP(H185,'KM sử dụng T5'!A:H,8,0)</f>
        <v>1487</v>
      </c>
      <c r="K185" s="8">
        <v>46143</v>
      </c>
      <c r="L185" s="9">
        <f>J185*SUMIFS('Đơn giá SCBD'!F:F,'Đơn giá SCBD'!A:A,'Chi tiết'!F185,'Đơn giá SCBD'!B:B,'Chi tiết'!I185)</f>
        <v>384542.16533333238</v>
      </c>
      <c r="M185" s="10">
        <v>1</v>
      </c>
      <c r="N185" s="9">
        <f t="shared" si="4"/>
        <v>384542.16533333238</v>
      </c>
      <c r="O185" s="11">
        <f t="shared" si="5"/>
        <v>46143</v>
      </c>
      <c r="P185" s="12"/>
    </row>
    <row r="186" spans="1:16" ht="15.75" x14ac:dyDescent="0.25">
      <c r="A186" s="5">
        <f>SUBTOTAL(3,$B$2:B186)</f>
        <v>185</v>
      </c>
      <c r="B186" s="6">
        <v>46143</v>
      </c>
      <c r="C186" s="6" t="s">
        <v>15</v>
      </c>
      <c r="D186" s="5" t="s">
        <v>56</v>
      </c>
      <c r="E186" s="5" t="s">
        <v>57</v>
      </c>
      <c r="F186" s="5" t="s">
        <v>63</v>
      </c>
      <c r="G186" s="5" t="s">
        <v>59</v>
      </c>
      <c r="H186" s="7" t="s">
        <v>179</v>
      </c>
      <c r="I186" s="7" t="s">
        <v>93</v>
      </c>
      <c r="J186" s="31">
        <f>VLOOKUP(H186,'KM sử dụng T5'!A:H,8,0)</f>
        <v>1818.5699999999488</v>
      </c>
      <c r="K186" s="8">
        <v>46143</v>
      </c>
      <c r="L186" s="9">
        <f>J186*SUMIFS('Đơn giá SCBD'!F:F,'Đơn giá SCBD'!A:A,'Chi tiết'!F186,'Đơn giá SCBD'!B:B,'Chi tiết'!I186)</f>
        <v>470287.0515199856</v>
      </c>
      <c r="M186" s="10">
        <v>1</v>
      </c>
      <c r="N186" s="9">
        <f t="shared" si="4"/>
        <v>470287.0515199856</v>
      </c>
      <c r="O186" s="11">
        <f t="shared" si="5"/>
        <v>46143</v>
      </c>
      <c r="P186" s="12"/>
    </row>
    <row r="187" spans="1:16" ht="15.75" x14ac:dyDescent="0.25">
      <c r="A187" s="5">
        <f>SUBTOTAL(3,$B$2:B187)</f>
        <v>186</v>
      </c>
      <c r="B187" s="6">
        <v>46143</v>
      </c>
      <c r="C187" s="6" t="s">
        <v>15</v>
      </c>
      <c r="D187" s="5" t="s">
        <v>56</v>
      </c>
      <c r="E187" s="5" t="s">
        <v>57</v>
      </c>
      <c r="F187" s="5" t="s">
        <v>63</v>
      </c>
      <c r="G187" s="5" t="s">
        <v>59</v>
      </c>
      <c r="H187" s="7" t="s">
        <v>178</v>
      </c>
      <c r="I187" s="7" t="s">
        <v>93</v>
      </c>
      <c r="J187" s="31">
        <f>VLOOKUP(H187,'KM sử dụng T5'!A:H,8,0)</f>
        <v>2432.140000000014</v>
      </c>
      <c r="K187" s="8">
        <v>46143</v>
      </c>
      <c r="L187" s="9">
        <f>J187*SUMIFS('Đơn giá SCBD'!F:F,'Đơn giá SCBD'!A:A,'Chi tiết'!F187,'Đơn giá SCBD'!B:B,'Chi tiết'!I187)</f>
        <v>628957.88970666879</v>
      </c>
      <c r="M187" s="10">
        <v>1</v>
      </c>
      <c r="N187" s="9">
        <f>IF(B187&gt;O187,"",L187/M187)</f>
        <v>628957.88970666879</v>
      </c>
      <c r="O187" s="11">
        <f>EDATE(K187, M187-1)</f>
        <v>46143</v>
      </c>
      <c r="P187" s="12"/>
    </row>
    <row r="188" spans="1:16" ht="15.75" x14ac:dyDescent="0.25">
      <c r="A188" s="5">
        <f>SUBTOTAL(3,$B$2:B188)</f>
        <v>187</v>
      </c>
      <c r="B188" s="6">
        <v>46143</v>
      </c>
      <c r="C188" s="6" t="s">
        <v>15</v>
      </c>
      <c r="D188" s="5" t="s">
        <v>56</v>
      </c>
      <c r="E188" s="5" t="s">
        <v>57</v>
      </c>
      <c r="F188" s="5" t="s">
        <v>63</v>
      </c>
      <c r="G188" s="5" t="s">
        <v>59</v>
      </c>
      <c r="H188" s="7" t="s">
        <v>177</v>
      </c>
      <c r="I188" s="7" t="s">
        <v>93</v>
      </c>
      <c r="J188" s="31">
        <f>VLOOKUP(H188,'KM sử dụng T5'!A:H,8,0)</f>
        <v>2838.3699999999953</v>
      </c>
      <c r="K188" s="8">
        <v>46143</v>
      </c>
      <c r="L188" s="9">
        <f>J188*SUMIFS('Đơn giá SCBD'!F:F,'Đơn giá SCBD'!A:A,'Chi tiết'!F188,'Đơn giá SCBD'!B:B,'Chi tiết'!I188)</f>
        <v>734010.05098666367</v>
      </c>
      <c r="M188" s="10">
        <v>1</v>
      </c>
      <c r="N188" s="9">
        <f>IF(B188&gt;O188,"",L188/M188)</f>
        <v>734010.05098666367</v>
      </c>
      <c r="O188" s="11">
        <f>EDATE(K188, M188-1)</f>
        <v>46143</v>
      </c>
      <c r="P188" s="12"/>
    </row>
    <row r="189" spans="1:16" ht="15.75" x14ac:dyDescent="0.25">
      <c r="A189" s="5">
        <f>SUBTOTAL(3,$B$2:B189)</f>
        <v>188</v>
      </c>
      <c r="B189" s="6">
        <v>46143</v>
      </c>
      <c r="C189" s="6" t="s">
        <v>15</v>
      </c>
      <c r="D189" s="5" t="s">
        <v>64</v>
      </c>
      <c r="E189" s="5" t="s">
        <v>65</v>
      </c>
      <c r="F189" s="5" t="s">
        <v>65</v>
      </c>
      <c r="G189" s="5" t="s">
        <v>66</v>
      </c>
      <c r="H189" s="33" t="s">
        <v>177</v>
      </c>
      <c r="I189" s="7" t="s">
        <v>21</v>
      </c>
      <c r="J189" s="7"/>
      <c r="K189" s="8">
        <v>46143</v>
      </c>
      <c r="L189" s="9">
        <v>2183480</v>
      </c>
      <c r="M189" s="10">
        <v>1</v>
      </c>
      <c r="N189" s="9">
        <f t="shared" ref="N189:N222" si="6">IF(B189&gt;O189,"",L189/M189)</f>
        <v>2183480</v>
      </c>
      <c r="O189" s="11">
        <f t="shared" ref="O189:O222" si="7">EDATE(K189, M189-1)</f>
        <v>46143</v>
      </c>
      <c r="P189" s="12"/>
    </row>
    <row r="190" spans="1:16" ht="15.75" x14ac:dyDescent="0.25">
      <c r="A190" s="5">
        <f>SUBTOTAL(3,$B$2:B190)</f>
        <v>189</v>
      </c>
      <c r="B190" s="6">
        <v>46143</v>
      </c>
      <c r="C190" s="6" t="s">
        <v>15</v>
      </c>
      <c r="D190" s="5" t="s">
        <v>64</v>
      </c>
      <c r="E190" s="5" t="s">
        <v>65</v>
      </c>
      <c r="F190" s="5" t="s">
        <v>65</v>
      </c>
      <c r="G190" s="5" t="s">
        <v>66</v>
      </c>
      <c r="H190" s="33" t="s">
        <v>178</v>
      </c>
      <c r="I190" s="7" t="s">
        <v>21</v>
      </c>
      <c r="J190" s="7"/>
      <c r="K190" s="8">
        <v>46143</v>
      </c>
      <c r="L190" s="9">
        <v>2011100</v>
      </c>
      <c r="M190" s="10">
        <v>1</v>
      </c>
      <c r="N190" s="9">
        <f t="shared" si="6"/>
        <v>2011100</v>
      </c>
      <c r="O190" s="11">
        <f t="shared" si="7"/>
        <v>46143</v>
      </c>
      <c r="P190" s="12"/>
    </row>
    <row r="191" spans="1:16" ht="15.75" x14ac:dyDescent="0.25">
      <c r="A191" s="5">
        <f>SUBTOTAL(3,$B$2:B191)</f>
        <v>190</v>
      </c>
      <c r="B191" s="6">
        <v>46143</v>
      </c>
      <c r="C191" s="6" t="s">
        <v>15</v>
      </c>
      <c r="D191" s="5" t="s">
        <v>64</v>
      </c>
      <c r="E191" s="5" t="s">
        <v>65</v>
      </c>
      <c r="F191" s="5" t="s">
        <v>65</v>
      </c>
      <c r="G191" s="5" t="s">
        <v>66</v>
      </c>
      <c r="H191" s="33" t="s">
        <v>20</v>
      </c>
      <c r="I191" s="7" t="s">
        <v>21</v>
      </c>
      <c r="J191" s="7"/>
      <c r="K191" s="8">
        <v>46143</v>
      </c>
      <c r="L191" s="9">
        <v>1710570</v>
      </c>
      <c r="M191" s="10">
        <v>1</v>
      </c>
      <c r="N191" s="9">
        <f t="shared" si="6"/>
        <v>1710570</v>
      </c>
      <c r="O191" s="11">
        <f t="shared" si="7"/>
        <v>46143</v>
      </c>
      <c r="P191" s="12"/>
    </row>
    <row r="192" spans="1:16" ht="15.75" x14ac:dyDescent="0.25">
      <c r="A192" s="5">
        <f>SUBTOTAL(3,$B$2:B192)</f>
        <v>191</v>
      </c>
      <c r="B192" s="6">
        <v>46143</v>
      </c>
      <c r="C192" s="6" t="s">
        <v>15</v>
      </c>
      <c r="D192" s="5" t="s">
        <v>64</v>
      </c>
      <c r="E192" s="5" t="s">
        <v>65</v>
      </c>
      <c r="F192" s="5" t="s">
        <v>65</v>
      </c>
      <c r="G192" s="5" t="s">
        <v>66</v>
      </c>
      <c r="H192" s="33" t="s">
        <v>38</v>
      </c>
      <c r="I192" s="7" t="s">
        <v>21</v>
      </c>
      <c r="J192" s="7"/>
      <c r="K192" s="8">
        <v>46143</v>
      </c>
      <c r="L192" s="9">
        <v>2010670</v>
      </c>
      <c r="M192" s="10">
        <v>1</v>
      </c>
      <c r="N192" s="9">
        <f t="shared" ref="N192:N202" si="8">IF(B192&gt;O192,"",L192/M192)</f>
        <v>2010670</v>
      </c>
      <c r="O192" s="11">
        <f t="shared" ref="O192:O202" si="9">EDATE(K192, M192-1)</f>
        <v>46143</v>
      </c>
      <c r="P192" s="12"/>
    </row>
    <row r="193" spans="1:16" ht="15.75" x14ac:dyDescent="0.25">
      <c r="A193" s="5">
        <f>SUBTOTAL(3,$B$2:B193)</f>
        <v>192</v>
      </c>
      <c r="B193" s="6">
        <v>46143</v>
      </c>
      <c r="C193" s="6" t="s">
        <v>15</v>
      </c>
      <c r="D193" s="5" t="s">
        <v>64</v>
      </c>
      <c r="E193" s="5" t="s">
        <v>65</v>
      </c>
      <c r="F193" s="5" t="s">
        <v>65</v>
      </c>
      <c r="G193" s="5" t="s">
        <v>66</v>
      </c>
      <c r="H193" s="33" t="s">
        <v>22</v>
      </c>
      <c r="I193" s="7" t="s">
        <v>21</v>
      </c>
      <c r="J193" s="7"/>
      <c r="K193" s="8">
        <v>46143</v>
      </c>
      <c r="L193" s="9">
        <v>1830610</v>
      </c>
      <c r="M193" s="10">
        <v>1</v>
      </c>
      <c r="N193" s="9">
        <f t="shared" si="8"/>
        <v>1830610</v>
      </c>
      <c r="O193" s="11">
        <f t="shared" si="9"/>
        <v>46143</v>
      </c>
      <c r="P193" s="12"/>
    </row>
    <row r="194" spans="1:16" ht="15.75" x14ac:dyDescent="0.25">
      <c r="A194" s="5">
        <f>SUBTOTAL(3,$B$2:B194)</f>
        <v>193</v>
      </c>
      <c r="B194" s="6">
        <v>46143</v>
      </c>
      <c r="C194" s="6" t="s">
        <v>15</v>
      </c>
      <c r="D194" s="5" t="s">
        <v>64</v>
      </c>
      <c r="E194" s="5" t="s">
        <v>65</v>
      </c>
      <c r="F194" s="5" t="s">
        <v>65</v>
      </c>
      <c r="G194" s="5" t="s">
        <v>66</v>
      </c>
      <c r="H194" s="33" t="s">
        <v>177</v>
      </c>
      <c r="I194" s="7" t="s">
        <v>21</v>
      </c>
      <c r="J194" s="7"/>
      <c r="K194" s="8">
        <v>46143</v>
      </c>
      <c r="L194" s="9">
        <v>2160720</v>
      </c>
      <c r="M194" s="10">
        <v>1</v>
      </c>
      <c r="N194" s="9">
        <f t="shared" si="8"/>
        <v>2160720</v>
      </c>
      <c r="O194" s="11">
        <f t="shared" si="9"/>
        <v>46143</v>
      </c>
      <c r="P194" s="12"/>
    </row>
    <row r="195" spans="1:16" ht="15.75" x14ac:dyDescent="0.25">
      <c r="A195" s="5">
        <f>SUBTOTAL(3,$B$2:B195)</f>
        <v>194</v>
      </c>
      <c r="B195" s="6">
        <v>46143</v>
      </c>
      <c r="C195" s="6" t="s">
        <v>15</v>
      </c>
      <c r="D195" s="5" t="s">
        <v>64</v>
      </c>
      <c r="E195" s="5" t="s">
        <v>65</v>
      </c>
      <c r="F195" s="5" t="s">
        <v>65</v>
      </c>
      <c r="G195" s="5" t="s">
        <v>66</v>
      </c>
      <c r="H195" s="33" t="s">
        <v>38</v>
      </c>
      <c r="I195" s="7" t="s">
        <v>21</v>
      </c>
      <c r="J195" s="7"/>
      <c r="K195" s="8">
        <v>46143</v>
      </c>
      <c r="L195" s="9">
        <v>1950650</v>
      </c>
      <c r="M195" s="10">
        <v>1</v>
      </c>
      <c r="N195" s="9">
        <f t="shared" si="8"/>
        <v>1950650</v>
      </c>
      <c r="O195" s="11">
        <f t="shared" si="9"/>
        <v>46143</v>
      </c>
      <c r="P195" s="12"/>
    </row>
    <row r="196" spans="1:16" ht="15.75" x14ac:dyDescent="0.25">
      <c r="A196" s="5">
        <f>SUBTOTAL(3,$B$2:B196)</f>
        <v>195</v>
      </c>
      <c r="B196" s="6">
        <v>46143</v>
      </c>
      <c r="C196" s="6" t="s">
        <v>15</v>
      </c>
      <c r="D196" s="5" t="s">
        <v>64</v>
      </c>
      <c r="E196" s="5" t="s">
        <v>65</v>
      </c>
      <c r="F196" s="5" t="s">
        <v>65</v>
      </c>
      <c r="G196" s="5" t="s">
        <v>66</v>
      </c>
      <c r="H196" s="33" t="s">
        <v>20</v>
      </c>
      <c r="I196" s="7" t="s">
        <v>21</v>
      </c>
      <c r="J196" s="7"/>
      <c r="K196" s="8">
        <v>46143</v>
      </c>
      <c r="L196" s="9">
        <v>2130710</v>
      </c>
      <c r="M196" s="10">
        <v>1</v>
      </c>
      <c r="N196" s="9">
        <f t="shared" si="8"/>
        <v>2130710</v>
      </c>
      <c r="O196" s="11">
        <f t="shared" si="9"/>
        <v>46143</v>
      </c>
      <c r="P196" s="12"/>
    </row>
    <row r="197" spans="1:16" ht="15.75" x14ac:dyDescent="0.25">
      <c r="A197" s="5">
        <f>SUBTOTAL(3,$B$2:B197)</f>
        <v>196</v>
      </c>
      <c r="B197" s="6">
        <v>46143</v>
      </c>
      <c r="C197" s="6" t="s">
        <v>15</v>
      </c>
      <c r="D197" s="5" t="s">
        <v>64</v>
      </c>
      <c r="E197" s="5" t="s">
        <v>65</v>
      </c>
      <c r="F197" s="5" t="s">
        <v>65</v>
      </c>
      <c r="G197" s="5" t="s">
        <v>66</v>
      </c>
      <c r="H197" s="33" t="s">
        <v>22</v>
      </c>
      <c r="I197" s="7" t="s">
        <v>21</v>
      </c>
      <c r="J197" s="7"/>
      <c r="K197" s="8">
        <v>46143</v>
      </c>
      <c r="L197" s="9">
        <v>1993848</v>
      </c>
      <c r="M197" s="10">
        <v>1</v>
      </c>
      <c r="N197" s="9">
        <f t="shared" si="8"/>
        <v>1993848</v>
      </c>
      <c r="O197" s="11">
        <f t="shared" si="9"/>
        <v>46143</v>
      </c>
      <c r="P197" s="12"/>
    </row>
    <row r="198" spans="1:16" ht="15.75" x14ac:dyDescent="0.25">
      <c r="A198" s="5">
        <f>SUBTOTAL(3,$B$2:B198)</f>
        <v>197</v>
      </c>
      <c r="B198" s="6">
        <v>46143</v>
      </c>
      <c r="C198" s="6" t="s">
        <v>15</v>
      </c>
      <c r="D198" s="5" t="s">
        <v>64</v>
      </c>
      <c r="E198" s="5" t="s">
        <v>65</v>
      </c>
      <c r="F198" s="5" t="s">
        <v>65</v>
      </c>
      <c r="G198" s="5" t="s">
        <v>66</v>
      </c>
      <c r="H198" s="33" t="s">
        <v>178</v>
      </c>
      <c r="I198" s="7" t="s">
        <v>21</v>
      </c>
      <c r="J198" s="7"/>
      <c r="K198" s="8">
        <v>46143</v>
      </c>
      <c r="L198" s="9">
        <v>1962100</v>
      </c>
      <c r="M198" s="10">
        <v>1</v>
      </c>
      <c r="N198" s="9">
        <f t="shared" si="8"/>
        <v>1962100</v>
      </c>
      <c r="O198" s="11">
        <f t="shared" si="9"/>
        <v>46143</v>
      </c>
      <c r="P198" s="12"/>
    </row>
    <row r="199" spans="1:16" ht="15.75" x14ac:dyDescent="0.25">
      <c r="A199" s="5">
        <f>SUBTOTAL(3,$B$2:B199)</f>
        <v>198</v>
      </c>
      <c r="B199" s="6">
        <v>46143</v>
      </c>
      <c r="C199" s="6" t="s">
        <v>15</v>
      </c>
      <c r="D199" s="5" t="s">
        <v>64</v>
      </c>
      <c r="E199" s="5" t="s">
        <v>65</v>
      </c>
      <c r="F199" s="5" t="s">
        <v>65</v>
      </c>
      <c r="G199" s="5" t="s">
        <v>66</v>
      </c>
      <c r="H199" s="33" t="s">
        <v>177</v>
      </c>
      <c r="I199" s="7" t="s">
        <v>21</v>
      </c>
      <c r="J199" s="7"/>
      <c r="K199" s="8">
        <v>46143</v>
      </c>
      <c r="L199" s="9">
        <v>2018160</v>
      </c>
      <c r="M199" s="10">
        <v>1</v>
      </c>
      <c r="N199" s="9">
        <f t="shared" si="8"/>
        <v>2018160</v>
      </c>
      <c r="O199" s="11">
        <f t="shared" si="9"/>
        <v>46143</v>
      </c>
      <c r="P199" s="12"/>
    </row>
    <row r="200" spans="1:16" ht="15.75" x14ac:dyDescent="0.25">
      <c r="A200" s="5">
        <f>SUBTOTAL(3,$B$2:B200)</f>
        <v>199</v>
      </c>
      <c r="B200" s="6">
        <v>46143</v>
      </c>
      <c r="C200" s="6" t="s">
        <v>15</v>
      </c>
      <c r="D200" s="5" t="s">
        <v>64</v>
      </c>
      <c r="E200" s="5" t="s">
        <v>65</v>
      </c>
      <c r="F200" s="5" t="s">
        <v>65</v>
      </c>
      <c r="G200" s="5" t="s">
        <v>66</v>
      </c>
      <c r="H200" s="33" t="s">
        <v>179</v>
      </c>
      <c r="I200" s="7" t="s">
        <v>21</v>
      </c>
      <c r="J200" s="7"/>
      <c r="K200" s="8">
        <v>46143</v>
      </c>
      <c r="L200" s="9">
        <v>2102250</v>
      </c>
      <c r="M200" s="10">
        <v>1</v>
      </c>
      <c r="N200" s="9">
        <f t="shared" si="8"/>
        <v>2102250</v>
      </c>
      <c r="O200" s="11">
        <f t="shared" si="9"/>
        <v>46143</v>
      </c>
      <c r="P200" s="12"/>
    </row>
    <row r="201" spans="1:16" ht="15.75" x14ac:dyDescent="0.25">
      <c r="A201" s="5">
        <f>SUBTOTAL(3,$B$2:B201)</f>
        <v>200</v>
      </c>
      <c r="B201" s="6">
        <v>46143</v>
      </c>
      <c r="C201" s="6" t="s">
        <v>15</v>
      </c>
      <c r="D201" s="5" t="s">
        <v>64</v>
      </c>
      <c r="E201" s="5" t="s">
        <v>65</v>
      </c>
      <c r="F201" s="5" t="s">
        <v>65</v>
      </c>
      <c r="G201" s="5" t="s">
        <v>66</v>
      </c>
      <c r="H201" s="33" t="s">
        <v>20</v>
      </c>
      <c r="I201" s="7" t="s">
        <v>21</v>
      </c>
      <c r="J201" s="7"/>
      <c r="K201" s="8">
        <v>46143</v>
      </c>
      <c r="L201" s="9">
        <v>1916640</v>
      </c>
      <c r="M201" s="10">
        <v>1</v>
      </c>
      <c r="N201" s="9">
        <f t="shared" si="8"/>
        <v>1916640</v>
      </c>
      <c r="O201" s="11">
        <f t="shared" si="9"/>
        <v>46143</v>
      </c>
      <c r="P201" s="12"/>
    </row>
    <row r="202" spans="1:16" ht="15.75" x14ac:dyDescent="0.25">
      <c r="A202" s="5">
        <f>SUBTOTAL(3,$B$2:B202)</f>
        <v>201</v>
      </c>
      <c r="B202" s="6">
        <v>46143</v>
      </c>
      <c r="C202" s="6" t="s">
        <v>15</v>
      </c>
      <c r="D202" s="5" t="s">
        <v>64</v>
      </c>
      <c r="E202" s="5" t="s">
        <v>65</v>
      </c>
      <c r="F202" s="5" t="s">
        <v>65</v>
      </c>
      <c r="G202" s="5" t="s">
        <v>66</v>
      </c>
      <c r="H202" s="33" t="s">
        <v>177</v>
      </c>
      <c r="I202" s="7" t="s">
        <v>21</v>
      </c>
      <c r="J202" s="7"/>
      <c r="K202" s="8">
        <v>46143</v>
      </c>
      <c r="L202" s="9">
        <v>1832160</v>
      </c>
      <c r="M202" s="10">
        <v>1</v>
      </c>
      <c r="N202" s="9">
        <f t="shared" si="8"/>
        <v>1832160</v>
      </c>
      <c r="O202" s="11">
        <f t="shared" si="9"/>
        <v>46143</v>
      </c>
      <c r="P202" s="12"/>
    </row>
    <row r="203" spans="1:16" ht="15.75" x14ac:dyDescent="0.25">
      <c r="A203" s="5">
        <f>SUBTOTAL(3,$B$2:B203)</f>
        <v>202</v>
      </c>
      <c r="B203" s="6">
        <v>46143</v>
      </c>
      <c r="C203" s="6" t="s">
        <v>15</v>
      </c>
      <c r="D203" s="5" t="s">
        <v>64</v>
      </c>
      <c r="E203" s="5" t="s">
        <v>65</v>
      </c>
      <c r="F203" s="5" t="s">
        <v>65</v>
      </c>
      <c r="G203" s="5" t="s">
        <v>66</v>
      </c>
      <c r="H203" s="33" t="s">
        <v>22</v>
      </c>
      <c r="I203" s="7" t="s">
        <v>21</v>
      </c>
      <c r="J203" s="7"/>
      <c r="K203" s="8">
        <v>46143</v>
      </c>
      <c r="L203" s="9">
        <v>1858560</v>
      </c>
      <c r="M203" s="10">
        <v>1</v>
      </c>
      <c r="N203" s="9">
        <f t="shared" si="6"/>
        <v>1858560</v>
      </c>
      <c r="O203" s="11">
        <f t="shared" si="7"/>
        <v>46143</v>
      </c>
      <c r="P203" s="12"/>
    </row>
    <row r="204" spans="1:16" ht="15.75" x14ac:dyDescent="0.25">
      <c r="A204" s="5">
        <f>SUBTOTAL(3,$B$2:B204)</f>
        <v>203</v>
      </c>
      <c r="B204" s="6">
        <v>46143</v>
      </c>
      <c r="C204" s="6" t="s">
        <v>15</v>
      </c>
      <c r="D204" s="5" t="s">
        <v>64</v>
      </c>
      <c r="E204" s="5" t="s">
        <v>65</v>
      </c>
      <c r="F204" s="5" t="s">
        <v>65</v>
      </c>
      <c r="G204" s="5" t="s">
        <v>66</v>
      </c>
      <c r="H204" s="33" t="s">
        <v>22</v>
      </c>
      <c r="I204" s="7" t="s">
        <v>21</v>
      </c>
      <c r="J204" s="7"/>
      <c r="K204" s="8">
        <v>46143</v>
      </c>
      <c r="L204" s="9">
        <v>1974807</v>
      </c>
      <c r="M204" s="10">
        <v>1</v>
      </c>
      <c r="N204" s="9">
        <f t="shared" si="6"/>
        <v>1974807</v>
      </c>
      <c r="O204" s="11">
        <f t="shared" si="7"/>
        <v>46143</v>
      </c>
      <c r="P204" s="12"/>
    </row>
    <row r="205" spans="1:16" ht="15.75" x14ac:dyDescent="0.25">
      <c r="A205" s="5">
        <f>SUBTOTAL(3,$B$2:B205)</f>
        <v>204</v>
      </c>
      <c r="B205" s="6">
        <v>46143</v>
      </c>
      <c r="C205" s="6" t="s">
        <v>15</v>
      </c>
      <c r="D205" s="5" t="s">
        <v>64</v>
      </c>
      <c r="E205" s="5" t="s">
        <v>65</v>
      </c>
      <c r="F205" s="5" t="s">
        <v>65</v>
      </c>
      <c r="G205" s="5" t="s">
        <v>66</v>
      </c>
      <c r="H205" s="33" t="s">
        <v>177</v>
      </c>
      <c r="I205" s="7" t="s">
        <v>21</v>
      </c>
      <c r="J205" s="7"/>
      <c r="K205" s="8">
        <v>46143</v>
      </c>
      <c r="L205" s="9">
        <v>1887680</v>
      </c>
      <c r="M205" s="10">
        <v>1</v>
      </c>
      <c r="N205" s="9">
        <f t="shared" si="6"/>
        <v>1887680</v>
      </c>
      <c r="O205" s="11">
        <f t="shared" si="7"/>
        <v>46143</v>
      </c>
      <c r="P205" s="12"/>
    </row>
    <row r="206" spans="1:16" ht="15.75" x14ac:dyDescent="0.25">
      <c r="A206" s="5">
        <f>SUBTOTAL(3,$B$2:B206)</f>
        <v>205</v>
      </c>
      <c r="B206" s="6">
        <v>46143</v>
      </c>
      <c r="C206" s="6" t="s">
        <v>15</v>
      </c>
      <c r="D206" s="5" t="s">
        <v>64</v>
      </c>
      <c r="E206" s="5" t="s">
        <v>65</v>
      </c>
      <c r="F206" s="5" t="s">
        <v>65</v>
      </c>
      <c r="G206" s="5" t="s">
        <v>66</v>
      </c>
      <c r="H206" s="33" t="s">
        <v>20</v>
      </c>
      <c r="I206" s="7" t="s">
        <v>21</v>
      </c>
      <c r="J206" s="7"/>
      <c r="K206" s="8">
        <v>46143</v>
      </c>
      <c r="L206" s="9">
        <v>1945738</v>
      </c>
      <c r="M206" s="10">
        <v>1</v>
      </c>
      <c r="N206" s="9">
        <f t="shared" si="6"/>
        <v>1945738</v>
      </c>
      <c r="O206" s="11">
        <f t="shared" si="7"/>
        <v>46143</v>
      </c>
      <c r="P206" s="12"/>
    </row>
    <row r="207" spans="1:16" ht="15.75" x14ac:dyDescent="0.25">
      <c r="A207" s="5">
        <f>SUBTOTAL(3,$B$2:B207)</f>
        <v>206</v>
      </c>
      <c r="B207" s="6">
        <v>46143</v>
      </c>
      <c r="C207" s="6" t="s">
        <v>15</v>
      </c>
      <c r="D207" s="5" t="s">
        <v>64</v>
      </c>
      <c r="E207" s="5" t="s">
        <v>65</v>
      </c>
      <c r="F207" s="5" t="s">
        <v>65</v>
      </c>
      <c r="G207" s="5" t="s">
        <v>66</v>
      </c>
      <c r="H207" s="33" t="s">
        <v>179</v>
      </c>
      <c r="I207" s="7" t="s">
        <v>21</v>
      </c>
      <c r="J207" s="7"/>
      <c r="K207" s="8">
        <v>46143</v>
      </c>
      <c r="L207" s="9">
        <v>2287740</v>
      </c>
      <c r="M207" s="10">
        <v>1</v>
      </c>
      <c r="N207" s="9">
        <f t="shared" si="6"/>
        <v>2287740</v>
      </c>
      <c r="O207" s="11">
        <f t="shared" si="7"/>
        <v>46143</v>
      </c>
      <c r="P207" s="12"/>
    </row>
    <row r="208" spans="1:16" ht="15.75" x14ac:dyDescent="0.25">
      <c r="A208" s="5">
        <f>SUBTOTAL(3,$B$2:B208)</f>
        <v>207</v>
      </c>
      <c r="B208" s="6">
        <v>46143</v>
      </c>
      <c r="C208" s="6" t="s">
        <v>15</v>
      </c>
      <c r="D208" s="5" t="s">
        <v>64</v>
      </c>
      <c r="E208" s="5" t="s">
        <v>65</v>
      </c>
      <c r="F208" s="5" t="s">
        <v>65</v>
      </c>
      <c r="G208" s="5" t="s">
        <v>66</v>
      </c>
      <c r="H208" s="33" t="s">
        <v>20</v>
      </c>
      <c r="I208" s="7" t="s">
        <v>21</v>
      </c>
      <c r="J208" s="7"/>
      <c r="K208" s="8">
        <v>46143</v>
      </c>
      <c r="L208" s="9">
        <v>1469974</v>
      </c>
      <c r="M208" s="10">
        <v>1</v>
      </c>
      <c r="N208" s="9">
        <f t="shared" si="6"/>
        <v>1469974</v>
      </c>
      <c r="O208" s="11">
        <f t="shared" si="7"/>
        <v>46143</v>
      </c>
      <c r="P208" s="12"/>
    </row>
    <row r="209" spans="1:16" ht="15.75" x14ac:dyDescent="0.25">
      <c r="A209" s="5">
        <f>SUBTOTAL(3,$B$2:B209)</f>
        <v>208</v>
      </c>
      <c r="B209" s="6">
        <v>46143</v>
      </c>
      <c r="C209" s="6" t="s">
        <v>15</v>
      </c>
      <c r="D209" s="5" t="s">
        <v>64</v>
      </c>
      <c r="E209" s="5" t="s">
        <v>65</v>
      </c>
      <c r="F209" s="5" t="s">
        <v>65</v>
      </c>
      <c r="G209" s="5" t="s">
        <v>66</v>
      </c>
      <c r="H209" s="33" t="s">
        <v>22</v>
      </c>
      <c r="I209" s="7" t="s">
        <v>21</v>
      </c>
      <c r="J209" s="7"/>
      <c r="K209" s="8">
        <v>46143</v>
      </c>
      <c r="L209" s="9">
        <v>1898440</v>
      </c>
      <c r="M209" s="10">
        <v>1</v>
      </c>
      <c r="N209" s="9">
        <f t="shared" si="6"/>
        <v>1898440</v>
      </c>
      <c r="O209" s="11">
        <f t="shared" si="7"/>
        <v>46143</v>
      </c>
      <c r="P209" s="12"/>
    </row>
    <row r="210" spans="1:16" ht="15.75" x14ac:dyDescent="0.25">
      <c r="A210" s="5">
        <f>SUBTOTAL(3,$B$2:B210)</f>
        <v>209</v>
      </c>
      <c r="B210" s="6">
        <v>46143</v>
      </c>
      <c r="C210" s="6" t="s">
        <v>15</v>
      </c>
      <c r="D210" s="5" t="s">
        <v>64</v>
      </c>
      <c r="E210" s="5" t="s">
        <v>65</v>
      </c>
      <c r="F210" s="5" t="s">
        <v>65</v>
      </c>
      <c r="G210" s="5" t="s">
        <v>66</v>
      </c>
      <c r="H210" s="33" t="s">
        <v>178</v>
      </c>
      <c r="I210" s="7" t="s">
        <v>21</v>
      </c>
      <c r="J210" s="7"/>
      <c r="K210" s="8">
        <v>46143</v>
      </c>
      <c r="L210" s="9">
        <v>2141090</v>
      </c>
      <c r="M210" s="10">
        <v>1</v>
      </c>
      <c r="N210" s="9">
        <f t="shared" si="6"/>
        <v>2141090</v>
      </c>
      <c r="O210" s="11">
        <f t="shared" si="7"/>
        <v>46143</v>
      </c>
      <c r="P210" s="12"/>
    </row>
    <row r="211" spans="1:16" ht="15.75" x14ac:dyDescent="0.25">
      <c r="A211" s="5">
        <f>SUBTOTAL(3,$B$2:B211)</f>
        <v>210</v>
      </c>
      <c r="B211" s="6">
        <v>46143</v>
      </c>
      <c r="C211" s="6" t="s">
        <v>15</v>
      </c>
      <c r="D211" s="5" t="s">
        <v>64</v>
      </c>
      <c r="E211" s="5" t="s">
        <v>65</v>
      </c>
      <c r="F211" s="5" t="s">
        <v>65</v>
      </c>
      <c r="G211" s="5" t="s">
        <v>66</v>
      </c>
      <c r="H211" s="33" t="s">
        <v>177</v>
      </c>
      <c r="I211" s="7" t="s">
        <v>21</v>
      </c>
      <c r="J211" s="7"/>
      <c r="K211" s="8">
        <v>46143</v>
      </c>
      <c r="L211" s="9">
        <v>1994440</v>
      </c>
      <c r="M211" s="10">
        <v>1</v>
      </c>
      <c r="N211" s="9">
        <f t="shared" si="6"/>
        <v>1994440</v>
      </c>
      <c r="O211" s="11">
        <f t="shared" si="7"/>
        <v>46143</v>
      </c>
      <c r="P211" s="12"/>
    </row>
    <row r="212" spans="1:16" ht="15.75" x14ac:dyDescent="0.25">
      <c r="A212" s="5">
        <f>SUBTOTAL(3,$B$2:B212)</f>
        <v>211</v>
      </c>
      <c r="B212" s="6">
        <v>46143</v>
      </c>
      <c r="C212" s="6" t="s">
        <v>15</v>
      </c>
      <c r="D212" s="5" t="s">
        <v>64</v>
      </c>
      <c r="E212" s="5" t="s">
        <v>65</v>
      </c>
      <c r="F212" s="5" t="s">
        <v>65</v>
      </c>
      <c r="G212" s="5" t="s">
        <v>66</v>
      </c>
      <c r="H212" s="33" t="s">
        <v>38</v>
      </c>
      <c r="I212" s="7" t="s">
        <v>21</v>
      </c>
      <c r="J212" s="7"/>
      <c r="K212" s="8">
        <v>46143</v>
      </c>
      <c r="L212" s="9">
        <v>1745340</v>
      </c>
      <c r="M212" s="10">
        <v>1</v>
      </c>
      <c r="N212" s="9">
        <f t="shared" si="6"/>
        <v>1745340</v>
      </c>
      <c r="O212" s="11">
        <f t="shared" si="7"/>
        <v>46143</v>
      </c>
      <c r="P212" s="12"/>
    </row>
    <row r="213" spans="1:16" ht="15.75" x14ac:dyDescent="0.25">
      <c r="A213" s="5">
        <f>SUBTOTAL(3,$B$2:B213)</f>
        <v>212</v>
      </c>
      <c r="B213" s="6">
        <v>46143</v>
      </c>
      <c r="C213" s="6" t="s">
        <v>15</v>
      </c>
      <c r="D213" s="5" t="s">
        <v>64</v>
      </c>
      <c r="E213" s="5" t="s">
        <v>65</v>
      </c>
      <c r="F213" s="5" t="s">
        <v>65</v>
      </c>
      <c r="G213" s="5" t="s">
        <v>66</v>
      </c>
      <c r="H213" s="33" t="s">
        <v>179</v>
      </c>
      <c r="I213" s="7" t="s">
        <v>21</v>
      </c>
      <c r="J213" s="7"/>
      <c r="K213" s="8">
        <v>46143</v>
      </c>
      <c r="L213" s="9">
        <v>1759800</v>
      </c>
      <c r="M213" s="10">
        <v>1</v>
      </c>
      <c r="N213" s="9">
        <f t="shared" si="6"/>
        <v>1759800</v>
      </c>
      <c r="O213" s="11">
        <f t="shared" si="7"/>
        <v>46143</v>
      </c>
      <c r="P213" s="12"/>
    </row>
    <row r="214" spans="1:16" ht="15.75" x14ac:dyDescent="0.25">
      <c r="A214" s="5">
        <f>SUBTOTAL(3,$B$2:B214)</f>
        <v>213</v>
      </c>
      <c r="B214" s="6">
        <v>46143</v>
      </c>
      <c r="C214" s="6" t="s">
        <v>15</v>
      </c>
      <c r="D214" s="5" t="s">
        <v>64</v>
      </c>
      <c r="E214" s="5" t="s">
        <v>65</v>
      </c>
      <c r="F214" s="5" t="s">
        <v>65</v>
      </c>
      <c r="G214" s="5" t="s">
        <v>66</v>
      </c>
      <c r="H214" s="33" t="s">
        <v>20</v>
      </c>
      <c r="I214" s="7" t="s">
        <v>21</v>
      </c>
      <c r="J214" s="7"/>
      <c r="K214" s="8">
        <v>46143</v>
      </c>
      <c r="L214" s="9">
        <v>1806641</v>
      </c>
      <c r="M214" s="10">
        <v>1</v>
      </c>
      <c r="N214" s="9">
        <f>IF(B214&gt;O214,"",L214/M214)</f>
        <v>1806641</v>
      </c>
      <c r="O214" s="11">
        <f>EDATE(K214, M214-1)</f>
        <v>46143</v>
      </c>
      <c r="P214" s="12"/>
    </row>
    <row r="215" spans="1:16" ht="15.75" x14ac:dyDescent="0.25">
      <c r="A215" s="5">
        <f>SUBTOTAL(3,$B$2:B215)</f>
        <v>214</v>
      </c>
      <c r="B215" s="6">
        <v>46143</v>
      </c>
      <c r="C215" s="6" t="s">
        <v>15</v>
      </c>
      <c r="D215" s="5" t="s">
        <v>64</v>
      </c>
      <c r="E215" s="5" t="s">
        <v>65</v>
      </c>
      <c r="F215" s="5" t="s">
        <v>65</v>
      </c>
      <c r="G215" s="5" t="s">
        <v>66</v>
      </c>
      <c r="H215" s="33" t="s">
        <v>178</v>
      </c>
      <c r="I215" s="7" t="s">
        <v>21</v>
      </c>
      <c r="J215" s="7"/>
      <c r="K215" s="8">
        <v>46143</v>
      </c>
      <c r="L215" s="9">
        <v>1759800</v>
      </c>
      <c r="M215" s="10">
        <v>1</v>
      </c>
      <c r="N215" s="9">
        <f>IF(B215&gt;O215,"",L215/M215)</f>
        <v>1759800</v>
      </c>
      <c r="O215" s="11">
        <f>EDATE(K215, M215-1)</f>
        <v>46143</v>
      </c>
      <c r="P215" s="12"/>
    </row>
    <row r="216" spans="1:16" ht="15.75" x14ac:dyDescent="0.25">
      <c r="A216" s="5">
        <f>SUBTOTAL(3,$B$2:B216)</f>
        <v>215</v>
      </c>
      <c r="B216" s="6">
        <v>46143</v>
      </c>
      <c r="C216" s="6" t="s">
        <v>15</v>
      </c>
      <c r="D216" s="5" t="s">
        <v>64</v>
      </c>
      <c r="E216" s="5" t="s">
        <v>65</v>
      </c>
      <c r="F216" s="5" t="s">
        <v>65</v>
      </c>
      <c r="G216" s="5" t="s">
        <v>66</v>
      </c>
      <c r="H216" s="33" t="s">
        <v>22</v>
      </c>
      <c r="I216" s="7" t="s">
        <v>21</v>
      </c>
      <c r="J216" s="7"/>
      <c r="K216" s="8">
        <v>46143</v>
      </c>
      <c r="L216" s="9">
        <v>1857328</v>
      </c>
      <c r="M216" s="10">
        <v>1</v>
      </c>
      <c r="N216" s="9">
        <f>IF(B216&gt;O216,"",L216/M216)</f>
        <v>1857328</v>
      </c>
      <c r="O216" s="11">
        <f>EDATE(K216, M216-1)</f>
        <v>46143</v>
      </c>
      <c r="P216" s="12"/>
    </row>
    <row r="217" spans="1:16" ht="15.75" x14ac:dyDescent="0.25">
      <c r="A217" s="5">
        <f>SUBTOTAL(3,$B$2:B217)</f>
        <v>216</v>
      </c>
      <c r="B217" s="6">
        <v>46143</v>
      </c>
      <c r="C217" s="6" t="s">
        <v>15</v>
      </c>
      <c r="D217" s="5" t="s">
        <v>64</v>
      </c>
      <c r="E217" s="5" t="s">
        <v>65</v>
      </c>
      <c r="F217" s="5" t="s">
        <v>65</v>
      </c>
      <c r="G217" s="5" t="s">
        <v>66</v>
      </c>
      <c r="H217" s="33" t="s">
        <v>179</v>
      </c>
      <c r="I217" s="7" t="s">
        <v>21</v>
      </c>
      <c r="J217" s="7"/>
      <c r="K217" s="8">
        <v>46143</v>
      </c>
      <c r="L217" s="9">
        <v>1579200</v>
      </c>
      <c r="M217" s="10">
        <v>1</v>
      </c>
      <c r="N217" s="9">
        <f>IF(B217&gt;O217,"",L217/M217)</f>
        <v>1579200</v>
      </c>
      <c r="O217" s="11">
        <f>EDATE(K217, M217-1)</f>
        <v>46143</v>
      </c>
      <c r="P217" s="12"/>
    </row>
    <row r="218" spans="1:16" ht="15.75" x14ac:dyDescent="0.25">
      <c r="A218" s="5">
        <f>SUBTOTAL(3,$B$2:B218)</f>
        <v>217</v>
      </c>
      <c r="B218" s="6">
        <v>46143</v>
      </c>
      <c r="C218" s="6" t="s">
        <v>15</v>
      </c>
      <c r="D218" s="5" t="s">
        <v>64</v>
      </c>
      <c r="E218" s="5" t="s">
        <v>65</v>
      </c>
      <c r="F218" s="5" t="s">
        <v>65</v>
      </c>
      <c r="G218" s="5" t="s">
        <v>66</v>
      </c>
      <c r="H218" s="33" t="s">
        <v>22</v>
      </c>
      <c r="I218" s="7" t="s">
        <v>21</v>
      </c>
      <c r="J218" s="7"/>
      <c r="K218" s="8">
        <v>46143</v>
      </c>
      <c r="L218" s="9">
        <v>1532960</v>
      </c>
      <c r="M218" s="10">
        <v>1</v>
      </c>
      <c r="N218" s="9">
        <f t="shared" si="6"/>
        <v>1532960</v>
      </c>
      <c r="O218" s="11">
        <f t="shared" si="7"/>
        <v>46143</v>
      </c>
      <c r="P218" s="12"/>
    </row>
    <row r="219" spans="1:16" ht="15.75" x14ac:dyDescent="0.25">
      <c r="A219" s="5">
        <f>SUBTOTAL(3,$B$2:B219)</f>
        <v>218</v>
      </c>
      <c r="B219" s="6">
        <v>46143</v>
      </c>
      <c r="C219" s="6" t="s">
        <v>15</v>
      </c>
      <c r="D219" s="5" t="s">
        <v>64</v>
      </c>
      <c r="E219" s="5" t="s">
        <v>65</v>
      </c>
      <c r="F219" s="5" t="s">
        <v>65</v>
      </c>
      <c r="G219" s="5" t="s">
        <v>66</v>
      </c>
      <c r="H219" s="33" t="s">
        <v>178</v>
      </c>
      <c r="I219" s="7" t="s">
        <v>21</v>
      </c>
      <c r="J219" s="7"/>
      <c r="K219" s="8">
        <v>46143</v>
      </c>
      <c r="L219" s="9">
        <v>1974000</v>
      </c>
      <c r="M219" s="10">
        <v>1</v>
      </c>
      <c r="N219" s="9">
        <f t="shared" si="6"/>
        <v>1974000</v>
      </c>
      <c r="O219" s="11">
        <f t="shared" si="7"/>
        <v>46143</v>
      </c>
      <c r="P219" s="12"/>
    </row>
    <row r="220" spans="1:16" ht="15.75" x14ac:dyDescent="0.25">
      <c r="A220" s="5">
        <f>SUBTOTAL(3,$B$2:B220)</f>
        <v>219</v>
      </c>
      <c r="B220" s="6">
        <v>46143</v>
      </c>
      <c r="C220" s="6" t="s">
        <v>15</v>
      </c>
      <c r="D220" s="5" t="s">
        <v>64</v>
      </c>
      <c r="E220" s="5" t="s">
        <v>65</v>
      </c>
      <c r="F220" s="5" t="s">
        <v>65</v>
      </c>
      <c r="G220" s="5" t="s">
        <v>66</v>
      </c>
      <c r="H220" s="33" t="s">
        <v>38</v>
      </c>
      <c r="I220" s="7" t="s">
        <v>21</v>
      </c>
      <c r="J220" s="7"/>
      <c r="K220" s="8">
        <v>46143</v>
      </c>
      <c r="L220" s="9">
        <v>1739438</v>
      </c>
      <c r="M220" s="10">
        <v>1</v>
      </c>
      <c r="N220" s="9">
        <f t="shared" si="6"/>
        <v>1739438</v>
      </c>
      <c r="O220" s="11">
        <f t="shared" si="7"/>
        <v>46143</v>
      </c>
      <c r="P220" s="12"/>
    </row>
    <row r="221" spans="1:16" ht="15.75" x14ac:dyDescent="0.25">
      <c r="A221" s="5">
        <f>SUBTOTAL(3,$B$2:B221)</f>
        <v>220</v>
      </c>
      <c r="B221" s="6">
        <v>46143</v>
      </c>
      <c r="C221" s="6" t="s">
        <v>15</v>
      </c>
      <c r="D221" s="5" t="s">
        <v>64</v>
      </c>
      <c r="E221" s="5" t="s">
        <v>65</v>
      </c>
      <c r="F221" s="5" t="s">
        <v>65</v>
      </c>
      <c r="G221" s="5" t="s">
        <v>66</v>
      </c>
      <c r="H221" s="33" t="s">
        <v>20</v>
      </c>
      <c r="I221" s="7" t="s">
        <v>21</v>
      </c>
      <c r="J221" s="7"/>
      <c r="K221" s="8">
        <v>46143</v>
      </c>
      <c r="L221" s="9">
        <v>1768800</v>
      </c>
      <c r="M221" s="10">
        <v>1</v>
      </c>
      <c r="N221" s="9">
        <f t="shared" si="6"/>
        <v>1768800</v>
      </c>
      <c r="O221" s="11">
        <f t="shared" si="7"/>
        <v>46143</v>
      </c>
      <c r="P221" s="12"/>
    </row>
    <row r="222" spans="1:16" ht="15.75" x14ac:dyDescent="0.25">
      <c r="A222" s="5">
        <f>SUBTOTAL(3,$B$2:B222)</f>
        <v>221</v>
      </c>
      <c r="B222" s="6">
        <v>46143</v>
      </c>
      <c r="C222" s="6" t="s">
        <v>15</v>
      </c>
      <c r="D222" s="5" t="s">
        <v>64</v>
      </c>
      <c r="E222" s="5" t="s">
        <v>65</v>
      </c>
      <c r="F222" s="5" t="s">
        <v>65</v>
      </c>
      <c r="G222" s="5" t="s">
        <v>66</v>
      </c>
      <c r="H222" s="33" t="s">
        <v>177</v>
      </c>
      <c r="I222" s="7" t="s">
        <v>21</v>
      </c>
      <c r="J222" s="7"/>
      <c r="K222" s="8">
        <v>46143</v>
      </c>
      <c r="L222" s="9">
        <v>1974028</v>
      </c>
      <c r="M222" s="10">
        <v>1</v>
      </c>
      <c r="N222" s="9">
        <f t="shared" si="6"/>
        <v>1974028</v>
      </c>
      <c r="O222" s="11">
        <f t="shared" si="7"/>
        <v>46143</v>
      </c>
      <c r="P222" s="12"/>
    </row>
    <row r="223" spans="1:16" ht="15.75" x14ac:dyDescent="0.25">
      <c r="A223" s="5">
        <f>SUBTOTAL(3,$B$2:B223)</f>
        <v>222</v>
      </c>
      <c r="B223" s="6">
        <v>46143</v>
      </c>
      <c r="C223" s="6" t="s">
        <v>15</v>
      </c>
      <c r="D223" s="5" t="s">
        <v>64</v>
      </c>
      <c r="E223" s="5" t="s">
        <v>65</v>
      </c>
      <c r="F223" s="5" t="s">
        <v>65</v>
      </c>
      <c r="G223" s="5" t="s">
        <v>66</v>
      </c>
      <c r="H223" s="7"/>
      <c r="I223" s="7" t="s">
        <v>21</v>
      </c>
      <c r="J223" s="7"/>
      <c r="K223" s="8">
        <v>46143</v>
      </c>
      <c r="L223" s="9"/>
      <c r="M223" s="10">
        <v>1</v>
      </c>
      <c r="N223" s="9">
        <f t="shared" ref="N223:N248" si="10">IF(B223&gt;O223,"",L223/M223)</f>
        <v>0</v>
      </c>
      <c r="O223" s="11">
        <f t="shared" ref="O223:O248" si="11">EDATE(K223, M223-1)</f>
        <v>46143</v>
      </c>
      <c r="P223" s="12"/>
    </row>
    <row r="224" spans="1:16" ht="15.75" x14ac:dyDescent="0.25">
      <c r="A224" s="5">
        <f>SUBTOTAL(3,$B$2:B224)</f>
        <v>223</v>
      </c>
      <c r="B224" s="6">
        <v>46143</v>
      </c>
      <c r="C224" s="6" t="s">
        <v>15</v>
      </c>
      <c r="D224" s="5" t="s">
        <v>64</v>
      </c>
      <c r="E224" s="5" t="s">
        <v>65</v>
      </c>
      <c r="F224" s="5" t="s">
        <v>65</v>
      </c>
      <c r="G224" s="5" t="s">
        <v>66</v>
      </c>
      <c r="H224" s="7"/>
      <c r="I224" s="7" t="s">
        <v>21</v>
      </c>
      <c r="J224" s="7"/>
      <c r="K224" s="8">
        <v>46143</v>
      </c>
      <c r="L224" s="9"/>
      <c r="M224" s="10">
        <v>1</v>
      </c>
      <c r="N224" s="9">
        <f t="shared" si="10"/>
        <v>0</v>
      </c>
      <c r="O224" s="11">
        <f t="shared" si="11"/>
        <v>46143</v>
      </c>
      <c r="P224" s="12"/>
    </row>
    <row r="225" spans="1:16" ht="15.75" x14ac:dyDescent="0.25">
      <c r="A225" s="5">
        <f>SUBTOTAL(3,$B$2:B225)</f>
        <v>224</v>
      </c>
      <c r="B225" s="6">
        <v>46143</v>
      </c>
      <c r="C225" s="6" t="s">
        <v>15</v>
      </c>
      <c r="D225" s="5" t="s">
        <v>64</v>
      </c>
      <c r="E225" s="5" t="s">
        <v>65</v>
      </c>
      <c r="F225" s="5" t="s">
        <v>65</v>
      </c>
      <c r="G225" s="5" t="s">
        <v>66</v>
      </c>
      <c r="H225" s="7"/>
      <c r="I225" s="7" t="s">
        <v>21</v>
      </c>
      <c r="J225" s="7"/>
      <c r="K225" s="8">
        <v>46143</v>
      </c>
      <c r="L225" s="9"/>
      <c r="M225" s="10">
        <v>1</v>
      </c>
      <c r="N225" s="9">
        <f t="shared" si="10"/>
        <v>0</v>
      </c>
      <c r="O225" s="11">
        <f t="shared" si="11"/>
        <v>46143</v>
      </c>
      <c r="P225" s="12"/>
    </row>
    <row r="226" spans="1:16" ht="15.75" x14ac:dyDescent="0.25">
      <c r="A226" s="5">
        <f>SUBTOTAL(3,$B$2:B226)</f>
        <v>225</v>
      </c>
      <c r="B226" s="6">
        <v>46143</v>
      </c>
      <c r="C226" s="6" t="s">
        <v>15</v>
      </c>
      <c r="D226" s="5" t="s">
        <v>64</v>
      </c>
      <c r="E226" s="5" t="s">
        <v>65</v>
      </c>
      <c r="F226" s="5" t="s">
        <v>65</v>
      </c>
      <c r="G226" s="5" t="s">
        <v>66</v>
      </c>
      <c r="H226" s="7"/>
      <c r="I226" s="7" t="s">
        <v>21</v>
      </c>
      <c r="J226" s="7"/>
      <c r="K226" s="8">
        <v>46143</v>
      </c>
      <c r="L226" s="9"/>
      <c r="M226" s="10">
        <v>1</v>
      </c>
      <c r="N226" s="9">
        <f t="shared" si="10"/>
        <v>0</v>
      </c>
      <c r="O226" s="11">
        <f t="shared" si="11"/>
        <v>46143</v>
      </c>
      <c r="P226" s="12"/>
    </row>
    <row r="227" spans="1:16" ht="15.75" x14ac:dyDescent="0.25">
      <c r="A227" s="5">
        <f>SUBTOTAL(3,$B$2:B227)</f>
        <v>226</v>
      </c>
      <c r="B227" s="6">
        <v>46143</v>
      </c>
      <c r="C227" s="6" t="s">
        <v>15</v>
      </c>
      <c r="D227" s="5" t="s">
        <v>64</v>
      </c>
      <c r="E227" s="5" t="s">
        <v>67</v>
      </c>
      <c r="F227" s="5" t="s">
        <v>67</v>
      </c>
      <c r="G227" s="5" t="s">
        <v>66</v>
      </c>
      <c r="H227" s="7" t="s">
        <v>32</v>
      </c>
      <c r="I227" s="7" t="s">
        <v>24</v>
      </c>
      <c r="J227" s="7"/>
      <c r="K227" s="8">
        <v>46143</v>
      </c>
      <c r="L227" s="9">
        <v>754278</v>
      </c>
      <c r="M227" s="10">
        <v>1</v>
      </c>
      <c r="N227" s="9">
        <f t="shared" si="10"/>
        <v>754278</v>
      </c>
      <c r="O227" s="11">
        <f t="shared" si="11"/>
        <v>46143</v>
      </c>
      <c r="P227" s="12"/>
    </row>
    <row r="228" spans="1:16" ht="15.75" x14ac:dyDescent="0.25">
      <c r="A228" s="5">
        <f>SUBTOTAL(3,$B$2:B228)</f>
        <v>227</v>
      </c>
      <c r="B228" s="6">
        <v>46143</v>
      </c>
      <c r="C228" s="6" t="s">
        <v>15</v>
      </c>
      <c r="D228" s="5" t="s">
        <v>64</v>
      </c>
      <c r="E228" s="5" t="s">
        <v>67</v>
      </c>
      <c r="F228" s="5" t="s">
        <v>67</v>
      </c>
      <c r="G228" s="5" t="s">
        <v>66</v>
      </c>
      <c r="H228" s="7" t="s">
        <v>27</v>
      </c>
      <c r="I228" s="7" t="s">
        <v>24</v>
      </c>
      <c r="J228" s="7"/>
      <c r="K228" s="8">
        <v>46143</v>
      </c>
      <c r="L228" s="9">
        <v>4829216</v>
      </c>
      <c r="M228" s="10">
        <v>1</v>
      </c>
      <c r="N228" s="9">
        <f t="shared" si="10"/>
        <v>4829216</v>
      </c>
      <c r="O228" s="11">
        <f t="shared" si="11"/>
        <v>46143</v>
      </c>
      <c r="P228" s="12"/>
    </row>
    <row r="229" spans="1:16" ht="15.75" x14ac:dyDescent="0.25">
      <c r="A229" s="5">
        <f>SUBTOTAL(3,$B$2:B229)</f>
        <v>228</v>
      </c>
      <c r="B229" s="6">
        <v>46143</v>
      </c>
      <c r="C229" s="6" t="s">
        <v>15</v>
      </c>
      <c r="D229" s="5" t="s">
        <v>64</v>
      </c>
      <c r="E229" s="5" t="s">
        <v>67</v>
      </c>
      <c r="F229" s="5" t="s">
        <v>67</v>
      </c>
      <c r="G229" s="5" t="s">
        <v>66</v>
      </c>
      <c r="H229" s="7" t="s">
        <v>61</v>
      </c>
      <c r="I229" s="7" t="s">
        <v>24</v>
      </c>
      <c r="J229" s="7"/>
      <c r="K229" s="8">
        <v>46143</v>
      </c>
      <c r="L229" s="9">
        <v>2641069</v>
      </c>
      <c r="M229" s="10">
        <v>1</v>
      </c>
      <c r="N229" s="9">
        <f t="shared" si="10"/>
        <v>2641069</v>
      </c>
      <c r="O229" s="11">
        <f t="shared" si="11"/>
        <v>46143</v>
      </c>
      <c r="P229" s="12"/>
    </row>
    <row r="230" spans="1:16" ht="15.75" x14ac:dyDescent="0.25">
      <c r="A230" s="5">
        <f>SUBTOTAL(3,$B$2:B230)</f>
        <v>229</v>
      </c>
      <c r="B230" s="6">
        <v>46143</v>
      </c>
      <c r="C230" s="6" t="s">
        <v>15</v>
      </c>
      <c r="D230" s="5" t="s">
        <v>64</v>
      </c>
      <c r="E230" s="5" t="s">
        <v>67</v>
      </c>
      <c r="F230" s="5" t="s">
        <v>67</v>
      </c>
      <c r="G230" s="5" t="s">
        <v>66</v>
      </c>
      <c r="H230" s="7" t="s">
        <v>31</v>
      </c>
      <c r="I230" s="7" t="s">
        <v>24</v>
      </c>
      <c r="J230" s="7"/>
      <c r="K230" s="8">
        <v>46143</v>
      </c>
      <c r="L230" s="9">
        <v>2703802</v>
      </c>
      <c r="M230" s="10">
        <v>1</v>
      </c>
      <c r="N230" s="9">
        <f t="shared" si="10"/>
        <v>2703802</v>
      </c>
      <c r="O230" s="11">
        <f t="shared" si="11"/>
        <v>46143</v>
      </c>
      <c r="P230" s="12"/>
    </row>
    <row r="231" spans="1:16" ht="15.75" x14ac:dyDescent="0.25">
      <c r="A231" s="5">
        <f>SUBTOTAL(3,$B$2:B231)</f>
        <v>230</v>
      </c>
      <c r="B231" s="6">
        <v>46143</v>
      </c>
      <c r="C231" s="6" t="s">
        <v>15</v>
      </c>
      <c r="D231" s="5" t="s">
        <v>64</v>
      </c>
      <c r="E231" s="5" t="s">
        <v>67</v>
      </c>
      <c r="F231" s="5" t="s">
        <v>67</v>
      </c>
      <c r="G231" s="5" t="s">
        <v>66</v>
      </c>
      <c r="H231" s="7" t="s">
        <v>30</v>
      </c>
      <c r="I231" s="7" t="s">
        <v>24</v>
      </c>
      <c r="J231" s="7"/>
      <c r="K231" s="8">
        <v>46143</v>
      </c>
      <c r="L231" s="9">
        <v>2849018</v>
      </c>
      <c r="M231" s="10">
        <v>1</v>
      </c>
      <c r="N231" s="9">
        <f t="shared" si="10"/>
        <v>2849018</v>
      </c>
      <c r="O231" s="11">
        <f t="shared" si="11"/>
        <v>46143</v>
      </c>
      <c r="P231" s="12"/>
    </row>
    <row r="232" spans="1:16" ht="15.75" x14ac:dyDescent="0.25">
      <c r="A232" s="5">
        <f>SUBTOTAL(3,$B$2:B232)</f>
        <v>231</v>
      </c>
      <c r="B232" s="6">
        <v>46143</v>
      </c>
      <c r="C232" s="6" t="s">
        <v>15</v>
      </c>
      <c r="D232" s="5" t="s">
        <v>64</v>
      </c>
      <c r="E232" s="5" t="s">
        <v>67</v>
      </c>
      <c r="F232" s="5" t="s">
        <v>67</v>
      </c>
      <c r="G232" s="5" t="s">
        <v>66</v>
      </c>
      <c r="H232" s="7" t="s">
        <v>37</v>
      </c>
      <c r="I232" s="7" t="s">
        <v>24</v>
      </c>
      <c r="J232" s="7"/>
      <c r="K232" s="8">
        <v>46143</v>
      </c>
      <c r="L232" s="9">
        <v>2971736</v>
      </c>
      <c r="M232" s="10">
        <v>1</v>
      </c>
      <c r="N232" s="9">
        <f t="shared" si="10"/>
        <v>2971736</v>
      </c>
      <c r="O232" s="11">
        <f t="shared" si="11"/>
        <v>46143</v>
      </c>
      <c r="P232" s="12"/>
    </row>
    <row r="233" spans="1:16" ht="15.75" x14ac:dyDescent="0.25">
      <c r="A233" s="5">
        <f>SUBTOTAL(3,$B$2:B233)</f>
        <v>232</v>
      </c>
      <c r="B233" s="6">
        <v>46143</v>
      </c>
      <c r="C233" s="6" t="s">
        <v>15</v>
      </c>
      <c r="D233" s="5" t="s">
        <v>64</v>
      </c>
      <c r="E233" s="5" t="s">
        <v>67</v>
      </c>
      <c r="F233" s="5" t="s">
        <v>67</v>
      </c>
      <c r="G233" s="5" t="s">
        <v>66</v>
      </c>
      <c r="H233" s="7" t="s">
        <v>25</v>
      </c>
      <c r="I233" s="7" t="s">
        <v>24</v>
      </c>
      <c r="J233" s="7"/>
      <c r="K233" s="8">
        <v>46143</v>
      </c>
      <c r="L233" s="9">
        <v>2740493</v>
      </c>
      <c r="M233" s="10">
        <v>1</v>
      </c>
      <c r="N233" s="9">
        <f t="shared" si="10"/>
        <v>2740493</v>
      </c>
      <c r="O233" s="11">
        <f t="shared" si="11"/>
        <v>46143</v>
      </c>
      <c r="P233" s="12"/>
    </row>
    <row r="234" spans="1:16" ht="15.75" x14ac:dyDescent="0.25">
      <c r="A234" s="5">
        <f>SUBTOTAL(3,$B$2:B234)</f>
        <v>233</v>
      </c>
      <c r="B234" s="6">
        <v>46143</v>
      </c>
      <c r="C234" s="6" t="s">
        <v>15</v>
      </c>
      <c r="D234" s="5" t="s">
        <v>64</v>
      </c>
      <c r="E234" s="5" t="s">
        <v>67</v>
      </c>
      <c r="F234" s="5" t="s">
        <v>67</v>
      </c>
      <c r="G234" s="5" t="s">
        <v>66</v>
      </c>
      <c r="H234" s="7" t="s">
        <v>36</v>
      </c>
      <c r="I234" s="7" t="s">
        <v>24</v>
      </c>
      <c r="J234" s="7"/>
      <c r="K234" s="8">
        <v>46143</v>
      </c>
      <c r="L234" s="9">
        <v>4389863</v>
      </c>
      <c r="M234" s="10">
        <v>1</v>
      </c>
      <c r="N234" s="9">
        <f t="shared" si="10"/>
        <v>4389863</v>
      </c>
      <c r="O234" s="11">
        <f t="shared" si="11"/>
        <v>46143</v>
      </c>
      <c r="P234" s="12"/>
    </row>
    <row r="235" spans="1:16" ht="15.75" x14ac:dyDescent="0.25">
      <c r="A235" s="5">
        <f>SUBTOTAL(3,$B$2:B235)</f>
        <v>234</v>
      </c>
      <c r="B235" s="6">
        <v>46143</v>
      </c>
      <c r="C235" s="6" t="s">
        <v>15</v>
      </c>
      <c r="D235" s="5" t="s">
        <v>64</v>
      </c>
      <c r="E235" s="5" t="s">
        <v>67</v>
      </c>
      <c r="F235" s="5" t="s">
        <v>67</v>
      </c>
      <c r="G235" s="5" t="s">
        <v>66</v>
      </c>
      <c r="H235" s="7" t="s">
        <v>34</v>
      </c>
      <c r="I235" s="7" t="s">
        <v>24</v>
      </c>
      <c r="J235" s="7"/>
      <c r="K235" s="8">
        <v>46143</v>
      </c>
      <c r="L235" s="9">
        <v>3921160</v>
      </c>
      <c r="M235" s="10">
        <v>1</v>
      </c>
      <c r="N235" s="9">
        <f t="shared" si="10"/>
        <v>3921160</v>
      </c>
      <c r="O235" s="11">
        <f t="shared" si="11"/>
        <v>46143</v>
      </c>
      <c r="P235" s="12"/>
    </row>
    <row r="236" spans="1:16" ht="15.75" x14ac:dyDescent="0.25">
      <c r="A236" s="5">
        <f>SUBTOTAL(3,$B$2:B236)</f>
        <v>235</v>
      </c>
      <c r="B236" s="6">
        <v>46143</v>
      </c>
      <c r="C236" s="6" t="s">
        <v>15</v>
      </c>
      <c r="D236" s="5" t="s">
        <v>64</v>
      </c>
      <c r="E236" s="5" t="s">
        <v>67</v>
      </c>
      <c r="F236" s="5" t="s">
        <v>67</v>
      </c>
      <c r="G236" s="5" t="s">
        <v>66</v>
      </c>
      <c r="H236" s="7" t="s">
        <v>33</v>
      </c>
      <c r="I236" s="7" t="s">
        <v>24</v>
      </c>
      <c r="J236" s="7"/>
      <c r="K236" s="8">
        <v>46143</v>
      </c>
      <c r="L236" s="9">
        <v>4377865</v>
      </c>
      <c r="M236" s="10">
        <v>1</v>
      </c>
      <c r="N236" s="9">
        <f t="shared" si="10"/>
        <v>4377865</v>
      </c>
      <c r="O236" s="11">
        <f t="shared" si="11"/>
        <v>46143</v>
      </c>
      <c r="P236" s="12"/>
    </row>
    <row r="237" spans="1:16" ht="15.75" x14ac:dyDescent="0.25">
      <c r="A237" s="5">
        <f>SUBTOTAL(3,$B$2:B237)</f>
        <v>236</v>
      </c>
      <c r="B237" s="6">
        <v>46143</v>
      </c>
      <c r="C237" s="6" t="s">
        <v>15</v>
      </c>
      <c r="D237" s="5" t="s">
        <v>64</v>
      </c>
      <c r="E237" s="5" t="s">
        <v>67</v>
      </c>
      <c r="F237" s="5" t="s">
        <v>67</v>
      </c>
      <c r="G237" s="5" t="s">
        <v>66</v>
      </c>
      <c r="H237" s="7" t="s">
        <v>29</v>
      </c>
      <c r="I237" s="7" t="s">
        <v>24</v>
      </c>
      <c r="J237" s="7"/>
      <c r="K237" s="8">
        <v>46143</v>
      </c>
      <c r="L237" s="9">
        <v>3558583</v>
      </c>
      <c r="M237" s="10">
        <v>1</v>
      </c>
      <c r="N237" s="9">
        <f t="shared" si="10"/>
        <v>3558583</v>
      </c>
      <c r="O237" s="11">
        <f t="shared" si="11"/>
        <v>46143</v>
      </c>
      <c r="P237" s="12"/>
    </row>
    <row r="238" spans="1:16" ht="15.75" x14ac:dyDescent="0.25">
      <c r="A238" s="5">
        <f>SUBTOTAL(3,$B$2:B238)</f>
        <v>237</v>
      </c>
      <c r="B238" s="6">
        <v>46143</v>
      </c>
      <c r="C238" s="6" t="s">
        <v>15</v>
      </c>
      <c r="D238" s="5" t="s">
        <v>64</v>
      </c>
      <c r="E238" s="5" t="s">
        <v>67</v>
      </c>
      <c r="F238" s="5" t="s">
        <v>67</v>
      </c>
      <c r="G238" s="5" t="s">
        <v>66</v>
      </c>
      <c r="H238" s="7" t="s">
        <v>35</v>
      </c>
      <c r="I238" s="7" t="s">
        <v>24</v>
      </c>
      <c r="J238" s="7"/>
      <c r="K238" s="8">
        <v>46143</v>
      </c>
      <c r="L238" s="9">
        <v>3473360</v>
      </c>
      <c r="M238" s="10">
        <v>1</v>
      </c>
      <c r="N238" s="9">
        <f t="shared" si="10"/>
        <v>3473360</v>
      </c>
      <c r="O238" s="11">
        <f t="shared" si="11"/>
        <v>46143</v>
      </c>
      <c r="P238" s="12"/>
    </row>
    <row r="239" spans="1:16" ht="15.75" x14ac:dyDescent="0.25">
      <c r="A239" s="5">
        <f>SUBTOTAL(3,$B$2:B239)</f>
        <v>238</v>
      </c>
      <c r="B239" s="6">
        <v>46143</v>
      </c>
      <c r="C239" s="6" t="s">
        <v>15</v>
      </c>
      <c r="D239" s="5" t="s">
        <v>64</v>
      </c>
      <c r="E239" s="5" t="s">
        <v>67</v>
      </c>
      <c r="F239" s="5" t="s">
        <v>67</v>
      </c>
      <c r="G239" s="5" t="s">
        <v>66</v>
      </c>
      <c r="H239" s="7" t="s">
        <v>28</v>
      </c>
      <c r="I239" s="7" t="s">
        <v>24</v>
      </c>
      <c r="J239" s="7"/>
      <c r="K239" s="8">
        <v>46143</v>
      </c>
      <c r="L239" s="9">
        <v>3912551</v>
      </c>
      <c r="M239" s="10">
        <v>1</v>
      </c>
      <c r="N239" s="9">
        <f t="shared" si="10"/>
        <v>3912551</v>
      </c>
      <c r="O239" s="11">
        <f t="shared" si="11"/>
        <v>46143</v>
      </c>
      <c r="P239" s="12"/>
    </row>
    <row r="240" spans="1:16" ht="15.75" x14ac:dyDescent="0.25">
      <c r="A240" s="5">
        <f>SUBTOTAL(3,$B$2:B240)</f>
        <v>239</v>
      </c>
      <c r="B240" s="6">
        <v>46143</v>
      </c>
      <c r="C240" s="6" t="s">
        <v>15</v>
      </c>
      <c r="D240" s="5" t="s">
        <v>64</v>
      </c>
      <c r="E240" s="5" t="s">
        <v>67</v>
      </c>
      <c r="F240" s="5" t="s">
        <v>67</v>
      </c>
      <c r="G240" s="5" t="s">
        <v>66</v>
      </c>
      <c r="H240" s="7" t="s">
        <v>23</v>
      </c>
      <c r="I240" s="7" t="s">
        <v>24</v>
      </c>
      <c r="J240" s="7"/>
      <c r="K240" s="8">
        <v>46143</v>
      </c>
      <c r="L240" s="9">
        <v>3990366</v>
      </c>
      <c r="M240" s="10">
        <v>1</v>
      </c>
      <c r="N240" s="9">
        <f t="shared" si="10"/>
        <v>3990366</v>
      </c>
      <c r="O240" s="11">
        <f t="shared" si="11"/>
        <v>46143</v>
      </c>
      <c r="P240" s="12"/>
    </row>
    <row r="241" spans="1:16" ht="15.75" x14ac:dyDescent="0.25">
      <c r="A241" s="5">
        <f>SUBTOTAL(3,$B$2:B241)</f>
        <v>240</v>
      </c>
      <c r="B241" s="6">
        <v>46143</v>
      </c>
      <c r="C241" s="6" t="s">
        <v>15</v>
      </c>
      <c r="D241" s="5" t="s">
        <v>64</v>
      </c>
      <c r="E241" s="5" t="s">
        <v>67</v>
      </c>
      <c r="F241" s="5" t="s">
        <v>67</v>
      </c>
      <c r="G241" s="5" t="s">
        <v>66</v>
      </c>
      <c r="H241" s="7" t="s">
        <v>26</v>
      </c>
      <c r="I241" s="7" t="s">
        <v>24</v>
      </c>
      <c r="J241" s="7"/>
      <c r="K241" s="8">
        <v>46143</v>
      </c>
      <c r="L241" s="9">
        <v>4052020</v>
      </c>
      <c r="M241" s="10">
        <v>1</v>
      </c>
      <c r="N241" s="9">
        <f t="shared" si="10"/>
        <v>4052020</v>
      </c>
      <c r="O241" s="11">
        <f t="shared" si="11"/>
        <v>46143</v>
      </c>
      <c r="P241" s="12"/>
    </row>
    <row r="242" spans="1:16" ht="15.75" x14ac:dyDescent="0.25">
      <c r="A242" s="5">
        <f>SUBTOTAL(3,$B$2:B242)</f>
        <v>241</v>
      </c>
      <c r="B242" s="6">
        <v>46143</v>
      </c>
      <c r="C242" s="6" t="s">
        <v>15</v>
      </c>
      <c r="D242" s="5" t="s">
        <v>64</v>
      </c>
      <c r="E242" s="5" t="s">
        <v>67</v>
      </c>
      <c r="F242" s="5" t="s">
        <v>67</v>
      </c>
      <c r="G242" s="5" t="s">
        <v>66</v>
      </c>
      <c r="H242" s="7" t="s">
        <v>61</v>
      </c>
      <c r="I242" s="7" t="s">
        <v>24</v>
      </c>
      <c r="J242" s="7"/>
      <c r="K242" s="8">
        <v>46158</v>
      </c>
      <c r="L242" s="9">
        <v>3000</v>
      </c>
      <c r="M242" s="10">
        <v>1</v>
      </c>
      <c r="N242" s="9">
        <f t="shared" si="10"/>
        <v>3000</v>
      </c>
      <c r="O242" s="11">
        <f t="shared" si="11"/>
        <v>46158</v>
      </c>
      <c r="P242" s="100" t="s">
        <v>180</v>
      </c>
    </row>
    <row r="243" spans="1:16" ht="15.75" customHeight="1" x14ac:dyDescent="0.25">
      <c r="A243" s="5">
        <f>SUBTOTAL(3,$B$2:B243)</f>
        <v>242</v>
      </c>
      <c r="B243" s="6">
        <v>46143</v>
      </c>
      <c r="C243" s="6" t="s">
        <v>15</v>
      </c>
      <c r="D243" s="5" t="s">
        <v>64</v>
      </c>
      <c r="E243" s="5" t="s">
        <v>67</v>
      </c>
      <c r="F243" s="5" t="s">
        <v>67</v>
      </c>
      <c r="G243" s="5" t="s">
        <v>66</v>
      </c>
      <c r="H243" s="7"/>
      <c r="I243" s="7" t="s">
        <v>24</v>
      </c>
      <c r="J243" s="7"/>
      <c r="K243" s="8">
        <v>46143</v>
      </c>
      <c r="L243" s="9"/>
      <c r="M243" s="10">
        <v>1</v>
      </c>
      <c r="N243" s="9">
        <f t="shared" si="10"/>
        <v>0</v>
      </c>
      <c r="O243" s="11">
        <f t="shared" si="11"/>
        <v>46143</v>
      </c>
      <c r="P243" s="101"/>
    </row>
    <row r="244" spans="1:16" ht="15.75" x14ac:dyDescent="0.25">
      <c r="A244" s="5">
        <f>SUBTOTAL(3,$B$2:B244)</f>
        <v>243</v>
      </c>
      <c r="B244" s="6">
        <v>46143</v>
      </c>
      <c r="C244" s="6" t="s">
        <v>15</v>
      </c>
      <c r="D244" s="5" t="s">
        <v>64</v>
      </c>
      <c r="E244" s="5" t="s">
        <v>67</v>
      </c>
      <c r="F244" s="5" t="s">
        <v>67</v>
      </c>
      <c r="G244" s="5" t="s">
        <v>66</v>
      </c>
      <c r="H244" s="7"/>
      <c r="I244" s="7" t="s">
        <v>24</v>
      </c>
      <c r="J244" s="7"/>
      <c r="K244" s="8">
        <v>46143</v>
      </c>
      <c r="L244" s="9"/>
      <c r="M244" s="10">
        <v>1</v>
      </c>
      <c r="N244" s="9">
        <f t="shared" si="10"/>
        <v>0</v>
      </c>
      <c r="O244" s="11">
        <f t="shared" si="11"/>
        <v>46143</v>
      </c>
      <c r="P244" s="62"/>
    </row>
    <row r="245" spans="1:16" ht="15.75" x14ac:dyDescent="0.25">
      <c r="A245" s="5">
        <f>SUBTOTAL(3,$B$2:B245)</f>
        <v>244</v>
      </c>
      <c r="B245" s="6">
        <v>46143</v>
      </c>
      <c r="C245" s="6" t="s">
        <v>15</v>
      </c>
      <c r="D245" s="5" t="s">
        <v>64</v>
      </c>
      <c r="E245" s="5" t="s">
        <v>67</v>
      </c>
      <c r="F245" s="5" t="s">
        <v>67</v>
      </c>
      <c r="G245" s="5" t="s">
        <v>66</v>
      </c>
      <c r="H245" s="7"/>
      <c r="I245" s="7" t="s">
        <v>24</v>
      </c>
      <c r="J245" s="7"/>
      <c r="K245" s="8">
        <v>46143</v>
      </c>
      <c r="L245" s="9"/>
      <c r="M245" s="10">
        <v>1</v>
      </c>
      <c r="N245" s="9">
        <f t="shared" si="10"/>
        <v>0</v>
      </c>
      <c r="O245" s="11">
        <f t="shared" si="11"/>
        <v>46143</v>
      </c>
      <c r="P245" s="62"/>
    </row>
    <row r="246" spans="1:16" ht="15.75" x14ac:dyDescent="0.25">
      <c r="A246" s="5">
        <f>SUBTOTAL(3,$B$2:B246)</f>
        <v>245</v>
      </c>
      <c r="B246" s="6">
        <v>46143</v>
      </c>
      <c r="C246" s="6" t="s">
        <v>15</v>
      </c>
      <c r="D246" s="5" t="s">
        <v>64</v>
      </c>
      <c r="E246" s="5" t="s">
        <v>67</v>
      </c>
      <c r="F246" s="5" t="s">
        <v>67</v>
      </c>
      <c r="G246" s="5" t="s">
        <v>66</v>
      </c>
      <c r="H246" s="7"/>
      <c r="I246" s="7" t="s">
        <v>24</v>
      </c>
      <c r="J246" s="7"/>
      <c r="K246" s="8">
        <v>46143</v>
      </c>
      <c r="L246" s="9"/>
      <c r="M246" s="10">
        <v>1</v>
      </c>
      <c r="N246" s="9">
        <f t="shared" si="10"/>
        <v>0</v>
      </c>
      <c r="O246" s="11">
        <f t="shared" si="11"/>
        <v>46143</v>
      </c>
      <c r="P246" s="63"/>
    </row>
    <row r="247" spans="1:16" ht="15.75" x14ac:dyDescent="0.25">
      <c r="A247" s="5">
        <f>SUBTOTAL(3,$B$2:B247)</f>
        <v>246</v>
      </c>
      <c r="B247" s="6">
        <v>46143</v>
      </c>
      <c r="C247" s="6" t="s">
        <v>15</v>
      </c>
      <c r="D247" s="5" t="s">
        <v>69</v>
      </c>
      <c r="E247" s="5" t="s">
        <v>70</v>
      </c>
      <c r="F247" s="5" t="s">
        <v>97</v>
      </c>
      <c r="G247" s="5" t="s">
        <v>66</v>
      </c>
      <c r="H247" s="7"/>
      <c r="I247" s="7"/>
      <c r="J247" s="7"/>
      <c r="K247" s="8">
        <v>46143</v>
      </c>
      <c r="L247" s="9">
        <v>60000</v>
      </c>
      <c r="M247" s="10">
        <v>1</v>
      </c>
      <c r="N247" s="9">
        <f t="shared" si="10"/>
        <v>60000</v>
      </c>
      <c r="O247" s="11">
        <f t="shared" si="11"/>
        <v>46143</v>
      </c>
      <c r="P247" s="5"/>
    </row>
    <row r="248" spans="1:16" ht="15.75" x14ac:dyDescent="0.25">
      <c r="A248" s="5">
        <f>SUBTOTAL(3,$B$2:B248)</f>
        <v>247</v>
      </c>
      <c r="B248" s="6">
        <v>46143</v>
      </c>
      <c r="C248" s="6" t="s">
        <v>15</v>
      </c>
      <c r="D248" s="5" t="s">
        <v>69</v>
      </c>
      <c r="E248" s="5" t="s">
        <v>70</v>
      </c>
      <c r="F248" s="5" t="s">
        <v>167</v>
      </c>
      <c r="G248" s="5" t="s">
        <v>66</v>
      </c>
      <c r="H248" s="7"/>
      <c r="I248" s="7"/>
      <c r="J248" s="7"/>
      <c r="K248" s="8">
        <v>46143</v>
      </c>
      <c r="L248" s="9">
        <v>60000</v>
      </c>
      <c r="M248" s="10">
        <v>1</v>
      </c>
      <c r="N248" s="9">
        <f t="shared" si="10"/>
        <v>60000</v>
      </c>
      <c r="O248" s="11">
        <f t="shared" si="11"/>
        <v>46143</v>
      </c>
      <c r="P248" s="5"/>
    </row>
    <row r="249" spans="1:16" ht="15.75" x14ac:dyDescent="0.25">
      <c r="A249" s="5">
        <f>SUBTOTAL(3,$B$2:B249)</f>
        <v>248</v>
      </c>
      <c r="B249" s="6">
        <v>46143</v>
      </c>
      <c r="C249" s="6" t="s">
        <v>15</v>
      </c>
      <c r="D249" s="5" t="s">
        <v>69</v>
      </c>
      <c r="E249" s="5" t="s">
        <v>70</v>
      </c>
      <c r="F249" s="5" t="s">
        <v>181</v>
      </c>
      <c r="G249" s="5" t="s">
        <v>66</v>
      </c>
      <c r="H249" s="7"/>
      <c r="I249" s="7"/>
      <c r="J249" s="7"/>
      <c r="K249" s="8">
        <v>46143</v>
      </c>
      <c r="L249" s="9">
        <v>120000</v>
      </c>
      <c r="M249" s="10">
        <v>1</v>
      </c>
      <c r="N249" s="9">
        <f t="shared" ref="N249:N260" si="12">IF(B249&gt;O249,"",L249/M249)</f>
        <v>120000</v>
      </c>
      <c r="O249" s="11">
        <f t="shared" ref="O249:O260" si="13">EDATE(K249, M249-1)</f>
        <v>46143</v>
      </c>
      <c r="P249" s="5"/>
    </row>
    <row r="250" spans="1:16" ht="15.75" x14ac:dyDescent="0.25">
      <c r="A250" s="5">
        <f>SUBTOTAL(3,$B$2:B250)</f>
        <v>249</v>
      </c>
      <c r="B250" s="6">
        <v>46143</v>
      </c>
      <c r="C250" s="6" t="s">
        <v>15</v>
      </c>
      <c r="D250" s="5" t="s">
        <v>69</v>
      </c>
      <c r="E250" s="5" t="s">
        <v>70</v>
      </c>
      <c r="F250" s="5" t="s">
        <v>182</v>
      </c>
      <c r="G250" s="5" t="s">
        <v>66</v>
      </c>
      <c r="H250" s="7"/>
      <c r="I250" s="7"/>
      <c r="J250" s="7"/>
      <c r="K250" s="8">
        <v>46143</v>
      </c>
      <c r="L250" s="9">
        <v>60000</v>
      </c>
      <c r="M250" s="10">
        <v>1</v>
      </c>
      <c r="N250" s="9">
        <f t="shared" si="12"/>
        <v>60000</v>
      </c>
      <c r="O250" s="11">
        <f t="shared" si="13"/>
        <v>46143</v>
      </c>
      <c r="P250" s="5"/>
    </row>
    <row r="251" spans="1:16" ht="15.75" x14ac:dyDescent="0.25">
      <c r="A251" s="5">
        <f>SUBTOTAL(3,$B$2:B251)</f>
        <v>250</v>
      </c>
      <c r="B251" s="6">
        <v>46143</v>
      </c>
      <c r="C251" s="6" t="s">
        <v>15</v>
      </c>
      <c r="D251" s="5" t="s">
        <v>69</v>
      </c>
      <c r="E251" s="5" t="s">
        <v>70</v>
      </c>
      <c r="F251" s="5" t="s">
        <v>182</v>
      </c>
      <c r="G251" s="5" t="s">
        <v>66</v>
      </c>
      <c r="H251" s="7"/>
      <c r="I251" s="7"/>
      <c r="J251" s="7"/>
      <c r="K251" s="8">
        <v>46143</v>
      </c>
      <c r="L251" s="9">
        <v>60000</v>
      </c>
      <c r="M251" s="10">
        <v>1</v>
      </c>
      <c r="N251" s="9">
        <f t="shared" si="12"/>
        <v>60000</v>
      </c>
      <c r="O251" s="11">
        <f t="shared" si="13"/>
        <v>46143</v>
      </c>
      <c r="P251" s="5"/>
    </row>
    <row r="252" spans="1:16" ht="15.75" x14ac:dyDescent="0.25">
      <c r="A252" s="5">
        <f>SUBTOTAL(3,$B$2:B252)</f>
        <v>251</v>
      </c>
      <c r="B252" s="6">
        <v>46143</v>
      </c>
      <c r="C252" s="6" t="s">
        <v>15</v>
      </c>
      <c r="D252" s="5" t="s">
        <v>69</v>
      </c>
      <c r="E252" s="5" t="s">
        <v>70</v>
      </c>
      <c r="F252" s="5" t="s">
        <v>183</v>
      </c>
      <c r="G252" s="5" t="s">
        <v>66</v>
      </c>
      <c r="H252" s="7"/>
      <c r="I252" s="7"/>
      <c r="J252" s="7"/>
      <c r="K252" s="8">
        <v>46143</v>
      </c>
      <c r="L252" s="9">
        <v>90000</v>
      </c>
      <c r="M252" s="10">
        <v>1</v>
      </c>
      <c r="N252" s="9">
        <f t="shared" si="12"/>
        <v>90000</v>
      </c>
      <c r="O252" s="11">
        <f t="shared" si="13"/>
        <v>46143</v>
      </c>
      <c r="P252" s="5"/>
    </row>
    <row r="253" spans="1:16" ht="15.75" x14ac:dyDescent="0.25">
      <c r="A253" s="5">
        <f>SUBTOTAL(3,$B$2:B253)</f>
        <v>252</v>
      </c>
      <c r="B253" s="6">
        <v>46143</v>
      </c>
      <c r="C253" s="6" t="s">
        <v>15</v>
      </c>
      <c r="D253" s="5" t="s">
        <v>69</v>
      </c>
      <c r="E253" s="5" t="s">
        <v>70</v>
      </c>
      <c r="F253" s="5" t="s">
        <v>98</v>
      </c>
      <c r="G253" s="5" t="s">
        <v>66</v>
      </c>
      <c r="H253" s="7"/>
      <c r="I253" s="7"/>
      <c r="J253" s="7"/>
      <c r="K253" s="8">
        <v>46143</v>
      </c>
      <c r="L253" s="9">
        <v>120000</v>
      </c>
      <c r="M253" s="10">
        <v>1</v>
      </c>
      <c r="N253" s="9">
        <f t="shared" si="12"/>
        <v>120000</v>
      </c>
      <c r="O253" s="11">
        <f t="shared" si="13"/>
        <v>46143</v>
      </c>
      <c r="P253" s="5"/>
    </row>
    <row r="254" spans="1:16" ht="15.75" x14ac:dyDescent="0.25">
      <c r="A254" s="5">
        <f>SUBTOTAL(3,$B$2:B254)</f>
        <v>253</v>
      </c>
      <c r="B254" s="6">
        <v>46143</v>
      </c>
      <c r="C254" s="6" t="s">
        <v>15</v>
      </c>
      <c r="D254" s="5" t="s">
        <v>69</v>
      </c>
      <c r="E254" s="5" t="s">
        <v>70</v>
      </c>
      <c r="F254" s="5" t="s">
        <v>153</v>
      </c>
      <c r="G254" s="5" t="s">
        <v>66</v>
      </c>
      <c r="H254" s="7"/>
      <c r="I254" s="7"/>
      <c r="J254" s="7"/>
      <c r="K254" s="8">
        <v>46143</v>
      </c>
      <c r="L254" s="9">
        <v>60000</v>
      </c>
      <c r="M254" s="10">
        <v>1</v>
      </c>
      <c r="N254" s="9">
        <f t="shared" si="12"/>
        <v>60000</v>
      </c>
      <c r="O254" s="11">
        <f t="shared" si="13"/>
        <v>46143</v>
      </c>
      <c r="P254" s="5"/>
    </row>
    <row r="255" spans="1:16" ht="15.75" x14ac:dyDescent="0.25">
      <c r="A255" s="5">
        <f>SUBTOTAL(3,$B$2:B255)</f>
        <v>254</v>
      </c>
      <c r="B255" s="6">
        <v>46143</v>
      </c>
      <c r="C255" s="6" t="s">
        <v>15</v>
      </c>
      <c r="D255" s="5" t="s">
        <v>69</v>
      </c>
      <c r="E255" s="5" t="s">
        <v>70</v>
      </c>
      <c r="F255" s="5" t="s">
        <v>184</v>
      </c>
      <c r="G255" s="5" t="s">
        <v>66</v>
      </c>
      <c r="H255" s="7"/>
      <c r="I255" s="7"/>
      <c r="J255" s="7"/>
      <c r="K255" s="8">
        <v>46143</v>
      </c>
      <c r="L255" s="9">
        <v>60000</v>
      </c>
      <c r="M255" s="10">
        <v>1</v>
      </c>
      <c r="N255" s="9">
        <f t="shared" si="12"/>
        <v>60000</v>
      </c>
      <c r="O255" s="11">
        <f t="shared" si="13"/>
        <v>46143</v>
      </c>
      <c r="P255" s="5"/>
    </row>
    <row r="256" spans="1:16" ht="15.75" x14ac:dyDescent="0.25">
      <c r="A256" s="5">
        <f>SUBTOTAL(3,$B$2:B256)</f>
        <v>255</v>
      </c>
      <c r="B256" s="6">
        <v>46143</v>
      </c>
      <c r="C256" s="6" t="s">
        <v>15</v>
      </c>
      <c r="D256" s="5" t="s">
        <v>69</v>
      </c>
      <c r="E256" s="5" t="s">
        <v>70</v>
      </c>
      <c r="F256" s="5" t="s">
        <v>185</v>
      </c>
      <c r="G256" s="5" t="s">
        <v>66</v>
      </c>
      <c r="H256" s="7"/>
      <c r="I256" s="7"/>
      <c r="J256" s="7"/>
      <c r="K256" s="8">
        <v>46143</v>
      </c>
      <c r="L256" s="9">
        <v>60000</v>
      </c>
      <c r="M256" s="10">
        <v>1</v>
      </c>
      <c r="N256" s="9">
        <f t="shared" si="12"/>
        <v>60000</v>
      </c>
      <c r="O256" s="11">
        <f t="shared" si="13"/>
        <v>46143</v>
      </c>
      <c r="P256" s="5"/>
    </row>
    <row r="257" spans="1:16" ht="15.75" x14ac:dyDescent="0.25">
      <c r="A257" s="5">
        <f>SUBTOTAL(3,$B$2:B257)</f>
        <v>256</v>
      </c>
      <c r="B257" s="6">
        <v>46143</v>
      </c>
      <c r="C257" s="6" t="s">
        <v>15</v>
      </c>
      <c r="D257" s="5" t="s">
        <v>69</v>
      </c>
      <c r="E257" s="5" t="s">
        <v>70</v>
      </c>
      <c r="F257" s="5" t="s">
        <v>98</v>
      </c>
      <c r="G257" s="5" t="s">
        <v>66</v>
      </c>
      <c r="H257" s="7"/>
      <c r="I257" s="7"/>
      <c r="J257" s="7"/>
      <c r="K257" s="8">
        <v>46143</v>
      </c>
      <c r="L257" s="9">
        <v>100000</v>
      </c>
      <c r="M257" s="10">
        <v>1</v>
      </c>
      <c r="N257" s="9">
        <f t="shared" si="12"/>
        <v>100000</v>
      </c>
      <c r="O257" s="11">
        <f t="shared" si="13"/>
        <v>46143</v>
      </c>
      <c r="P257" s="5"/>
    </row>
    <row r="258" spans="1:16" ht="15.75" x14ac:dyDescent="0.25">
      <c r="A258" s="5">
        <f>SUBTOTAL(3,$B$2:B258)</f>
        <v>257</v>
      </c>
      <c r="B258" s="6">
        <v>46143</v>
      </c>
      <c r="C258" s="6" t="s">
        <v>15</v>
      </c>
      <c r="D258" s="5" t="s">
        <v>69</v>
      </c>
      <c r="E258" s="5" t="s">
        <v>70</v>
      </c>
      <c r="F258" s="5" t="s">
        <v>186</v>
      </c>
      <c r="G258" s="5" t="s">
        <v>66</v>
      </c>
      <c r="H258" s="7"/>
      <c r="I258" s="7"/>
      <c r="J258" s="7"/>
      <c r="K258" s="8">
        <v>46143</v>
      </c>
      <c r="L258" s="9">
        <v>60000</v>
      </c>
      <c r="M258" s="10">
        <v>1</v>
      </c>
      <c r="N258" s="9">
        <f t="shared" si="12"/>
        <v>60000</v>
      </c>
      <c r="O258" s="11">
        <f t="shared" si="13"/>
        <v>46143</v>
      </c>
      <c r="P258" s="5"/>
    </row>
    <row r="259" spans="1:16" ht="15.75" x14ac:dyDescent="0.25">
      <c r="A259" s="5">
        <f>SUBTOTAL(3,$B$2:B259)</f>
        <v>258</v>
      </c>
      <c r="B259" s="6">
        <v>46143</v>
      </c>
      <c r="C259" s="6" t="s">
        <v>15</v>
      </c>
      <c r="D259" s="5" t="s">
        <v>69</v>
      </c>
      <c r="E259" s="5" t="s">
        <v>70</v>
      </c>
      <c r="F259" s="5" t="s">
        <v>184</v>
      </c>
      <c r="G259" s="5" t="s">
        <v>66</v>
      </c>
      <c r="H259" s="7"/>
      <c r="I259" s="7"/>
      <c r="J259" s="7"/>
      <c r="K259" s="8">
        <v>46143</v>
      </c>
      <c r="L259" s="9">
        <v>60000</v>
      </c>
      <c r="M259" s="10">
        <v>1</v>
      </c>
      <c r="N259" s="9">
        <f t="shared" si="12"/>
        <v>60000</v>
      </c>
      <c r="O259" s="11">
        <f t="shared" si="13"/>
        <v>46143</v>
      </c>
      <c r="P259" s="5"/>
    </row>
    <row r="260" spans="1:16" ht="15.75" x14ac:dyDescent="0.25">
      <c r="A260" s="5">
        <f>SUBTOTAL(3,$B$2:B260)</f>
        <v>259</v>
      </c>
      <c r="B260" s="6">
        <v>46143</v>
      </c>
      <c r="C260" s="6" t="s">
        <v>15</v>
      </c>
      <c r="D260" s="5" t="s">
        <v>69</v>
      </c>
      <c r="E260" s="5" t="s">
        <v>70</v>
      </c>
      <c r="F260" s="5" t="s">
        <v>154</v>
      </c>
      <c r="G260" s="5" t="s">
        <v>66</v>
      </c>
      <c r="H260" s="7"/>
      <c r="I260" s="7"/>
      <c r="J260" s="7"/>
      <c r="K260" s="8">
        <v>46143</v>
      </c>
      <c r="L260" s="9">
        <v>60000</v>
      </c>
      <c r="M260" s="10">
        <v>1</v>
      </c>
      <c r="N260" s="9">
        <f t="shared" si="12"/>
        <v>60000</v>
      </c>
      <c r="O260" s="11">
        <f t="shared" si="13"/>
        <v>46143</v>
      </c>
      <c r="P260" s="5"/>
    </row>
    <row r="261" spans="1:16" ht="15.75" x14ac:dyDescent="0.25">
      <c r="A261" s="5">
        <f>SUBTOTAL(3,$B$2:B261)</f>
        <v>260</v>
      </c>
      <c r="B261" s="6">
        <v>46143</v>
      </c>
      <c r="C261" s="6" t="s">
        <v>15</v>
      </c>
      <c r="D261" s="5" t="s">
        <v>69</v>
      </c>
      <c r="E261" s="5" t="s">
        <v>70</v>
      </c>
      <c r="F261" s="5" t="s">
        <v>167</v>
      </c>
      <c r="G261" s="5" t="s">
        <v>66</v>
      </c>
      <c r="H261" s="7"/>
      <c r="I261" s="7"/>
      <c r="J261" s="7"/>
      <c r="K261" s="8">
        <v>46143</v>
      </c>
      <c r="L261" s="9">
        <v>60000</v>
      </c>
      <c r="M261" s="10">
        <v>1</v>
      </c>
      <c r="N261" s="9">
        <f t="shared" ref="N261:N271" si="14">IF(B261&gt;O261,"",L261/M261)</f>
        <v>60000</v>
      </c>
      <c r="O261" s="11">
        <f t="shared" ref="O261:O271" si="15">EDATE(K261, M261-1)</f>
        <v>46143</v>
      </c>
      <c r="P261" s="5"/>
    </row>
    <row r="262" spans="1:16" ht="15.75" x14ac:dyDescent="0.25">
      <c r="A262" s="5">
        <f>SUBTOTAL(3,$B$2:B262)</f>
        <v>261</v>
      </c>
      <c r="B262" s="6">
        <v>46143</v>
      </c>
      <c r="C262" s="6" t="s">
        <v>15</v>
      </c>
      <c r="D262" s="5" t="s">
        <v>69</v>
      </c>
      <c r="E262" s="5" t="s">
        <v>70</v>
      </c>
      <c r="F262" s="5" t="s">
        <v>187</v>
      </c>
      <c r="G262" s="5" t="s">
        <v>66</v>
      </c>
      <c r="H262" s="7"/>
      <c r="I262" s="7"/>
      <c r="J262" s="7"/>
      <c r="K262" s="8">
        <v>46143</v>
      </c>
      <c r="L262" s="9">
        <v>100000</v>
      </c>
      <c r="M262" s="10">
        <v>1</v>
      </c>
      <c r="N262" s="9">
        <f t="shared" si="14"/>
        <v>100000</v>
      </c>
      <c r="O262" s="11">
        <f t="shared" si="15"/>
        <v>46143</v>
      </c>
      <c r="P262" s="5"/>
    </row>
    <row r="263" spans="1:16" ht="15.75" x14ac:dyDescent="0.25">
      <c r="A263" s="5">
        <f>SUBTOTAL(3,$B$2:B263)</f>
        <v>262</v>
      </c>
      <c r="B263" s="6">
        <v>46143</v>
      </c>
      <c r="C263" s="6" t="s">
        <v>15</v>
      </c>
      <c r="D263" s="5" t="s">
        <v>69</v>
      </c>
      <c r="E263" s="5" t="s">
        <v>70</v>
      </c>
      <c r="F263" s="5" t="s">
        <v>188</v>
      </c>
      <c r="G263" s="5" t="s">
        <v>66</v>
      </c>
      <c r="H263" s="7"/>
      <c r="I263" s="7"/>
      <c r="J263" s="7"/>
      <c r="K263" s="8">
        <v>46143</v>
      </c>
      <c r="L263" s="9">
        <v>120000</v>
      </c>
      <c r="M263" s="10">
        <v>1</v>
      </c>
      <c r="N263" s="9">
        <f t="shared" si="14"/>
        <v>120000</v>
      </c>
      <c r="O263" s="11">
        <f t="shared" si="15"/>
        <v>46143</v>
      </c>
      <c r="P263" s="5"/>
    </row>
    <row r="264" spans="1:16" ht="15.75" x14ac:dyDescent="0.25">
      <c r="A264" s="5">
        <f>SUBTOTAL(3,$B$2:B264)</f>
        <v>263</v>
      </c>
      <c r="B264" s="6">
        <v>46143</v>
      </c>
      <c r="C264" s="6" t="s">
        <v>15</v>
      </c>
      <c r="D264" s="5" t="s">
        <v>69</v>
      </c>
      <c r="E264" s="5" t="s">
        <v>70</v>
      </c>
      <c r="F264" s="5" t="s">
        <v>184</v>
      </c>
      <c r="G264" s="5" t="s">
        <v>66</v>
      </c>
      <c r="H264" s="7"/>
      <c r="I264" s="7"/>
      <c r="J264" s="7"/>
      <c r="K264" s="8">
        <v>46143</v>
      </c>
      <c r="L264" s="9">
        <v>60000</v>
      </c>
      <c r="M264" s="10">
        <v>1</v>
      </c>
      <c r="N264" s="9">
        <f t="shared" si="14"/>
        <v>60000</v>
      </c>
      <c r="O264" s="11">
        <f t="shared" si="15"/>
        <v>46143</v>
      </c>
      <c r="P264" s="5"/>
    </row>
    <row r="265" spans="1:16" ht="15.75" x14ac:dyDescent="0.25">
      <c r="A265" s="5">
        <f>SUBTOTAL(3,$B$2:B265)</f>
        <v>264</v>
      </c>
      <c r="B265" s="6">
        <v>46143</v>
      </c>
      <c r="C265" s="6" t="s">
        <v>15</v>
      </c>
      <c r="D265" s="5" t="s">
        <v>69</v>
      </c>
      <c r="E265" s="5" t="s">
        <v>70</v>
      </c>
      <c r="F265" s="5" t="s">
        <v>189</v>
      </c>
      <c r="G265" s="5" t="s">
        <v>66</v>
      </c>
      <c r="H265" s="7"/>
      <c r="I265" s="7"/>
      <c r="J265" s="7"/>
      <c r="K265" s="8">
        <v>46143</v>
      </c>
      <c r="L265" s="9">
        <v>60000</v>
      </c>
      <c r="M265" s="10">
        <v>1</v>
      </c>
      <c r="N265" s="9">
        <f t="shared" si="14"/>
        <v>60000</v>
      </c>
      <c r="O265" s="11">
        <f t="shared" si="15"/>
        <v>46143</v>
      </c>
      <c r="P265" s="5"/>
    </row>
    <row r="266" spans="1:16" ht="15.75" x14ac:dyDescent="0.25">
      <c r="A266" s="5">
        <f>SUBTOTAL(3,$B$2:B266)</f>
        <v>265</v>
      </c>
      <c r="B266" s="6">
        <v>46143</v>
      </c>
      <c r="C266" s="6" t="s">
        <v>15</v>
      </c>
      <c r="D266" s="5" t="s">
        <v>69</v>
      </c>
      <c r="E266" s="5" t="s">
        <v>70</v>
      </c>
      <c r="F266" s="5" t="s">
        <v>98</v>
      </c>
      <c r="G266" s="5" t="s">
        <v>66</v>
      </c>
      <c r="H266" s="7"/>
      <c r="I266" s="7"/>
      <c r="J266" s="7"/>
      <c r="K266" s="8">
        <v>46143</v>
      </c>
      <c r="L266" s="9">
        <v>200000</v>
      </c>
      <c r="M266" s="10">
        <v>1</v>
      </c>
      <c r="N266" s="9">
        <f t="shared" si="14"/>
        <v>200000</v>
      </c>
      <c r="O266" s="11">
        <f t="shared" si="15"/>
        <v>46143</v>
      </c>
      <c r="P266" s="5"/>
    </row>
    <row r="267" spans="1:16" ht="15.75" x14ac:dyDescent="0.25">
      <c r="A267" s="5">
        <f>SUBTOTAL(3,$B$2:B267)</f>
        <v>266</v>
      </c>
      <c r="B267" s="6">
        <v>46143</v>
      </c>
      <c r="C267" s="6" t="s">
        <v>15</v>
      </c>
      <c r="D267" s="5" t="s">
        <v>69</v>
      </c>
      <c r="E267" s="5" t="s">
        <v>70</v>
      </c>
      <c r="F267" s="5" t="s">
        <v>154</v>
      </c>
      <c r="G267" s="5" t="s">
        <v>66</v>
      </c>
      <c r="H267" s="7"/>
      <c r="I267" s="7"/>
      <c r="J267" s="7"/>
      <c r="K267" s="8">
        <v>46143</v>
      </c>
      <c r="L267" s="9">
        <v>60000</v>
      </c>
      <c r="M267" s="10">
        <v>1</v>
      </c>
      <c r="N267" s="9">
        <f t="shared" si="14"/>
        <v>60000</v>
      </c>
      <c r="O267" s="11">
        <f t="shared" si="15"/>
        <v>46143</v>
      </c>
      <c r="P267" s="5"/>
    </row>
    <row r="268" spans="1:16" ht="15.75" x14ac:dyDescent="0.25">
      <c r="A268" s="5">
        <f>SUBTOTAL(3,$B$2:B268)</f>
        <v>267</v>
      </c>
      <c r="B268" s="6">
        <v>46143</v>
      </c>
      <c r="C268" s="6" t="s">
        <v>15</v>
      </c>
      <c r="D268" s="5" t="s">
        <v>68</v>
      </c>
      <c r="E268" s="5" t="s">
        <v>72</v>
      </c>
      <c r="F268" s="36" t="s">
        <v>74</v>
      </c>
      <c r="G268" s="32" t="s">
        <v>66</v>
      </c>
      <c r="H268" s="33"/>
      <c r="I268" s="33"/>
      <c r="J268" s="33"/>
      <c r="K268" s="8">
        <v>46143</v>
      </c>
      <c r="L268" s="34">
        <v>-700000</v>
      </c>
      <c r="M268" s="35">
        <v>1</v>
      </c>
      <c r="N268" s="34">
        <f t="shared" si="14"/>
        <v>-700000</v>
      </c>
      <c r="O268" s="11">
        <f t="shared" si="15"/>
        <v>46143</v>
      </c>
      <c r="P268" s="12"/>
    </row>
    <row r="269" spans="1:16" ht="15.75" x14ac:dyDescent="0.25">
      <c r="A269" s="5">
        <f>SUBTOTAL(3,$B$2:B269)</f>
        <v>268</v>
      </c>
      <c r="B269" s="6">
        <v>46143</v>
      </c>
      <c r="C269" s="6" t="s">
        <v>15</v>
      </c>
      <c r="D269" s="5" t="s">
        <v>68</v>
      </c>
      <c r="E269" s="5" t="s">
        <v>71</v>
      </c>
      <c r="F269" s="36" t="s">
        <v>168</v>
      </c>
      <c r="G269" s="5" t="s">
        <v>66</v>
      </c>
      <c r="H269" s="7"/>
      <c r="I269" s="7"/>
      <c r="J269" s="7"/>
      <c r="K269" s="8">
        <v>46143</v>
      </c>
      <c r="L269" s="9">
        <v>300000</v>
      </c>
      <c r="M269" s="10">
        <v>1</v>
      </c>
      <c r="N269" s="9">
        <f t="shared" si="14"/>
        <v>300000</v>
      </c>
      <c r="O269" s="11">
        <f t="shared" si="15"/>
        <v>46143</v>
      </c>
      <c r="P269" s="12"/>
    </row>
    <row r="270" spans="1:16" ht="15.75" x14ac:dyDescent="0.25">
      <c r="A270" s="5">
        <f>SUBTOTAL(3,$B$2:B270)</f>
        <v>269</v>
      </c>
      <c r="B270" s="6">
        <v>46143</v>
      </c>
      <c r="C270" s="6" t="s">
        <v>15</v>
      </c>
      <c r="D270" s="5" t="s">
        <v>68</v>
      </c>
      <c r="E270" s="5" t="s">
        <v>72</v>
      </c>
      <c r="F270" s="36" t="s">
        <v>155</v>
      </c>
      <c r="G270" s="5" t="s">
        <v>66</v>
      </c>
      <c r="H270" s="7"/>
      <c r="I270" s="7"/>
      <c r="J270" s="7"/>
      <c r="K270" s="8">
        <v>46143</v>
      </c>
      <c r="L270" s="9">
        <v>110000</v>
      </c>
      <c r="M270" s="10">
        <v>1</v>
      </c>
      <c r="N270" s="9">
        <f t="shared" si="14"/>
        <v>110000</v>
      </c>
      <c r="O270" s="11">
        <f t="shared" si="15"/>
        <v>46143</v>
      </c>
      <c r="P270" s="5"/>
    </row>
    <row r="271" spans="1:16" ht="15.75" x14ac:dyDescent="0.25">
      <c r="A271" s="5">
        <f>SUBTOTAL(3,$B$2:B271)</f>
        <v>270</v>
      </c>
      <c r="B271" s="6">
        <v>46143</v>
      </c>
      <c r="C271" s="6" t="s">
        <v>15</v>
      </c>
      <c r="D271" s="5" t="s">
        <v>69</v>
      </c>
      <c r="E271" s="5" t="s">
        <v>68</v>
      </c>
      <c r="F271" s="36" t="s">
        <v>190</v>
      </c>
      <c r="G271" s="5" t="s">
        <v>66</v>
      </c>
      <c r="H271" s="7"/>
      <c r="I271" s="7"/>
      <c r="J271" s="7"/>
      <c r="K271" s="8">
        <v>46143</v>
      </c>
      <c r="L271" s="9">
        <v>60000</v>
      </c>
      <c r="M271" s="10">
        <v>1</v>
      </c>
      <c r="N271" s="9">
        <f t="shared" si="14"/>
        <v>60000</v>
      </c>
      <c r="O271" s="11">
        <f t="shared" si="15"/>
        <v>46143</v>
      </c>
      <c r="P271" s="5"/>
    </row>
    <row r="272" spans="1:16" ht="15.75" x14ac:dyDescent="0.25">
      <c r="A272" s="5">
        <f>SUBTOTAL(3,$B$2:B272)</f>
        <v>271</v>
      </c>
      <c r="B272" s="6">
        <v>46143</v>
      </c>
      <c r="C272" s="6" t="s">
        <v>15</v>
      </c>
      <c r="D272" s="5" t="s">
        <v>69</v>
      </c>
      <c r="E272" s="5" t="s">
        <v>68</v>
      </c>
      <c r="F272" s="36" t="s">
        <v>191</v>
      </c>
      <c r="G272" s="5" t="s">
        <v>66</v>
      </c>
      <c r="H272" s="7"/>
      <c r="I272" s="7"/>
      <c r="J272" s="7"/>
      <c r="K272" s="8">
        <v>46143</v>
      </c>
      <c r="L272" s="9">
        <v>32000</v>
      </c>
      <c r="M272" s="10">
        <v>1</v>
      </c>
      <c r="N272" s="9">
        <f t="shared" ref="N272:N277" si="16">IF(B272&gt;O272,"",L272/M272)</f>
        <v>32000</v>
      </c>
      <c r="O272" s="11">
        <f t="shared" ref="O272:O277" si="17">EDATE(K272, M272-1)</f>
        <v>46143</v>
      </c>
      <c r="P272" s="5"/>
    </row>
    <row r="273" spans="1:16" ht="15.75" x14ac:dyDescent="0.25">
      <c r="A273" s="5">
        <f>SUBTOTAL(3,$B$2:B273)</f>
        <v>272</v>
      </c>
      <c r="B273" s="6">
        <v>46143</v>
      </c>
      <c r="C273" s="6" t="s">
        <v>15</v>
      </c>
      <c r="D273" s="5" t="s">
        <v>69</v>
      </c>
      <c r="E273" s="5" t="s">
        <v>68</v>
      </c>
      <c r="F273" s="36" t="s">
        <v>192</v>
      </c>
      <c r="G273" s="5" t="s">
        <v>66</v>
      </c>
      <c r="H273" s="7"/>
      <c r="I273" s="7"/>
      <c r="J273" s="7"/>
      <c r="K273" s="8">
        <v>46143</v>
      </c>
      <c r="L273" s="9">
        <v>1000000</v>
      </c>
      <c r="M273" s="10">
        <v>1</v>
      </c>
      <c r="N273" s="9">
        <f t="shared" si="16"/>
        <v>1000000</v>
      </c>
      <c r="O273" s="11">
        <f t="shared" si="17"/>
        <v>46143</v>
      </c>
      <c r="P273" s="5"/>
    </row>
    <row r="274" spans="1:16" ht="15.75" x14ac:dyDescent="0.25">
      <c r="A274" s="5">
        <f>SUBTOTAL(3,$B$2:B274)</f>
        <v>273</v>
      </c>
      <c r="B274" s="6">
        <v>46143</v>
      </c>
      <c r="C274" s="6" t="s">
        <v>15</v>
      </c>
      <c r="D274" s="5" t="s">
        <v>69</v>
      </c>
      <c r="E274" s="5" t="s">
        <v>73</v>
      </c>
      <c r="F274" s="36" t="s">
        <v>193</v>
      </c>
      <c r="G274" s="5" t="s">
        <v>66</v>
      </c>
      <c r="H274" s="7"/>
      <c r="I274" s="7"/>
      <c r="J274" s="7"/>
      <c r="K274" s="8">
        <v>46143</v>
      </c>
      <c r="L274" s="9">
        <v>300000</v>
      </c>
      <c r="M274" s="10">
        <v>1</v>
      </c>
      <c r="N274" s="9">
        <f t="shared" si="16"/>
        <v>300000</v>
      </c>
      <c r="O274" s="11">
        <f t="shared" si="17"/>
        <v>46143</v>
      </c>
      <c r="P274" s="5"/>
    </row>
    <row r="275" spans="1:16" ht="15.75" x14ac:dyDescent="0.25">
      <c r="A275" s="5">
        <f>SUBTOTAL(3,$B$2:B275)</f>
        <v>274</v>
      </c>
      <c r="B275" s="6">
        <v>46143</v>
      </c>
      <c r="C275" s="6" t="s">
        <v>15</v>
      </c>
      <c r="D275" s="5" t="s">
        <v>69</v>
      </c>
      <c r="E275" s="5" t="s">
        <v>72</v>
      </c>
      <c r="F275" s="36" t="s">
        <v>169</v>
      </c>
      <c r="G275" s="5" t="s">
        <v>66</v>
      </c>
      <c r="H275" s="7"/>
      <c r="I275" s="7"/>
      <c r="J275" s="7"/>
      <c r="K275" s="8">
        <v>46143</v>
      </c>
      <c r="L275" s="9">
        <v>110000</v>
      </c>
      <c r="M275" s="10">
        <v>1</v>
      </c>
      <c r="N275" s="9">
        <f t="shared" si="16"/>
        <v>110000</v>
      </c>
      <c r="O275" s="11">
        <f t="shared" si="17"/>
        <v>46143</v>
      </c>
      <c r="P275" s="5"/>
    </row>
    <row r="276" spans="1:16" ht="15.75" x14ac:dyDescent="0.25">
      <c r="A276" s="5">
        <f>SUBTOTAL(3,$B$2:B276)</f>
        <v>275</v>
      </c>
      <c r="B276" s="6">
        <v>46143</v>
      </c>
      <c r="C276" s="6" t="s">
        <v>15</v>
      </c>
      <c r="D276" s="5" t="s">
        <v>69</v>
      </c>
      <c r="E276" s="5" t="s">
        <v>68</v>
      </c>
      <c r="F276" s="36" t="s">
        <v>194</v>
      </c>
      <c r="G276" s="5" t="s">
        <v>66</v>
      </c>
      <c r="H276" s="7"/>
      <c r="I276" s="7"/>
      <c r="J276" s="7"/>
      <c r="K276" s="8">
        <v>46143</v>
      </c>
      <c r="L276" s="9">
        <v>450000</v>
      </c>
      <c r="M276" s="10">
        <v>1</v>
      </c>
      <c r="N276" s="9">
        <f t="shared" si="16"/>
        <v>450000</v>
      </c>
      <c r="O276" s="11">
        <f t="shared" si="17"/>
        <v>46143</v>
      </c>
      <c r="P276" s="5"/>
    </row>
    <row r="277" spans="1:16" ht="15.75" x14ac:dyDescent="0.25">
      <c r="A277" s="5">
        <f>SUBTOTAL(3,$B$2:B277)</f>
        <v>276</v>
      </c>
      <c r="B277" s="6">
        <v>46143</v>
      </c>
      <c r="C277" s="6" t="s">
        <v>15</v>
      </c>
      <c r="D277" s="5" t="s">
        <v>69</v>
      </c>
      <c r="E277" s="5" t="s">
        <v>71</v>
      </c>
      <c r="F277" s="36"/>
      <c r="G277" s="5" t="s">
        <v>66</v>
      </c>
      <c r="H277" s="7"/>
      <c r="I277" s="7"/>
      <c r="J277" s="7"/>
      <c r="K277" s="8">
        <v>46143</v>
      </c>
      <c r="L277" s="9"/>
      <c r="M277" s="10">
        <v>1</v>
      </c>
      <c r="N277" s="9">
        <f t="shared" si="16"/>
        <v>0</v>
      </c>
      <c r="O277" s="11">
        <f t="shared" si="17"/>
        <v>46143</v>
      </c>
      <c r="P277" s="5"/>
    </row>
    <row r="278" spans="1:16" ht="15.75" x14ac:dyDescent="0.25">
      <c r="A278" s="5">
        <f>SUBTOTAL(3,$B$2:B278)</f>
        <v>277</v>
      </c>
      <c r="B278" s="6">
        <v>46143</v>
      </c>
      <c r="C278" s="6" t="s">
        <v>15</v>
      </c>
      <c r="D278" s="5" t="s">
        <v>68</v>
      </c>
      <c r="E278" s="5" t="s">
        <v>73</v>
      </c>
      <c r="F278" s="36"/>
      <c r="G278" s="5" t="s">
        <v>66</v>
      </c>
      <c r="H278" s="7"/>
      <c r="I278" s="7"/>
      <c r="J278" s="7"/>
      <c r="K278" s="8">
        <v>46143</v>
      </c>
      <c r="L278" s="9"/>
      <c r="M278" s="10">
        <v>1</v>
      </c>
      <c r="N278" s="9">
        <f t="shared" ref="N278:N287" si="18">IF(B278&gt;O278,"",L278/M278)</f>
        <v>0</v>
      </c>
      <c r="O278" s="11">
        <f t="shared" ref="O278:O287" si="19">EDATE(K278, M278-1)</f>
        <v>46143</v>
      </c>
      <c r="P278" s="5"/>
    </row>
    <row r="279" spans="1:16" ht="15.75" x14ac:dyDescent="0.25">
      <c r="A279" s="5">
        <f>SUBTOTAL(3,$B$2:B279)</f>
        <v>278</v>
      </c>
      <c r="B279" s="6">
        <v>46143</v>
      </c>
      <c r="C279" s="6" t="s">
        <v>15</v>
      </c>
      <c r="D279" s="5" t="s">
        <v>68</v>
      </c>
      <c r="E279" s="5" t="s">
        <v>68</v>
      </c>
      <c r="F279" s="36"/>
      <c r="G279" s="5" t="s">
        <v>66</v>
      </c>
      <c r="H279" s="7"/>
      <c r="I279" s="7"/>
      <c r="J279" s="7"/>
      <c r="K279" s="8">
        <v>46143</v>
      </c>
      <c r="L279" s="9"/>
      <c r="M279" s="10">
        <v>1</v>
      </c>
      <c r="N279" s="9">
        <f t="shared" si="18"/>
        <v>0</v>
      </c>
      <c r="O279" s="11">
        <f t="shared" si="19"/>
        <v>46143</v>
      </c>
      <c r="P279" s="5"/>
    </row>
    <row r="280" spans="1:16" ht="15.75" x14ac:dyDescent="0.25">
      <c r="A280" s="5">
        <f>SUBTOTAL(3,$B$2:B280)</f>
        <v>279</v>
      </c>
      <c r="B280" s="6">
        <v>46143</v>
      </c>
      <c r="C280" s="6" t="s">
        <v>15</v>
      </c>
      <c r="D280" s="5" t="s">
        <v>68</v>
      </c>
      <c r="E280" s="5"/>
      <c r="F280" s="36"/>
      <c r="G280" s="5" t="s">
        <v>66</v>
      </c>
      <c r="H280" s="7"/>
      <c r="I280" s="7"/>
      <c r="J280" s="7"/>
      <c r="K280" s="8">
        <v>46143</v>
      </c>
      <c r="L280" s="9"/>
      <c r="M280" s="10">
        <v>1</v>
      </c>
      <c r="N280" s="9">
        <f t="shared" si="18"/>
        <v>0</v>
      </c>
      <c r="O280" s="11">
        <f t="shared" si="19"/>
        <v>46143</v>
      </c>
      <c r="P280" s="5"/>
    </row>
    <row r="281" spans="1:16" ht="15.75" x14ac:dyDescent="0.25">
      <c r="A281" s="5">
        <f>SUBTOTAL(3,$B$2:B281)</f>
        <v>280</v>
      </c>
      <c r="B281" s="6">
        <v>46143</v>
      </c>
      <c r="C281" s="6" t="s">
        <v>15</v>
      </c>
      <c r="D281" s="5" t="s">
        <v>68</v>
      </c>
      <c r="E281" s="5"/>
      <c r="F281" s="36"/>
      <c r="G281" s="5" t="s">
        <v>66</v>
      </c>
      <c r="H281" s="7"/>
      <c r="I281" s="7"/>
      <c r="J281" s="7"/>
      <c r="K281" s="8">
        <v>46143</v>
      </c>
      <c r="L281" s="9"/>
      <c r="M281" s="10">
        <v>1</v>
      </c>
      <c r="N281" s="9">
        <f t="shared" si="18"/>
        <v>0</v>
      </c>
      <c r="O281" s="11">
        <f t="shared" si="19"/>
        <v>46143</v>
      </c>
      <c r="P281" s="5"/>
    </row>
    <row r="282" spans="1:16" ht="15.75" x14ac:dyDescent="0.25">
      <c r="A282" s="5">
        <f>SUBTOTAL(3,$B$2:B282)</f>
        <v>281</v>
      </c>
      <c r="B282" s="6">
        <v>46143</v>
      </c>
      <c r="C282" s="6" t="s">
        <v>15</v>
      </c>
      <c r="D282" s="5" t="s">
        <v>68</v>
      </c>
      <c r="E282" s="5"/>
      <c r="F282" s="36"/>
      <c r="G282" s="5" t="s">
        <v>66</v>
      </c>
      <c r="H282" s="7"/>
      <c r="I282" s="7"/>
      <c r="J282" s="7"/>
      <c r="K282" s="8">
        <v>46143</v>
      </c>
      <c r="L282" s="9"/>
      <c r="M282" s="10">
        <v>1</v>
      </c>
      <c r="N282" s="9">
        <f t="shared" si="18"/>
        <v>0</v>
      </c>
      <c r="O282" s="11">
        <f t="shared" si="19"/>
        <v>46143</v>
      </c>
      <c r="P282" s="5"/>
    </row>
    <row r="283" spans="1:16" ht="15.75" x14ac:dyDescent="0.25">
      <c r="A283" s="5">
        <f>SUBTOTAL(3,$B$2:B283)</f>
        <v>282</v>
      </c>
      <c r="B283" s="6">
        <v>46143</v>
      </c>
      <c r="C283" s="6" t="s">
        <v>15</v>
      </c>
      <c r="D283" s="5" t="s">
        <v>68</v>
      </c>
      <c r="E283" s="5"/>
      <c r="F283" s="36"/>
      <c r="G283" s="5" t="s">
        <v>66</v>
      </c>
      <c r="H283" s="7"/>
      <c r="I283" s="7"/>
      <c r="J283" s="7"/>
      <c r="K283" s="8">
        <v>46143</v>
      </c>
      <c r="L283" s="9"/>
      <c r="M283" s="10">
        <v>1</v>
      </c>
      <c r="N283" s="9">
        <f t="shared" si="18"/>
        <v>0</v>
      </c>
      <c r="O283" s="11">
        <f t="shared" si="19"/>
        <v>46143</v>
      </c>
      <c r="P283" s="5"/>
    </row>
    <row r="284" spans="1:16" ht="15.75" x14ac:dyDescent="0.25">
      <c r="A284" s="5">
        <f>SUBTOTAL(3,$B$2:B284)</f>
        <v>283</v>
      </c>
      <c r="B284" s="6">
        <v>46143</v>
      </c>
      <c r="C284" s="6" t="s">
        <v>15</v>
      </c>
      <c r="D284" s="5" t="s">
        <v>68</v>
      </c>
      <c r="E284" s="5"/>
      <c r="F284" s="36"/>
      <c r="G284" s="5" t="s">
        <v>66</v>
      </c>
      <c r="H284" s="7"/>
      <c r="I284" s="7"/>
      <c r="J284" s="7"/>
      <c r="K284" s="8">
        <v>46143</v>
      </c>
      <c r="L284" s="9"/>
      <c r="M284" s="10">
        <v>1</v>
      </c>
      <c r="N284" s="9">
        <f t="shared" si="18"/>
        <v>0</v>
      </c>
      <c r="O284" s="11">
        <f t="shared" si="19"/>
        <v>46143</v>
      </c>
      <c r="P284" s="12"/>
    </row>
    <row r="285" spans="1:16" ht="15.75" x14ac:dyDescent="0.25">
      <c r="A285" s="5">
        <f>SUBTOTAL(3,$B$2:B285)</f>
        <v>284</v>
      </c>
      <c r="B285" s="6">
        <v>46143</v>
      </c>
      <c r="C285" s="6" t="s">
        <v>15</v>
      </c>
      <c r="D285" s="5" t="s">
        <v>68</v>
      </c>
      <c r="E285" s="5"/>
      <c r="F285" s="36"/>
      <c r="G285" s="5" t="s">
        <v>66</v>
      </c>
      <c r="H285" s="7"/>
      <c r="I285" s="7"/>
      <c r="J285" s="7"/>
      <c r="K285" s="8">
        <v>46143</v>
      </c>
      <c r="L285" s="9"/>
      <c r="M285" s="10">
        <v>1</v>
      </c>
      <c r="N285" s="9">
        <f t="shared" si="18"/>
        <v>0</v>
      </c>
      <c r="O285" s="11">
        <f t="shared" si="19"/>
        <v>46143</v>
      </c>
      <c r="P285" s="5"/>
    </row>
    <row r="286" spans="1:16" ht="15.75" x14ac:dyDescent="0.25">
      <c r="A286" s="5">
        <f>SUBTOTAL(3,$B$2:B286)</f>
        <v>285</v>
      </c>
      <c r="B286" s="6">
        <v>46143</v>
      </c>
      <c r="C286" s="6" t="s">
        <v>15</v>
      </c>
      <c r="D286" s="5" t="s">
        <v>68</v>
      </c>
      <c r="E286" s="5"/>
      <c r="F286" s="36"/>
      <c r="G286" s="5" t="s">
        <v>66</v>
      </c>
      <c r="H286" s="7"/>
      <c r="I286" s="7"/>
      <c r="J286" s="7"/>
      <c r="K286" s="8">
        <v>46143</v>
      </c>
      <c r="L286" s="9"/>
      <c r="M286" s="10">
        <v>1</v>
      </c>
      <c r="N286" s="9">
        <f t="shared" si="18"/>
        <v>0</v>
      </c>
      <c r="O286" s="11">
        <f t="shared" si="19"/>
        <v>46143</v>
      </c>
      <c r="P286" s="5"/>
    </row>
    <row r="287" spans="1:16" ht="15.75" x14ac:dyDescent="0.25">
      <c r="A287" s="5">
        <f>SUBTOTAL(3,$B$2:B287)</f>
        <v>286</v>
      </c>
      <c r="B287" s="6">
        <v>46143</v>
      </c>
      <c r="C287" s="6" t="s">
        <v>15</v>
      </c>
      <c r="D287" s="5" t="s">
        <v>68</v>
      </c>
      <c r="E287" s="5"/>
      <c r="F287" s="36"/>
      <c r="G287" s="5" t="s">
        <v>66</v>
      </c>
      <c r="H287" s="7"/>
      <c r="I287" s="7"/>
      <c r="J287" s="7"/>
      <c r="K287" s="8">
        <v>46143</v>
      </c>
      <c r="L287" s="9"/>
      <c r="M287" s="10">
        <v>1</v>
      </c>
      <c r="N287" s="9">
        <f t="shared" si="18"/>
        <v>0</v>
      </c>
      <c r="O287" s="11">
        <f t="shared" si="19"/>
        <v>46143</v>
      </c>
      <c r="P287" s="5"/>
    </row>
    <row r="288" spans="1:16" ht="15.75" x14ac:dyDescent="0.25">
      <c r="A288" s="5">
        <f>SUBTOTAL(3,$B$2:B288)</f>
        <v>287</v>
      </c>
      <c r="B288" s="6">
        <v>46143</v>
      </c>
      <c r="C288" s="6" t="s">
        <v>15</v>
      </c>
      <c r="D288" s="5" t="s">
        <v>68</v>
      </c>
      <c r="E288" s="5"/>
      <c r="F288" s="36"/>
      <c r="G288" s="5" t="s">
        <v>66</v>
      </c>
      <c r="H288" s="7"/>
      <c r="I288" s="7"/>
      <c r="J288" s="7"/>
      <c r="K288" s="8">
        <v>46143</v>
      </c>
      <c r="L288" s="9"/>
      <c r="M288" s="10">
        <v>1</v>
      </c>
      <c r="N288" s="9">
        <f t="shared" ref="N288:N295" si="20">IF(B288&gt;O288,"",L288/M288)</f>
        <v>0</v>
      </c>
      <c r="O288" s="11">
        <f t="shared" ref="O288:O295" si="21">EDATE(K288, M288-1)</f>
        <v>46143</v>
      </c>
      <c r="P288" s="5"/>
    </row>
    <row r="289" spans="1:16" ht="15.75" x14ac:dyDescent="0.25">
      <c r="A289" s="5">
        <f>SUBTOTAL(3,$B$2:B289)</f>
        <v>288</v>
      </c>
      <c r="B289" s="6">
        <v>46143</v>
      </c>
      <c r="C289" s="6" t="s">
        <v>15</v>
      </c>
      <c r="D289" s="5" t="s">
        <v>68</v>
      </c>
      <c r="E289" s="5"/>
      <c r="F289" s="36"/>
      <c r="G289" s="5" t="s">
        <v>66</v>
      </c>
      <c r="H289" s="7"/>
      <c r="I289" s="7"/>
      <c r="J289" s="7"/>
      <c r="K289" s="8">
        <v>46143</v>
      </c>
      <c r="L289" s="9"/>
      <c r="M289" s="10">
        <v>1</v>
      </c>
      <c r="N289" s="9">
        <f>IF(B289&gt;O289,"",L289/M289)</f>
        <v>0</v>
      </c>
      <c r="O289" s="11">
        <f>EDATE(K289, M289-1)</f>
        <v>46143</v>
      </c>
      <c r="P289" s="5"/>
    </row>
    <row r="290" spans="1:16" ht="15.75" x14ac:dyDescent="0.25">
      <c r="A290" s="5">
        <f>SUBTOTAL(3,$B$2:B290)</f>
        <v>289</v>
      </c>
      <c r="B290" s="6">
        <v>46143</v>
      </c>
      <c r="C290" s="6" t="s">
        <v>15</v>
      </c>
      <c r="D290" s="5" t="s">
        <v>68</v>
      </c>
      <c r="E290" s="5" t="s">
        <v>72</v>
      </c>
      <c r="F290" s="36" t="s">
        <v>172</v>
      </c>
      <c r="G290" s="5" t="s">
        <v>66</v>
      </c>
      <c r="K290" s="8">
        <v>46143</v>
      </c>
      <c r="L290" s="9">
        <v>5395594</v>
      </c>
      <c r="M290" s="10">
        <v>1</v>
      </c>
      <c r="N290" s="9">
        <f t="shared" si="20"/>
        <v>5395594</v>
      </c>
      <c r="O290" s="11">
        <f t="shared" si="21"/>
        <v>46143</v>
      </c>
    </row>
    <row r="291" spans="1:16" ht="15.75" x14ac:dyDescent="0.25">
      <c r="A291" s="5">
        <f>SUBTOTAL(3,$B$2:B291)</f>
        <v>290</v>
      </c>
      <c r="B291" s="6">
        <v>46143</v>
      </c>
      <c r="C291" s="6" t="s">
        <v>15</v>
      </c>
      <c r="D291" s="5" t="s">
        <v>69</v>
      </c>
      <c r="E291" s="5" t="s">
        <v>71</v>
      </c>
      <c r="F291" s="5" t="s">
        <v>173</v>
      </c>
      <c r="G291" s="5" t="s">
        <v>66</v>
      </c>
      <c r="K291" s="8">
        <v>46143</v>
      </c>
      <c r="L291" s="9">
        <v>1647900</v>
      </c>
      <c r="M291" s="10">
        <v>1</v>
      </c>
      <c r="N291" s="9">
        <f t="shared" si="20"/>
        <v>1647900</v>
      </c>
      <c r="O291" s="11">
        <f t="shared" si="21"/>
        <v>46143</v>
      </c>
    </row>
    <row r="292" spans="1:16" ht="15.75" x14ac:dyDescent="0.25">
      <c r="A292" s="5">
        <f>SUBTOTAL(3,$B$2:B292)</f>
        <v>291</v>
      </c>
      <c r="B292" s="6">
        <v>46143</v>
      </c>
      <c r="C292" s="6" t="s">
        <v>15</v>
      </c>
      <c r="D292" s="5" t="s">
        <v>68</v>
      </c>
      <c r="E292" s="5" t="s">
        <v>75</v>
      </c>
      <c r="F292" s="5" t="s">
        <v>174</v>
      </c>
      <c r="G292" s="5" t="s">
        <v>66</v>
      </c>
      <c r="K292" s="8">
        <v>46143</v>
      </c>
      <c r="L292" s="9">
        <f>+VPP!Q23</f>
        <v>1778713</v>
      </c>
      <c r="M292" s="10">
        <v>1</v>
      </c>
      <c r="N292" s="9">
        <f t="shared" si="20"/>
        <v>1778713</v>
      </c>
      <c r="O292" s="11">
        <f t="shared" si="21"/>
        <v>46143</v>
      </c>
    </row>
    <row r="293" spans="1:16" ht="15.75" x14ac:dyDescent="0.25">
      <c r="A293" s="5">
        <f>SUBTOTAL(3,$B$2:B293)</f>
        <v>292</v>
      </c>
      <c r="B293" s="6">
        <v>46143</v>
      </c>
      <c r="C293" s="6" t="s">
        <v>15</v>
      </c>
      <c r="D293" s="5" t="s">
        <v>68</v>
      </c>
      <c r="E293" s="5" t="s">
        <v>76</v>
      </c>
      <c r="F293" s="5" t="s">
        <v>175</v>
      </c>
      <c r="G293" s="5" t="s">
        <v>66</v>
      </c>
      <c r="K293" s="8">
        <v>46143</v>
      </c>
      <c r="L293" s="9">
        <v>797178</v>
      </c>
      <c r="M293" s="10">
        <v>1</v>
      </c>
      <c r="N293" s="9">
        <f t="shared" si="20"/>
        <v>797178</v>
      </c>
      <c r="O293" s="11">
        <f t="shared" si="21"/>
        <v>46143</v>
      </c>
    </row>
    <row r="294" spans="1:16" ht="15.75" x14ac:dyDescent="0.25">
      <c r="A294" s="5">
        <f>SUBTOTAL(3,$B$2:B294)</f>
        <v>293</v>
      </c>
      <c r="B294" s="6">
        <v>46143</v>
      </c>
      <c r="C294" s="6" t="s">
        <v>15</v>
      </c>
      <c r="D294" s="5" t="s">
        <v>68</v>
      </c>
      <c r="E294" s="5" t="s">
        <v>72</v>
      </c>
      <c r="F294" s="5" t="s">
        <v>176</v>
      </c>
      <c r="G294" s="5" t="s">
        <v>66</v>
      </c>
      <c r="K294" s="8">
        <v>46143</v>
      </c>
      <c r="L294" s="9">
        <v>409975</v>
      </c>
      <c r="M294" s="10">
        <v>1</v>
      </c>
      <c r="N294" s="9">
        <f t="shared" si="20"/>
        <v>409975</v>
      </c>
      <c r="O294" s="11">
        <f t="shared" si="21"/>
        <v>46143</v>
      </c>
    </row>
    <row r="295" spans="1:16" ht="15.75" x14ac:dyDescent="0.25">
      <c r="A295" s="5">
        <f>SUBTOTAL(3,$B$2:B295)</f>
        <v>294</v>
      </c>
      <c r="B295" s="6">
        <v>46143</v>
      </c>
      <c r="C295" s="6" t="s">
        <v>15</v>
      </c>
      <c r="D295" s="5" t="s">
        <v>68</v>
      </c>
      <c r="E295" s="5" t="s">
        <v>77</v>
      </c>
      <c r="F295" s="30" t="s">
        <v>78</v>
      </c>
      <c r="G295" s="5" t="s">
        <v>66</v>
      </c>
      <c r="K295" s="8">
        <v>46143</v>
      </c>
      <c r="L295" s="9">
        <v>1040392</v>
      </c>
      <c r="M295" s="10">
        <v>1</v>
      </c>
      <c r="N295" s="9">
        <f t="shared" si="20"/>
        <v>1040392</v>
      </c>
      <c r="O295" s="11">
        <f t="shared" si="21"/>
        <v>46143</v>
      </c>
    </row>
    <row r="296" spans="1:16" ht="15.75" x14ac:dyDescent="0.25">
      <c r="L296" s="9"/>
    </row>
    <row r="298" spans="1:16" ht="15.75" x14ac:dyDescent="0.25">
      <c r="N298" s="9">
        <f>SUM(N2:N297)</f>
        <v>455397049.6220929</v>
      </c>
    </row>
  </sheetData>
  <sheetCalcPr fullCalcOnLoad="1"/>
  <autoFilter ref="A1:P294" xr:uid="{A7EFA223-CE1B-4A6B-BC3C-5EE54F564428}"/>
  <mergeCells count="1">
    <mergeCell ref="P242:P24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A737-0893-4000-839C-B067E06BE900}">
  <dimension ref="A1:N6"/>
  <sheetViews>
    <sheetView workbookViewId="0">
      <selection activeCell="H15" sqref="H15"/>
    </sheetView>
  </sheetViews>
  <sheetFormatPr defaultRowHeight="15" x14ac:dyDescent="0.25"/>
  <cols>
    <col min="3" max="3" width="21.85546875" customWidth="1"/>
    <col min="4" max="4" width="49.5703125" customWidth="1"/>
    <col min="8" max="8" width="32.7109375" customWidth="1"/>
    <col min="9" max="9" width="15.42578125" customWidth="1"/>
    <col min="10" max="12" width="0" hidden="1" customWidth="1"/>
  </cols>
  <sheetData>
    <row r="1" spans="1:14" ht="15.75" x14ac:dyDescent="0.25">
      <c r="A1" s="17" t="s">
        <v>83</v>
      </c>
      <c r="B1" s="18" t="s">
        <v>84</v>
      </c>
      <c r="C1" s="18" t="s">
        <v>85</v>
      </c>
      <c r="D1" s="18" t="s">
        <v>86</v>
      </c>
    </row>
    <row r="2" spans="1:14" ht="15.75" x14ac:dyDescent="0.25">
      <c r="A2" s="19">
        <v>46143</v>
      </c>
      <c r="B2" s="20" t="s">
        <v>15</v>
      </c>
      <c r="C2" s="21">
        <v>40125</v>
      </c>
      <c r="D2" s="21">
        <v>65</v>
      </c>
      <c r="H2" s="93" t="s">
        <v>322</v>
      </c>
      <c r="I2" s="94">
        <v>40746</v>
      </c>
      <c r="J2" s="95"/>
      <c r="K2" s="102"/>
      <c r="L2" s="102"/>
      <c r="M2" s="102"/>
      <c r="N2" s="102"/>
    </row>
    <row r="3" spans="1:14" ht="15.75" x14ac:dyDescent="0.25">
      <c r="H3" s="93" t="s">
        <v>323</v>
      </c>
      <c r="I3" s="94">
        <v>173</v>
      </c>
      <c r="J3" s="96"/>
      <c r="K3" s="95"/>
      <c r="L3" s="97"/>
      <c r="M3" s="97"/>
      <c r="N3" s="96"/>
    </row>
    <row r="4" spans="1:14" ht="17.25" customHeight="1" x14ac:dyDescent="0.25">
      <c r="H4" s="93" t="s">
        <v>324</v>
      </c>
      <c r="I4" s="94">
        <v>15</v>
      </c>
      <c r="J4" s="96"/>
      <c r="K4" s="96"/>
      <c r="L4" s="97"/>
      <c r="M4" s="97"/>
      <c r="N4" s="96"/>
    </row>
    <row r="5" spans="1:14" ht="17.25" customHeight="1" x14ac:dyDescent="0.25">
      <c r="H5" s="93" t="s">
        <v>325</v>
      </c>
      <c r="I5" s="94">
        <v>10</v>
      </c>
      <c r="J5" s="96"/>
      <c r="K5" s="96"/>
      <c r="L5" s="97"/>
      <c r="M5" s="98">
        <f>I2-I3-I4+I5-I6</f>
        <v>40125</v>
      </c>
      <c r="N5" s="99" t="s">
        <v>326</v>
      </c>
    </row>
    <row r="6" spans="1:14" ht="15.75" x14ac:dyDescent="0.25">
      <c r="H6" s="93" t="s">
        <v>327</v>
      </c>
      <c r="I6" s="94">
        <v>443</v>
      </c>
      <c r="J6" s="96"/>
      <c r="K6" s="96"/>
      <c r="L6" s="96"/>
      <c r="M6" s="96"/>
      <c r="N6" s="96"/>
    </row>
  </sheetData>
  <mergeCells count="1">
    <mergeCell ref="K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18E6-B1EF-4803-BAFD-43AB47E0DAB9}">
  <dimension ref="A1:O22"/>
  <sheetViews>
    <sheetView topLeftCell="A10" workbookViewId="0">
      <selection activeCell="D17" sqref="D17"/>
    </sheetView>
  </sheetViews>
  <sheetFormatPr defaultColWidth="9.5703125" defaultRowHeight="15" x14ac:dyDescent="0.25"/>
  <cols>
    <col min="1" max="1" width="11.7109375" customWidth="1"/>
    <col min="2" max="2" width="16" bestFit="1" customWidth="1"/>
    <col min="3" max="3" width="9" bestFit="1" customWidth="1"/>
    <col min="4" max="4" width="20" customWidth="1"/>
    <col min="5" max="5" width="32.85546875" customWidth="1"/>
    <col min="6" max="7" width="11.28515625" bestFit="1" customWidth="1"/>
    <col min="8" max="8" width="14" customWidth="1"/>
    <col min="9" max="9" width="13.85546875" customWidth="1"/>
    <col min="10" max="10" width="8.5703125" bestFit="1" customWidth="1"/>
    <col min="11" max="12" width="21" customWidth="1"/>
    <col min="14" max="15" width="7" bestFit="1" customWidth="1"/>
  </cols>
  <sheetData>
    <row r="1" spans="1:15" ht="45" customHeight="1" x14ac:dyDescent="0.25">
      <c r="A1" s="74" t="s">
        <v>99</v>
      </c>
      <c r="B1" s="75" t="s">
        <v>100</v>
      </c>
      <c r="C1" s="75" t="s">
        <v>101</v>
      </c>
      <c r="D1" s="75" t="s">
        <v>102</v>
      </c>
      <c r="E1" s="74" t="s">
        <v>227</v>
      </c>
      <c r="F1" s="74" t="s">
        <v>103</v>
      </c>
      <c r="G1" s="74" t="s">
        <v>104</v>
      </c>
      <c r="H1" s="74" t="s">
        <v>105</v>
      </c>
      <c r="I1" s="74" t="s">
        <v>106</v>
      </c>
      <c r="J1" s="74" t="s">
        <v>107</v>
      </c>
      <c r="K1" s="74" t="s">
        <v>108</v>
      </c>
      <c r="L1" s="74" t="s">
        <v>109</v>
      </c>
    </row>
    <row r="2" spans="1:15" ht="19.5" customHeight="1" x14ac:dyDescent="0.25">
      <c r="A2" s="92" t="s">
        <v>27</v>
      </c>
      <c r="B2" s="77" t="s">
        <v>110</v>
      </c>
      <c r="C2" s="78">
        <v>2024</v>
      </c>
      <c r="D2" s="78" t="s">
        <v>111</v>
      </c>
      <c r="E2" s="78" t="s">
        <v>111</v>
      </c>
      <c r="F2" s="79">
        <v>94055</v>
      </c>
      <c r="G2" s="79">
        <v>99564</v>
      </c>
      <c r="H2" s="80">
        <v>5509</v>
      </c>
      <c r="I2" s="80">
        <v>5569.3689999999988</v>
      </c>
      <c r="J2" s="80">
        <v>-60.368999999998778</v>
      </c>
      <c r="K2" s="77" t="s">
        <v>112</v>
      </c>
      <c r="L2" s="77" t="s">
        <v>113</v>
      </c>
      <c r="N2" s="37">
        <v>3811.3610000000044</v>
      </c>
      <c r="O2" s="64">
        <f>+N2-H2</f>
        <v>-1697.6389999999956</v>
      </c>
    </row>
    <row r="3" spans="1:15" ht="19.5" customHeight="1" x14ac:dyDescent="0.25">
      <c r="A3" s="92" t="s">
        <v>23</v>
      </c>
      <c r="B3" s="77" t="s">
        <v>110</v>
      </c>
      <c r="C3" s="78">
        <v>2024</v>
      </c>
      <c r="D3" s="78" t="s">
        <v>111</v>
      </c>
      <c r="E3" s="78" t="s">
        <v>111</v>
      </c>
      <c r="F3" s="79">
        <v>91656</v>
      </c>
      <c r="G3" s="79">
        <v>96572</v>
      </c>
      <c r="H3" s="80">
        <v>4916</v>
      </c>
      <c r="I3" s="80">
        <v>4852.6289999999981</v>
      </c>
      <c r="J3" s="80">
        <v>63.371000000001914</v>
      </c>
      <c r="K3" s="77" t="s">
        <v>112</v>
      </c>
      <c r="L3" s="77" t="s">
        <v>113</v>
      </c>
      <c r="N3" s="37">
        <v>4900</v>
      </c>
      <c r="O3" s="64">
        <f t="shared" ref="O3:O19" si="0">+N3-H3</f>
        <v>-16</v>
      </c>
    </row>
    <row r="4" spans="1:15" ht="19.5" customHeight="1" x14ac:dyDescent="0.25">
      <c r="A4" s="92" t="s">
        <v>31</v>
      </c>
      <c r="B4" s="77" t="s">
        <v>110</v>
      </c>
      <c r="C4" s="78">
        <v>2024</v>
      </c>
      <c r="D4" s="78" t="s">
        <v>111</v>
      </c>
      <c r="E4" s="78" t="s">
        <v>111</v>
      </c>
      <c r="F4" s="79">
        <v>63075</v>
      </c>
      <c r="G4" s="79">
        <v>66139</v>
      </c>
      <c r="H4" s="80">
        <v>3064</v>
      </c>
      <c r="I4" s="80">
        <v>3072.1950000000002</v>
      </c>
      <c r="J4" s="80">
        <v>-8.1950000000001637</v>
      </c>
      <c r="K4" s="77" t="s">
        <v>112</v>
      </c>
      <c r="L4" s="77" t="s">
        <v>113</v>
      </c>
      <c r="N4" s="37">
        <v>2707</v>
      </c>
      <c r="O4" s="64">
        <f t="shared" si="0"/>
        <v>-357</v>
      </c>
    </row>
    <row r="5" spans="1:15" ht="19.5" customHeight="1" x14ac:dyDescent="0.25">
      <c r="A5" s="92" t="s">
        <v>28</v>
      </c>
      <c r="B5" s="77" t="s">
        <v>110</v>
      </c>
      <c r="C5" s="78">
        <v>2024</v>
      </c>
      <c r="D5" s="78" t="s">
        <v>111</v>
      </c>
      <c r="E5" s="78" t="s">
        <v>111</v>
      </c>
      <c r="F5" s="79">
        <v>79569</v>
      </c>
      <c r="G5" s="79">
        <v>84399</v>
      </c>
      <c r="H5" s="80">
        <v>4830</v>
      </c>
      <c r="I5" s="80">
        <v>4845.1710000000012</v>
      </c>
      <c r="J5" s="80">
        <v>-15.171000000001186</v>
      </c>
      <c r="K5" s="77" t="s">
        <v>112</v>
      </c>
      <c r="L5" s="77" t="s">
        <v>113</v>
      </c>
      <c r="N5" s="37">
        <v>4613</v>
      </c>
      <c r="O5" s="64">
        <f t="shared" si="0"/>
        <v>-217</v>
      </c>
    </row>
    <row r="6" spans="1:15" ht="19.5" customHeight="1" x14ac:dyDescent="0.25">
      <c r="A6" s="77" t="s">
        <v>29</v>
      </c>
      <c r="B6" s="77" t="s">
        <v>110</v>
      </c>
      <c r="C6" s="78">
        <v>2024</v>
      </c>
      <c r="D6" s="78" t="s">
        <v>111</v>
      </c>
      <c r="E6" s="78" t="s">
        <v>111</v>
      </c>
      <c r="F6" s="79">
        <v>77315</v>
      </c>
      <c r="G6" s="79">
        <v>81468</v>
      </c>
      <c r="H6" s="80">
        <v>4153</v>
      </c>
      <c r="I6" s="80">
        <v>4118.893</v>
      </c>
      <c r="J6" s="80">
        <v>34.106999999999971</v>
      </c>
      <c r="K6" s="77" t="s">
        <v>112</v>
      </c>
      <c r="L6" s="77" t="s">
        <v>113</v>
      </c>
      <c r="N6" s="37">
        <v>4053</v>
      </c>
      <c r="O6" s="64">
        <f t="shared" si="0"/>
        <v>-100</v>
      </c>
    </row>
    <row r="7" spans="1:15" ht="19.5" customHeight="1" x14ac:dyDescent="0.25">
      <c r="A7" s="77" t="s">
        <v>32</v>
      </c>
      <c r="B7" s="77" t="s">
        <v>110</v>
      </c>
      <c r="C7" s="78">
        <v>2024</v>
      </c>
      <c r="D7" s="78" t="s">
        <v>111</v>
      </c>
      <c r="E7" s="78" t="s">
        <v>111</v>
      </c>
      <c r="F7" s="79">
        <v>73268.33</v>
      </c>
      <c r="G7" s="79">
        <v>73925</v>
      </c>
      <c r="H7" s="80">
        <v>656.66999999999825</v>
      </c>
      <c r="I7" s="80">
        <v>633.89699999999993</v>
      </c>
      <c r="J7" s="80">
        <v>22.772999999998319</v>
      </c>
      <c r="K7" s="77" t="s">
        <v>112</v>
      </c>
      <c r="L7" s="77" t="s">
        <v>113</v>
      </c>
      <c r="N7" s="37">
        <v>1379.3300000000017</v>
      </c>
      <c r="O7" s="64">
        <f t="shared" si="0"/>
        <v>722.66000000000349</v>
      </c>
    </row>
    <row r="8" spans="1:15" ht="19.5" customHeight="1" x14ac:dyDescent="0.25">
      <c r="A8" s="92" t="s">
        <v>26</v>
      </c>
      <c r="B8" s="77" t="s">
        <v>110</v>
      </c>
      <c r="C8" s="78">
        <v>2024</v>
      </c>
      <c r="D8" s="78" t="s">
        <v>111</v>
      </c>
      <c r="E8" s="78" t="s">
        <v>111</v>
      </c>
      <c r="F8" s="79">
        <v>87190</v>
      </c>
      <c r="G8" s="79">
        <v>91704</v>
      </c>
      <c r="H8" s="80">
        <v>4514</v>
      </c>
      <c r="I8" s="80">
        <v>4519.982</v>
      </c>
      <c r="J8" s="80">
        <v>-5.9819999999990614</v>
      </c>
      <c r="K8" s="77" t="s">
        <v>112</v>
      </c>
      <c r="L8" s="77" t="s">
        <v>113</v>
      </c>
      <c r="N8" s="37">
        <v>3586</v>
      </c>
      <c r="O8" s="64">
        <f t="shared" si="0"/>
        <v>-928</v>
      </c>
    </row>
    <row r="9" spans="1:15" ht="19.5" customHeight="1" x14ac:dyDescent="0.25">
      <c r="A9" s="77" t="s">
        <v>25</v>
      </c>
      <c r="B9" s="77" t="s">
        <v>110</v>
      </c>
      <c r="C9" s="78">
        <v>2024</v>
      </c>
      <c r="D9" s="78" t="s">
        <v>111</v>
      </c>
      <c r="E9" s="78" t="s">
        <v>111</v>
      </c>
      <c r="F9" s="79">
        <v>75339</v>
      </c>
      <c r="G9" s="79">
        <v>78736</v>
      </c>
      <c r="H9" s="80">
        <v>3397</v>
      </c>
      <c r="I9" s="80">
        <v>3374.6889999999999</v>
      </c>
      <c r="J9" s="80">
        <v>22.311000000000149</v>
      </c>
      <c r="K9" s="77" t="s">
        <v>112</v>
      </c>
      <c r="L9" s="77" t="s">
        <v>113</v>
      </c>
      <c r="N9" s="37">
        <v>4835</v>
      </c>
      <c r="O9" s="64">
        <f t="shared" si="0"/>
        <v>1438</v>
      </c>
    </row>
    <row r="10" spans="1:15" ht="19.5" customHeight="1" x14ac:dyDescent="0.25">
      <c r="A10" s="77" t="s">
        <v>61</v>
      </c>
      <c r="B10" s="77" t="s">
        <v>110</v>
      </c>
      <c r="C10" s="78">
        <v>2024</v>
      </c>
      <c r="D10" s="78" t="s">
        <v>111</v>
      </c>
      <c r="E10" s="78" t="s">
        <v>111</v>
      </c>
      <c r="F10" s="79">
        <v>61633</v>
      </c>
      <c r="G10" s="79">
        <v>64861</v>
      </c>
      <c r="H10" s="80">
        <v>3228</v>
      </c>
      <c r="I10" s="80">
        <v>3217.6680000000006</v>
      </c>
      <c r="J10" s="80">
        <v>10.331999999999425</v>
      </c>
      <c r="K10" s="77" t="s">
        <v>112</v>
      </c>
      <c r="L10" s="77" t="s">
        <v>113</v>
      </c>
      <c r="N10" s="37">
        <v>3742</v>
      </c>
      <c r="O10" s="64">
        <f t="shared" si="0"/>
        <v>514</v>
      </c>
    </row>
    <row r="11" spans="1:15" ht="19.5" customHeight="1" x14ac:dyDescent="0.25">
      <c r="A11" s="77" t="s">
        <v>30</v>
      </c>
      <c r="B11" s="77" t="s">
        <v>110</v>
      </c>
      <c r="C11" s="78">
        <v>2024</v>
      </c>
      <c r="D11" s="78" t="s">
        <v>111</v>
      </c>
      <c r="E11" s="78" t="s">
        <v>111</v>
      </c>
      <c r="F11" s="79">
        <v>75088</v>
      </c>
      <c r="G11" s="79">
        <v>78305</v>
      </c>
      <c r="H11" s="80">
        <v>3217</v>
      </c>
      <c r="I11" s="80">
        <v>3224.9760000000001</v>
      </c>
      <c r="J11" s="80">
        <v>-7.9760000000001128</v>
      </c>
      <c r="K11" s="77" t="s">
        <v>112</v>
      </c>
      <c r="L11" s="77" t="s">
        <v>113</v>
      </c>
      <c r="N11" s="37">
        <v>4455</v>
      </c>
      <c r="O11" s="64">
        <f t="shared" si="0"/>
        <v>1238</v>
      </c>
    </row>
    <row r="12" spans="1:15" ht="19.5" customHeight="1" x14ac:dyDescent="0.25">
      <c r="A12" s="89" t="s">
        <v>33</v>
      </c>
      <c r="B12" s="90" t="s">
        <v>110</v>
      </c>
      <c r="C12" s="91">
        <v>2025</v>
      </c>
      <c r="D12" s="91" t="s">
        <v>111</v>
      </c>
      <c r="E12" s="91" t="s">
        <v>111</v>
      </c>
      <c r="F12" s="79">
        <v>69560</v>
      </c>
      <c r="G12" s="79">
        <v>74678</v>
      </c>
      <c r="H12" s="80">
        <v>5118</v>
      </c>
      <c r="I12" s="80">
        <v>5188.75</v>
      </c>
      <c r="J12" s="80">
        <v>-70.75</v>
      </c>
      <c r="K12" s="77" t="s">
        <v>112</v>
      </c>
      <c r="L12" s="77" t="s">
        <v>113</v>
      </c>
      <c r="N12" s="37">
        <v>4471.4890000000014</v>
      </c>
      <c r="O12" s="64">
        <f t="shared" si="0"/>
        <v>-646.5109999999986</v>
      </c>
    </row>
    <row r="13" spans="1:15" ht="19.5" customHeight="1" x14ac:dyDescent="0.25">
      <c r="A13" s="89" t="s">
        <v>35</v>
      </c>
      <c r="B13" s="90" t="s">
        <v>110</v>
      </c>
      <c r="C13" s="91">
        <v>2025</v>
      </c>
      <c r="D13" s="91" t="s">
        <v>111</v>
      </c>
      <c r="E13" s="91" t="s">
        <v>111</v>
      </c>
      <c r="F13" s="79">
        <v>67716</v>
      </c>
      <c r="G13" s="79">
        <v>72407</v>
      </c>
      <c r="H13" s="80">
        <v>4691</v>
      </c>
      <c r="I13" s="80">
        <v>4598.4139999999998</v>
      </c>
      <c r="J13" s="80">
        <v>92.58600000000024</v>
      </c>
      <c r="K13" s="77" t="s">
        <v>112</v>
      </c>
      <c r="L13" s="77" t="s">
        <v>113</v>
      </c>
      <c r="N13" s="37">
        <v>5140</v>
      </c>
      <c r="O13" s="64">
        <f t="shared" si="0"/>
        <v>449</v>
      </c>
    </row>
    <row r="14" spans="1:15" ht="19.5" customHeight="1" x14ac:dyDescent="0.25">
      <c r="A14" s="89" t="s">
        <v>34</v>
      </c>
      <c r="B14" s="90" t="s">
        <v>110</v>
      </c>
      <c r="C14" s="91">
        <v>2025</v>
      </c>
      <c r="D14" s="91" t="s">
        <v>111</v>
      </c>
      <c r="E14" s="91" t="s">
        <v>111</v>
      </c>
      <c r="F14" s="79">
        <v>59336</v>
      </c>
      <c r="G14" s="79">
        <v>64402</v>
      </c>
      <c r="H14" s="80">
        <v>5066</v>
      </c>
      <c r="I14" s="80">
        <v>5118.492000000002</v>
      </c>
      <c r="J14" s="80">
        <v>-52.492000000002008</v>
      </c>
      <c r="K14" s="77" t="s">
        <v>112</v>
      </c>
      <c r="L14" s="77" t="s">
        <v>113</v>
      </c>
      <c r="N14" s="37">
        <v>3848</v>
      </c>
      <c r="O14" s="64">
        <f t="shared" si="0"/>
        <v>-1218</v>
      </c>
    </row>
    <row r="15" spans="1:15" ht="19.5" customHeight="1" x14ac:dyDescent="0.25">
      <c r="A15" s="77" t="s">
        <v>36</v>
      </c>
      <c r="B15" s="77" t="s">
        <v>110</v>
      </c>
      <c r="C15" s="78">
        <v>2025</v>
      </c>
      <c r="D15" s="78" t="s">
        <v>111</v>
      </c>
      <c r="E15" s="78" t="s">
        <v>111</v>
      </c>
      <c r="F15" s="79">
        <v>67005</v>
      </c>
      <c r="G15" s="79">
        <v>71522</v>
      </c>
      <c r="H15" s="80">
        <v>4517</v>
      </c>
      <c r="I15" s="80">
        <v>4594.9430000000002</v>
      </c>
      <c r="J15" s="80">
        <v>-77.943000000000211</v>
      </c>
      <c r="K15" s="77" t="s">
        <v>112</v>
      </c>
      <c r="L15" s="77" t="s">
        <v>113</v>
      </c>
      <c r="N15" s="37">
        <v>5333</v>
      </c>
      <c r="O15" s="64">
        <f t="shared" si="0"/>
        <v>816</v>
      </c>
    </row>
    <row r="16" spans="1:15" ht="19.5" customHeight="1" x14ac:dyDescent="0.25">
      <c r="A16" s="77" t="s">
        <v>37</v>
      </c>
      <c r="B16" s="77" t="s">
        <v>110</v>
      </c>
      <c r="C16" s="78">
        <v>2025</v>
      </c>
      <c r="D16" s="78" t="s">
        <v>111</v>
      </c>
      <c r="E16" s="78" t="s">
        <v>111</v>
      </c>
      <c r="F16" s="79">
        <v>63111</v>
      </c>
      <c r="G16" s="79">
        <v>66132</v>
      </c>
      <c r="H16" s="80">
        <v>3021</v>
      </c>
      <c r="I16" s="80">
        <v>3045.982</v>
      </c>
      <c r="J16" s="80">
        <v>-24.981999999999971</v>
      </c>
      <c r="K16" s="77" t="s">
        <v>112</v>
      </c>
      <c r="L16" s="77" t="s">
        <v>113</v>
      </c>
      <c r="N16" s="37">
        <v>5358</v>
      </c>
      <c r="O16" s="64">
        <f t="shared" si="0"/>
        <v>2337</v>
      </c>
    </row>
    <row r="17" spans="1:15" ht="19.5" customHeight="1" x14ac:dyDescent="0.25">
      <c r="A17" s="92" t="s">
        <v>20</v>
      </c>
      <c r="B17" s="77" t="s">
        <v>114</v>
      </c>
      <c r="C17" s="78">
        <v>2024</v>
      </c>
      <c r="D17" s="78" t="s">
        <v>111</v>
      </c>
      <c r="E17" s="78" t="s">
        <v>111</v>
      </c>
      <c r="F17" s="79">
        <v>117400.05</v>
      </c>
      <c r="G17" s="79">
        <v>120465</v>
      </c>
      <c r="H17" s="80">
        <v>3064.9499999999971</v>
      </c>
      <c r="I17" s="80">
        <v>2901.9480000000003</v>
      </c>
      <c r="J17" s="80">
        <v>163.00199999999677</v>
      </c>
      <c r="K17" s="77" t="s">
        <v>112</v>
      </c>
      <c r="L17" s="77" t="s">
        <v>113</v>
      </c>
      <c r="N17" s="37">
        <v>3093.0500000000029</v>
      </c>
      <c r="O17" s="64">
        <f t="shared" si="0"/>
        <v>28.100000000005821</v>
      </c>
    </row>
    <row r="18" spans="1:15" ht="19.5" customHeight="1" x14ac:dyDescent="0.25">
      <c r="A18" s="92" t="s">
        <v>22</v>
      </c>
      <c r="B18" s="77" t="s">
        <v>114</v>
      </c>
      <c r="C18" s="78">
        <v>2024</v>
      </c>
      <c r="D18" s="78" t="s">
        <v>111</v>
      </c>
      <c r="E18" s="78" t="s">
        <v>111</v>
      </c>
      <c r="F18" s="79">
        <v>112162</v>
      </c>
      <c r="G18" s="79">
        <v>114615</v>
      </c>
      <c r="H18" s="80">
        <v>2453</v>
      </c>
      <c r="I18" s="80">
        <v>2978.9919999999997</v>
      </c>
      <c r="J18" s="80">
        <v>-525.99199999999973</v>
      </c>
      <c r="K18" s="77" t="s">
        <v>112</v>
      </c>
      <c r="L18" s="77" t="s">
        <v>113</v>
      </c>
      <c r="N18" s="37">
        <v>3046</v>
      </c>
      <c r="O18" s="64">
        <f t="shared" si="0"/>
        <v>593</v>
      </c>
    </row>
    <row r="19" spans="1:15" ht="19.5" customHeight="1" x14ac:dyDescent="0.25">
      <c r="A19" s="77" t="s">
        <v>38</v>
      </c>
      <c r="B19" s="77" t="s">
        <v>114</v>
      </c>
      <c r="C19" s="78">
        <v>2024</v>
      </c>
      <c r="D19" s="78" t="s">
        <v>111</v>
      </c>
      <c r="E19" s="78" t="s">
        <v>111</v>
      </c>
      <c r="F19" s="79">
        <v>100650</v>
      </c>
      <c r="G19" s="79">
        <v>102137</v>
      </c>
      <c r="H19" s="80">
        <v>1487</v>
      </c>
      <c r="I19" s="80">
        <v>1499.2250000000004</v>
      </c>
      <c r="J19" s="80">
        <v>-12.225000000000364</v>
      </c>
      <c r="K19" s="77" t="s">
        <v>112</v>
      </c>
      <c r="L19" s="77" t="s">
        <v>113</v>
      </c>
      <c r="N19" s="37">
        <v>3479</v>
      </c>
      <c r="O19" s="64">
        <f t="shared" si="0"/>
        <v>1992</v>
      </c>
    </row>
    <row r="20" spans="1:15" ht="19.5" customHeight="1" x14ac:dyDescent="0.25">
      <c r="A20" s="77" t="s">
        <v>179</v>
      </c>
      <c r="B20" s="77" t="s">
        <v>229</v>
      </c>
      <c r="C20" s="78">
        <v>2019</v>
      </c>
      <c r="D20" s="78" t="s">
        <v>111</v>
      </c>
      <c r="E20" s="78" t="s">
        <v>111</v>
      </c>
      <c r="F20" s="79">
        <v>556326.43000000005</v>
      </c>
      <c r="G20" s="79">
        <v>558145</v>
      </c>
      <c r="H20" s="80">
        <v>1818.5699999999488</v>
      </c>
      <c r="I20" s="80">
        <v>1351.7080000000001</v>
      </c>
      <c r="J20" s="80">
        <v>466.86199999994869</v>
      </c>
      <c r="K20" s="77" t="s">
        <v>112</v>
      </c>
      <c r="L20" s="77" t="s">
        <v>113</v>
      </c>
    </row>
    <row r="21" spans="1:15" ht="19.5" customHeight="1" x14ac:dyDescent="0.25">
      <c r="A21" s="77" t="s">
        <v>178</v>
      </c>
      <c r="B21" s="77" t="s">
        <v>229</v>
      </c>
      <c r="C21" s="78">
        <v>2019</v>
      </c>
      <c r="D21" s="78" t="s">
        <v>111</v>
      </c>
      <c r="E21" s="78" t="s">
        <v>111</v>
      </c>
      <c r="F21" s="79">
        <v>554952.86</v>
      </c>
      <c r="G21" s="79">
        <v>557385</v>
      </c>
      <c r="H21" s="80">
        <v>2432.140000000014</v>
      </c>
      <c r="I21" s="80">
        <v>2080.6029999999996</v>
      </c>
      <c r="J21" s="80">
        <v>351.53700000001436</v>
      </c>
      <c r="K21" s="77" t="s">
        <v>112</v>
      </c>
      <c r="L21" s="77" t="s">
        <v>113</v>
      </c>
    </row>
    <row r="22" spans="1:15" ht="19.5" customHeight="1" x14ac:dyDescent="0.25">
      <c r="A22" s="77" t="s">
        <v>177</v>
      </c>
      <c r="B22" s="77" t="s">
        <v>229</v>
      </c>
      <c r="C22" s="78">
        <v>2019</v>
      </c>
      <c r="D22" s="78" t="s">
        <v>111</v>
      </c>
      <c r="E22" s="78" t="s">
        <v>111</v>
      </c>
      <c r="F22" s="79">
        <v>540228.63</v>
      </c>
      <c r="G22" s="79">
        <v>543067</v>
      </c>
      <c r="H22" s="80">
        <v>2838.3699999999953</v>
      </c>
      <c r="I22" s="80">
        <v>2767.6710000000003</v>
      </c>
      <c r="J22" s="80">
        <v>70.698999999995067</v>
      </c>
      <c r="K22" s="77" t="s">
        <v>112</v>
      </c>
      <c r="L22" s="77" t="s">
        <v>113</v>
      </c>
    </row>
  </sheetData>
  <conditionalFormatting sqref="A1:A22">
    <cfRule type="duplicateValues" dxfId="6" priority="2"/>
  </conditionalFormatting>
  <conditionalFormatting sqref="K1:K22">
    <cfRule type="duplicateValues" dxfId="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689-6C97-48BF-907D-B3EA3474FECE}">
  <dimension ref="A1:G17"/>
  <sheetViews>
    <sheetView workbookViewId="0">
      <selection activeCell="F2" sqref="F2"/>
    </sheetView>
  </sheetViews>
  <sheetFormatPr defaultRowHeight="15" x14ac:dyDescent="0.25"/>
  <cols>
    <col min="1" max="1" width="15" customWidth="1"/>
    <col min="4" max="4" width="14.85546875" customWidth="1"/>
    <col min="5" max="5" width="17.5703125" customWidth="1"/>
  </cols>
  <sheetData>
    <row r="1" spans="1:7" ht="63" x14ac:dyDescent="0.25">
      <c r="A1" s="22" t="s">
        <v>87</v>
      </c>
      <c r="B1" s="22" t="s">
        <v>88</v>
      </c>
      <c r="C1" s="23" t="s">
        <v>89</v>
      </c>
      <c r="D1" s="23" t="s">
        <v>90</v>
      </c>
      <c r="E1" s="23" t="s">
        <v>91</v>
      </c>
      <c r="F1" s="23" t="s">
        <v>92</v>
      </c>
    </row>
    <row r="2" spans="1:7" ht="15.75" x14ac:dyDescent="0.25">
      <c r="A2" s="24" t="s">
        <v>58</v>
      </c>
      <c r="B2" s="25" t="s">
        <v>21</v>
      </c>
      <c r="C2" s="24">
        <v>9.5</v>
      </c>
      <c r="D2" s="26">
        <v>135000</v>
      </c>
      <c r="E2" s="27">
        <v>10000</v>
      </c>
      <c r="F2" s="26">
        <f>C2*D2/E2</f>
        <v>128.25</v>
      </c>
    </row>
    <row r="3" spans="1:7" ht="15.75" x14ac:dyDescent="0.25">
      <c r="A3" s="24" t="s">
        <v>58</v>
      </c>
      <c r="B3" s="25" t="s">
        <v>93</v>
      </c>
      <c r="C3" s="24">
        <v>7.5</v>
      </c>
      <c r="D3" s="26">
        <v>135000</v>
      </c>
      <c r="E3" s="27">
        <v>10000</v>
      </c>
      <c r="F3" s="26">
        <f>C3*D3/E3</f>
        <v>101.25</v>
      </c>
    </row>
    <row r="4" spans="1:7" ht="15.75" x14ac:dyDescent="0.25">
      <c r="A4" s="24" t="s">
        <v>58</v>
      </c>
      <c r="B4" s="25" t="s">
        <v>94</v>
      </c>
      <c r="C4" s="24">
        <v>4</v>
      </c>
      <c r="D4" s="26">
        <v>140000</v>
      </c>
      <c r="E4" s="27">
        <v>10000</v>
      </c>
      <c r="F4" s="26">
        <f>C4*D4/E4</f>
        <v>56</v>
      </c>
    </row>
    <row r="5" spans="1:7" ht="15.75" x14ac:dyDescent="0.25">
      <c r="A5" s="24" t="s">
        <v>58</v>
      </c>
      <c r="B5" s="25" t="s">
        <v>24</v>
      </c>
      <c r="C5" s="24">
        <v>0</v>
      </c>
      <c r="D5" s="26"/>
      <c r="E5" s="27"/>
      <c r="F5" s="26"/>
    </row>
    <row r="6" spans="1:7" ht="15.75" x14ac:dyDescent="0.25">
      <c r="A6" s="24" t="s">
        <v>60</v>
      </c>
      <c r="B6" s="25" t="s">
        <v>21</v>
      </c>
      <c r="C6" s="24">
        <v>4</v>
      </c>
      <c r="D6" s="26">
        <v>2635000</v>
      </c>
      <c r="E6" s="27">
        <v>100000</v>
      </c>
      <c r="F6" s="26">
        <f t="shared" ref="F6:F13" si="0">C6*D6/E6</f>
        <v>105.4</v>
      </c>
      <c r="G6" t="s">
        <v>95</v>
      </c>
    </row>
    <row r="7" spans="1:7" ht="15.75" x14ac:dyDescent="0.25">
      <c r="A7" s="24" t="s">
        <v>60</v>
      </c>
      <c r="B7" s="25" t="s">
        <v>93</v>
      </c>
      <c r="C7" s="24">
        <v>4</v>
      </c>
      <c r="D7" s="26">
        <v>2635000</v>
      </c>
      <c r="E7" s="27">
        <v>100000</v>
      </c>
      <c r="F7" s="26">
        <f t="shared" si="0"/>
        <v>105.4</v>
      </c>
      <c r="G7" t="s">
        <v>96</v>
      </c>
    </row>
    <row r="8" spans="1:7" ht="15.75" x14ac:dyDescent="0.25">
      <c r="A8" s="24" t="s">
        <v>60</v>
      </c>
      <c r="B8" s="25" t="s">
        <v>94</v>
      </c>
      <c r="C8" s="24">
        <v>4</v>
      </c>
      <c r="D8" s="26">
        <v>1360000</v>
      </c>
      <c r="E8" s="27">
        <v>80000</v>
      </c>
      <c r="F8" s="26">
        <f t="shared" si="0"/>
        <v>68</v>
      </c>
    </row>
    <row r="9" spans="1:7" ht="15.75" x14ac:dyDescent="0.25">
      <c r="A9" s="24" t="s">
        <v>60</v>
      </c>
      <c r="B9" s="25" t="s">
        <v>24</v>
      </c>
      <c r="C9" s="24">
        <v>4</v>
      </c>
      <c r="D9" s="26">
        <v>3600000</v>
      </c>
      <c r="E9" s="27">
        <v>80000</v>
      </c>
      <c r="F9" s="26">
        <f t="shared" si="0"/>
        <v>180</v>
      </c>
    </row>
    <row r="10" spans="1:7" ht="15.75" x14ac:dyDescent="0.25">
      <c r="A10" s="24" t="s">
        <v>62</v>
      </c>
      <c r="B10" s="25" t="s">
        <v>21</v>
      </c>
      <c r="C10" s="24">
        <v>1</v>
      </c>
      <c r="D10" s="26">
        <v>1850000</v>
      </c>
      <c r="E10" s="27">
        <v>100000</v>
      </c>
      <c r="F10" s="26">
        <f t="shared" si="0"/>
        <v>18.5</v>
      </c>
    </row>
    <row r="11" spans="1:7" ht="15.75" x14ac:dyDescent="0.25">
      <c r="A11" s="24" t="s">
        <v>62</v>
      </c>
      <c r="B11" s="25" t="s">
        <v>93</v>
      </c>
      <c r="C11" s="24">
        <v>1</v>
      </c>
      <c r="D11" s="26">
        <v>2950000</v>
      </c>
      <c r="E11" s="27">
        <v>100000</v>
      </c>
      <c r="F11" s="26">
        <f t="shared" si="0"/>
        <v>29.5</v>
      </c>
    </row>
    <row r="12" spans="1:7" ht="15.75" x14ac:dyDescent="0.25">
      <c r="A12" s="24" t="s">
        <v>62</v>
      </c>
      <c r="B12" s="25" t="s">
        <v>94</v>
      </c>
      <c r="C12" s="24">
        <v>1</v>
      </c>
      <c r="D12" s="26">
        <v>1650000</v>
      </c>
      <c r="E12" s="27">
        <v>100000</v>
      </c>
      <c r="F12" s="26">
        <f t="shared" si="0"/>
        <v>16.5</v>
      </c>
    </row>
    <row r="13" spans="1:7" ht="15.75" x14ac:dyDescent="0.25">
      <c r="A13" s="24" t="s">
        <v>62</v>
      </c>
      <c r="B13" s="25" t="s">
        <v>24</v>
      </c>
      <c r="C13" s="24">
        <v>1</v>
      </c>
      <c r="D13" s="26">
        <v>1850000</v>
      </c>
      <c r="E13" s="27">
        <v>100000</v>
      </c>
      <c r="F13" s="26">
        <f t="shared" si="0"/>
        <v>18.5</v>
      </c>
    </row>
    <row r="14" spans="1:7" ht="15.75" x14ac:dyDescent="0.25">
      <c r="A14" s="24" t="s">
        <v>63</v>
      </c>
      <c r="B14" s="25" t="s">
        <v>21</v>
      </c>
      <c r="C14" s="28">
        <v>0.1</v>
      </c>
      <c r="D14" s="29">
        <v>12930133.3333333</v>
      </c>
      <c r="E14" s="27">
        <v>5000</v>
      </c>
      <c r="F14" s="26">
        <f>D14*C14/E14</f>
        <v>258.60266666666604</v>
      </c>
    </row>
    <row r="15" spans="1:7" ht="15.75" x14ac:dyDescent="0.25">
      <c r="A15" s="24" t="s">
        <v>63</v>
      </c>
      <c r="B15" s="25" t="s">
        <v>93</v>
      </c>
      <c r="C15" s="28">
        <v>0.1</v>
      </c>
      <c r="D15" s="29">
        <v>12930133.3333333</v>
      </c>
      <c r="E15" s="27">
        <v>5000</v>
      </c>
      <c r="F15" s="26">
        <f>D15*C15/E15</f>
        <v>258.60266666666604</v>
      </c>
    </row>
    <row r="16" spans="1:7" ht="15.75" x14ac:dyDescent="0.25">
      <c r="A16" s="24" t="s">
        <v>63</v>
      </c>
      <c r="B16" s="25" t="s">
        <v>94</v>
      </c>
      <c r="C16" s="28">
        <v>0.08</v>
      </c>
      <c r="D16" s="29">
        <v>12930133.3333333</v>
      </c>
      <c r="E16" s="27">
        <v>5000</v>
      </c>
      <c r="F16" s="26">
        <f>D16*C16/E16</f>
        <v>206.8821333333328</v>
      </c>
    </row>
    <row r="17" spans="1:6" ht="15.75" x14ac:dyDescent="0.25">
      <c r="A17" s="24" t="s">
        <v>63</v>
      </c>
      <c r="B17" s="25" t="s">
        <v>24</v>
      </c>
      <c r="C17" s="28">
        <v>0.05</v>
      </c>
      <c r="D17" s="29">
        <v>11590909.083333334</v>
      </c>
      <c r="E17" s="27">
        <v>5000</v>
      </c>
      <c r="F17" s="26">
        <f>D17*C17/E17</f>
        <v>115.90909083333334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23E3-EE83-426B-A5D6-A6CFDBF0E8B3}">
  <dimension ref="A1:S23"/>
  <sheetViews>
    <sheetView topLeftCell="A4" workbookViewId="0">
      <selection activeCell="O25" sqref="O25"/>
    </sheetView>
  </sheetViews>
  <sheetFormatPr defaultRowHeight="15" x14ac:dyDescent="0.25"/>
  <cols>
    <col min="2" max="2" width="19.85546875" customWidth="1"/>
    <col min="5" max="6" width="0" hidden="1" customWidth="1"/>
    <col min="7" max="7" width="15.140625" hidden="1" customWidth="1"/>
    <col min="8" max="8" width="0" hidden="1" customWidth="1"/>
    <col min="10" max="10" width="22.42578125" customWidth="1"/>
    <col min="11" max="13" width="0" hidden="1" customWidth="1"/>
    <col min="14" max="14" width="10.140625" hidden="1" customWidth="1"/>
    <col min="17" max="17" width="11.5703125" customWidth="1"/>
  </cols>
  <sheetData>
    <row r="1" spans="1:19" ht="57" x14ac:dyDescent="0.25">
      <c r="A1" s="38" t="s">
        <v>0</v>
      </c>
      <c r="B1" s="39" t="s">
        <v>115</v>
      </c>
      <c r="C1" s="39" t="s">
        <v>116</v>
      </c>
      <c r="D1" s="39" t="s">
        <v>117</v>
      </c>
      <c r="E1" s="40" t="s">
        <v>156</v>
      </c>
      <c r="F1" s="40" t="s">
        <v>157</v>
      </c>
      <c r="G1" s="40" t="s">
        <v>118</v>
      </c>
      <c r="H1" s="40" t="s">
        <v>158</v>
      </c>
      <c r="I1" s="41" t="s">
        <v>119</v>
      </c>
      <c r="J1" s="39" t="s">
        <v>120</v>
      </c>
      <c r="K1" s="42" t="s">
        <v>121</v>
      </c>
      <c r="L1" s="40" t="s">
        <v>122</v>
      </c>
      <c r="M1" s="43" t="s">
        <v>123</v>
      </c>
      <c r="N1" s="43" t="s">
        <v>124</v>
      </c>
      <c r="O1" s="44" t="s">
        <v>125</v>
      </c>
      <c r="P1" s="45" t="s">
        <v>126</v>
      </c>
      <c r="Q1" s="44" t="s">
        <v>127</v>
      </c>
      <c r="R1" s="40" t="s">
        <v>128</v>
      </c>
      <c r="S1" s="39" t="s">
        <v>129</v>
      </c>
    </row>
    <row r="2" spans="1:19" ht="15.75" x14ac:dyDescent="0.25">
      <c r="A2" s="46">
        <v>1038</v>
      </c>
      <c r="B2" s="47">
        <v>46152</v>
      </c>
      <c r="C2" s="48">
        <v>5</v>
      </c>
      <c r="D2" s="48">
        <v>2026</v>
      </c>
      <c r="E2" s="48"/>
      <c r="F2" s="48" t="s">
        <v>195</v>
      </c>
      <c r="G2" s="48" t="s">
        <v>196</v>
      </c>
      <c r="H2" s="49" t="s">
        <v>159</v>
      </c>
      <c r="I2" s="50" t="s">
        <v>141</v>
      </c>
      <c r="J2" s="48" t="s">
        <v>142</v>
      </c>
      <c r="K2" s="48" t="s">
        <v>197</v>
      </c>
      <c r="L2" s="51"/>
      <c r="M2" s="52"/>
      <c r="N2" s="52">
        <v>0</v>
      </c>
      <c r="O2" s="53">
        <v>9</v>
      </c>
      <c r="P2" s="54">
        <v>25920</v>
      </c>
      <c r="Q2" s="55">
        <v>233280</v>
      </c>
      <c r="R2" s="48" t="s">
        <v>160</v>
      </c>
      <c r="S2" s="48" t="s">
        <v>132</v>
      </c>
    </row>
    <row r="3" spans="1:19" ht="15.75" x14ac:dyDescent="0.25">
      <c r="A3" s="56">
        <v>1040</v>
      </c>
      <c r="B3" s="57">
        <v>46152</v>
      </c>
      <c r="C3" s="58">
        <v>5</v>
      </c>
      <c r="D3" s="58">
        <v>2026</v>
      </c>
      <c r="E3" s="58"/>
      <c r="F3" s="58" t="s">
        <v>195</v>
      </c>
      <c r="G3" s="58" t="s">
        <v>198</v>
      </c>
      <c r="H3" s="59" t="s">
        <v>159</v>
      </c>
      <c r="I3" s="71" t="s">
        <v>151</v>
      </c>
      <c r="J3" s="58" t="s">
        <v>152</v>
      </c>
      <c r="K3" s="58" t="s">
        <v>199</v>
      </c>
      <c r="L3" s="51"/>
      <c r="M3" s="52"/>
      <c r="N3" s="52">
        <v>0</v>
      </c>
      <c r="O3" s="53">
        <v>3</v>
      </c>
      <c r="P3" s="54">
        <v>75000</v>
      </c>
      <c r="Q3" s="55">
        <v>225000</v>
      </c>
      <c r="R3" s="58" t="s">
        <v>160</v>
      </c>
      <c r="S3" s="58" t="s">
        <v>132</v>
      </c>
    </row>
    <row r="4" spans="1:19" ht="15.75" x14ac:dyDescent="0.25">
      <c r="A4" s="46">
        <v>1041</v>
      </c>
      <c r="B4" s="47">
        <v>46152</v>
      </c>
      <c r="C4" s="48">
        <v>5</v>
      </c>
      <c r="D4" s="48">
        <v>2026</v>
      </c>
      <c r="E4" s="48"/>
      <c r="F4" s="48" t="s">
        <v>195</v>
      </c>
      <c r="G4" s="48" t="s">
        <v>200</v>
      </c>
      <c r="H4" s="49" t="s">
        <v>159</v>
      </c>
      <c r="I4" s="72" t="s">
        <v>161</v>
      </c>
      <c r="J4" s="48" t="s">
        <v>162</v>
      </c>
      <c r="K4" s="48" t="s">
        <v>201</v>
      </c>
      <c r="L4" s="51"/>
      <c r="M4" s="52"/>
      <c r="N4" s="52">
        <v>0</v>
      </c>
      <c r="O4" s="53">
        <v>1</v>
      </c>
      <c r="P4" s="54">
        <v>28000</v>
      </c>
      <c r="Q4" s="55">
        <v>28000</v>
      </c>
      <c r="R4" s="48" t="s">
        <v>160</v>
      </c>
      <c r="S4" s="48" t="s">
        <v>132</v>
      </c>
    </row>
    <row r="5" spans="1:19" ht="15.75" x14ac:dyDescent="0.25">
      <c r="A5" s="56">
        <v>998</v>
      </c>
      <c r="B5" s="57">
        <v>46152</v>
      </c>
      <c r="C5" s="58">
        <v>5</v>
      </c>
      <c r="D5" s="58">
        <v>2026</v>
      </c>
      <c r="E5" s="58"/>
      <c r="F5" s="58" t="s">
        <v>195</v>
      </c>
      <c r="G5" s="58" t="s">
        <v>202</v>
      </c>
      <c r="H5" s="59" t="s">
        <v>159</v>
      </c>
      <c r="I5" s="71" t="s">
        <v>147</v>
      </c>
      <c r="J5" s="58" t="s">
        <v>148</v>
      </c>
      <c r="K5" s="58" t="s">
        <v>201</v>
      </c>
      <c r="L5" s="51"/>
      <c r="M5" s="52"/>
      <c r="N5" s="52">
        <v>0</v>
      </c>
      <c r="O5" s="53">
        <v>2</v>
      </c>
      <c r="P5" s="54">
        <v>78000</v>
      </c>
      <c r="Q5" s="55">
        <v>156000</v>
      </c>
      <c r="R5" s="58" t="s">
        <v>160</v>
      </c>
      <c r="S5" s="58" t="s">
        <v>132</v>
      </c>
    </row>
    <row r="6" spans="1:19" ht="15.75" x14ac:dyDescent="0.25">
      <c r="A6" s="46">
        <v>1042</v>
      </c>
      <c r="B6" s="47">
        <v>46152</v>
      </c>
      <c r="C6" s="48">
        <v>5</v>
      </c>
      <c r="D6" s="48">
        <v>2026</v>
      </c>
      <c r="E6" s="48"/>
      <c r="F6" s="48" t="s">
        <v>195</v>
      </c>
      <c r="G6" s="48" t="s">
        <v>203</v>
      </c>
      <c r="H6" s="49" t="s">
        <v>159</v>
      </c>
      <c r="I6" s="72" t="s">
        <v>163</v>
      </c>
      <c r="J6" s="48" t="s">
        <v>164</v>
      </c>
      <c r="K6" s="48" t="s">
        <v>204</v>
      </c>
      <c r="L6" s="51"/>
      <c r="M6" s="52"/>
      <c r="N6" s="52">
        <v>0</v>
      </c>
      <c r="O6" s="53">
        <v>1</v>
      </c>
      <c r="P6" s="54">
        <v>23760</v>
      </c>
      <c r="Q6" s="55">
        <v>23760</v>
      </c>
      <c r="R6" s="48" t="s">
        <v>160</v>
      </c>
      <c r="S6" s="48" t="s">
        <v>132</v>
      </c>
    </row>
    <row r="7" spans="1:19" ht="15.75" x14ac:dyDescent="0.25">
      <c r="A7" s="56">
        <v>1043</v>
      </c>
      <c r="B7" s="57">
        <v>46152</v>
      </c>
      <c r="C7" s="58">
        <v>5</v>
      </c>
      <c r="D7" s="58">
        <v>2026</v>
      </c>
      <c r="E7" s="58"/>
      <c r="F7" s="58" t="s">
        <v>195</v>
      </c>
      <c r="G7" s="58" t="s">
        <v>205</v>
      </c>
      <c r="H7" s="59" t="s">
        <v>159</v>
      </c>
      <c r="I7" s="71" t="s">
        <v>165</v>
      </c>
      <c r="J7" s="58" t="s">
        <v>166</v>
      </c>
      <c r="K7" s="58" t="s">
        <v>206</v>
      </c>
      <c r="L7" s="51"/>
      <c r="M7" s="52"/>
      <c r="N7" s="52">
        <v>0</v>
      </c>
      <c r="O7" s="53">
        <v>2</v>
      </c>
      <c r="P7" s="54">
        <v>32400</v>
      </c>
      <c r="Q7" s="55">
        <v>64800</v>
      </c>
      <c r="R7" s="58" t="s">
        <v>160</v>
      </c>
      <c r="S7" s="58" t="s">
        <v>132</v>
      </c>
    </row>
    <row r="8" spans="1:19" ht="15.75" x14ac:dyDescent="0.25">
      <c r="A8" s="46">
        <v>1044</v>
      </c>
      <c r="B8" s="47">
        <v>46152</v>
      </c>
      <c r="C8" s="48">
        <v>5</v>
      </c>
      <c r="D8" s="48">
        <v>2026</v>
      </c>
      <c r="E8" s="48"/>
      <c r="F8" s="48" t="s">
        <v>195</v>
      </c>
      <c r="G8" s="48" t="s">
        <v>207</v>
      </c>
      <c r="H8" s="49" t="s">
        <v>159</v>
      </c>
      <c r="I8" s="50" t="s">
        <v>135</v>
      </c>
      <c r="J8" s="48" t="s">
        <v>136</v>
      </c>
      <c r="K8" s="48" t="s">
        <v>208</v>
      </c>
      <c r="L8" s="51"/>
      <c r="M8" s="52"/>
      <c r="N8" s="52">
        <v>0</v>
      </c>
      <c r="O8" s="53">
        <v>3</v>
      </c>
      <c r="P8" s="54">
        <v>58000</v>
      </c>
      <c r="Q8" s="55">
        <v>174000</v>
      </c>
      <c r="R8" s="48" t="s">
        <v>160</v>
      </c>
      <c r="S8" s="48" t="s">
        <v>132</v>
      </c>
    </row>
    <row r="9" spans="1:19" ht="15.75" x14ac:dyDescent="0.25">
      <c r="A9" s="56">
        <v>1045</v>
      </c>
      <c r="B9" s="57">
        <v>46152</v>
      </c>
      <c r="C9" s="58">
        <v>5</v>
      </c>
      <c r="D9" s="58">
        <v>2026</v>
      </c>
      <c r="E9" s="58"/>
      <c r="F9" s="58" t="s">
        <v>195</v>
      </c>
      <c r="G9" s="58" t="s">
        <v>209</v>
      </c>
      <c r="H9" s="59" t="s">
        <v>159</v>
      </c>
      <c r="I9" s="60" t="s">
        <v>130</v>
      </c>
      <c r="J9" s="58" t="s">
        <v>131</v>
      </c>
      <c r="K9" s="58" t="s">
        <v>208</v>
      </c>
      <c r="L9" s="51"/>
      <c r="M9" s="52"/>
      <c r="N9" s="52">
        <v>0</v>
      </c>
      <c r="O9" s="53">
        <v>3</v>
      </c>
      <c r="P9" s="54">
        <v>27491</v>
      </c>
      <c r="Q9" s="55">
        <v>82473</v>
      </c>
      <c r="R9" s="58" t="s">
        <v>160</v>
      </c>
      <c r="S9" s="58" t="s">
        <v>132</v>
      </c>
    </row>
    <row r="10" spans="1:19" ht="15.75" x14ac:dyDescent="0.25">
      <c r="A10" s="46">
        <v>1046</v>
      </c>
      <c r="B10" s="47">
        <v>46152</v>
      </c>
      <c r="C10" s="48">
        <v>5</v>
      </c>
      <c r="D10" s="48">
        <v>2026</v>
      </c>
      <c r="E10" s="48"/>
      <c r="F10" s="48" t="s">
        <v>195</v>
      </c>
      <c r="G10" s="48" t="s">
        <v>210</v>
      </c>
      <c r="H10" s="49" t="s">
        <v>159</v>
      </c>
      <c r="I10" s="50" t="s">
        <v>211</v>
      </c>
      <c r="J10" s="48" t="s">
        <v>212</v>
      </c>
      <c r="K10" s="48" t="s">
        <v>197</v>
      </c>
      <c r="L10" s="51"/>
      <c r="M10" s="52"/>
      <c r="N10" s="52">
        <v>0</v>
      </c>
      <c r="O10" s="53">
        <v>2</v>
      </c>
      <c r="P10" s="54">
        <v>43200</v>
      </c>
      <c r="Q10" s="55">
        <v>86400</v>
      </c>
      <c r="R10" s="48" t="s">
        <v>160</v>
      </c>
      <c r="S10" s="48" t="s">
        <v>132</v>
      </c>
    </row>
    <row r="11" spans="1:19" ht="15.75" x14ac:dyDescent="0.25">
      <c r="A11" s="56">
        <v>1047</v>
      </c>
      <c r="B11" s="57">
        <v>46152</v>
      </c>
      <c r="C11" s="58">
        <v>5</v>
      </c>
      <c r="D11" s="58">
        <v>2026</v>
      </c>
      <c r="E11" s="58"/>
      <c r="F11" s="58" t="s">
        <v>195</v>
      </c>
      <c r="G11" s="58" t="s">
        <v>213</v>
      </c>
      <c r="H11" s="59" t="s">
        <v>159</v>
      </c>
      <c r="I11" s="71" t="s">
        <v>145</v>
      </c>
      <c r="J11" s="58" t="s">
        <v>146</v>
      </c>
      <c r="K11" s="58" t="s">
        <v>197</v>
      </c>
      <c r="L11" s="51"/>
      <c r="M11" s="52"/>
      <c r="N11" s="52">
        <v>0</v>
      </c>
      <c r="O11" s="53">
        <v>2</v>
      </c>
      <c r="P11" s="54">
        <v>43200</v>
      </c>
      <c r="Q11" s="55">
        <v>86400</v>
      </c>
      <c r="R11" s="58" t="s">
        <v>160</v>
      </c>
      <c r="S11" s="58" t="s">
        <v>132</v>
      </c>
    </row>
    <row r="12" spans="1:19" ht="15.75" x14ac:dyDescent="0.25">
      <c r="A12" s="46">
        <v>1048</v>
      </c>
      <c r="B12" s="47">
        <v>46152</v>
      </c>
      <c r="C12" s="48">
        <v>5</v>
      </c>
      <c r="D12" s="48">
        <v>2026</v>
      </c>
      <c r="E12" s="48"/>
      <c r="F12" s="48" t="s">
        <v>195</v>
      </c>
      <c r="G12" s="48" t="s">
        <v>214</v>
      </c>
      <c r="H12" s="49" t="s">
        <v>159</v>
      </c>
      <c r="I12" s="50" t="s">
        <v>143</v>
      </c>
      <c r="J12" s="48" t="s">
        <v>144</v>
      </c>
      <c r="K12" s="48" t="s">
        <v>197</v>
      </c>
      <c r="L12" s="51"/>
      <c r="M12" s="52"/>
      <c r="N12" s="52">
        <v>0</v>
      </c>
      <c r="O12" s="53">
        <v>2</v>
      </c>
      <c r="P12" s="54">
        <v>43200</v>
      </c>
      <c r="Q12" s="55">
        <v>86400</v>
      </c>
      <c r="R12" s="48" t="s">
        <v>160</v>
      </c>
      <c r="S12" s="48" t="s">
        <v>132</v>
      </c>
    </row>
    <row r="13" spans="1:19" ht="15.75" x14ac:dyDescent="0.25">
      <c r="A13" s="56">
        <v>1049</v>
      </c>
      <c r="B13" s="57">
        <v>46152</v>
      </c>
      <c r="C13" s="58">
        <v>5</v>
      </c>
      <c r="D13" s="58">
        <v>2026</v>
      </c>
      <c r="E13" s="58"/>
      <c r="F13" s="58" t="s">
        <v>195</v>
      </c>
      <c r="G13" s="58" t="s">
        <v>215</v>
      </c>
      <c r="H13" s="59" t="s">
        <v>159</v>
      </c>
      <c r="I13" s="71" t="s">
        <v>133</v>
      </c>
      <c r="J13" s="58" t="s">
        <v>134</v>
      </c>
      <c r="K13" s="58" t="s">
        <v>197</v>
      </c>
      <c r="L13" s="51"/>
      <c r="M13" s="52"/>
      <c r="N13" s="52">
        <v>0</v>
      </c>
      <c r="O13" s="53">
        <v>4</v>
      </c>
      <c r="P13" s="54">
        <v>54000</v>
      </c>
      <c r="Q13" s="55">
        <v>216000</v>
      </c>
      <c r="R13" s="58" t="s">
        <v>160</v>
      </c>
      <c r="S13" s="58" t="s">
        <v>132</v>
      </c>
    </row>
    <row r="14" spans="1:19" ht="15.75" x14ac:dyDescent="0.25">
      <c r="A14" s="46">
        <v>1050</v>
      </c>
      <c r="B14" s="47">
        <v>46152</v>
      </c>
      <c r="C14" s="48">
        <v>5</v>
      </c>
      <c r="D14" s="48">
        <v>2026</v>
      </c>
      <c r="E14" s="48"/>
      <c r="F14" s="48" t="s">
        <v>195</v>
      </c>
      <c r="G14" s="48" t="s">
        <v>216</v>
      </c>
      <c r="H14" s="49" t="s">
        <v>159</v>
      </c>
      <c r="I14" s="72" t="s">
        <v>149</v>
      </c>
      <c r="J14" s="73" t="s">
        <v>150</v>
      </c>
      <c r="K14" s="48" t="s">
        <v>201</v>
      </c>
      <c r="L14" s="51"/>
      <c r="M14" s="52"/>
      <c r="N14" s="52">
        <v>0</v>
      </c>
      <c r="O14" s="53">
        <v>2</v>
      </c>
      <c r="P14" s="54">
        <v>36000</v>
      </c>
      <c r="Q14" s="55">
        <v>72000</v>
      </c>
      <c r="R14" s="48" t="s">
        <v>160</v>
      </c>
      <c r="S14" s="48" t="s">
        <v>132</v>
      </c>
    </row>
    <row r="15" spans="1:19" ht="15.75" x14ac:dyDescent="0.25">
      <c r="A15" s="56">
        <v>1051</v>
      </c>
      <c r="B15" s="57">
        <v>46152</v>
      </c>
      <c r="C15" s="58">
        <v>5</v>
      </c>
      <c r="D15" s="58">
        <v>2026</v>
      </c>
      <c r="E15" s="58"/>
      <c r="F15" s="58" t="s">
        <v>195</v>
      </c>
      <c r="G15" s="58" t="s">
        <v>217</v>
      </c>
      <c r="H15" s="59" t="s">
        <v>159</v>
      </c>
      <c r="I15" s="71" t="s">
        <v>170</v>
      </c>
      <c r="J15" s="58" t="s">
        <v>171</v>
      </c>
      <c r="K15" s="58" t="s">
        <v>218</v>
      </c>
      <c r="L15" s="51"/>
      <c r="M15" s="52"/>
      <c r="N15" s="52">
        <v>0</v>
      </c>
      <c r="O15" s="53">
        <v>2</v>
      </c>
      <c r="P15" s="54">
        <v>21600</v>
      </c>
      <c r="Q15" s="55">
        <v>43200</v>
      </c>
      <c r="R15" s="58" t="s">
        <v>160</v>
      </c>
      <c r="S15" s="58" t="s">
        <v>132</v>
      </c>
    </row>
    <row r="16" spans="1:19" ht="15.75" x14ac:dyDescent="0.25">
      <c r="A16" s="46">
        <v>1052</v>
      </c>
      <c r="B16" s="47">
        <v>46152</v>
      </c>
      <c r="C16" s="48">
        <v>5</v>
      </c>
      <c r="D16" s="48">
        <v>2026</v>
      </c>
      <c r="E16" s="48"/>
      <c r="F16" s="48" t="s">
        <v>195</v>
      </c>
      <c r="G16" s="48" t="s">
        <v>219</v>
      </c>
      <c r="H16" s="49" t="s">
        <v>159</v>
      </c>
      <c r="I16" s="72" t="s">
        <v>137</v>
      </c>
      <c r="J16" s="48" t="s">
        <v>138</v>
      </c>
      <c r="K16" s="48" t="s">
        <v>220</v>
      </c>
      <c r="L16" s="51"/>
      <c r="M16" s="52"/>
      <c r="N16" s="52">
        <v>0</v>
      </c>
      <c r="O16" s="53">
        <v>5</v>
      </c>
      <c r="P16" s="54">
        <v>2700</v>
      </c>
      <c r="Q16" s="55">
        <v>13500</v>
      </c>
      <c r="R16" s="48" t="s">
        <v>160</v>
      </c>
      <c r="S16" s="48" t="s">
        <v>132</v>
      </c>
    </row>
    <row r="17" spans="1:19" ht="15.75" x14ac:dyDescent="0.25">
      <c r="A17" s="56">
        <v>1053</v>
      </c>
      <c r="B17" s="57">
        <v>46152</v>
      </c>
      <c r="C17" s="58">
        <v>5</v>
      </c>
      <c r="D17" s="58">
        <v>2026</v>
      </c>
      <c r="E17" s="58"/>
      <c r="F17" s="58" t="s">
        <v>195</v>
      </c>
      <c r="G17" s="58" t="s">
        <v>221</v>
      </c>
      <c r="H17" s="59" t="s">
        <v>159</v>
      </c>
      <c r="I17" s="71" t="s">
        <v>139</v>
      </c>
      <c r="J17" s="58" t="s">
        <v>140</v>
      </c>
      <c r="K17" s="58" t="s">
        <v>220</v>
      </c>
      <c r="L17" s="51"/>
      <c r="M17" s="52"/>
      <c r="N17" s="52">
        <v>0</v>
      </c>
      <c r="O17" s="53">
        <v>5</v>
      </c>
      <c r="P17" s="54">
        <v>3500</v>
      </c>
      <c r="Q17" s="55">
        <v>17500</v>
      </c>
      <c r="R17" s="58" t="s">
        <v>160</v>
      </c>
      <c r="S17" s="58" t="s">
        <v>132</v>
      </c>
    </row>
    <row r="18" spans="1:19" ht="15.75" x14ac:dyDescent="0.25">
      <c r="A18" s="46">
        <v>1208</v>
      </c>
      <c r="B18" s="47">
        <v>46152</v>
      </c>
      <c r="C18" s="48">
        <v>5</v>
      </c>
      <c r="D18" s="48">
        <v>2026</v>
      </c>
      <c r="E18" s="48"/>
      <c r="F18" s="48" t="s">
        <v>195</v>
      </c>
      <c r="G18" s="48" t="s">
        <v>222</v>
      </c>
      <c r="H18" s="49" t="s">
        <v>159</v>
      </c>
      <c r="I18" s="72" t="s">
        <v>223</v>
      </c>
      <c r="J18" s="48" t="s">
        <v>224</v>
      </c>
      <c r="K18" s="48" t="s">
        <v>225</v>
      </c>
      <c r="L18" s="51"/>
      <c r="M18" s="52"/>
      <c r="N18" s="52"/>
      <c r="O18" s="53">
        <v>2</v>
      </c>
      <c r="P18" s="54">
        <v>85000</v>
      </c>
      <c r="Q18" s="55">
        <v>170000</v>
      </c>
      <c r="R18" s="48" t="s">
        <v>160</v>
      </c>
      <c r="S18" s="48" t="s">
        <v>132</v>
      </c>
    </row>
    <row r="19" spans="1:19" x14ac:dyDescent="0.25">
      <c r="A19" s="46"/>
      <c r="B19" s="57"/>
      <c r="C19" s="58"/>
      <c r="D19" s="58"/>
      <c r="E19" s="58"/>
      <c r="F19" s="58"/>
      <c r="G19" s="58"/>
      <c r="J19" s="48"/>
      <c r="O19" s="53"/>
      <c r="P19" s="54"/>
      <c r="Q19" s="55"/>
      <c r="R19" s="58"/>
      <c r="S19" s="58"/>
    </row>
    <row r="20" spans="1:19" x14ac:dyDescent="0.25">
      <c r="A20" s="65"/>
      <c r="B20" s="66"/>
      <c r="C20" s="67"/>
      <c r="D20" s="67"/>
      <c r="E20" s="67"/>
      <c r="F20" s="67"/>
      <c r="G20" s="67"/>
      <c r="H20" s="68"/>
      <c r="I20" s="68"/>
      <c r="J20" s="67"/>
      <c r="K20" s="68"/>
      <c r="L20" s="68"/>
      <c r="M20" s="68"/>
      <c r="N20" s="68"/>
      <c r="O20" s="69"/>
      <c r="P20" s="70"/>
      <c r="Q20" s="55"/>
      <c r="R20" s="48"/>
      <c r="S20" s="48"/>
    </row>
    <row r="23" spans="1:19" x14ac:dyDescent="0.25">
      <c r="Q23" s="61">
        <f>SUM(Q2:Q22)</f>
        <v>1778713</v>
      </c>
    </row>
  </sheetData>
  <conditionalFormatting sqref="I9">
    <cfRule type="duplicateValues" dxfId="4" priority="2"/>
  </conditionalFormatting>
  <conditionalFormatting sqref="I10">
    <cfRule type="duplicateValues" dxfId="3" priority="1"/>
  </conditionalFormatting>
  <conditionalFormatting sqref="I11 I3:I7 I13:I18">
    <cfRule type="expression" dxfId="2" priority="5" stopIfTrue="1">
      <formula>AND(COUNTIF($I$11:$I$11, I3)+COUNTIF($I$3:$I$7, I3)+COUNTIF($I$13:$I$18, I3)&gt;1,NOT(ISBLANK(I3)))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3D8-21B3-4978-93A2-6DD427D70782}">
  <dimension ref="A1:M66"/>
  <sheetViews>
    <sheetView workbookViewId="0">
      <selection activeCell="B66" sqref="B2:B66"/>
    </sheetView>
  </sheetViews>
  <sheetFormatPr defaultColWidth="19" defaultRowHeight="15" x14ac:dyDescent="0.25"/>
  <cols>
    <col min="12" max="12" width="34.5703125" customWidth="1"/>
  </cols>
  <sheetData>
    <row r="1" spans="1:13" ht="49.5" x14ac:dyDescent="0.25">
      <c r="A1" s="74" t="s">
        <v>226</v>
      </c>
      <c r="B1" s="74" t="s">
        <v>99</v>
      </c>
      <c r="C1" s="75" t="s">
        <v>100</v>
      </c>
      <c r="D1" s="75" t="s">
        <v>101</v>
      </c>
      <c r="E1" s="75" t="s">
        <v>102</v>
      </c>
      <c r="F1" s="74" t="s">
        <v>227</v>
      </c>
      <c r="G1" s="74" t="s">
        <v>103</v>
      </c>
      <c r="H1" s="74" t="s">
        <v>104</v>
      </c>
      <c r="I1" s="74" t="s">
        <v>105</v>
      </c>
      <c r="J1" s="74" t="s">
        <v>106</v>
      </c>
      <c r="K1" s="74" t="s">
        <v>107</v>
      </c>
      <c r="L1" s="74" t="s">
        <v>108</v>
      </c>
      <c r="M1" s="74" t="s">
        <v>109</v>
      </c>
    </row>
    <row r="2" spans="1:13" ht="16.5" x14ac:dyDescent="0.25">
      <c r="A2" s="76">
        <v>1</v>
      </c>
      <c r="B2" s="77" t="s">
        <v>228</v>
      </c>
      <c r="C2" s="77" t="s">
        <v>229</v>
      </c>
      <c r="D2" s="78">
        <v>2023</v>
      </c>
      <c r="E2" s="78" t="s">
        <v>111</v>
      </c>
      <c r="F2" s="78" t="s">
        <v>111</v>
      </c>
      <c r="G2" s="79">
        <v>343695</v>
      </c>
      <c r="H2" s="79">
        <v>354967</v>
      </c>
      <c r="I2" s="80">
        <v>11272</v>
      </c>
      <c r="J2" s="80">
        <v>11155.664000000002</v>
      </c>
      <c r="K2" s="80">
        <v>116.33599999999751</v>
      </c>
      <c r="L2" s="77" t="s">
        <v>230</v>
      </c>
      <c r="M2" s="77" t="s">
        <v>231</v>
      </c>
    </row>
    <row r="3" spans="1:13" ht="16.5" x14ac:dyDescent="0.25">
      <c r="A3" s="76">
        <v>2</v>
      </c>
      <c r="B3" s="77" t="s">
        <v>232</v>
      </c>
      <c r="C3" s="77" t="s">
        <v>229</v>
      </c>
      <c r="D3" s="78">
        <v>2023</v>
      </c>
      <c r="E3" s="78" t="s">
        <v>111</v>
      </c>
      <c r="F3" s="78" t="s">
        <v>111</v>
      </c>
      <c r="G3" s="79">
        <v>341409</v>
      </c>
      <c r="H3" s="79">
        <v>352343</v>
      </c>
      <c r="I3" s="80">
        <v>10934</v>
      </c>
      <c r="J3" s="80">
        <v>10700.646000000001</v>
      </c>
      <c r="K3" s="80">
        <v>233.35399999999936</v>
      </c>
      <c r="L3" s="77" t="s">
        <v>233</v>
      </c>
      <c r="M3" s="77" t="s">
        <v>231</v>
      </c>
    </row>
    <row r="4" spans="1:13" ht="16.5" x14ac:dyDescent="0.25">
      <c r="A4" s="76">
        <v>3</v>
      </c>
      <c r="B4" s="77" t="s">
        <v>234</v>
      </c>
      <c r="C4" s="77" t="s">
        <v>229</v>
      </c>
      <c r="D4" s="78">
        <v>2023</v>
      </c>
      <c r="E4" s="78" t="s">
        <v>111</v>
      </c>
      <c r="F4" s="78" t="s">
        <v>111</v>
      </c>
      <c r="G4" s="79">
        <v>350340</v>
      </c>
      <c r="H4" s="79">
        <v>361503</v>
      </c>
      <c r="I4" s="80">
        <v>11163</v>
      </c>
      <c r="J4" s="80">
        <v>11097.828000000003</v>
      </c>
      <c r="K4" s="80">
        <v>65.171999999996842</v>
      </c>
      <c r="L4" s="77" t="s">
        <v>235</v>
      </c>
      <c r="M4" s="77" t="s">
        <v>231</v>
      </c>
    </row>
    <row r="5" spans="1:13" ht="16.5" x14ac:dyDescent="0.25">
      <c r="A5" s="76">
        <v>4</v>
      </c>
      <c r="B5" s="77" t="s">
        <v>236</v>
      </c>
      <c r="C5" s="77" t="s">
        <v>229</v>
      </c>
      <c r="D5" s="78">
        <v>2023</v>
      </c>
      <c r="E5" s="78" t="s">
        <v>111</v>
      </c>
      <c r="F5" s="78" t="s">
        <v>111</v>
      </c>
      <c r="G5" s="79">
        <v>322078</v>
      </c>
      <c r="H5" s="79">
        <v>331598</v>
      </c>
      <c r="I5" s="80">
        <v>9520</v>
      </c>
      <c r="J5" s="80">
        <v>9321.2139999999999</v>
      </c>
      <c r="K5" s="80">
        <v>198.78600000000006</v>
      </c>
      <c r="L5" s="77" t="s">
        <v>237</v>
      </c>
      <c r="M5" s="77" t="s">
        <v>231</v>
      </c>
    </row>
    <row r="6" spans="1:13" ht="16.5" x14ac:dyDescent="0.25">
      <c r="A6" s="76">
        <v>5</v>
      </c>
      <c r="B6" s="77" t="s">
        <v>238</v>
      </c>
      <c r="C6" s="77" t="s">
        <v>229</v>
      </c>
      <c r="D6" s="78">
        <v>2023</v>
      </c>
      <c r="E6" s="78" t="s">
        <v>111</v>
      </c>
      <c r="F6" s="78" t="s">
        <v>111</v>
      </c>
      <c r="G6" s="79">
        <v>365094</v>
      </c>
      <c r="H6" s="79">
        <v>376118</v>
      </c>
      <c r="I6" s="80">
        <v>11024</v>
      </c>
      <c r="J6" s="80">
        <v>10932.904999999999</v>
      </c>
      <c r="K6" s="80">
        <v>91.095000000001164</v>
      </c>
      <c r="L6" s="77" t="s">
        <v>239</v>
      </c>
      <c r="M6" s="77" t="s">
        <v>231</v>
      </c>
    </row>
    <row r="7" spans="1:13" ht="16.5" x14ac:dyDescent="0.25">
      <c r="A7" s="81">
        <v>6</v>
      </c>
      <c r="B7" s="82" t="s">
        <v>240</v>
      </c>
      <c r="C7" s="83" t="s">
        <v>229</v>
      </c>
      <c r="D7" s="84">
        <v>2022</v>
      </c>
      <c r="E7" s="84" t="s">
        <v>111</v>
      </c>
      <c r="F7" s="84" t="s">
        <v>111</v>
      </c>
      <c r="G7" s="79">
        <v>567219</v>
      </c>
      <c r="H7" s="79">
        <v>570938</v>
      </c>
      <c r="I7" s="85">
        <v>3719</v>
      </c>
      <c r="J7" s="85">
        <v>3555.1559999999999</v>
      </c>
      <c r="K7" s="80">
        <v>163.84400000000005</v>
      </c>
      <c r="L7" s="83" t="s">
        <v>241</v>
      </c>
      <c r="M7" s="83" t="s">
        <v>231</v>
      </c>
    </row>
    <row r="8" spans="1:13" ht="16.5" x14ac:dyDescent="0.25">
      <c r="A8" s="81">
        <v>7</v>
      </c>
      <c r="B8" s="82" t="s">
        <v>242</v>
      </c>
      <c r="C8" s="83" t="s">
        <v>229</v>
      </c>
      <c r="D8" s="84">
        <v>2022</v>
      </c>
      <c r="E8" s="84" t="s">
        <v>111</v>
      </c>
      <c r="F8" s="84" t="s">
        <v>111</v>
      </c>
      <c r="G8" s="79">
        <v>555242</v>
      </c>
      <c r="H8" s="79">
        <v>560711</v>
      </c>
      <c r="I8" s="85">
        <v>5469</v>
      </c>
      <c r="J8" s="85">
        <v>5112.6229999999996</v>
      </c>
      <c r="K8" s="80">
        <v>356.37700000000041</v>
      </c>
      <c r="L8" s="83" t="s">
        <v>243</v>
      </c>
      <c r="M8" s="83" t="s">
        <v>231</v>
      </c>
    </row>
    <row r="9" spans="1:13" ht="16.5" x14ac:dyDescent="0.25">
      <c r="A9" s="81">
        <v>8</v>
      </c>
      <c r="B9" s="82" t="s">
        <v>244</v>
      </c>
      <c r="C9" s="83" t="s">
        <v>229</v>
      </c>
      <c r="D9" s="84">
        <v>2022</v>
      </c>
      <c r="E9" s="84" t="s">
        <v>111</v>
      </c>
      <c r="F9" s="84" t="s">
        <v>111</v>
      </c>
      <c r="G9" s="79">
        <v>576137.89</v>
      </c>
      <c r="H9" s="79">
        <v>582403</v>
      </c>
      <c r="I9" s="85">
        <v>6265.109999999986</v>
      </c>
      <c r="J9" s="85">
        <v>6145.1180000000004</v>
      </c>
      <c r="K9" s="80">
        <v>119.99199999998564</v>
      </c>
      <c r="L9" s="83" t="s">
        <v>245</v>
      </c>
      <c r="M9" s="83" t="s">
        <v>231</v>
      </c>
    </row>
    <row r="10" spans="1:13" ht="16.5" x14ac:dyDescent="0.25">
      <c r="A10" s="81">
        <v>9</v>
      </c>
      <c r="B10" s="82" t="s">
        <v>246</v>
      </c>
      <c r="C10" s="83" t="s">
        <v>229</v>
      </c>
      <c r="D10" s="84">
        <v>2022</v>
      </c>
      <c r="E10" s="84" t="s">
        <v>111</v>
      </c>
      <c r="F10" s="84" t="s">
        <v>111</v>
      </c>
      <c r="G10" s="79">
        <v>552630</v>
      </c>
      <c r="H10" s="79">
        <v>556664</v>
      </c>
      <c r="I10" s="85">
        <v>4034</v>
      </c>
      <c r="J10" s="85">
        <v>3837.0130000000004</v>
      </c>
      <c r="K10" s="80">
        <v>196.98699999999963</v>
      </c>
      <c r="L10" s="83" t="s">
        <v>247</v>
      </c>
      <c r="M10" s="83" t="s">
        <v>231</v>
      </c>
    </row>
    <row r="11" spans="1:13" ht="16.5" x14ac:dyDescent="0.25">
      <c r="A11" s="81">
        <v>10</v>
      </c>
      <c r="B11" s="82" t="s">
        <v>248</v>
      </c>
      <c r="C11" s="83" t="s">
        <v>229</v>
      </c>
      <c r="D11" s="84">
        <v>2022</v>
      </c>
      <c r="E11" s="84" t="s">
        <v>111</v>
      </c>
      <c r="F11" s="84" t="s">
        <v>111</v>
      </c>
      <c r="G11" s="79">
        <v>547583.84</v>
      </c>
      <c r="H11" s="79">
        <v>551327</v>
      </c>
      <c r="I11" s="85">
        <v>3743.1600000000326</v>
      </c>
      <c r="J11" s="85">
        <v>3651.904</v>
      </c>
      <c r="K11" s="80">
        <v>91.2560000000326</v>
      </c>
      <c r="L11" s="83" t="s">
        <v>249</v>
      </c>
      <c r="M11" s="83" t="s">
        <v>231</v>
      </c>
    </row>
    <row r="12" spans="1:13" ht="16.5" x14ac:dyDescent="0.25">
      <c r="A12" s="76">
        <v>11</v>
      </c>
      <c r="B12" s="77" t="s">
        <v>250</v>
      </c>
      <c r="C12" s="77" t="s">
        <v>229</v>
      </c>
      <c r="D12" s="78">
        <v>2023</v>
      </c>
      <c r="E12" s="78" t="s">
        <v>111</v>
      </c>
      <c r="F12" s="78" t="s">
        <v>111</v>
      </c>
      <c r="G12" s="79">
        <v>366662</v>
      </c>
      <c r="H12" s="79">
        <v>376910</v>
      </c>
      <c r="I12" s="80">
        <v>10248</v>
      </c>
      <c r="J12" s="80">
        <v>10202.962999999998</v>
      </c>
      <c r="K12" s="80">
        <v>45.037000000002081</v>
      </c>
      <c r="L12" s="77" t="s">
        <v>251</v>
      </c>
      <c r="M12" s="77" t="s">
        <v>231</v>
      </c>
    </row>
    <row r="13" spans="1:13" ht="16.5" x14ac:dyDescent="0.25">
      <c r="A13" s="76">
        <v>12</v>
      </c>
      <c r="B13" s="77" t="s">
        <v>252</v>
      </c>
      <c r="C13" s="77" t="s">
        <v>229</v>
      </c>
      <c r="D13" s="78">
        <v>2023</v>
      </c>
      <c r="E13" s="78" t="s">
        <v>111</v>
      </c>
      <c r="F13" s="78" t="s">
        <v>111</v>
      </c>
      <c r="G13" s="79">
        <v>385469</v>
      </c>
      <c r="H13" s="79">
        <v>395283</v>
      </c>
      <c r="I13" s="80">
        <v>9814</v>
      </c>
      <c r="J13" s="80">
        <v>9776.3019999999997</v>
      </c>
      <c r="K13" s="80">
        <v>37.69800000000032</v>
      </c>
      <c r="L13" s="77" t="s">
        <v>253</v>
      </c>
      <c r="M13" s="77" t="s">
        <v>231</v>
      </c>
    </row>
    <row r="14" spans="1:13" ht="16.5" x14ac:dyDescent="0.25">
      <c r="A14" s="76">
        <v>13</v>
      </c>
      <c r="B14" s="77" t="s">
        <v>254</v>
      </c>
      <c r="C14" s="77" t="s">
        <v>229</v>
      </c>
      <c r="D14" s="78">
        <v>2023</v>
      </c>
      <c r="E14" s="78" t="s">
        <v>111</v>
      </c>
      <c r="F14" s="78" t="s">
        <v>111</v>
      </c>
      <c r="G14" s="79">
        <v>360669</v>
      </c>
      <c r="H14" s="79">
        <v>371340</v>
      </c>
      <c r="I14" s="80">
        <v>10671</v>
      </c>
      <c r="J14" s="80">
        <v>10667.252000000002</v>
      </c>
      <c r="K14" s="80">
        <v>3.7479999999977736</v>
      </c>
      <c r="L14" s="77" t="s">
        <v>255</v>
      </c>
      <c r="M14" s="77" t="s">
        <v>231</v>
      </c>
    </row>
    <row r="15" spans="1:13" ht="16.5" x14ac:dyDescent="0.25">
      <c r="A15" s="76">
        <v>14</v>
      </c>
      <c r="B15" s="77" t="s">
        <v>256</v>
      </c>
      <c r="C15" s="77" t="s">
        <v>229</v>
      </c>
      <c r="D15" s="78">
        <v>2020</v>
      </c>
      <c r="E15" s="86" t="s">
        <v>111</v>
      </c>
      <c r="F15" s="86" t="s">
        <v>111</v>
      </c>
      <c r="G15" s="79">
        <v>649068</v>
      </c>
      <c r="H15" s="79">
        <v>660538</v>
      </c>
      <c r="I15" s="80">
        <v>11470</v>
      </c>
      <c r="J15" s="80">
        <v>11006.457</v>
      </c>
      <c r="K15" s="80">
        <v>463.54299999999967</v>
      </c>
      <c r="L15" s="77" t="s">
        <v>257</v>
      </c>
      <c r="M15" s="77" t="s">
        <v>231</v>
      </c>
    </row>
    <row r="16" spans="1:13" ht="16.5" x14ac:dyDescent="0.25">
      <c r="A16" s="76">
        <v>15</v>
      </c>
      <c r="B16" s="77" t="s">
        <v>258</v>
      </c>
      <c r="C16" s="77" t="s">
        <v>229</v>
      </c>
      <c r="D16" s="78">
        <v>2023</v>
      </c>
      <c r="E16" s="86" t="s">
        <v>111</v>
      </c>
      <c r="F16" s="86" t="s">
        <v>111</v>
      </c>
      <c r="G16" s="79">
        <v>353327</v>
      </c>
      <c r="H16" s="79">
        <v>364695</v>
      </c>
      <c r="I16" s="80">
        <v>11368</v>
      </c>
      <c r="J16" s="80">
        <v>11184.072999999999</v>
      </c>
      <c r="K16" s="80">
        <v>183.9270000000015</v>
      </c>
      <c r="L16" s="77" t="s">
        <v>259</v>
      </c>
      <c r="M16" s="77" t="s">
        <v>231</v>
      </c>
    </row>
    <row r="17" spans="1:13" ht="16.5" x14ac:dyDescent="0.25">
      <c r="A17" s="76">
        <v>16</v>
      </c>
      <c r="B17" s="77" t="s">
        <v>260</v>
      </c>
      <c r="C17" s="77" t="s">
        <v>229</v>
      </c>
      <c r="D17" s="78">
        <v>2023</v>
      </c>
      <c r="E17" s="86" t="s">
        <v>111</v>
      </c>
      <c r="F17" s="86" t="s">
        <v>111</v>
      </c>
      <c r="G17" s="79">
        <v>362083</v>
      </c>
      <c r="H17" s="79">
        <v>373911</v>
      </c>
      <c r="I17" s="80">
        <v>11828</v>
      </c>
      <c r="J17" s="80">
        <v>11314.959000000004</v>
      </c>
      <c r="K17" s="80">
        <v>513.04099999999562</v>
      </c>
      <c r="L17" s="77" t="s">
        <v>261</v>
      </c>
      <c r="M17" s="77" t="s">
        <v>231</v>
      </c>
    </row>
    <row r="18" spans="1:13" ht="16.5" x14ac:dyDescent="0.25">
      <c r="A18" s="76">
        <v>17</v>
      </c>
      <c r="B18" s="77" t="s">
        <v>262</v>
      </c>
      <c r="C18" s="77" t="s">
        <v>229</v>
      </c>
      <c r="D18" s="78">
        <v>2023</v>
      </c>
      <c r="E18" s="86" t="s">
        <v>111</v>
      </c>
      <c r="F18" s="86" t="s">
        <v>111</v>
      </c>
      <c r="G18" s="79">
        <v>294689</v>
      </c>
      <c r="H18" s="79">
        <v>303883</v>
      </c>
      <c r="I18" s="80">
        <v>9194</v>
      </c>
      <c r="J18" s="80">
        <v>9171.2039999999979</v>
      </c>
      <c r="K18" s="80">
        <v>22.796000000002095</v>
      </c>
      <c r="L18" s="77" t="s">
        <v>263</v>
      </c>
      <c r="M18" s="77" t="s">
        <v>231</v>
      </c>
    </row>
    <row r="19" spans="1:13" ht="16.5" x14ac:dyDescent="0.25">
      <c r="A19" s="76">
        <v>18</v>
      </c>
      <c r="B19" s="77" t="s">
        <v>264</v>
      </c>
      <c r="C19" s="77" t="s">
        <v>229</v>
      </c>
      <c r="D19" s="78">
        <v>2023</v>
      </c>
      <c r="E19" s="86" t="s">
        <v>111</v>
      </c>
      <c r="F19" s="86" t="s">
        <v>111</v>
      </c>
      <c r="G19" s="79">
        <v>365562</v>
      </c>
      <c r="H19" s="79">
        <v>374337</v>
      </c>
      <c r="I19" s="80">
        <v>8775</v>
      </c>
      <c r="J19" s="80">
        <v>8972.1570000000011</v>
      </c>
      <c r="K19" s="80">
        <v>-197.15700000000106</v>
      </c>
      <c r="L19" s="77" t="s">
        <v>265</v>
      </c>
      <c r="M19" s="77" t="s">
        <v>231</v>
      </c>
    </row>
    <row r="20" spans="1:13" ht="16.5" x14ac:dyDescent="0.25">
      <c r="A20" s="76">
        <v>19</v>
      </c>
      <c r="B20" s="77" t="s">
        <v>266</v>
      </c>
      <c r="C20" s="77" t="s">
        <v>229</v>
      </c>
      <c r="D20" s="78">
        <v>2023</v>
      </c>
      <c r="E20" s="86" t="s">
        <v>111</v>
      </c>
      <c r="F20" s="86" t="s">
        <v>111</v>
      </c>
      <c r="G20" s="79">
        <v>337762</v>
      </c>
      <c r="H20" s="79">
        <v>348579</v>
      </c>
      <c r="I20" s="80">
        <v>10817</v>
      </c>
      <c r="J20" s="80">
        <v>10400.053</v>
      </c>
      <c r="K20" s="80">
        <v>416.94700000000012</v>
      </c>
      <c r="L20" s="77" t="s">
        <v>267</v>
      </c>
      <c r="M20" s="77" t="s">
        <v>231</v>
      </c>
    </row>
    <row r="21" spans="1:13" ht="16.5" x14ac:dyDescent="0.25">
      <c r="A21" s="76">
        <v>20</v>
      </c>
      <c r="B21" s="77" t="s">
        <v>268</v>
      </c>
      <c r="C21" s="77" t="s">
        <v>229</v>
      </c>
      <c r="D21" s="78">
        <v>2023</v>
      </c>
      <c r="E21" s="78" t="s">
        <v>111</v>
      </c>
      <c r="F21" s="78" t="s">
        <v>111</v>
      </c>
      <c r="G21" s="79">
        <v>304693</v>
      </c>
      <c r="H21" s="79">
        <v>316267</v>
      </c>
      <c r="I21" s="80">
        <v>11574</v>
      </c>
      <c r="J21" s="80">
        <v>10998.886</v>
      </c>
      <c r="K21" s="80">
        <v>575.11399999999958</v>
      </c>
      <c r="L21" s="77" t="s">
        <v>269</v>
      </c>
      <c r="M21" s="77" t="s">
        <v>231</v>
      </c>
    </row>
    <row r="22" spans="1:13" ht="16.5" x14ac:dyDescent="0.25">
      <c r="A22" s="76">
        <v>21</v>
      </c>
      <c r="B22" s="77" t="s">
        <v>270</v>
      </c>
      <c r="C22" s="77" t="s">
        <v>229</v>
      </c>
      <c r="D22" s="78">
        <v>2023</v>
      </c>
      <c r="E22" s="78" t="s">
        <v>111</v>
      </c>
      <c r="F22" s="78" t="s">
        <v>111</v>
      </c>
      <c r="G22" s="79">
        <v>319028</v>
      </c>
      <c r="H22" s="79">
        <v>329888</v>
      </c>
      <c r="I22" s="80">
        <v>10860</v>
      </c>
      <c r="J22" s="80">
        <v>10833.215000000002</v>
      </c>
      <c r="K22" s="80">
        <v>26.784999999998035</v>
      </c>
      <c r="L22" s="77" t="s">
        <v>271</v>
      </c>
      <c r="M22" s="77" t="s">
        <v>231</v>
      </c>
    </row>
    <row r="23" spans="1:13" ht="16.5" x14ac:dyDescent="0.25">
      <c r="A23" s="76">
        <v>22</v>
      </c>
      <c r="B23" s="77" t="s">
        <v>272</v>
      </c>
      <c r="C23" s="77" t="s">
        <v>229</v>
      </c>
      <c r="D23" s="78">
        <v>2023</v>
      </c>
      <c r="E23" s="78" t="s">
        <v>111</v>
      </c>
      <c r="F23" s="78" t="s">
        <v>111</v>
      </c>
      <c r="G23" s="79">
        <v>330380</v>
      </c>
      <c r="H23" s="79">
        <v>342099</v>
      </c>
      <c r="I23" s="80">
        <v>11719</v>
      </c>
      <c r="J23" s="80">
        <v>11648.863000000001</v>
      </c>
      <c r="K23" s="80">
        <v>70.136999999998807</v>
      </c>
      <c r="L23" s="77" t="s">
        <v>273</v>
      </c>
      <c r="M23" s="77" t="s">
        <v>231</v>
      </c>
    </row>
    <row r="24" spans="1:13" ht="16.5" x14ac:dyDescent="0.25">
      <c r="A24" s="76">
        <v>23</v>
      </c>
      <c r="B24" s="77" t="s">
        <v>274</v>
      </c>
      <c r="C24" s="77" t="s">
        <v>229</v>
      </c>
      <c r="D24" s="78">
        <v>2024</v>
      </c>
      <c r="E24" s="78" t="s">
        <v>111</v>
      </c>
      <c r="F24" s="78" t="s">
        <v>111</v>
      </c>
      <c r="G24" s="79">
        <v>228576</v>
      </c>
      <c r="H24" s="79">
        <v>239800</v>
      </c>
      <c r="I24" s="80">
        <v>11224</v>
      </c>
      <c r="J24" s="80">
        <v>11124.718999999999</v>
      </c>
      <c r="K24" s="80">
        <v>99.281000000000859</v>
      </c>
      <c r="L24" s="77" t="s">
        <v>275</v>
      </c>
      <c r="M24" s="77" t="s">
        <v>231</v>
      </c>
    </row>
    <row r="25" spans="1:13" ht="16.5" x14ac:dyDescent="0.25">
      <c r="A25" s="76">
        <v>24</v>
      </c>
      <c r="B25" s="77" t="s">
        <v>276</v>
      </c>
      <c r="C25" s="77" t="s">
        <v>229</v>
      </c>
      <c r="D25" s="78">
        <v>2024</v>
      </c>
      <c r="E25" s="78" t="s">
        <v>111</v>
      </c>
      <c r="F25" s="78" t="s">
        <v>111</v>
      </c>
      <c r="G25" s="79">
        <v>231247</v>
      </c>
      <c r="H25" s="79">
        <v>243139</v>
      </c>
      <c r="I25" s="80">
        <v>11892</v>
      </c>
      <c r="J25" s="80">
        <v>11876.221000000001</v>
      </c>
      <c r="K25" s="80">
        <v>15.778999999998632</v>
      </c>
      <c r="L25" s="77" t="s">
        <v>277</v>
      </c>
      <c r="M25" s="77" t="s">
        <v>231</v>
      </c>
    </row>
    <row r="26" spans="1:13" ht="16.5" x14ac:dyDescent="0.25">
      <c r="A26" s="76">
        <v>25</v>
      </c>
      <c r="B26" s="77" t="s">
        <v>278</v>
      </c>
      <c r="C26" s="77" t="s">
        <v>229</v>
      </c>
      <c r="D26" s="78">
        <v>2024</v>
      </c>
      <c r="E26" s="78" t="s">
        <v>111</v>
      </c>
      <c r="F26" s="78" t="s">
        <v>111</v>
      </c>
      <c r="G26" s="79">
        <v>221615</v>
      </c>
      <c r="H26" s="79">
        <v>233375</v>
      </c>
      <c r="I26" s="80">
        <v>11760</v>
      </c>
      <c r="J26" s="80">
        <v>11053.130999999998</v>
      </c>
      <c r="K26" s="80">
        <v>706.86900000000242</v>
      </c>
      <c r="L26" s="77" t="s">
        <v>279</v>
      </c>
      <c r="M26" s="77" t="s">
        <v>231</v>
      </c>
    </row>
    <row r="27" spans="1:13" ht="16.5" x14ac:dyDescent="0.25">
      <c r="A27" s="76">
        <v>26</v>
      </c>
      <c r="B27" s="77" t="s">
        <v>280</v>
      </c>
      <c r="C27" s="77" t="s">
        <v>229</v>
      </c>
      <c r="D27" s="78">
        <v>2022</v>
      </c>
      <c r="E27" s="78" t="s">
        <v>111</v>
      </c>
      <c r="F27" s="78" t="s">
        <v>111</v>
      </c>
      <c r="G27" s="79">
        <v>447808</v>
      </c>
      <c r="H27" s="79">
        <v>458680</v>
      </c>
      <c r="I27" s="80">
        <v>10872</v>
      </c>
      <c r="J27" s="80">
        <v>10775.357</v>
      </c>
      <c r="K27" s="80">
        <v>96.643000000000029</v>
      </c>
      <c r="L27" s="77" t="s">
        <v>281</v>
      </c>
      <c r="M27" s="77" t="s">
        <v>231</v>
      </c>
    </row>
    <row r="28" spans="1:13" ht="16.5" x14ac:dyDescent="0.25">
      <c r="A28" s="76">
        <v>27</v>
      </c>
      <c r="B28" s="77" t="s">
        <v>282</v>
      </c>
      <c r="C28" s="77" t="s">
        <v>229</v>
      </c>
      <c r="D28" s="78">
        <v>2022</v>
      </c>
      <c r="E28" s="78" t="s">
        <v>111</v>
      </c>
      <c r="F28" s="78" t="s">
        <v>111</v>
      </c>
      <c r="G28" s="79">
        <v>417349</v>
      </c>
      <c r="H28" s="79">
        <v>424343</v>
      </c>
      <c r="I28" s="80">
        <v>6994</v>
      </c>
      <c r="J28" s="80">
        <v>7027.6429999999991</v>
      </c>
      <c r="K28" s="80">
        <v>-33.64299999999912</v>
      </c>
      <c r="L28" s="77" t="s">
        <v>283</v>
      </c>
      <c r="M28" s="77" t="s">
        <v>231</v>
      </c>
    </row>
    <row r="29" spans="1:13" ht="16.5" x14ac:dyDescent="0.25">
      <c r="A29" s="76">
        <v>28</v>
      </c>
      <c r="B29" s="77" t="s">
        <v>284</v>
      </c>
      <c r="C29" s="77" t="s">
        <v>229</v>
      </c>
      <c r="D29" s="78">
        <v>2022</v>
      </c>
      <c r="E29" s="78" t="s">
        <v>111</v>
      </c>
      <c r="F29" s="78" t="s">
        <v>111</v>
      </c>
      <c r="G29" s="79">
        <v>453175</v>
      </c>
      <c r="H29" s="79">
        <v>462960</v>
      </c>
      <c r="I29" s="80">
        <v>9785</v>
      </c>
      <c r="J29" s="80">
        <v>9641.3270000000011</v>
      </c>
      <c r="K29" s="80">
        <v>143.67299999999886</v>
      </c>
      <c r="L29" s="77" t="s">
        <v>285</v>
      </c>
      <c r="M29" s="77" t="s">
        <v>231</v>
      </c>
    </row>
    <row r="30" spans="1:13" ht="16.5" x14ac:dyDescent="0.25">
      <c r="A30" s="76">
        <v>29</v>
      </c>
      <c r="B30" s="77" t="s">
        <v>286</v>
      </c>
      <c r="C30" s="77" t="s">
        <v>229</v>
      </c>
      <c r="D30" s="78">
        <v>2022</v>
      </c>
      <c r="E30" s="78" t="s">
        <v>111</v>
      </c>
      <c r="F30" s="78" t="s">
        <v>111</v>
      </c>
      <c r="G30" s="79">
        <v>454919</v>
      </c>
      <c r="H30" s="79">
        <v>467053</v>
      </c>
      <c r="I30" s="80">
        <v>12134</v>
      </c>
      <c r="J30" s="80">
        <v>11832.170000000002</v>
      </c>
      <c r="K30" s="80">
        <v>301.82999999999811</v>
      </c>
      <c r="L30" s="77" t="s">
        <v>287</v>
      </c>
      <c r="M30" s="77" t="s">
        <v>231</v>
      </c>
    </row>
    <row r="31" spans="1:13" ht="16.5" x14ac:dyDescent="0.25">
      <c r="A31" s="76">
        <v>30</v>
      </c>
      <c r="B31" s="77" t="s">
        <v>288</v>
      </c>
      <c r="C31" s="77" t="s">
        <v>229</v>
      </c>
      <c r="D31" s="78">
        <v>2024</v>
      </c>
      <c r="E31" s="78" t="s">
        <v>111</v>
      </c>
      <c r="F31" s="78" t="s">
        <v>111</v>
      </c>
      <c r="G31" s="79">
        <v>154493</v>
      </c>
      <c r="H31" s="79">
        <v>163443</v>
      </c>
      <c r="I31" s="80">
        <v>8950</v>
      </c>
      <c r="J31" s="80">
        <v>8945.5160000000014</v>
      </c>
      <c r="K31" s="80">
        <v>4.4839999999985594</v>
      </c>
      <c r="L31" s="77" t="s">
        <v>289</v>
      </c>
      <c r="M31" s="77" t="s">
        <v>231</v>
      </c>
    </row>
    <row r="32" spans="1:13" ht="16.5" x14ac:dyDescent="0.25">
      <c r="A32" s="76">
        <v>31</v>
      </c>
      <c r="B32" s="77" t="s">
        <v>290</v>
      </c>
      <c r="C32" s="77" t="s">
        <v>229</v>
      </c>
      <c r="D32" s="78">
        <v>2024</v>
      </c>
      <c r="E32" s="78" t="s">
        <v>111</v>
      </c>
      <c r="F32" s="78" t="s">
        <v>111</v>
      </c>
      <c r="G32" s="79">
        <v>174588</v>
      </c>
      <c r="H32" s="79">
        <v>185487</v>
      </c>
      <c r="I32" s="80">
        <v>10899</v>
      </c>
      <c r="J32" s="80">
        <v>10894.086000000003</v>
      </c>
      <c r="K32" s="80">
        <v>4.9139999999970314</v>
      </c>
      <c r="L32" s="77" t="s">
        <v>291</v>
      </c>
      <c r="M32" s="77" t="s">
        <v>231</v>
      </c>
    </row>
    <row r="33" spans="1:13" ht="16.5" x14ac:dyDescent="0.25">
      <c r="A33" s="76">
        <v>32</v>
      </c>
      <c r="B33" s="77" t="s">
        <v>292</v>
      </c>
      <c r="C33" s="77" t="s">
        <v>229</v>
      </c>
      <c r="D33" s="78">
        <v>2024</v>
      </c>
      <c r="E33" s="78" t="s">
        <v>111</v>
      </c>
      <c r="F33" s="78" t="s">
        <v>111</v>
      </c>
      <c r="G33" s="79">
        <v>173423</v>
      </c>
      <c r="H33" s="79">
        <v>184646</v>
      </c>
      <c r="I33" s="80">
        <v>11223</v>
      </c>
      <c r="J33" s="80">
        <v>11234.600999999999</v>
      </c>
      <c r="K33" s="80">
        <v>-11.600999999998749</v>
      </c>
      <c r="L33" s="77" t="s">
        <v>293</v>
      </c>
      <c r="M33" s="77" t="s">
        <v>231</v>
      </c>
    </row>
    <row r="34" spans="1:13" ht="16.5" x14ac:dyDescent="0.25">
      <c r="A34" s="76">
        <v>33</v>
      </c>
      <c r="B34" s="77" t="s">
        <v>294</v>
      </c>
      <c r="C34" s="77" t="s">
        <v>229</v>
      </c>
      <c r="D34" s="78">
        <v>2024</v>
      </c>
      <c r="E34" s="78" t="s">
        <v>111</v>
      </c>
      <c r="F34" s="78" t="s">
        <v>111</v>
      </c>
      <c r="G34" s="79">
        <v>178421</v>
      </c>
      <c r="H34" s="79">
        <v>189960</v>
      </c>
      <c r="I34" s="80">
        <v>11539</v>
      </c>
      <c r="J34" s="80">
        <v>11537.239</v>
      </c>
      <c r="K34" s="80">
        <v>1.761000000000422</v>
      </c>
      <c r="L34" s="77" t="s">
        <v>295</v>
      </c>
      <c r="M34" s="77" t="s">
        <v>231</v>
      </c>
    </row>
    <row r="35" spans="1:13" ht="16.5" x14ac:dyDescent="0.25">
      <c r="A35" s="76">
        <v>34</v>
      </c>
      <c r="B35" s="77" t="s">
        <v>296</v>
      </c>
      <c r="C35" s="77" t="s">
        <v>229</v>
      </c>
      <c r="D35" s="78">
        <v>2025</v>
      </c>
      <c r="E35" s="78" t="s">
        <v>111</v>
      </c>
      <c r="F35" s="78" t="s">
        <v>111</v>
      </c>
      <c r="G35" s="79">
        <v>124256</v>
      </c>
      <c r="H35" s="79">
        <v>135242</v>
      </c>
      <c r="I35" s="80">
        <v>10986</v>
      </c>
      <c r="J35" s="80">
        <v>10957.511999999999</v>
      </c>
      <c r="K35" s="80">
        <v>28.488000000001193</v>
      </c>
      <c r="L35" s="77" t="s">
        <v>297</v>
      </c>
      <c r="M35" s="77" t="s">
        <v>231</v>
      </c>
    </row>
    <row r="36" spans="1:13" ht="16.5" x14ac:dyDescent="0.25">
      <c r="A36" s="76">
        <v>35</v>
      </c>
      <c r="B36" s="77" t="s">
        <v>298</v>
      </c>
      <c r="C36" s="77" t="s">
        <v>229</v>
      </c>
      <c r="D36" s="78">
        <v>2025</v>
      </c>
      <c r="E36" s="78" t="s">
        <v>111</v>
      </c>
      <c r="F36" s="78" t="s">
        <v>111</v>
      </c>
      <c r="G36" s="79">
        <v>136431</v>
      </c>
      <c r="H36" s="79">
        <v>147741</v>
      </c>
      <c r="I36" s="80">
        <v>11310</v>
      </c>
      <c r="J36" s="80">
        <v>11330.262999999999</v>
      </c>
      <c r="K36" s="80">
        <v>-20.26299999999901</v>
      </c>
      <c r="L36" s="77" t="s">
        <v>299</v>
      </c>
      <c r="M36" s="77" t="s">
        <v>231</v>
      </c>
    </row>
    <row r="37" spans="1:13" ht="16.5" x14ac:dyDescent="0.25">
      <c r="A37" s="76">
        <v>36</v>
      </c>
      <c r="B37" s="77" t="s">
        <v>300</v>
      </c>
      <c r="C37" s="77" t="s">
        <v>229</v>
      </c>
      <c r="D37" s="78">
        <v>2025</v>
      </c>
      <c r="E37" s="78" t="s">
        <v>111</v>
      </c>
      <c r="F37" s="78" t="s">
        <v>111</v>
      </c>
      <c r="G37" s="79">
        <v>145007</v>
      </c>
      <c r="H37" s="79">
        <v>157100</v>
      </c>
      <c r="I37" s="80">
        <v>12093</v>
      </c>
      <c r="J37" s="80">
        <v>12061.956000000002</v>
      </c>
      <c r="K37" s="80">
        <v>31.04399999999805</v>
      </c>
      <c r="L37" s="77" t="s">
        <v>301</v>
      </c>
      <c r="M37" s="77" t="s">
        <v>231</v>
      </c>
    </row>
    <row r="38" spans="1:13" ht="16.5" x14ac:dyDescent="0.25">
      <c r="A38" s="87">
        <v>37</v>
      </c>
      <c r="B38" s="88" t="s">
        <v>302</v>
      </c>
      <c r="C38" s="88" t="s">
        <v>229</v>
      </c>
      <c r="D38" s="86">
        <v>2025</v>
      </c>
      <c r="E38" s="86" t="s">
        <v>111</v>
      </c>
      <c r="F38" s="86" t="s">
        <v>111</v>
      </c>
      <c r="G38" s="79">
        <v>135914</v>
      </c>
      <c r="H38" s="79">
        <v>146536</v>
      </c>
      <c r="I38" s="80">
        <v>10622</v>
      </c>
      <c r="J38" s="80">
        <v>10495.400000000003</v>
      </c>
      <c r="K38" s="80">
        <v>126.59999999999673</v>
      </c>
      <c r="L38" s="77" t="s">
        <v>303</v>
      </c>
      <c r="M38" s="88" t="s">
        <v>231</v>
      </c>
    </row>
    <row r="39" spans="1:13" ht="16.5" x14ac:dyDescent="0.25">
      <c r="A39" s="76">
        <v>38</v>
      </c>
      <c r="B39" s="89" t="s">
        <v>304</v>
      </c>
      <c r="C39" s="90" t="s">
        <v>229</v>
      </c>
      <c r="D39" s="91">
        <v>2025</v>
      </c>
      <c r="E39" s="78" t="s">
        <v>111</v>
      </c>
      <c r="F39" s="91" t="s">
        <v>111</v>
      </c>
      <c r="G39" s="79">
        <v>130671</v>
      </c>
      <c r="H39" s="79">
        <v>140425</v>
      </c>
      <c r="I39" s="80">
        <v>9754</v>
      </c>
      <c r="J39" s="80">
        <v>10100.685000000001</v>
      </c>
      <c r="K39" s="80">
        <v>-346.68500000000131</v>
      </c>
      <c r="L39" s="77" t="s">
        <v>305</v>
      </c>
      <c r="M39" s="77" t="s">
        <v>231</v>
      </c>
    </row>
    <row r="40" spans="1:13" ht="16.5" x14ac:dyDescent="0.25">
      <c r="A40" s="76">
        <v>39</v>
      </c>
      <c r="B40" s="89" t="s">
        <v>306</v>
      </c>
      <c r="C40" s="90" t="s">
        <v>229</v>
      </c>
      <c r="D40" s="91">
        <v>2025</v>
      </c>
      <c r="E40" s="78" t="s">
        <v>111</v>
      </c>
      <c r="F40" s="91" t="s">
        <v>111</v>
      </c>
      <c r="G40" s="79">
        <v>138342</v>
      </c>
      <c r="H40" s="79">
        <v>149788</v>
      </c>
      <c r="I40" s="80">
        <v>11446</v>
      </c>
      <c r="J40" s="80">
        <v>11447.546999999999</v>
      </c>
      <c r="K40" s="80">
        <v>-1.5469999999986612</v>
      </c>
      <c r="L40" s="77" t="s">
        <v>307</v>
      </c>
      <c r="M40" s="77" t="s">
        <v>231</v>
      </c>
    </row>
    <row r="41" spans="1:13" ht="16.5" x14ac:dyDescent="0.25">
      <c r="A41" s="76">
        <v>40</v>
      </c>
      <c r="B41" s="92" t="s">
        <v>27</v>
      </c>
      <c r="C41" s="77" t="s">
        <v>110</v>
      </c>
      <c r="D41" s="78">
        <v>2024</v>
      </c>
      <c r="E41" s="78" t="s">
        <v>111</v>
      </c>
      <c r="F41" s="78" t="s">
        <v>111</v>
      </c>
      <c r="G41" s="79">
        <v>94055</v>
      </c>
      <c r="H41" s="79">
        <v>99564</v>
      </c>
      <c r="I41" s="80">
        <v>5509</v>
      </c>
      <c r="J41" s="80">
        <v>5569.3689999999988</v>
      </c>
      <c r="K41" s="80">
        <v>-60.368999999998778</v>
      </c>
      <c r="L41" s="77" t="s">
        <v>112</v>
      </c>
      <c r="M41" s="77" t="s">
        <v>113</v>
      </c>
    </row>
    <row r="42" spans="1:13" ht="16.5" x14ac:dyDescent="0.25">
      <c r="A42" s="76">
        <v>41</v>
      </c>
      <c r="B42" s="92" t="s">
        <v>23</v>
      </c>
      <c r="C42" s="77" t="s">
        <v>110</v>
      </c>
      <c r="D42" s="78">
        <v>2024</v>
      </c>
      <c r="E42" s="78" t="s">
        <v>111</v>
      </c>
      <c r="F42" s="78" t="s">
        <v>111</v>
      </c>
      <c r="G42" s="79">
        <v>91656</v>
      </c>
      <c r="H42" s="79">
        <v>96572</v>
      </c>
      <c r="I42" s="80">
        <v>4916</v>
      </c>
      <c r="J42" s="80">
        <v>4852.6289999999981</v>
      </c>
      <c r="K42" s="80">
        <v>63.371000000001914</v>
      </c>
      <c r="L42" s="77" t="s">
        <v>112</v>
      </c>
      <c r="M42" s="77" t="s">
        <v>113</v>
      </c>
    </row>
    <row r="43" spans="1:13" ht="16.5" x14ac:dyDescent="0.25">
      <c r="A43" s="76">
        <v>42</v>
      </c>
      <c r="B43" s="92" t="s">
        <v>31</v>
      </c>
      <c r="C43" s="77" t="s">
        <v>110</v>
      </c>
      <c r="D43" s="78">
        <v>2024</v>
      </c>
      <c r="E43" s="78" t="s">
        <v>111</v>
      </c>
      <c r="F43" s="78" t="s">
        <v>111</v>
      </c>
      <c r="G43" s="79">
        <v>63075</v>
      </c>
      <c r="H43" s="79">
        <v>66139</v>
      </c>
      <c r="I43" s="80">
        <v>3064</v>
      </c>
      <c r="J43" s="80">
        <v>3072.1950000000002</v>
      </c>
      <c r="K43" s="80">
        <v>-8.1950000000001637</v>
      </c>
      <c r="L43" s="77" t="s">
        <v>112</v>
      </c>
      <c r="M43" s="77" t="s">
        <v>113</v>
      </c>
    </row>
    <row r="44" spans="1:13" ht="16.5" x14ac:dyDescent="0.25">
      <c r="A44" s="76">
        <v>43</v>
      </c>
      <c r="B44" s="92" t="s">
        <v>28</v>
      </c>
      <c r="C44" s="77" t="s">
        <v>110</v>
      </c>
      <c r="D44" s="78">
        <v>2024</v>
      </c>
      <c r="E44" s="78" t="s">
        <v>111</v>
      </c>
      <c r="F44" s="78" t="s">
        <v>111</v>
      </c>
      <c r="G44" s="79">
        <v>79569</v>
      </c>
      <c r="H44" s="79">
        <v>84399</v>
      </c>
      <c r="I44" s="80">
        <v>4830</v>
      </c>
      <c r="J44" s="80">
        <v>4845.1710000000012</v>
      </c>
      <c r="K44" s="80">
        <v>-15.171000000001186</v>
      </c>
      <c r="L44" s="77" t="s">
        <v>112</v>
      </c>
      <c r="M44" s="77" t="s">
        <v>113</v>
      </c>
    </row>
    <row r="45" spans="1:13" ht="16.5" x14ac:dyDescent="0.25">
      <c r="A45" s="76">
        <v>44</v>
      </c>
      <c r="B45" s="77" t="s">
        <v>29</v>
      </c>
      <c r="C45" s="77" t="s">
        <v>110</v>
      </c>
      <c r="D45" s="78">
        <v>2024</v>
      </c>
      <c r="E45" s="78" t="s">
        <v>111</v>
      </c>
      <c r="F45" s="78" t="s">
        <v>111</v>
      </c>
      <c r="G45" s="79">
        <v>77315</v>
      </c>
      <c r="H45" s="79">
        <v>81468</v>
      </c>
      <c r="I45" s="80">
        <v>4153</v>
      </c>
      <c r="J45" s="80">
        <v>4118.893</v>
      </c>
      <c r="K45" s="80">
        <v>34.106999999999971</v>
      </c>
      <c r="L45" s="77" t="s">
        <v>112</v>
      </c>
      <c r="M45" s="77" t="s">
        <v>113</v>
      </c>
    </row>
    <row r="46" spans="1:13" ht="16.5" x14ac:dyDescent="0.25">
      <c r="A46" s="76">
        <v>45</v>
      </c>
      <c r="B46" s="77" t="s">
        <v>32</v>
      </c>
      <c r="C46" s="77" t="s">
        <v>110</v>
      </c>
      <c r="D46" s="78">
        <v>2024</v>
      </c>
      <c r="E46" s="78" t="s">
        <v>111</v>
      </c>
      <c r="F46" s="78" t="s">
        <v>111</v>
      </c>
      <c r="G46" s="79">
        <v>73268.33</v>
      </c>
      <c r="H46" s="79">
        <v>73925</v>
      </c>
      <c r="I46" s="80">
        <v>656.66999999999825</v>
      </c>
      <c r="J46" s="80">
        <v>633.89699999999993</v>
      </c>
      <c r="K46" s="80">
        <v>22.772999999998319</v>
      </c>
      <c r="L46" s="77" t="s">
        <v>112</v>
      </c>
      <c r="M46" s="77" t="s">
        <v>113</v>
      </c>
    </row>
    <row r="47" spans="1:13" ht="16.5" x14ac:dyDescent="0.25">
      <c r="A47" s="76">
        <v>46</v>
      </c>
      <c r="B47" s="92" t="s">
        <v>26</v>
      </c>
      <c r="C47" s="77" t="s">
        <v>110</v>
      </c>
      <c r="D47" s="78">
        <v>2024</v>
      </c>
      <c r="E47" s="78" t="s">
        <v>111</v>
      </c>
      <c r="F47" s="78" t="s">
        <v>111</v>
      </c>
      <c r="G47" s="79">
        <v>87190</v>
      </c>
      <c r="H47" s="79">
        <v>91704</v>
      </c>
      <c r="I47" s="80">
        <v>4514</v>
      </c>
      <c r="J47" s="80">
        <v>4519.9819999999991</v>
      </c>
      <c r="K47" s="80">
        <v>-5.9819999999990614</v>
      </c>
      <c r="L47" s="77" t="s">
        <v>112</v>
      </c>
      <c r="M47" s="77" t="s">
        <v>113</v>
      </c>
    </row>
    <row r="48" spans="1:13" ht="16.5" x14ac:dyDescent="0.25">
      <c r="A48" s="76">
        <v>47</v>
      </c>
      <c r="B48" s="77" t="s">
        <v>25</v>
      </c>
      <c r="C48" s="77" t="s">
        <v>110</v>
      </c>
      <c r="D48" s="78">
        <v>2024</v>
      </c>
      <c r="E48" s="78" t="s">
        <v>111</v>
      </c>
      <c r="F48" s="78" t="s">
        <v>111</v>
      </c>
      <c r="G48" s="79">
        <v>75339</v>
      </c>
      <c r="H48" s="79">
        <v>78736</v>
      </c>
      <c r="I48" s="80">
        <v>3397</v>
      </c>
      <c r="J48" s="80">
        <v>3374.6889999999999</v>
      </c>
      <c r="K48" s="80">
        <v>22.311000000000149</v>
      </c>
      <c r="L48" s="77" t="s">
        <v>112</v>
      </c>
      <c r="M48" s="77" t="s">
        <v>113</v>
      </c>
    </row>
    <row r="49" spans="1:13" ht="16.5" x14ac:dyDescent="0.25">
      <c r="A49" s="76">
        <v>48</v>
      </c>
      <c r="B49" s="77" t="s">
        <v>61</v>
      </c>
      <c r="C49" s="77" t="s">
        <v>110</v>
      </c>
      <c r="D49" s="78">
        <v>2024</v>
      </c>
      <c r="E49" s="78" t="s">
        <v>111</v>
      </c>
      <c r="F49" s="78" t="s">
        <v>111</v>
      </c>
      <c r="G49" s="79">
        <v>61633</v>
      </c>
      <c r="H49" s="79">
        <v>64861</v>
      </c>
      <c r="I49" s="80">
        <v>3228</v>
      </c>
      <c r="J49" s="80">
        <v>3217.6680000000006</v>
      </c>
      <c r="K49" s="80">
        <v>10.331999999999425</v>
      </c>
      <c r="L49" s="77" t="s">
        <v>112</v>
      </c>
      <c r="M49" s="77" t="s">
        <v>113</v>
      </c>
    </row>
    <row r="50" spans="1:13" ht="16.5" x14ac:dyDescent="0.25">
      <c r="A50" s="76">
        <v>49</v>
      </c>
      <c r="B50" s="77" t="s">
        <v>30</v>
      </c>
      <c r="C50" s="77" t="s">
        <v>110</v>
      </c>
      <c r="D50" s="78">
        <v>2024</v>
      </c>
      <c r="E50" s="78" t="s">
        <v>111</v>
      </c>
      <c r="F50" s="78" t="s">
        <v>111</v>
      </c>
      <c r="G50" s="79">
        <v>75088</v>
      </c>
      <c r="H50" s="79">
        <v>78305</v>
      </c>
      <c r="I50" s="80">
        <v>3217</v>
      </c>
      <c r="J50" s="80">
        <v>3224.9760000000001</v>
      </c>
      <c r="K50" s="80">
        <v>-7.9760000000001128</v>
      </c>
      <c r="L50" s="77" t="s">
        <v>112</v>
      </c>
      <c r="M50" s="77" t="s">
        <v>113</v>
      </c>
    </row>
    <row r="51" spans="1:13" ht="16.5" x14ac:dyDescent="0.25">
      <c r="A51" s="76">
        <v>50</v>
      </c>
      <c r="B51" s="89" t="s">
        <v>33</v>
      </c>
      <c r="C51" s="90" t="s">
        <v>110</v>
      </c>
      <c r="D51" s="91">
        <v>2025</v>
      </c>
      <c r="E51" s="91" t="s">
        <v>111</v>
      </c>
      <c r="F51" s="91" t="s">
        <v>111</v>
      </c>
      <c r="G51" s="79">
        <v>69560</v>
      </c>
      <c r="H51" s="79">
        <v>74678</v>
      </c>
      <c r="I51" s="80">
        <v>5118</v>
      </c>
      <c r="J51" s="80">
        <v>5188.75</v>
      </c>
      <c r="K51" s="80">
        <v>-70.75</v>
      </c>
      <c r="L51" s="77" t="s">
        <v>112</v>
      </c>
      <c r="M51" s="77" t="s">
        <v>113</v>
      </c>
    </row>
    <row r="52" spans="1:13" ht="16.5" x14ac:dyDescent="0.25">
      <c r="A52" s="76">
        <v>51</v>
      </c>
      <c r="B52" s="89" t="s">
        <v>35</v>
      </c>
      <c r="C52" s="90" t="s">
        <v>110</v>
      </c>
      <c r="D52" s="91">
        <v>2025</v>
      </c>
      <c r="E52" s="91" t="s">
        <v>111</v>
      </c>
      <c r="F52" s="91" t="s">
        <v>111</v>
      </c>
      <c r="G52" s="79">
        <v>67716</v>
      </c>
      <c r="H52" s="79">
        <v>72407</v>
      </c>
      <c r="I52" s="80">
        <v>4691</v>
      </c>
      <c r="J52" s="80">
        <v>4598.4139999999998</v>
      </c>
      <c r="K52" s="80">
        <v>92.58600000000024</v>
      </c>
      <c r="L52" s="77" t="s">
        <v>112</v>
      </c>
      <c r="M52" s="77" t="s">
        <v>113</v>
      </c>
    </row>
    <row r="53" spans="1:13" ht="16.5" x14ac:dyDescent="0.25">
      <c r="A53" s="76">
        <v>52</v>
      </c>
      <c r="B53" s="89" t="s">
        <v>34</v>
      </c>
      <c r="C53" s="90" t="s">
        <v>110</v>
      </c>
      <c r="D53" s="91">
        <v>2025</v>
      </c>
      <c r="E53" s="91" t="s">
        <v>111</v>
      </c>
      <c r="F53" s="91" t="s">
        <v>111</v>
      </c>
      <c r="G53" s="79">
        <v>59336</v>
      </c>
      <c r="H53" s="79">
        <v>64402</v>
      </c>
      <c r="I53" s="80">
        <v>5066</v>
      </c>
      <c r="J53" s="80">
        <v>5118.492000000002</v>
      </c>
      <c r="K53" s="80">
        <v>-52.492000000002008</v>
      </c>
      <c r="L53" s="77" t="s">
        <v>112</v>
      </c>
      <c r="M53" s="77" t="s">
        <v>113</v>
      </c>
    </row>
    <row r="54" spans="1:13" ht="16.5" x14ac:dyDescent="0.25">
      <c r="A54" s="76">
        <v>53</v>
      </c>
      <c r="B54" s="77" t="s">
        <v>36</v>
      </c>
      <c r="C54" s="77" t="s">
        <v>110</v>
      </c>
      <c r="D54" s="78">
        <v>2025</v>
      </c>
      <c r="E54" s="78" t="s">
        <v>111</v>
      </c>
      <c r="F54" s="78" t="s">
        <v>111</v>
      </c>
      <c r="G54" s="79">
        <v>67005</v>
      </c>
      <c r="H54" s="79">
        <v>71522</v>
      </c>
      <c r="I54" s="80">
        <v>4517</v>
      </c>
      <c r="J54" s="80">
        <v>4594.9430000000002</v>
      </c>
      <c r="K54" s="80">
        <v>-77.943000000000211</v>
      </c>
      <c r="L54" s="77" t="s">
        <v>112</v>
      </c>
      <c r="M54" s="77" t="s">
        <v>113</v>
      </c>
    </row>
    <row r="55" spans="1:13" ht="16.5" x14ac:dyDescent="0.25">
      <c r="A55" s="76">
        <v>54</v>
      </c>
      <c r="B55" s="77" t="s">
        <v>37</v>
      </c>
      <c r="C55" s="77" t="s">
        <v>110</v>
      </c>
      <c r="D55" s="78">
        <v>2025</v>
      </c>
      <c r="E55" s="78" t="s">
        <v>111</v>
      </c>
      <c r="F55" s="78" t="s">
        <v>111</v>
      </c>
      <c r="G55" s="79">
        <v>63111</v>
      </c>
      <c r="H55" s="79">
        <v>66132</v>
      </c>
      <c r="I55" s="80">
        <v>3021</v>
      </c>
      <c r="J55" s="80">
        <v>3045.982</v>
      </c>
      <c r="K55" s="80">
        <v>-24.981999999999971</v>
      </c>
      <c r="L55" s="77" t="s">
        <v>112</v>
      </c>
      <c r="M55" s="77" t="s">
        <v>113</v>
      </c>
    </row>
    <row r="56" spans="1:13" ht="16.5" x14ac:dyDescent="0.25">
      <c r="A56" s="76">
        <v>55</v>
      </c>
      <c r="B56" s="92" t="s">
        <v>20</v>
      </c>
      <c r="C56" s="77" t="s">
        <v>114</v>
      </c>
      <c r="D56" s="78">
        <v>2024</v>
      </c>
      <c r="E56" s="78" t="s">
        <v>111</v>
      </c>
      <c r="F56" s="78" t="s">
        <v>111</v>
      </c>
      <c r="G56" s="79">
        <v>117400.05</v>
      </c>
      <c r="H56" s="79">
        <v>120465</v>
      </c>
      <c r="I56" s="80">
        <v>3064.9499999999971</v>
      </c>
      <c r="J56" s="80">
        <v>2901.9480000000003</v>
      </c>
      <c r="K56" s="80">
        <v>163.00199999999677</v>
      </c>
      <c r="L56" s="77" t="s">
        <v>112</v>
      </c>
      <c r="M56" s="77" t="s">
        <v>113</v>
      </c>
    </row>
    <row r="57" spans="1:13" ht="16.5" x14ac:dyDescent="0.25">
      <c r="A57" s="76">
        <v>56</v>
      </c>
      <c r="B57" s="92" t="s">
        <v>22</v>
      </c>
      <c r="C57" s="77" t="s">
        <v>114</v>
      </c>
      <c r="D57" s="78">
        <v>2024</v>
      </c>
      <c r="E57" s="78" t="s">
        <v>111</v>
      </c>
      <c r="F57" s="78" t="s">
        <v>111</v>
      </c>
      <c r="G57" s="79">
        <v>112162</v>
      </c>
      <c r="H57" s="79">
        <v>114615</v>
      </c>
      <c r="I57" s="80">
        <v>2453</v>
      </c>
      <c r="J57" s="80">
        <v>2978.9919999999997</v>
      </c>
      <c r="K57" s="80">
        <v>-525.99199999999973</v>
      </c>
      <c r="L57" s="77" t="s">
        <v>112</v>
      </c>
      <c r="M57" s="77" t="s">
        <v>113</v>
      </c>
    </row>
    <row r="58" spans="1:13" ht="16.5" x14ac:dyDescent="0.25">
      <c r="A58" s="76">
        <v>57</v>
      </c>
      <c r="B58" s="77" t="s">
        <v>38</v>
      </c>
      <c r="C58" s="77" t="s">
        <v>114</v>
      </c>
      <c r="D58" s="78">
        <v>2024</v>
      </c>
      <c r="E58" s="78" t="s">
        <v>111</v>
      </c>
      <c r="F58" s="78" t="s">
        <v>111</v>
      </c>
      <c r="G58" s="79">
        <v>100650</v>
      </c>
      <c r="H58" s="79">
        <v>102137</v>
      </c>
      <c r="I58" s="80">
        <v>1487</v>
      </c>
      <c r="J58" s="80">
        <v>1499.2250000000004</v>
      </c>
      <c r="K58" s="80">
        <v>-12.225000000000364</v>
      </c>
      <c r="L58" s="77" t="s">
        <v>112</v>
      </c>
      <c r="M58" s="77" t="s">
        <v>113</v>
      </c>
    </row>
    <row r="59" spans="1:13" ht="16.5" x14ac:dyDescent="0.25">
      <c r="A59" s="76">
        <v>58</v>
      </c>
      <c r="B59" s="83" t="s">
        <v>179</v>
      </c>
      <c r="C59" s="83" t="s">
        <v>229</v>
      </c>
      <c r="D59" s="78">
        <v>2019</v>
      </c>
      <c r="E59" s="78" t="s">
        <v>111</v>
      </c>
      <c r="F59" s="78" t="s">
        <v>111</v>
      </c>
      <c r="G59" s="79">
        <v>556326.43000000005</v>
      </c>
      <c r="H59" s="79">
        <v>558145</v>
      </c>
      <c r="I59" s="80">
        <v>1818.5699999999488</v>
      </c>
      <c r="J59" s="80">
        <v>1351.7080000000001</v>
      </c>
      <c r="K59" s="80">
        <v>466.86199999994869</v>
      </c>
      <c r="L59" s="77" t="s">
        <v>112</v>
      </c>
      <c r="M59" s="77" t="s">
        <v>113</v>
      </c>
    </row>
    <row r="60" spans="1:13" ht="16.5" x14ac:dyDescent="0.25">
      <c r="A60" s="76">
        <v>59</v>
      </c>
      <c r="B60" s="83" t="s">
        <v>178</v>
      </c>
      <c r="C60" s="83" t="s">
        <v>229</v>
      </c>
      <c r="D60" s="78">
        <v>2019</v>
      </c>
      <c r="E60" s="78" t="s">
        <v>111</v>
      </c>
      <c r="F60" s="78" t="s">
        <v>111</v>
      </c>
      <c r="G60" s="79">
        <v>554952.86</v>
      </c>
      <c r="H60" s="79">
        <v>557385</v>
      </c>
      <c r="I60" s="80">
        <v>2432.140000000014</v>
      </c>
      <c r="J60" s="80">
        <v>2080.6029999999996</v>
      </c>
      <c r="K60" s="80">
        <v>351.53700000001436</v>
      </c>
      <c r="L60" s="77" t="s">
        <v>112</v>
      </c>
      <c r="M60" s="77" t="s">
        <v>113</v>
      </c>
    </row>
    <row r="61" spans="1:13" ht="16.5" x14ac:dyDescent="0.25">
      <c r="A61" s="76">
        <v>60</v>
      </c>
      <c r="B61" s="83" t="s">
        <v>177</v>
      </c>
      <c r="C61" s="83" t="s">
        <v>229</v>
      </c>
      <c r="D61" s="78">
        <v>2019</v>
      </c>
      <c r="E61" s="78" t="s">
        <v>111</v>
      </c>
      <c r="F61" s="78" t="s">
        <v>111</v>
      </c>
      <c r="G61" s="79">
        <v>540228.63</v>
      </c>
      <c r="H61" s="79">
        <v>543067</v>
      </c>
      <c r="I61" s="80">
        <v>2838.3699999999953</v>
      </c>
      <c r="J61" s="80">
        <v>2767.6710000000003</v>
      </c>
      <c r="K61" s="80">
        <v>70.698999999995067</v>
      </c>
      <c r="L61" s="77" t="s">
        <v>112</v>
      </c>
      <c r="M61" s="77" t="s">
        <v>113</v>
      </c>
    </row>
    <row r="62" spans="1:13" ht="16.5" x14ac:dyDescent="0.25">
      <c r="A62" s="76">
        <v>61</v>
      </c>
      <c r="B62" s="92" t="s">
        <v>308</v>
      </c>
      <c r="C62" s="77" t="s">
        <v>229</v>
      </c>
      <c r="D62" s="78">
        <v>2022</v>
      </c>
      <c r="E62" s="78" t="s">
        <v>309</v>
      </c>
      <c r="F62" s="86" t="s">
        <v>111</v>
      </c>
      <c r="G62" s="79">
        <v>564580</v>
      </c>
      <c r="H62" s="79">
        <v>574991</v>
      </c>
      <c r="I62" s="80">
        <v>10411</v>
      </c>
      <c r="J62" s="80">
        <v>10568.583999999999</v>
      </c>
      <c r="K62" s="80">
        <v>-157.58399999999892</v>
      </c>
      <c r="L62" s="77" t="s">
        <v>310</v>
      </c>
      <c r="M62" s="77" t="s">
        <v>231</v>
      </c>
    </row>
    <row r="63" spans="1:13" ht="16.5" x14ac:dyDescent="0.25">
      <c r="A63" s="87">
        <v>62</v>
      </c>
      <c r="B63" s="88" t="s">
        <v>311</v>
      </c>
      <c r="C63" s="88" t="s">
        <v>229</v>
      </c>
      <c r="D63" s="86">
        <v>2024</v>
      </c>
      <c r="E63" s="78" t="s">
        <v>309</v>
      </c>
      <c r="F63" s="86" t="s">
        <v>111</v>
      </c>
      <c r="G63" s="79">
        <v>243448</v>
      </c>
      <c r="H63" s="79">
        <v>254760</v>
      </c>
      <c r="I63" s="80">
        <v>11312</v>
      </c>
      <c r="J63" s="80">
        <v>11310.030999999999</v>
      </c>
      <c r="K63" s="80">
        <v>1.9690000000009604</v>
      </c>
      <c r="L63" s="77" t="s">
        <v>312</v>
      </c>
      <c r="M63" s="88" t="s">
        <v>231</v>
      </c>
    </row>
    <row r="64" spans="1:13" ht="16.5" x14ac:dyDescent="0.25">
      <c r="A64" s="76">
        <v>63</v>
      </c>
      <c r="B64" s="92" t="s">
        <v>313</v>
      </c>
      <c r="C64" s="77" t="s">
        <v>314</v>
      </c>
      <c r="D64" s="78">
        <v>2025</v>
      </c>
      <c r="E64" s="78" t="s">
        <v>309</v>
      </c>
      <c r="F64" s="78" t="s">
        <v>111</v>
      </c>
      <c r="G64" s="79">
        <v>141722</v>
      </c>
      <c r="H64" s="79">
        <v>153032</v>
      </c>
      <c r="I64" s="80">
        <v>11310</v>
      </c>
      <c r="J64" s="80">
        <v>11236.985000000002</v>
      </c>
      <c r="K64" s="80">
        <v>73.014999999997599</v>
      </c>
      <c r="L64" s="77" t="s">
        <v>315</v>
      </c>
      <c r="M64" s="77" t="s">
        <v>231</v>
      </c>
    </row>
    <row r="65" spans="1:13" ht="16.5" x14ac:dyDescent="0.25">
      <c r="A65" s="76">
        <v>64</v>
      </c>
      <c r="B65" s="77" t="s">
        <v>316</v>
      </c>
      <c r="C65" s="77" t="s">
        <v>229</v>
      </c>
      <c r="D65" s="78">
        <v>2023</v>
      </c>
      <c r="E65" s="78" t="s">
        <v>111</v>
      </c>
      <c r="F65" s="78" t="s">
        <v>111</v>
      </c>
      <c r="G65" s="79">
        <v>360646</v>
      </c>
      <c r="H65" s="79">
        <v>370192</v>
      </c>
      <c r="I65" s="80">
        <v>9546</v>
      </c>
      <c r="J65" s="80">
        <v>9851.3339999999989</v>
      </c>
      <c r="K65" s="80">
        <v>-305.33399999999892</v>
      </c>
      <c r="L65" s="77" t="s">
        <v>317</v>
      </c>
      <c r="M65" s="77" t="s">
        <v>231</v>
      </c>
    </row>
    <row r="66" spans="1:13" ht="16.5" x14ac:dyDescent="0.25">
      <c r="A66" s="76">
        <v>65</v>
      </c>
      <c r="B66" s="77" t="s">
        <v>318</v>
      </c>
      <c r="C66" s="77" t="s">
        <v>229</v>
      </c>
      <c r="D66" s="78">
        <v>2023</v>
      </c>
      <c r="E66" s="78" t="s">
        <v>111</v>
      </c>
      <c r="F66" s="78" t="s">
        <v>111</v>
      </c>
      <c r="G66" s="79">
        <v>382448</v>
      </c>
      <c r="H66" s="79">
        <v>391834</v>
      </c>
      <c r="I66" s="80">
        <v>9386</v>
      </c>
      <c r="J66" s="80">
        <v>9193.4459999999981</v>
      </c>
      <c r="K66" s="80">
        <v>192.55400000000191</v>
      </c>
      <c r="L66" s="77" t="s">
        <v>319</v>
      </c>
      <c r="M66" s="77" t="s">
        <v>231</v>
      </c>
    </row>
  </sheetData>
  <conditionalFormatting sqref="B1:B66">
    <cfRule type="duplicateValues" dxfId="1" priority="2"/>
  </conditionalFormatting>
  <conditionalFormatting sqref="L1:L6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Tóm tắt CP</vt:lpstr>
      <vt:lpstr>Chi tiết</vt:lpstr>
      <vt:lpstr>Doanh thu CN</vt:lpstr>
      <vt:lpstr>KM sử dụng T5</vt:lpstr>
      <vt:lpstr>Đơn giá SCBD</vt:lpstr>
      <vt:lpstr>VPP</vt:lpstr>
      <vt:lpstr>PTQL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Diep Do Thi Ngoc</dc:creator>
  <cp:lastModifiedBy>Liên Ngọc</cp:lastModifiedBy>
  <dcterms:created xsi:type="dcterms:W3CDTF">2026-02-06T07:06:48Z</dcterms:created>
  <dcterms:modified xsi:type="dcterms:W3CDTF">2026-07-04T11:02:57Z</dcterms:modified>
</cp:coreProperties>
</file>