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HƯƠNG ANH 2024\PHƯƠNG ANH 2024\DỮ LIỆU LƯƠNG 2024\DỮ LIỆU LƯƠNG 2025\DỮ LIỆU LƯƠNG NĂM 2026\DỮ LIỆU TÍNH LƯƠNG 2026\THÁNG 5.2026\"/>
    </mc:Choice>
  </mc:AlternateContent>
  <xr:revisionPtr revIDLastSave="0" documentId="13_ncr:1_{96406832-0678-41D0-ABE0-A2C54B632F7E}" xr6:coauthVersionLast="47" xr6:coauthVersionMax="47" xr10:uidLastSave="{00000000-0000-0000-0000-000000000000}"/>
  <bookViews>
    <workbookView xWindow="-120" yWindow="-120" windowWidth="29040" windowHeight="15840" activeTab="1" xr2:uid="{F9FCE395-047A-4F7E-B8C1-83665A496473}"/>
  </bookViews>
  <sheets>
    <sheet name="Tóm tắt CP" sheetId="2" r:id="rId1"/>
    <sheet name="Chi tiết T4" sheetId="1" r:id="rId2"/>
    <sheet name="Đơn giá SCBD" sheetId="4" r:id="rId3"/>
    <sheet name="Doanh thu CN" sheetId="3" r:id="rId4"/>
  </sheets>
  <definedNames>
    <definedName name="_xlnm._FilterDatabase" localSheetId="1" hidden="1">'Chi tiết T4'!$A$1:$P$195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3" i="1" l="1"/>
  <c r="N203" i="1" s="1"/>
  <c r="O202" i="1" l="1"/>
  <c r="N202" i="1" s="1"/>
  <c r="A202" i="1"/>
  <c r="O201" i="1"/>
  <c r="N201" i="1" s="1"/>
  <c r="A201" i="1"/>
  <c r="O200" i="1"/>
  <c r="N200" i="1" s="1"/>
  <c r="A200" i="1"/>
  <c r="O190" i="1"/>
  <c r="N190" i="1" s="1"/>
  <c r="A190" i="1"/>
  <c r="O189" i="1"/>
  <c r="N189" i="1" s="1"/>
  <c r="A189" i="1"/>
  <c r="O188" i="1"/>
  <c r="N188" i="1" s="1"/>
  <c r="A188" i="1"/>
  <c r="O187" i="1"/>
  <c r="N187" i="1" s="1"/>
  <c r="A187" i="1"/>
  <c r="O177" i="1"/>
  <c r="N177" i="1" s="1"/>
  <c r="A177" i="1"/>
  <c r="O181" i="1"/>
  <c r="N181" i="1" s="1"/>
  <c r="A181" i="1"/>
  <c r="O180" i="1"/>
  <c r="N180" i="1" s="1"/>
  <c r="A180" i="1"/>
  <c r="O174" i="1"/>
  <c r="O175" i="1"/>
  <c r="N175" i="1" s="1"/>
  <c r="O176" i="1"/>
  <c r="N176" i="1" s="1"/>
  <c r="O178" i="1"/>
  <c r="N178" i="1" s="1"/>
  <c r="O179" i="1"/>
  <c r="N179" i="1" s="1"/>
  <c r="O182" i="1"/>
  <c r="N182" i="1" s="1"/>
  <c r="O183" i="1"/>
  <c r="N183" i="1" s="1"/>
  <c r="O184" i="1"/>
  <c r="N184" i="1" s="1"/>
  <c r="O185" i="1"/>
  <c r="N185" i="1" s="1"/>
  <c r="O186" i="1"/>
  <c r="N186" i="1" s="1"/>
  <c r="O191" i="1"/>
  <c r="N191" i="1" s="1"/>
  <c r="O192" i="1"/>
  <c r="N192" i="1" s="1"/>
  <c r="O193" i="1"/>
  <c r="N193" i="1" s="1"/>
  <c r="O194" i="1"/>
  <c r="N194" i="1" s="1"/>
  <c r="O195" i="1"/>
  <c r="N195" i="1" s="1"/>
  <c r="O196" i="1"/>
  <c r="N196" i="1" s="1"/>
  <c r="O197" i="1"/>
  <c r="N197" i="1" s="1"/>
  <c r="O198" i="1"/>
  <c r="N198" i="1" s="1"/>
  <c r="O199" i="1"/>
  <c r="N199" i="1" s="1"/>
  <c r="E10" i="2" l="1"/>
  <c r="A196" i="1"/>
  <c r="D10" i="2"/>
  <c r="C10" i="2"/>
  <c r="A199" i="1" l="1"/>
  <c r="A198" i="1"/>
  <c r="A197" i="1"/>
  <c r="A176" i="1"/>
  <c r="O173" i="1"/>
  <c r="N173" i="1" s="1"/>
  <c r="A173" i="1"/>
  <c r="O172" i="1"/>
  <c r="N172" i="1" s="1"/>
  <c r="A172" i="1"/>
  <c r="O171" i="1"/>
  <c r="N171" i="1" s="1"/>
  <c r="A171" i="1"/>
  <c r="O170" i="1"/>
  <c r="N170" i="1" s="1"/>
  <c r="A170" i="1"/>
  <c r="O169" i="1"/>
  <c r="N169" i="1" s="1"/>
  <c r="A169" i="1"/>
  <c r="O168" i="1"/>
  <c r="N168" i="1" s="1"/>
  <c r="A168" i="1"/>
  <c r="O167" i="1"/>
  <c r="N167" i="1" s="1"/>
  <c r="A167" i="1"/>
  <c r="O166" i="1"/>
  <c r="N166" i="1" s="1"/>
  <c r="A166" i="1"/>
  <c r="O165" i="1"/>
  <c r="N165" i="1" s="1"/>
  <c r="A165" i="1"/>
  <c r="O164" i="1"/>
  <c r="N164" i="1" s="1"/>
  <c r="A164" i="1"/>
  <c r="O163" i="1"/>
  <c r="N163" i="1" s="1"/>
  <c r="A163" i="1"/>
  <c r="O162" i="1"/>
  <c r="N162" i="1" s="1"/>
  <c r="A162" i="1"/>
  <c r="O161" i="1"/>
  <c r="N161" i="1" s="1"/>
  <c r="A161" i="1"/>
  <c r="O160" i="1"/>
  <c r="N160" i="1" s="1"/>
  <c r="A160" i="1"/>
  <c r="O159" i="1"/>
  <c r="N159" i="1" s="1"/>
  <c r="A159" i="1"/>
  <c r="O158" i="1"/>
  <c r="N158" i="1" s="1"/>
  <c r="A158" i="1"/>
  <c r="O157" i="1"/>
  <c r="N157" i="1" s="1"/>
  <c r="A157" i="1"/>
  <c r="O29" i="1" l="1"/>
  <c r="N29" i="1" s="1"/>
  <c r="A29" i="1"/>
  <c r="O28" i="1"/>
  <c r="N28" i="1" s="1"/>
  <c r="A28" i="1"/>
  <c r="A186" i="1" l="1"/>
  <c r="H10" i="2" l="1"/>
  <c r="I10" i="2"/>
  <c r="J10" i="2"/>
  <c r="K10" i="2"/>
  <c r="L10" i="2"/>
  <c r="M10" i="2"/>
  <c r="N10" i="2"/>
  <c r="O79" i="1"/>
  <c r="N79" i="1" s="1"/>
  <c r="A79" i="1"/>
  <c r="A179" i="1"/>
  <c r="L120" i="1" l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F17" i="4" l="1"/>
  <c r="F16" i="4"/>
  <c r="F15" i="4"/>
  <c r="F14" i="4"/>
  <c r="F13" i="4"/>
  <c r="F12" i="4"/>
  <c r="F11" i="4"/>
  <c r="F10" i="4"/>
  <c r="F9" i="4"/>
  <c r="F8" i="4"/>
  <c r="F7" i="4"/>
  <c r="F6" i="4"/>
  <c r="F4" i="4"/>
  <c r="F3" i="4"/>
  <c r="F2" i="4"/>
  <c r="A195" i="1"/>
  <c r="A194" i="1"/>
  <c r="A193" i="1"/>
  <c r="A192" i="1"/>
  <c r="A191" i="1"/>
  <c r="A185" i="1"/>
  <c r="A184" i="1"/>
  <c r="A183" i="1"/>
  <c r="A182" i="1"/>
  <c r="A178" i="1"/>
  <c r="A175" i="1"/>
  <c r="N174" i="1"/>
  <c r="A174" i="1"/>
  <c r="O156" i="1"/>
  <c r="N156" i="1" s="1"/>
  <c r="A156" i="1"/>
  <c r="O155" i="1"/>
  <c r="N155" i="1" s="1"/>
  <c r="A155" i="1"/>
  <c r="O154" i="1"/>
  <c r="N154" i="1" s="1"/>
  <c r="A154" i="1"/>
  <c r="O153" i="1"/>
  <c r="N153" i="1" s="1"/>
  <c r="A153" i="1"/>
  <c r="O152" i="1"/>
  <c r="N152" i="1" s="1"/>
  <c r="A152" i="1"/>
  <c r="O151" i="1"/>
  <c r="N151" i="1" s="1"/>
  <c r="A151" i="1"/>
  <c r="O150" i="1"/>
  <c r="N150" i="1" s="1"/>
  <c r="A150" i="1"/>
  <c r="O149" i="1"/>
  <c r="N149" i="1" s="1"/>
  <c r="A149" i="1"/>
  <c r="O148" i="1"/>
  <c r="N148" i="1" s="1"/>
  <c r="A148" i="1"/>
  <c r="O147" i="1"/>
  <c r="N147" i="1" s="1"/>
  <c r="A147" i="1"/>
  <c r="O146" i="1"/>
  <c r="N146" i="1" s="1"/>
  <c r="A146" i="1"/>
  <c r="O145" i="1"/>
  <c r="N145" i="1" s="1"/>
  <c r="A145" i="1"/>
  <c r="O144" i="1"/>
  <c r="N144" i="1" s="1"/>
  <c r="A144" i="1"/>
  <c r="O143" i="1"/>
  <c r="N143" i="1" s="1"/>
  <c r="A143" i="1"/>
  <c r="O142" i="1"/>
  <c r="N142" i="1" s="1"/>
  <c r="A142" i="1"/>
  <c r="O141" i="1"/>
  <c r="N141" i="1" s="1"/>
  <c r="A141" i="1"/>
  <c r="O140" i="1"/>
  <c r="N140" i="1" s="1"/>
  <c r="A140" i="1"/>
  <c r="O139" i="1"/>
  <c r="N139" i="1" s="1"/>
  <c r="A139" i="1"/>
  <c r="O138" i="1"/>
  <c r="N138" i="1" s="1"/>
  <c r="A138" i="1"/>
  <c r="O137" i="1"/>
  <c r="N137" i="1" s="1"/>
  <c r="A137" i="1"/>
  <c r="O136" i="1"/>
  <c r="N136" i="1" s="1"/>
  <c r="A136" i="1"/>
  <c r="O135" i="1"/>
  <c r="N135" i="1" s="1"/>
  <c r="A135" i="1"/>
  <c r="O134" i="1"/>
  <c r="N134" i="1" s="1"/>
  <c r="A134" i="1"/>
  <c r="O133" i="1"/>
  <c r="N133" i="1" s="1"/>
  <c r="A133" i="1"/>
  <c r="O132" i="1"/>
  <c r="N132" i="1" s="1"/>
  <c r="A132" i="1"/>
  <c r="O131" i="1"/>
  <c r="N131" i="1" s="1"/>
  <c r="A131" i="1"/>
  <c r="O130" i="1"/>
  <c r="N130" i="1" s="1"/>
  <c r="A130" i="1"/>
  <c r="O129" i="1"/>
  <c r="N129" i="1" s="1"/>
  <c r="A129" i="1"/>
  <c r="O128" i="1"/>
  <c r="N128" i="1" s="1"/>
  <c r="A128" i="1"/>
  <c r="O127" i="1"/>
  <c r="N127" i="1" s="1"/>
  <c r="A127" i="1"/>
  <c r="O126" i="1"/>
  <c r="N126" i="1" s="1"/>
  <c r="A126" i="1"/>
  <c r="O125" i="1"/>
  <c r="N125" i="1" s="1"/>
  <c r="A125" i="1"/>
  <c r="O124" i="1"/>
  <c r="N124" i="1" s="1"/>
  <c r="A124" i="1"/>
  <c r="O123" i="1"/>
  <c r="N123" i="1" s="1"/>
  <c r="A123" i="1"/>
  <c r="O122" i="1"/>
  <c r="N122" i="1" s="1"/>
  <c r="A122" i="1"/>
  <c r="O121" i="1"/>
  <c r="N121" i="1" s="1"/>
  <c r="A121" i="1"/>
  <c r="O120" i="1"/>
  <c r="A120" i="1"/>
  <c r="O119" i="1"/>
  <c r="N119" i="1" s="1"/>
  <c r="A119" i="1"/>
  <c r="O118" i="1"/>
  <c r="N118" i="1" s="1"/>
  <c r="A118" i="1"/>
  <c r="O117" i="1"/>
  <c r="A117" i="1"/>
  <c r="O116" i="1"/>
  <c r="A116" i="1"/>
  <c r="O115" i="1"/>
  <c r="N115" i="1" s="1"/>
  <c r="A115" i="1"/>
  <c r="O114" i="1"/>
  <c r="N114" i="1" s="1"/>
  <c r="A114" i="1"/>
  <c r="O113" i="1"/>
  <c r="N113" i="1" s="1"/>
  <c r="A113" i="1"/>
  <c r="O112" i="1"/>
  <c r="A112" i="1"/>
  <c r="O111" i="1"/>
  <c r="N111" i="1" s="1"/>
  <c r="A111" i="1"/>
  <c r="O110" i="1"/>
  <c r="N110" i="1" s="1"/>
  <c r="A110" i="1"/>
  <c r="O109" i="1"/>
  <c r="A109" i="1"/>
  <c r="O108" i="1"/>
  <c r="A108" i="1"/>
  <c r="O107" i="1"/>
  <c r="N107" i="1" s="1"/>
  <c r="A107" i="1"/>
  <c r="O106" i="1"/>
  <c r="N106" i="1" s="1"/>
  <c r="A106" i="1"/>
  <c r="O105" i="1"/>
  <c r="A105" i="1"/>
  <c r="O104" i="1"/>
  <c r="A104" i="1"/>
  <c r="O103" i="1"/>
  <c r="N103" i="1" s="1"/>
  <c r="A103" i="1"/>
  <c r="O102" i="1"/>
  <c r="N102" i="1" s="1"/>
  <c r="A102" i="1"/>
  <c r="O101" i="1"/>
  <c r="A101" i="1"/>
  <c r="O100" i="1"/>
  <c r="A100" i="1"/>
  <c r="O99" i="1"/>
  <c r="N99" i="1" s="1"/>
  <c r="A99" i="1"/>
  <c r="O98" i="1"/>
  <c r="N98" i="1" s="1"/>
  <c r="A98" i="1"/>
  <c r="O97" i="1"/>
  <c r="A97" i="1"/>
  <c r="O96" i="1"/>
  <c r="A96" i="1"/>
  <c r="O95" i="1"/>
  <c r="N95" i="1" s="1"/>
  <c r="A95" i="1"/>
  <c r="O94" i="1"/>
  <c r="A94" i="1"/>
  <c r="O93" i="1"/>
  <c r="A93" i="1"/>
  <c r="O92" i="1"/>
  <c r="A92" i="1"/>
  <c r="O91" i="1"/>
  <c r="A91" i="1"/>
  <c r="O90" i="1"/>
  <c r="A90" i="1"/>
  <c r="O89" i="1"/>
  <c r="A89" i="1"/>
  <c r="O88" i="1"/>
  <c r="A88" i="1"/>
  <c r="O87" i="1"/>
  <c r="A87" i="1"/>
  <c r="O86" i="1"/>
  <c r="A86" i="1"/>
  <c r="O85" i="1"/>
  <c r="A85" i="1"/>
  <c r="O84" i="1"/>
  <c r="A84" i="1"/>
  <c r="O83" i="1"/>
  <c r="A83" i="1"/>
  <c r="O82" i="1"/>
  <c r="A82" i="1"/>
  <c r="O81" i="1"/>
  <c r="N81" i="1" s="1"/>
  <c r="A81" i="1"/>
  <c r="O80" i="1"/>
  <c r="N80" i="1" s="1"/>
  <c r="N207" i="1" s="1"/>
  <c r="A80" i="1"/>
  <c r="O78" i="1"/>
  <c r="N78" i="1" s="1"/>
  <c r="A78" i="1"/>
  <c r="O77" i="1"/>
  <c r="N77" i="1" s="1"/>
  <c r="A77" i="1"/>
  <c r="O76" i="1"/>
  <c r="N76" i="1" s="1"/>
  <c r="A76" i="1"/>
  <c r="O75" i="1"/>
  <c r="N75" i="1" s="1"/>
  <c r="A75" i="1"/>
  <c r="O74" i="1"/>
  <c r="N74" i="1" s="1"/>
  <c r="A74" i="1"/>
  <c r="O73" i="1"/>
  <c r="N73" i="1" s="1"/>
  <c r="A73" i="1"/>
  <c r="O72" i="1"/>
  <c r="N72" i="1" s="1"/>
  <c r="A72" i="1"/>
  <c r="O71" i="1"/>
  <c r="N71" i="1" s="1"/>
  <c r="A71" i="1"/>
  <c r="O70" i="1"/>
  <c r="N70" i="1" s="1"/>
  <c r="A70" i="1"/>
  <c r="O69" i="1"/>
  <c r="N69" i="1" s="1"/>
  <c r="A69" i="1"/>
  <c r="O68" i="1"/>
  <c r="N68" i="1" s="1"/>
  <c r="A68" i="1"/>
  <c r="O67" i="1"/>
  <c r="N67" i="1" s="1"/>
  <c r="A67" i="1"/>
  <c r="O66" i="1"/>
  <c r="N66" i="1" s="1"/>
  <c r="A66" i="1"/>
  <c r="O65" i="1"/>
  <c r="N65" i="1" s="1"/>
  <c r="A65" i="1"/>
  <c r="O64" i="1"/>
  <c r="N64" i="1" s="1"/>
  <c r="A64" i="1"/>
  <c r="O63" i="1"/>
  <c r="N63" i="1" s="1"/>
  <c r="A63" i="1"/>
  <c r="O62" i="1"/>
  <c r="N62" i="1" s="1"/>
  <c r="A62" i="1"/>
  <c r="O61" i="1"/>
  <c r="N61" i="1" s="1"/>
  <c r="A61" i="1"/>
  <c r="O60" i="1"/>
  <c r="N60" i="1" s="1"/>
  <c r="A60" i="1"/>
  <c r="O59" i="1"/>
  <c r="N59" i="1" s="1"/>
  <c r="A59" i="1"/>
  <c r="O58" i="1"/>
  <c r="N58" i="1" s="1"/>
  <c r="A58" i="1"/>
  <c r="O57" i="1"/>
  <c r="N57" i="1" s="1"/>
  <c r="A57" i="1"/>
  <c r="O56" i="1"/>
  <c r="N56" i="1" s="1"/>
  <c r="A56" i="1"/>
  <c r="O55" i="1"/>
  <c r="N55" i="1" s="1"/>
  <c r="A55" i="1"/>
  <c r="O54" i="1"/>
  <c r="N54" i="1" s="1"/>
  <c r="A54" i="1"/>
  <c r="O53" i="1"/>
  <c r="N53" i="1" s="1"/>
  <c r="A53" i="1"/>
  <c r="O52" i="1"/>
  <c r="N52" i="1" s="1"/>
  <c r="A52" i="1"/>
  <c r="O51" i="1"/>
  <c r="N51" i="1" s="1"/>
  <c r="A51" i="1"/>
  <c r="O50" i="1"/>
  <c r="N50" i="1" s="1"/>
  <c r="A50" i="1"/>
  <c r="O49" i="1"/>
  <c r="N49" i="1" s="1"/>
  <c r="A49" i="1"/>
  <c r="O48" i="1"/>
  <c r="N48" i="1" s="1"/>
  <c r="A48" i="1"/>
  <c r="O47" i="1"/>
  <c r="N47" i="1" s="1"/>
  <c r="A47" i="1"/>
  <c r="O46" i="1"/>
  <c r="N46" i="1" s="1"/>
  <c r="A46" i="1"/>
  <c r="O45" i="1"/>
  <c r="N45" i="1" s="1"/>
  <c r="A45" i="1"/>
  <c r="O44" i="1"/>
  <c r="N44" i="1" s="1"/>
  <c r="A44" i="1"/>
  <c r="O43" i="1"/>
  <c r="N43" i="1" s="1"/>
  <c r="A43" i="1"/>
  <c r="O42" i="1"/>
  <c r="N42" i="1" s="1"/>
  <c r="A42" i="1"/>
  <c r="O41" i="1"/>
  <c r="N41" i="1" s="1"/>
  <c r="A41" i="1"/>
  <c r="O40" i="1"/>
  <c r="N40" i="1" s="1"/>
  <c r="A40" i="1"/>
  <c r="O39" i="1"/>
  <c r="N39" i="1" s="1"/>
  <c r="A39" i="1"/>
  <c r="O38" i="1"/>
  <c r="N38" i="1" s="1"/>
  <c r="A38" i="1"/>
  <c r="O37" i="1"/>
  <c r="N37" i="1" s="1"/>
  <c r="A37" i="1"/>
  <c r="O36" i="1"/>
  <c r="N36" i="1" s="1"/>
  <c r="A36" i="1"/>
  <c r="O35" i="1"/>
  <c r="N35" i="1" s="1"/>
  <c r="A35" i="1"/>
  <c r="O34" i="1"/>
  <c r="N34" i="1" s="1"/>
  <c r="A34" i="1"/>
  <c r="O33" i="1"/>
  <c r="N33" i="1" s="1"/>
  <c r="A33" i="1"/>
  <c r="O32" i="1"/>
  <c r="N32" i="1" s="1"/>
  <c r="A32" i="1"/>
  <c r="O31" i="1"/>
  <c r="N31" i="1" s="1"/>
  <c r="A31" i="1"/>
  <c r="O30" i="1"/>
  <c r="N30" i="1" s="1"/>
  <c r="A30" i="1"/>
  <c r="O27" i="1"/>
  <c r="N27" i="1" s="1"/>
  <c r="A27" i="1"/>
  <c r="O26" i="1"/>
  <c r="N26" i="1" s="1"/>
  <c r="A26" i="1"/>
  <c r="O25" i="1"/>
  <c r="N25" i="1" s="1"/>
  <c r="A25" i="1"/>
  <c r="O24" i="1"/>
  <c r="N24" i="1" s="1"/>
  <c r="A24" i="1"/>
  <c r="O23" i="1"/>
  <c r="N23" i="1" s="1"/>
  <c r="A23" i="1"/>
  <c r="O22" i="1"/>
  <c r="N22" i="1" s="1"/>
  <c r="A22" i="1"/>
  <c r="O21" i="1"/>
  <c r="N21" i="1" s="1"/>
  <c r="A21" i="1"/>
  <c r="O20" i="1"/>
  <c r="N20" i="1" s="1"/>
  <c r="A20" i="1"/>
  <c r="O19" i="1"/>
  <c r="N19" i="1" s="1"/>
  <c r="A19" i="1"/>
  <c r="O18" i="1"/>
  <c r="N18" i="1" s="1"/>
  <c r="A18" i="1"/>
  <c r="O17" i="1"/>
  <c r="N17" i="1" s="1"/>
  <c r="A17" i="1"/>
  <c r="O16" i="1"/>
  <c r="N16" i="1" s="1"/>
  <c r="A16" i="1"/>
  <c r="O15" i="1"/>
  <c r="N15" i="1" s="1"/>
  <c r="A15" i="1"/>
  <c r="O14" i="1"/>
  <c r="N14" i="1" s="1"/>
  <c r="A14" i="1"/>
  <c r="O13" i="1"/>
  <c r="N13" i="1" s="1"/>
  <c r="A13" i="1"/>
  <c r="O12" i="1"/>
  <c r="N12" i="1" s="1"/>
  <c r="A12" i="1"/>
  <c r="O11" i="1"/>
  <c r="N11" i="1" s="1"/>
  <c r="A11" i="1"/>
  <c r="O10" i="1"/>
  <c r="N10" i="1" s="1"/>
  <c r="A10" i="1"/>
  <c r="O9" i="1"/>
  <c r="N9" i="1" s="1"/>
  <c r="A9" i="1"/>
  <c r="O8" i="1"/>
  <c r="N8" i="1" s="1"/>
  <c r="A8" i="1"/>
  <c r="O7" i="1"/>
  <c r="N7" i="1" s="1"/>
  <c r="A7" i="1"/>
  <c r="O6" i="1"/>
  <c r="N6" i="1" s="1"/>
  <c r="A6" i="1"/>
  <c r="O5" i="1"/>
  <c r="N5" i="1" s="1"/>
  <c r="A5" i="1"/>
  <c r="O4" i="1"/>
  <c r="N4" i="1" s="1"/>
  <c r="A4" i="1"/>
  <c r="O3" i="1"/>
  <c r="N3" i="1" s="1"/>
  <c r="A3" i="1"/>
  <c r="O2" i="1"/>
  <c r="N2" i="1" s="1"/>
  <c r="A2" i="1"/>
  <c r="G9" i="2" l="1"/>
  <c r="G5" i="2"/>
  <c r="G6" i="2"/>
  <c r="G7" i="2"/>
  <c r="N97" i="1"/>
  <c r="N101" i="1"/>
  <c r="N105" i="1"/>
  <c r="N109" i="1"/>
  <c r="N117" i="1"/>
  <c r="N96" i="1"/>
  <c r="N100" i="1"/>
  <c r="N104" i="1"/>
  <c r="N108" i="1"/>
  <c r="N112" i="1"/>
  <c r="N116" i="1"/>
  <c r="N120" i="1"/>
  <c r="N83" i="1"/>
  <c r="N87" i="1"/>
  <c r="N91" i="1"/>
  <c r="N82" i="1"/>
  <c r="N90" i="1"/>
  <c r="N85" i="1"/>
  <c r="N89" i="1"/>
  <c r="N93" i="1"/>
  <c r="N86" i="1"/>
  <c r="N94" i="1"/>
  <c r="N84" i="1"/>
  <c r="N88" i="1"/>
  <c r="N92" i="1"/>
  <c r="G4" i="2" l="1"/>
  <c r="F10" i="2"/>
  <c r="G8" i="2"/>
  <c r="G10" i="2" l="1"/>
</calcChain>
</file>

<file path=xl/sharedStrings.xml><?xml version="1.0" encoding="utf-8"?>
<sst xmlns="http://schemas.openxmlformats.org/spreadsheetml/2006/main" count="1417" uniqueCount="129">
  <si>
    <t>STT</t>
  </si>
  <si>
    <t>Tháng</t>
  </si>
  <si>
    <t>Tỉnh</t>
  </si>
  <si>
    <t>Nhóm CP</t>
  </si>
  <si>
    <t>Hạng mục chi</t>
  </si>
  <si>
    <t>Diễn giải chi tiết</t>
  </si>
  <si>
    <t>Tính chất chi phí</t>
  </si>
  <si>
    <t>Phân loại phương tiện/ Chức danh nhân sự</t>
  </si>
  <si>
    <t>KM hoạt động</t>
  </si>
  <si>
    <t>Ngày phát sinh chi phí</t>
  </si>
  <si>
    <t>Tổng số tiền (VNĐ)</t>
  </si>
  <si>
    <t>Số tháng khấu hao</t>
  </si>
  <si>
    <t>Chi phí khấu trừ quỹ lương tháng</t>
  </si>
  <si>
    <t>Tháng tính khấu hao cuối cùng</t>
  </si>
  <si>
    <t>Ghi chú</t>
  </si>
  <si>
    <t>CP liên quan đến khấu hao PT</t>
  </si>
  <si>
    <t>Mua xe trung chuyển</t>
  </si>
  <si>
    <t>CP mua xe mới</t>
  </si>
  <si>
    <t>Mua 1 lần, tính khấu hao hàng tháng</t>
  </si>
  <si>
    <t>Vf6</t>
  </si>
  <si>
    <t>CP mua BH</t>
  </si>
  <si>
    <t>BH vật chất và BH TNDS</t>
  </si>
  <si>
    <t>CP đăng kiểm, đường bộ</t>
  </si>
  <si>
    <t>CP đăng kiểm, bảo trì đường bộ</t>
  </si>
  <si>
    <t>Mua thiết bị lắp thêm</t>
  </si>
  <si>
    <t>Mua bộ Camera GSHT tích hợp 2 trong 1 Skybox MDVR-2C</t>
  </si>
  <si>
    <t>CP dán thảm lót sàn</t>
  </si>
  <si>
    <t>Mua sim 5G</t>
  </si>
  <si>
    <t>CP mua sắm TTB VP</t>
  </si>
  <si>
    <t>CP BD, SC trích trước</t>
  </si>
  <si>
    <t>BD, SC PT</t>
  </si>
  <si>
    <t>CP thay lốp</t>
  </si>
  <si>
    <t>CP thay ắc quy</t>
  </si>
  <si>
    <t>CP bảo dưỡng</t>
  </si>
  <si>
    <t>CP năng lượng/ nhiên liệu</t>
  </si>
  <si>
    <t>CP phát sinh hàng tháng</t>
  </si>
  <si>
    <t>Tiền điện</t>
  </si>
  <si>
    <t>CP vận hành khác</t>
  </si>
  <si>
    <t>CP quản lý khác</t>
  </si>
  <si>
    <t>CP điện thoại</t>
  </si>
  <si>
    <t>Đối tượng theo dõi
(BSX)</t>
  </si>
  <si>
    <t>CP điện nước</t>
  </si>
  <si>
    <t>CP thờ cúng</t>
  </si>
  <si>
    <t>Văn phòng phẩm</t>
  </si>
  <si>
    <t>YB</t>
  </si>
  <si>
    <t>30L86851</t>
  </si>
  <si>
    <t>30L86704</t>
  </si>
  <si>
    <t>30L86761</t>
  </si>
  <si>
    <t>30L86763</t>
  </si>
  <si>
    <t>30L86727</t>
  </si>
  <si>
    <t>30L86964</t>
  </si>
  <si>
    <t>29B30385</t>
  </si>
  <si>
    <t>29B61137</t>
  </si>
  <si>
    <t>29B30453</t>
  </si>
  <si>
    <t>29B30407</t>
  </si>
  <si>
    <t>29B30446</t>
  </si>
  <si>
    <t>29B30409</t>
  </si>
  <si>
    <t>30M36249</t>
  </si>
  <si>
    <t>29E30385</t>
  </si>
  <si>
    <t>chi phí mua ô 2m5 x 2m5 che nắng mưa đón khách trên Yên Bái</t>
  </si>
  <si>
    <t>máy chấm công Yên Bái ngày 05/02/2024</t>
  </si>
  <si>
    <t>CP mua sắm TTB VP VP 263 2 bộ máy tính</t>
  </si>
  <si>
    <t>CP mua sắm TTB VP VP 263 máy in 2900</t>
  </si>
  <si>
    <t>CP điện thoại điều hành 0868312223</t>
  </si>
  <si>
    <t>CP điện thoại văn phòng 0862890005</t>
  </si>
  <si>
    <t>CP phát sinh trong tháng</t>
  </si>
  <si>
    <t>CP rửa xe</t>
  </si>
  <si>
    <t>Rửa xe TC bãi cố định</t>
  </si>
  <si>
    <t>CP vá lốp</t>
  </si>
  <si>
    <t>Row Labels</t>
  </si>
  <si>
    <t>Grand Total</t>
  </si>
  <si>
    <t>Sum of Chi phí khấu trừ quỹ lương tháng</t>
  </si>
  <si>
    <t>THÁNG</t>
  </si>
  <si>
    <t>TỈNH</t>
  </si>
  <si>
    <t>SẢN LƯỢNG HK</t>
  </si>
  <si>
    <t>SỐ LƯỢNG PHƯƠNG TIỆN QUẢN LÝ</t>
  </si>
  <si>
    <t>Stt</t>
  </si>
  <si>
    <t>Khoản mục</t>
  </si>
  <si>
    <t xml:space="preserve">Định mức thay/trích trước </t>
  </si>
  <si>
    <t>Đơn giá 
(đồng)</t>
  </si>
  <si>
    <t>Định ngạch sử dụng (km)</t>
  </si>
  <si>
    <t>Đơn giá chi phí (đ/km)</t>
  </si>
  <si>
    <t>CP thay dầu, nhớt</t>
  </si>
  <si>
    <t>Ford</t>
  </si>
  <si>
    <t>Solati</t>
  </si>
  <si>
    <t>Suzu</t>
  </si>
  <si>
    <t>Lốp theo xe</t>
  </si>
  <si>
    <t>Bridgestone</t>
  </si>
  <si>
    <t>Màn hình máy tính 2,1 inch FHD Monitor</t>
  </si>
  <si>
    <t>Mua chăn ga gối đệm phòng TCN mới</t>
  </si>
  <si>
    <t>T1/2026</t>
  </si>
  <si>
    <t>T2/2026</t>
  </si>
  <si>
    <t>01/12/2025</t>
  </si>
  <si>
    <t>Số khách</t>
  </si>
  <si>
    <t>Số khách huỷ</t>
  </si>
  <si>
    <t>Số khách nội bộ</t>
  </si>
  <si>
    <t>Xe tuyến</t>
  </si>
  <si>
    <t>Xe trung chuyển</t>
  </si>
  <si>
    <t>Tổng cộng</t>
  </si>
  <si>
    <t>T3/2026</t>
  </si>
  <si>
    <t>T4/2026</t>
  </si>
  <si>
    <t>T5/2026</t>
  </si>
  <si>
    <t>Mua đồ thắp hương rằm T3 ( VPVP và VP 263ĐL)</t>
  </si>
  <si>
    <t>Mua đồ thắp hương rằm T3 ( VP 129 ĐTH)</t>
  </si>
  <si>
    <t>Mua đồ thắp hương M1 T4 (3VP)</t>
  </si>
  <si>
    <t>Mua thắp hương rằm T4 của 3 VP YB</t>
  </si>
  <si>
    <t>Cước CPN T4</t>
  </si>
  <si>
    <t>Tiền wifi VPYB 263 T4</t>
  </si>
  <si>
    <t>Tiền wifi VPYB 209 T4</t>
  </si>
  <si>
    <t>Mua hộp mực</t>
  </si>
  <si>
    <t>Chi phí VPP T5/2026</t>
  </si>
  <si>
    <t>Tiền nước SH VP263</t>
  </si>
  <si>
    <t>Sửa ống nước VP 263 bên HH</t>
  </si>
  <si>
    <t>Thay chốt khoá kho nước</t>
  </si>
  <si>
    <t>TT tiền bốc nước PN lô 7/4 và 6/5</t>
  </si>
  <si>
    <t>Tiền giặt chăn ga lái + TCN</t>
  </si>
  <si>
    <t>Thay lắp lại ĐH VP129 ĐTH</t>
  </si>
  <si>
    <t>Tiền VSMT T5 và T6 VP 129 ĐTH</t>
  </si>
  <si>
    <t>Cứu hộ lốp 30L86704</t>
  </si>
  <si>
    <t>Vá lốp xe 29B30453</t>
  </si>
  <si>
    <t>Vá lốp xe 29B30446</t>
  </si>
  <si>
    <t>Vá lốp xe 30L86761</t>
  </si>
  <si>
    <t>Vá lốp xe 29B30407</t>
  </si>
  <si>
    <t>Vá lốp xe 29b30446</t>
  </si>
  <si>
    <t>Vá lốp xe 30L86964</t>
  </si>
  <si>
    <t>Vá lốp xe 29B30385</t>
  </si>
  <si>
    <t>Vá lốp xe 29B61137</t>
  </si>
  <si>
    <t>TT Tiền điện VPYB 263 T5</t>
  </si>
  <si>
    <t>Cước điện thoại qua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</si>
</sst>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yyyy"/>
    <numFmt numFmtId="165" formatCode="_(* #,##0_);_(* \(#,##0\);_(* &quot;-&quot;??_);_(@_)"/>
    <numFmt numFmtId="166" formatCode="_-* #,##0\ _₫_-;\-* #,##0\ _₫_-;_-* &quot;-&quot;??\ _₫_-;_-@_-"/>
    <numFmt numFmtId="167" formatCode="_-* #,##0.00\ _₫_-;\-* #,##0.00\ _₫_-;_-* &quot;-&quot;??\ _₫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81B3A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65" fontId="3" fillId="0" borderId="0" xfId="1" applyNumberFormat="1" applyFont="1" applyAlignment="1">
      <alignment vertical="center" wrapText="1"/>
    </xf>
    <xf numFmtId="164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6" fontId="3" fillId="0" borderId="1" xfId="1" applyNumberFormat="1" applyFont="1" applyBorder="1" applyAlignment="1">
      <alignment vertical="center"/>
    </xf>
    <xf numFmtId="166" fontId="3" fillId="0" borderId="1" xfId="1" applyNumberFormat="1" applyFont="1" applyBorder="1" applyAlignment="1">
      <alignment horizontal="right" vertical="center"/>
    </xf>
    <xf numFmtId="9" fontId="3" fillId="0" borderId="1" xfId="2" applyFont="1" applyFill="1" applyBorder="1" applyAlignment="1">
      <alignment vertical="center"/>
    </xf>
    <xf numFmtId="165" fontId="3" fillId="0" borderId="1" xfId="1" applyNumberFormat="1" applyFont="1" applyBorder="1"/>
    <xf numFmtId="0" fontId="3" fillId="0" borderId="0" xfId="0" applyFont="1"/>
    <xf numFmtId="164" fontId="3" fillId="0" borderId="0" xfId="1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164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1" xfId="0" applyBorder="1"/>
    <xf numFmtId="165" fontId="0" fillId="0" borderId="1" xfId="1" applyNumberFormat="1" applyFont="1" applyBorder="1"/>
    <xf numFmtId="0" fontId="0" fillId="7" borderId="1" xfId="0" applyFill="1" applyBorder="1"/>
    <xf numFmtId="165" fontId="9" fillId="7" borderId="1" xfId="1" applyNumberFormat="1" applyFont="1" applyFill="1" applyBorder="1"/>
    <xf numFmtId="3" fontId="0" fillId="0" borderId="0" xfId="0" applyNumberFormat="1"/>
    <xf numFmtId="43" fontId="0" fillId="0" borderId="0" xfId="1" applyFont="1"/>
    <xf numFmtId="43" fontId="0" fillId="7" borderId="1" xfId="1" applyFont="1" applyFill="1" applyBorder="1"/>
    <xf numFmtId="43" fontId="0" fillId="0" borderId="1" xfId="1" applyFont="1" applyBorder="1"/>
    <xf numFmtId="43" fontId="9" fillId="7" borderId="1" xfId="1" applyFont="1" applyFill="1" applyBorder="1"/>
    <xf numFmtId="0" fontId="3" fillId="6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6" borderId="0" xfId="1" applyNumberFormat="1" applyFont="1" applyFill="1" applyBorder="1" applyAlignment="1">
      <alignment horizontal="center" vertical="center"/>
    </xf>
    <xf numFmtId="0" fontId="0" fillId="6" borderId="0" xfId="0" applyFill="1"/>
    <xf numFmtId="164" fontId="2" fillId="2" borderId="0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6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165" fontId="11" fillId="0" borderId="0" xfId="1" applyNumberFormat="1" applyFont="1" applyBorder="1" applyAlignment="1">
      <alignment vertical="center"/>
    </xf>
    <xf numFmtId="166" fontId="3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6" fontId="6" fillId="0" borderId="0" xfId="3" applyNumberFormat="1" applyFont="1" applyBorder="1" applyAlignment="1">
      <alignment horizontal="center"/>
    </xf>
    <xf numFmtId="14" fontId="6" fillId="0" borderId="0" xfId="0" applyNumberFormat="1" applyFont="1" applyAlignment="1">
      <alignment horizontal="right"/>
    </xf>
    <xf numFmtId="14" fontId="6" fillId="6" borderId="0" xfId="0" applyNumberFormat="1" applyFont="1" applyFill="1" applyAlignment="1">
      <alignment horizontal="right"/>
    </xf>
    <xf numFmtId="3" fontId="3" fillId="6" borderId="0" xfId="0" applyNumberFormat="1" applyFont="1" applyFill="1" applyAlignment="1">
      <alignment horizontal="center" vertical="center"/>
    </xf>
    <xf numFmtId="3" fontId="3" fillId="6" borderId="0" xfId="0" applyNumberFormat="1" applyFont="1" applyFill="1" applyAlignment="1">
      <alignment horizontal="right" vertical="center"/>
    </xf>
    <xf numFmtId="3" fontId="3" fillId="8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wrapText="1"/>
    </xf>
    <xf numFmtId="14" fontId="10" fillId="9" borderId="0" xfId="0" applyNumberFormat="1" applyFont="1" applyFill="1" applyAlignment="1">
      <alignment horizontal="center" wrapText="1"/>
    </xf>
    <xf numFmtId="14" fontId="6" fillId="0" borderId="0" xfId="0" applyNumberFormat="1" applyFont="1" applyAlignment="1">
      <alignment horizontal="center"/>
    </xf>
    <xf numFmtId="14" fontId="10" fillId="6" borderId="0" xfId="0" applyNumberFormat="1" applyFont="1" applyFill="1" applyAlignment="1">
      <alignment horizontal="center" wrapText="1"/>
    </xf>
    <xf numFmtId="0" fontId="3" fillId="6" borderId="0" xfId="0" applyFont="1" applyFill="1"/>
    <xf numFmtId="165" fontId="0" fillId="0" borderId="0" xfId="1" applyNumberFormat="1" applyFont="1" applyFill="1" applyBorder="1"/>
    <xf numFmtId="3" fontId="12" fillId="0" borderId="1" xfId="0" applyNumberFormat="1" applyFont="1" applyBorder="1"/>
    <xf numFmtId="4" fontId="12" fillId="0" borderId="1" xfId="0" applyNumberFormat="1" applyFont="1" applyBorder="1"/>
    <xf numFmtId="0" fontId="1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6" fillId="0" borderId="0" xfId="3" applyNumberFormat="1" applyFont="1" applyBorder="1" applyAlignment="1">
      <alignment horizontal="right"/>
    </xf>
  </cellXfs>
  <cellStyles count="4">
    <cellStyle name="Comma" xfId="1" builtinId="3"/>
    <cellStyle name="Comma 10" xfId="3" xr:uid="{5DD35441-48E0-4BB7-BE72-F90F9F845810}"/>
    <cellStyle name="Normal" xfId="0" builtinId="0"/>
    <cellStyle name="Percent" xfId="2" builtinId="5"/>
  </cellStyles>
  <dxfs count="2">
    <dxf>
      <numFmt numFmtId="164" formatCode="mm/yyyy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ỆP" refreshedDate="46059.621039004633" createdVersion="8" refreshedVersion="8" minRefreshableVersion="3" recordCount="232" xr:uid="{F36ECE1D-4EEC-41C1-801E-4E7AAB6B6CA1}">
  <cacheSource type="worksheet">
    <worksheetSource ref="A1:P1048576" sheet="Chi tiết T4"/>
  </cacheSource>
  <cacheFields count="16">
    <cacheField name="STT" numFmtId="0">
      <sharedItems containsString="0" containsBlank="1" containsNumber="1" containsInteger="1" minValue="1" maxValue="231"/>
    </cacheField>
    <cacheField name="Tháng" numFmtId="0">
      <sharedItems containsNonDate="0" containsDate="1" containsString="0" containsBlank="1" minDate="2025-12-01T00:00:00" maxDate="2025-12-02T00:00:00" count="2">
        <d v="2025-12-01T00:00:00"/>
        <m/>
      </sharedItems>
    </cacheField>
    <cacheField name="Tỉnh" numFmtId="0">
      <sharedItems containsBlank="1"/>
    </cacheField>
    <cacheField name="Nhóm CP" numFmtId="0">
      <sharedItems containsBlank="1" count="7">
        <s v="CP liên quan đến khấu hao PT"/>
        <s v="CP mua sắm TTB VP"/>
        <s v="CP quản lý khác"/>
        <s v="CP BD, SC trích trước"/>
        <s v="CP năng lượng/ nhiên liệu"/>
        <s v="CP vận hành khác"/>
        <m/>
      </sharedItems>
    </cacheField>
    <cacheField name="Hạng mục chi" numFmtId="0">
      <sharedItems containsBlank="1"/>
    </cacheField>
    <cacheField name="Diễn giải chi tiết" numFmtId="0">
      <sharedItems containsBlank="1"/>
    </cacheField>
    <cacheField name="Tính chất chi phí" numFmtId="0">
      <sharedItems containsBlank="1"/>
    </cacheField>
    <cacheField name="Đối tượng theo dõi_x000a_(BSX)" numFmtId="0">
      <sharedItems containsBlank="1"/>
    </cacheField>
    <cacheField name="Phân loại phương tiện/ Chức danh nhân sự" numFmtId="0">
      <sharedItems containsBlank="1"/>
    </cacheField>
    <cacheField name="KM hoạt động" numFmtId="0">
      <sharedItems containsString="0" containsBlank="1" containsNumber="1" containsInteger="1" minValue="0" maxValue="7271"/>
    </cacheField>
    <cacheField name="Ngày phát sinh chi phí" numFmtId="0">
      <sharedItems containsNonDate="0" containsDate="1" containsString="0" containsBlank="1" minDate="2024-01-30T00:00:00" maxDate="2026-01-01T00:00:00"/>
    </cacheField>
    <cacheField name="Tổng số tiền (VNĐ)" numFmtId="0">
      <sharedItems containsString="0" containsBlank="1" containsNumber="1" minValue="47452.5" maxValue="785000000"/>
    </cacheField>
    <cacheField name="Số tháng khấu hao" numFmtId="0">
      <sharedItems containsString="0" containsBlank="1" containsNumber="1" containsInteger="1" minValue="1" maxValue="60"/>
    </cacheField>
    <cacheField name="Chi phí khấu trừ quỹ lương tháng" numFmtId="0">
      <sharedItems containsBlank="1" containsMixedTypes="1" containsNumber="1" minValue="47452.5" maxValue="13083333.333333334"/>
    </cacheField>
    <cacheField name="Tháng tính khấu hao cuối cùng" numFmtId="0">
      <sharedItems containsNonDate="0" containsDate="1" containsString="0" containsBlank="1" minDate="2025-11-13T00:00:00" maxDate="2030-06-26T00:00:00"/>
    </cacheField>
    <cacheField name="Ghi chú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n v="1"/>
    <x v="0"/>
    <s v="YB"/>
    <x v="0"/>
    <s v="Mua xe trung chuyển"/>
    <s v="CP mua xe mới"/>
    <s v="Mua 1 lần, tính khấu hao hàng tháng"/>
    <s v="30L86851"/>
    <s v="Vf6"/>
    <n v="5436"/>
    <d v="2024-12-27T00:00:00"/>
    <n v="785000000"/>
    <n v="60"/>
    <n v="13083333.333333334"/>
    <d v="2029-11-27T00:00:00"/>
    <m/>
  </r>
  <r>
    <n v="2"/>
    <x v="0"/>
    <s v="YB"/>
    <x v="0"/>
    <s v="Mua xe trung chuyển"/>
    <s v="CP mua xe mới"/>
    <s v="Mua 1 lần, tính khấu hao hàng tháng"/>
    <s v="30L86704"/>
    <s v="Vf6"/>
    <n v="3886"/>
    <d v="2024-12-27T00:00:00"/>
    <n v="785000000"/>
    <n v="60"/>
    <n v="13083333.333333334"/>
    <d v="2029-11-27T00:00:00"/>
    <m/>
  </r>
  <r>
    <n v="3"/>
    <x v="0"/>
    <s v="YB"/>
    <x v="0"/>
    <s v="Mua xe trung chuyển"/>
    <s v="CP mua xe mới"/>
    <s v="Mua 1 lần, tính khấu hao hàng tháng"/>
    <s v="30L86761"/>
    <s v="Vf6"/>
    <n v="3316"/>
    <d v="2024-12-27T00:00:00"/>
    <n v="785000000"/>
    <n v="60"/>
    <n v="13083333.333333334"/>
    <d v="2029-11-27T00:00:00"/>
    <m/>
  </r>
  <r>
    <n v="4"/>
    <x v="0"/>
    <s v="YB"/>
    <x v="0"/>
    <s v="Mua xe trung chuyển"/>
    <s v="CP mua xe mới"/>
    <s v="Mua 1 lần, tính khấu hao hàng tháng"/>
    <s v="30L86763"/>
    <s v="Vf6"/>
    <n v="5021"/>
    <d v="2024-12-27T00:00:00"/>
    <n v="785000000"/>
    <n v="60"/>
    <n v="13083333.333333334"/>
    <d v="2029-11-27T00:00:00"/>
    <m/>
  </r>
  <r>
    <n v="5"/>
    <x v="0"/>
    <s v="YB"/>
    <x v="0"/>
    <s v="Mua xe trung chuyển"/>
    <s v="CP mua xe mới"/>
    <s v="Mua 1 lần, tính khấu hao hàng tháng"/>
    <s v="30L86727"/>
    <s v="Vf6"/>
    <n v="7271"/>
    <d v="2025-01-08T00:00:00"/>
    <n v="785000000"/>
    <n v="60"/>
    <n v="13083333.333333334"/>
    <d v="2029-12-08T00:00:00"/>
    <m/>
  </r>
  <r>
    <n v="6"/>
    <x v="0"/>
    <s v="YB"/>
    <x v="0"/>
    <s v="Mua xe trung chuyển"/>
    <s v="CP mua xe mới"/>
    <s v="Mua 1 lần, tính khấu hao hàng tháng"/>
    <s v="30L86964"/>
    <s v="Vf6"/>
    <n v="5003"/>
    <d v="2025-01-08T00:00:00"/>
    <n v="785000000"/>
    <n v="60"/>
    <n v="13083333.333333334"/>
    <d v="2029-12-08T00:00:00"/>
    <m/>
  </r>
  <r>
    <n v="7"/>
    <x v="0"/>
    <s v="YB"/>
    <x v="0"/>
    <s v="Mua xe trung chuyển"/>
    <s v="CP mua xe mới"/>
    <s v="Mua 1 lần, tính khấu hao hàng tháng"/>
    <s v="29B30385"/>
    <s v="Vf6"/>
    <n v="5006"/>
    <d v="2025-03-13T00:00:00"/>
    <n v="785000000"/>
    <n v="60"/>
    <n v="13083333.333333334"/>
    <d v="2030-02-13T00:00:00"/>
    <m/>
  </r>
  <r>
    <n v="8"/>
    <x v="0"/>
    <s v="YB"/>
    <x v="0"/>
    <s v="Mua xe trung chuyển"/>
    <s v="CP mua xe mới"/>
    <s v="Mua 1 lần, tính khấu hao hàng tháng"/>
    <s v="29B61137"/>
    <s v="Vf6"/>
    <n v="3431"/>
    <d v="2025-03-13T00:00:00"/>
    <n v="785000000"/>
    <n v="60"/>
    <n v="13083333.333333334"/>
    <d v="2030-02-13T00:00:00"/>
    <m/>
  </r>
  <r>
    <n v="9"/>
    <x v="0"/>
    <s v="YB"/>
    <x v="0"/>
    <s v="Mua xe trung chuyển"/>
    <s v="CP mua xe mới"/>
    <s v="Mua 1 lần, tính khấu hao hàng tháng"/>
    <s v="29B30453"/>
    <s v="Vf6"/>
    <n v="3758"/>
    <d v="2025-03-13T00:00:00"/>
    <n v="785000000"/>
    <n v="60"/>
    <n v="13083333.333333334"/>
    <d v="2030-02-13T00:00:00"/>
    <m/>
  </r>
  <r>
    <n v="10"/>
    <x v="0"/>
    <s v="YB"/>
    <x v="0"/>
    <s v="Mua xe trung chuyển"/>
    <s v="CP mua xe mới"/>
    <s v="Mua 1 lần, tính khấu hao hàng tháng"/>
    <s v="29B30407"/>
    <s v="Vf6"/>
    <n v="4896"/>
    <d v="2025-03-13T00:00:00"/>
    <n v="785000000"/>
    <n v="60"/>
    <n v="13083333.333333334"/>
    <d v="2030-02-13T00:00:00"/>
    <m/>
  </r>
  <r>
    <n v="11"/>
    <x v="0"/>
    <s v="YB"/>
    <x v="0"/>
    <s v="Mua xe trung chuyển"/>
    <s v="CP mua xe mới"/>
    <s v="Mua 1 lần, tính khấu hao hàng tháng"/>
    <s v="29B30446"/>
    <s v="Vf6"/>
    <n v="4465"/>
    <d v="2025-03-13T00:00:00"/>
    <n v="785000000"/>
    <n v="60"/>
    <n v="13083333.333333334"/>
    <d v="2030-02-13T00:00:00"/>
    <m/>
  </r>
  <r>
    <n v="12"/>
    <x v="0"/>
    <s v="YB"/>
    <x v="0"/>
    <s v="Mua xe trung chuyển"/>
    <s v="CP mua xe mới"/>
    <s v="Mua 1 lần, tính khấu hao hàng tháng"/>
    <s v="29B30409"/>
    <s v="Vf6"/>
    <n v="4226"/>
    <d v="2025-03-13T00:00:00"/>
    <n v="785000000"/>
    <n v="60"/>
    <n v="13083333.333333334"/>
    <d v="2030-02-13T00:00:00"/>
    <m/>
  </r>
  <r>
    <n v="13"/>
    <x v="0"/>
    <s v="YB"/>
    <x v="0"/>
    <s v="Mua xe trung chuyển"/>
    <s v="CP mua xe mới"/>
    <s v="Mua 1 lần, tính khấu hao hàng tháng"/>
    <s v="30M36249"/>
    <s v="Vf6"/>
    <n v="2375"/>
    <d v="2025-07-25T00:00:00"/>
    <n v="681240000"/>
    <n v="60"/>
    <n v="11354000"/>
    <d v="2030-06-25T00:00:00"/>
    <m/>
  </r>
  <r>
    <n v="14"/>
    <x v="0"/>
    <s v="YB"/>
    <x v="0"/>
    <s v="CP mua BH"/>
    <s v="BH vật chất và BH TNDS"/>
    <s v="Mua 1 lần, tính khấu hao hàng tháng"/>
    <s v="30L86851"/>
    <s v="Vf6"/>
    <n v="5436"/>
    <d v="2024-12-19T00:00:00"/>
    <n v="7322000"/>
    <n v="12"/>
    <s v=""/>
    <d v="2025-11-19T00:00:00"/>
    <m/>
  </r>
  <r>
    <n v="15"/>
    <x v="0"/>
    <s v="YB"/>
    <x v="0"/>
    <s v="Mua thiết bị lắp thêm"/>
    <s v="Mua bộ Camera GSHT tích hợp 2 trong 1 Skybox MDVR-2C"/>
    <s v="Mua 1 lần, tính khấu hao hàng tháng"/>
    <s v="30L86851"/>
    <s v="Vf6"/>
    <n v="5436"/>
    <d v="2024-12-19T00:00:00"/>
    <n v="5200000"/>
    <n v="12"/>
    <s v=""/>
    <d v="2025-11-19T00:00:00"/>
    <m/>
  </r>
  <r>
    <n v="16"/>
    <x v="0"/>
    <s v="YB"/>
    <x v="0"/>
    <s v="Mua thiết bị lắp thêm"/>
    <s v="Mua bộ Camera GSHT tích hợp 2 trong 1 Skybox MDVR-2C"/>
    <s v="Mua 1 lần, tính khấu hao hàng tháng"/>
    <s v="30L86704"/>
    <s v="Vf6"/>
    <n v="3886"/>
    <d v="2024-12-19T00:00:00"/>
    <n v="5200000"/>
    <n v="12"/>
    <s v=""/>
    <d v="2025-11-19T00:00:00"/>
    <m/>
  </r>
  <r>
    <n v="17"/>
    <x v="0"/>
    <s v="YB"/>
    <x v="0"/>
    <s v="CP mua BH"/>
    <s v="BH vật chất và BH TNDS"/>
    <s v="Mua 1 lần, tính khấu hao hàng tháng"/>
    <s v="30L86704"/>
    <s v="Vf6"/>
    <n v="3886"/>
    <d v="2024-12-19T00:00:00"/>
    <n v="7322000"/>
    <n v="12"/>
    <s v=""/>
    <d v="2025-11-19T00:00:00"/>
    <m/>
  </r>
  <r>
    <n v="18"/>
    <x v="0"/>
    <s v="YB"/>
    <x v="0"/>
    <s v="Mua thiết bị lắp thêm"/>
    <s v="Mua bộ Camera GSHT tích hợp 2 trong 1 Skybox MDVR-2C"/>
    <s v="Mua 1 lần, tính khấu hao hàng tháng"/>
    <s v="30L86761"/>
    <s v="Vf6"/>
    <n v="3316"/>
    <d v="2024-12-19T00:00:00"/>
    <n v="5200000"/>
    <n v="12"/>
    <s v=""/>
    <d v="2025-11-19T00:00:00"/>
    <m/>
  </r>
  <r>
    <n v="19"/>
    <x v="0"/>
    <s v="YB"/>
    <x v="0"/>
    <s v="Mua thiết bị lắp thêm"/>
    <s v="Mua bộ Camera GSHT tích hợp 2 trong 1 Skybox MDVR-2C"/>
    <s v="Mua 1 lần, tính khấu hao hàng tháng"/>
    <s v="30L86763"/>
    <s v="Vf6"/>
    <n v="5021"/>
    <d v="2024-12-19T00:00:00"/>
    <n v="5200000"/>
    <n v="12"/>
    <s v=""/>
    <d v="2025-11-19T00:00:00"/>
    <m/>
  </r>
  <r>
    <n v="20"/>
    <x v="0"/>
    <s v="YB"/>
    <x v="0"/>
    <s v="Mua thiết bị lắp thêm"/>
    <s v="Mua bộ Camera GSHT tích hợp 2 trong 1 Skybox MDVR-2C"/>
    <s v="Mua 1 lần, tính khấu hao hàng tháng"/>
    <s v="30L86727"/>
    <s v="Vf6"/>
    <n v="7271"/>
    <d v="2025-04-11T00:00:00"/>
    <n v="5200000"/>
    <n v="12"/>
    <n v="433333.33333333331"/>
    <d v="2026-03-11T00:00:00"/>
    <m/>
  </r>
  <r>
    <n v="21"/>
    <x v="0"/>
    <s v="YB"/>
    <x v="0"/>
    <s v="Mua thiết bị lắp thêm"/>
    <s v="Mua bộ Camera GSHT tích hợp 2 trong 1 Skybox MDVR-2C"/>
    <s v="Mua 1 lần, tính khấu hao hàng tháng"/>
    <s v="30L86964"/>
    <s v="Vf6"/>
    <n v="5003"/>
    <d v="2025-04-11T00:00:00"/>
    <n v="5200000"/>
    <n v="12"/>
    <n v="433333.33333333331"/>
    <d v="2026-03-11T00:00:00"/>
    <m/>
  </r>
  <r>
    <n v="22"/>
    <x v="0"/>
    <s v="YB"/>
    <x v="0"/>
    <s v="Mua thiết bị lắp thêm"/>
    <s v="Mua bộ Camera GSHT tích hợp 2 trong 1 Skybox MDVR-2C"/>
    <s v="Mua 1 lần, tính khấu hao hàng tháng"/>
    <s v="29B30385"/>
    <s v="Vf6"/>
    <n v="5006"/>
    <d v="2025-03-13T00:00:00"/>
    <n v="5000000"/>
    <n v="12"/>
    <n v="416666.66666666669"/>
    <d v="2026-02-13T00:00:00"/>
    <m/>
  </r>
  <r>
    <n v="23"/>
    <x v="0"/>
    <s v="YB"/>
    <x v="0"/>
    <s v="Mua thiết bị lắp thêm"/>
    <s v="Mua bộ Camera GSHT tích hợp 2 trong 1 Skybox MDVR-2C"/>
    <s v="Mua 1 lần, tính khấu hao hàng tháng"/>
    <s v="29B61137"/>
    <s v="Vf6"/>
    <n v="3431"/>
    <d v="2025-03-13T00:00:00"/>
    <n v="5000000"/>
    <n v="12"/>
    <n v="416666.66666666669"/>
    <d v="2026-02-13T00:00:00"/>
    <m/>
  </r>
  <r>
    <n v="24"/>
    <x v="0"/>
    <s v="YB"/>
    <x v="0"/>
    <s v="Mua thiết bị lắp thêm"/>
    <s v="Mua bộ Camera GSHT tích hợp 2 trong 1 Skybox MDVR-2C"/>
    <s v="Mua 1 lần, tính khấu hao hàng tháng"/>
    <s v="29B30453"/>
    <s v="Vf6"/>
    <n v="3758"/>
    <d v="2025-03-13T00:00:00"/>
    <n v="5000000"/>
    <n v="12"/>
    <n v="416666.66666666669"/>
    <d v="2026-02-13T00:00:00"/>
    <m/>
  </r>
  <r>
    <n v="25"/>
    <x v="0"/>
    <s v="YB"/>
    <x v="0"/>
    <s v="Mua thiết bị lắp thêm"/>
    <s v="Mua bộ Camera GSHT tích hợp 2 trong 1 Skybox MDVR-2C"/>
    <s v="Mua 1 lần, tính khấu hao hàng tháng"/>
    <s v="29B30407"/>
    <s v="Vf6"/>
    <n v="4896"/>
    <d v="2025-03-13T00:00:00"/>
    <n v="5000000"/>
    <n v="12"/>
    <n v="416666.66666666669"/>
    <d v="2026-02-13T00:00:00"/>
    <m/>
  </r>
  <r>
    <n v="26"/>
    <x v="0"/>
    <s v="YB"/>
    <x v="0"/>
    <s v="Mua thiết bị lắp thêm"/>
    <s v="Mua bộ Camera GSHT tích hợp 2 trong 1 Skybox MDVR-2C"/>
    <s v="Mua 1 lần, tính khấu hao hàng tháng"/>
    <s v="29B30446"/>
    <s v="Vf6"/>
    <n v="4465"/>
    <d v="2025-03-13T00:00:00"/>
    <n v="5000000"/>
    <n v="12"/>
    <n v="416666.66666666669"/>
    <d v="2026-02-13T00:00:00"/>
    <m/>
  </r>
  <r>
    <n v="27"/>
    <x v="0"/>
    <s v="YB"/>
    <x v="0"/>
    <s v="Mua thiết bị lắp thêm"/>
    <s v="Mua bộ Camera GSHT tích hợp 2 trong 1 Skybox MDVR-2C"/>
    <s v="Mua 1 lần, tính khấu hao hàng tháng"/>
    <s v="29B30409"/>
    <s v="Vf6"/>
    <n v="4226"/>
    <d v="2025-03-13T00:00:00"/>
    <n v="5000000"/>
    <n v="12"/>
    <n v="416666.66666666669"/>
    <d v="2026-02-13T00:00:00"/>
    <m/>
  </r>
  <r>
    <n v="28"/>
    <x v="0"/>
    <s v="YB"/>
    <x v="0"/>
    <s v="Mua thiết bị lắp thêm"/>
    <s v="Mua bộ Camera GSHT tích hợp 2 trong 1 Skybox MDVR-2C"/>
    <s v="Mua 1 lần, tính khấu hao hàng tháng"/>
    <s v="30M36249"/>
    <s v="Vf6"/>
    <n v="2375"/>
    <d v="2025-08-01T00:00:00"/>
    <n v="3300000"/>
    <n v="12"/>
    <n v="275000"/>
    <d v="2026-07-01T00:00:00"/>
    <m/>
  </r>
  <r>
    <n v="29"/>
    <x v="0"/>
    <s v="YB"/>
    <x v="0"/>
    <s v="CP mua BH"/>
    <s v="BH vật chất và BH TNDS"/>
    <s v="Mua 1 lần, tính khấu hao hàng tháng"/>
    <s v="30L86761"/>
    <s v="Vf6"/>
    <n v="3316"/>
    <d v="2024-12-19T00:00:00"/>
    <n v="7322000"/>
    <n v="12"/>
    <s v=""/>
    <d v="2025-11-19T00:00:00"/>
    <m/>
  </r>
  <r>
    <n v="30"/>
    <x v="0"/>
    <s v="YB"/>
    <x v="0"/>
    <s v="CP mua BH"/>
    <s v="BH vật chất và BH TNDS"/>
    <s v="Mua 1 lần, tính khấu hao hàng tháng"/>
    <s v="30L86763"/>
    <s v="Vf6"/>
    <n v="5021"/>
    <d v="2024-12-19T00:00:00"/>
    <n v="7322000"/>
    <n v="12"/>
    <s v=""/>
    <d v="2025-11-19T00:00:00"/>
    <m/>
  </r>
  <r>
    <n v="31"/>
    <x v="0"/>
    <s v="YB"/>
    <x v="0"/>
    <s v="CP mua BH"/>
    <s v="BH vật chất và BH TNDS"/>
    <s v="Mua 1 lần, tính khấu hao hàng tháng"/>
    <s v="30L86727"/>
    <s v="Vf6"/>
    <n v="7271"/>
    <d v="2024-12-31T00:00:00"/>
    <n v="6885000"/>
    <n v="12"/>
    <s v=""/>
    <d v="2025-11-30T00:00:00"/>
    <m/>
  </r>
  <r>
    <n v="32"/>
    <x v="0"/>
    <s v="YB"/>
    <x v="0"/>
    <s v="CP mua BH"/>
    <s v="BH vật chất và BH TNDS"/>
    <s v="Mua 1 lần, tính khấu hao hàng tháng"/>
    <s v="30L86964"/>
    <s v="Vf6"/>
    <n v="5003"/>
    <d v="2024-12-31T00:00:00"/>
    <n v="6885000"/>
    <n v="12"/>
    <s v=""/>
    <d v="2025-11-30T00:00:00"/>
    <m/>
  </r>
  <r>
    <n v="33"/>
    <x v="0"/>
    <s v="YB"/>
    <x v="0"/>
    <s v="CP mua BH"/>
    <s v="BH vật chất và BH TNDS"/>
    <s v="Mua 1 lần, tính khấu hao hàng tháng"/>
    <s v="29B30385"/>
    <s v="Vf6"/>
    <n v="5006"/>
    <d v="2025-02-28T00:00:00"/>
    <n v="7365700"/>
    <n v="12"/>
    <n v="613808.33333333337"/>
    <d v="2026-01-28T00:00:00"/>
    <m/>
  </r>
  <r>
    <n v="34"/>
    <x v="0"/>
    <s v="YB"/>
    <x v="0"/>
    <s v="CP mua BH"/>
    <s v="BH vật chất và BH TNDS"/>
    <s v="Mua 1 lần, tính khấu hao hàng tháng"/>
    <s v="29B61137"/>
    <s v="Vf6"/>
    <n v="3431"/>
    <d v="2025-02-28T00:00:00"/>
    <n v="7365700"/>
    <n v="12"/>
    <n v="613808.33333333337"/>
    <d v="2026-01-28T00:00:00"/>
    <m/>
  </r>
  <r>
    <n v="35"/>
    <x v="0"/>
    <s v="YB"/>
    <x v="0"/>
    <s v="CP mua BH"/>
    <s v="BH vật chất và BH TNDS"/>
    <s v="Mua 1 lần, tính khấu hao hàng tháng"/>
    <s v="29B30453"/>
    <s v="Vf6"/>
    <n v="3758"/>
    <d v="2025-02-28T00:00:00"/>
    <n v="7365700"/>
    <n v="12"/>
    <n v="613808.33333333337"/>
    <d v="2026-01-28T00:00:00"/>
    <m/>
  </r>
  <r>
    <n v="36"/>
    <x v="0"/>
    <s v="YB"/>
    <x v="0"/>
    <s v="CP mua BH"/>
    <s v="BH vật chất và BH TNDS"/>
    <s v="Mua 1 lần, tính khấu hao hàng tháng"/>
    <s v="29B30407"/>
    <s v="Vf6"/>
    <n v="4896"/>
    <d v="2025-02-28T00:00:00"/>
    <n v="7365700"/>
    <n v="12"/>
    <n v="613808.33333333337"/>
    <d v="2026-01-28T00:00:00"/>
    <m/>
  </r>
  <r>
    <n v="37"/>
    <x v="0"/>
    <s v="YB"/>
    <x v="0"/>
    <s v="CP mua BH"/>
    <s v="BH vật chất và BH TNDS"/>
    <s v="Mua 1 lần, tính khấu hao hàng tháng"/>
    <s v="29B30446"/>
    <s v="Vf6"/>
    <n v="4465"/>
    <d v="2025-02-28T00:00:00"/>
    <n v="7365700"/>
    <n v="12"/>
    <n v="613808.33333333337"/>
    <d v="2026-01-28T00:00:00"/>
    <m/>
  </r>
  <r>
    <n v="38"/>
    <x v="0"/>
    <s v="YB"/>
    <x v="0"/>
    <s v="CP mua BH"/>
    <s v="BH vật chất và BH TNDS"/>
    <s v="Mua 1 lần, tính khấu hao hàng tháng"/>
    <s v="29B30409"/>
    <s v="Vf6"/>
    <n v="4226"/>
    <d v="2025-02-28T00:00:00"/>
    <n v="7365700"/>
    <n v="12"/>
    <n v="613808.33333333337"/>
    <d v="2026-01-28T00:00:00"/>
    <m/>
  </r>
  <r>
    <n v="39"/>
    <x v="0"/>
    <s v="YB"/>
    <x v="0"/>
    <s v="CP mua BH"/>
    <s v="BH vật chất và BH TNDS"/>
    <s v="Mua 1 lần, tính khấu hao hàng tháng"/>
    <s v="30M36249"/>
    <s v="Vf6"/>
    <n v="2375"/>
    <d v="2025-08-01T00:00:00"/>
    <n v="6395000"/>
    <n v="12"/>
    <n v="532916.66666666663"/>
    <d v="2026-07-01T00:00:00"/>
    <m/>
  </r>
  <r>
    <n v="40"/>
    <x v="0"/>
    <s v="YB"/>
    <x v="0"/>
    <s v="Mua thiết bị lắp thêm"/>
    <s v="CP dán thảm lót sàn"/>
    <s v="Mua 1 lần, tính khấu hao hàng tháng"/>
    <s v="30L86851"/>
    <s v="Vf6"/>
    <n v="5436"/>
    <d v="2025-01-02T00:00:00"/>
    <n v="1600000"/>
    <n v="12"/>
    <n v="133333.33333333334"/>
    <d v="2025-12-02T00:00:00"/>
    <m/>
  </r>
  <r>
    <n v="41"/>
    <x v="0"/>
    <s v="YB"/>
    <x v="0"/>
    <s v="Mua thiết bị lắp thêm"/>
    <s v="CP dán thảm lót sàn"/>
    <s v="Mua 1 lần, tính khấu hao hàng tháng"/>
    <s v="30L86704"/>
    <s v="Vf6"/>
    <n v="3886"/>
    <d v="2025-01-02T00:00:00"/>
    <n v="1600000"/>
    <n v="12"/>
    <n v="133333.33333333334"/>
    <d v="2025-12-02T00:00:00"/>
    <m/>
  </r>
  <r>
    <n v="42"/>
    <x v="0"/>
    <s v="YB"/>
    <x v="0"/>
    <s v="Mua thiết bị lắp thêm"/>
    <s v="CP dán thảm lót sàn"/>
    <s v="Mua 1 lần, tính khấu hao hàng tháng"/>
    <s v="30L86761"/>
    <s v="Vf6"/>
    <n v="3316"/>
    <d v="2025-01-02T00:00:00"/>
    <n v="1600000"/>
    <n v="12"/>
    <n v="133333.33333333334"/>
    <d v="2025-12-02T00:00:00"/>
    <m/>
  </r>
  <r>
    <n v="43"/>
    <x v="0"/>
    <s v="YB"/>
    <x v="0"/>
    <s v="Mua thiết bị lắp thêm"/>
    <s v="CP dán thảm lót sàn"/>
    <s v="Mua 1 lần, tính khấu hao hàng tháng"/>
    <s v="30L86763"/>
    <s v="Vf6"/>
    <n v="5021"/>
    <d v="2025-01-02T00:00:00"/>
    <n v="1600000"/>
    <n v="12"/>
    <n v="133333.33333333334"/>
    <d v="2025-12-02T00:00:00"/>
    <m/>
  </r>
  <r>
    <n v="44"/>
    <x v="0"/>
    <s v="YB"/>
    <x v="0"/>
    <s v="Mua thiết bị lắp thêm"/>
    <s v="CP dán thảm lót sàn"/>
    <s v="Mua 1 lần, tính khấu hao hàng tháng"/>
    <s v="30L86727"/>
    <s v="Vf6"/>
    <n v="7271"/>
    <d v="2025-01-02T00:00:00"/>
    <n v="1600000"/>
    <n v="12"/>
    <n v="133333.33333333334"/>
    <d v="2025-12-02T00:00:00"/>
    <m/>
  </r>
  <r>
    <n v="45"/>
    <x v="0"/>
    <s v="YB"/>
    <x v="0"/>
    <s v="Mua thiết bị lắp thêm"/>
    <s v="CP dán thảm lót sàn"/>
    <s v="Mua 1 lần, tính khấu hao hàng tháng"/>
    <s v="30L86964"/>
    <s v="Vf6"/>
    <n v="5003"/>
    <d v="2025-01-02T00:00:00"/>
    <n v="1600000"/>
    <n v="12"/>
    <n v="133333.33333333334"/>
    <d v="2025-12-02T00:00:00"/>
    <m/>
  </r>
  <r>
    <n v="46"/>
    <x v="0"/>
    <s v="YB"/>
    <x v="0"/>
    <s v="Mua thiết bị lắp thêm"/>
    <s v="CP dán thảm lót sàn"/>
    <s v="Mua 1 lần, tính khấu hao hàng tháng"/>
    <s v="29B61137"/>
    <s v="Vf6"/>
    <n v="3431"/>
    <d v="2025-03-03T00:00:00"/>
    <n v="1365000"/>
    <n v="12"/>
    <n v="113750"/>
    <d v="2026-02-03T00:00:00"/>
    <m/>
  </r>
  <r>
    <n v="47"/>
    <x v="0"/>
    <s v="YB"/>
    <x v="0"/>
    <s v="Mua thiết bị lắp thêm"/>
    <s v="CP dán thảm lót sàn"/>
    <s v="Mua 1 lần, tính khấu hao hàng tháng"/>
    <s v="29B30453"/>
    <s v="Vf6"/>
    <n v="3758"/>
    <d v="2025-03-13T00:00:00"/>
    <n v="1365000"/>
    <n v="12"/>
    <n v="113750"/>
    <d v="2026-02-13T00:00:00"/>
    <m/>
  </r>
  <r>
    <n v="48"/>
    <x v="0"/>
    <s v="YB"/>
    <x v="0"/>
    <s v="Mua thiết bị lắp thêm"/>
    <s v="CP dán thảm lót sàn"/>
    <s v="Mua 1 lần, tính khấu hao hàng tháng"/>
    <s v="29B30407"/>
    <s v="Vf6"/>
    <n v="4896"/>
    <d v="2025-03-13T00:00:00"/>
    <n v="1365000"/>
    <n v="12"/>
    <n v="113750"/>
    <d v="2026-02-13T00:00:00"/>
    <m/>
  </r>
  <r>
    <n v="49"/>
    <x v="0"/>
    <s v="YB"/>
    <x v="0"/>
    <s v="Mua thiết bị lắp thêm"/>
    <s v="CP dán thảm lót sàn"/>
    <s v="Mua 1 lần, tính khấu hao hàng tháng"/>
    <s v="29B30446"/>
    <s v="Vf6"/>
    <n v="4465"/>
    <d v="2025-03-13T00:00:00"/>
    <n v="1365000"/>
    <n v="12"/>
    <n v="113750"/>
    <d v="2026-02-13T00:00:00"/>
    <m/>
  </r>
  <r>
    <n v="50"/>
    <x v="0"/>
    <s v="YB"/>
    <x v="0"/>
    <s v="Mua thiết bị lắp thêm"/>
    <s v="CP dán thảm lót sàn"/>
    <s v="Mua 1 lần, tính khấu hao hàng tháng"/>
    <s v="29B30409"/>
    <s v="Vf6"/>
    <n v="4226"/>
    <d v="2025-03-13T00:00:00"/>
    <n v="1365000"/>
    <n v="12"/>
    <n v="113750"/>
    <d v="2026-02-13T00:00:00"/>
    <m/>
  </r>
  <r>
    <n v="51"/>
    <x v="0"/>
    <s v="YB"/>
    <x v="0"/>
    <s v="Mua thiết bị lắp thêm"/>
    <s v="CP dán thảm lót sàn"/>
    <s v="Mua 1 lần, tính khấu hao hàng tháng"/>
    <s v="30M36249"/>
    <s v="Vf6"/>
    <n v="2375"/>
    <d v="2025-08-01T00:00:00"/>
    <n v="1365000"/>
    <n v="12"/>
    <n v="113750"/>
    <d v="2026-07-01T00:00:00"/>
    <m/>
  </r>
  <r>
    <n v="52"/>
    <x v="0"/>
    <s v="YB"/>
    <x v="0"/>
    <s v="Mua thiết bị lắp thêm"/>
    <s v="CP dán thảm lót sàn"/>
    <s v="Mua 1 lần, tính khấu hao hàng tháng"/>
    <s v="29E30385"/>
    <s v="Vf6"/>
    <n v="0"/>
    <d v="2025-03-03T00:00:00"/>
    <n v="1365000"/>
    <n v="12"/>
    <n v="113750"/>
    <d v="2026-02-03T00:00:00"/>
    <m/>
  </r>
  <r>
    <n v="53"/>
    <x v="0"/>
    <s v="YB"/>
    <x v="0"/>
    <s v="CP đăng kiểm, đường bộ"/>
    <s v="CP đăng kiểm, bảo trì đường bộ"/>
    <s v="Mua 1 lần, tính khấu hao hàng tháng"/>
    <s v="30L86851"/>
    <s v="Vf6"/>
    <n v="5436"/>
    <d v="2024-12-13T00:00:00"/>
    <n v="2160000"/>
    <n v="12"/>
    <s v=""/>
    <d v="2025-11-13T00:00:00"/>
    <m/>
  </r>
  <r>
    <n v="54"/>
    <x v="0"/>
    <s v="YB"/>
    <x v="0"/>
    <s v="CP đăng kiểm, đường bộ"/>
    <s v="CP đăng kiểm, bảo trì đường bộ"/>
    <s v="Mua 1 lần, tính khấu hao hàng tháng"/>
    <s v="30L86704"/>
    <s v="Vf6"/>
    <n v="3886"/>
    <d v="2024-12-13T00:00:00"/>
    <n v="2160000"/>
    <n v="12"/>
    <s v=""/>
    <d v="2025-11-13T00:00:00"/>
    <m/>
  </r>
  <r>
    <n v="55"/>
    <x v="0"/>
    <s v="YB"/>
    <x v="0"/>
    <s v="CP đăng kiểm, đường bộ"/>
    <s v="CP đăng kiểm, bảo trì đường bộ"/>
    <s v="Mua 1 lần, tính khấu hao hàng tháng"/>
    <s v="30L86761"/>
    <s v="Vf6"/>
    <n v="3316"/>
    <d v="2024-12-13T00:00:00"/>
    <n v="2160000"/>
    <n v="12"/>
    <s v=""/>
    <d v="2025-11-13T00:00:00"/>
    <m/>
  </r>
  <r>
    <n v="56"/>
    <x v="0"/>
    <s v="YB"/>
    <x v="0"/>
    <s v="CP đăng kiểm, đường bộ"/>
    <s v="CP đăng kiểm, bảo trì đường bộ"/>
    <s v="Mua 1 lần, tính khấu hao hàng tháng"/>
    <s v="30L86763"/>
    <s v="Vf6"/>
    <n v="5021"/>
    <d v="2024-12-13T00:00:00"/>
    <n v="2160000"/>
    <n v="12"/>
    <s v=""/>
    <d v="2025-11-13T00:00:00"/>
    <m/>
  </r>
  <r>
    <n v="57"/>
    <x v="0"/>
    <s v="YB"/>
    <x v="0"/>
    <s v="CP đăng kiểm, đường bộ"/>
    <s v="CP đăng kiểm, bảo trì đường bộ"/>
    <s v="Mua 1 lần, tính khấu hao hàng tháng"/>
    <s v="30L86727"/>
    <s v="Vf6"/>
    <n v="7271"/>
    <d v="2024-12-13T00:00:00"/>
    <n v="2160000"/>
    <n v="12"/>
    <s v=""/>
    <d v="2025-11-13T00:00:00"/>
    <m/>
  </r>
  <r>
    <n v="58"/>
    <x v="0"/>
    <s v="YB"/>
    <x v="0"/>
    <s v="CP đăng kiểm, đường bộ"/>
    <s v="CP đăng kiểm, bảo trì đường bộ"/>
    <s v="Mua 1 lần, tính khấu hao hàng tháng"/>
    <s v="30L86964"/>
    <s v="Vf6"/>
    <n v="5003"/>
    <d v="2024-12-13T00:00:00"/>
    <n v="2160000"/>
    <n v="12"/>
    <s v=""/>
    <d v="2025-11-13T00:00:00"/>
    <m/>
  </r>
  <r>
    <n v="59"/>
    <x v="0"/>
    <s v="YB"/>
    <x v="0"/>
    <s v="CP đăng kiểm, đường bộ"/>
    <s v="CP đăng kiểm, bảo trì đường bộ"/>
    <s v="Mua 1 lần, tính khấu hao hàng tháng"/>
    <s v="29B30385"/>
    <s v="Vf6"/>
    <n v="5006"/>
    <d v="2025-03-03T00:00:00"/>
    <n v="2296000"/>
    <n v="12"/>
    <n v="191333.33333333334"/>
    <d v="2026-02-03T00:00:00"/>
    <m/>
  </r>
  <r>
    <n v="60"/>
    <x v="0"/>
    <s v="YB"/>
    <x v="0"/>
    <s v="CP đăng kiểm, đường bộ"/>
    <s v="CP đăng kiểm, bảo trì đường bộ"/>
    <s v="Mua 1 lần, tính khấu hao hàng tháng"/>
    <s v="29B61137"/>
    <s v="Vf6"/>
    <n v="3431"/>
    <d v="2025-03-03T00:00:00"/>
    <n v="2296000"/>
    <n v="12"/>
    <n v="191333.33333333334"/>
    <d v="2026-02-03T00:00:00"/>
    <m/>
  </r>
  <r>
    <n v="61"/>
    <x v="0"/>
    <s v="YB"/>
    <x v="0"/>
    <s v="CP đăng kiểm, đường bộ"/>
    <s v="CP đăng kiểm, bảo trì đường bộ"/>
    <s v="Mua 1 lần, tính khấu hao hàng tháng"/>
    <s v="29B30453"/>
    <s v="Vf6"/>
    <n v="3758"/>
    <d v="2025-03-03T00:00:00"/>
    <n v="2296000"/>
    <n v="12"/>
    <n v="191333.33333333334"/>
    <d v="2026-02-03T00:00:00"/>
    <m/>
  </r>
  <r>
    <n v="62"/>
    <x v="0"/>
    <s v="YB"/>
    <x v="0"/>
    <s v="CP đăng kiểm, đường bộ"/>
    <s v="CP đăng kiểm, bảo trì đường bộ"/>
    <s v="Mua 1 lần, tính khấu hao hàng tháng"/>
    <s v="29B30407"/>
    <s v="Vf6"/>
    <n v="4896"/>
    <d v="2025-03-03T00:00:00"/>
    <n v="2296000"/>
    <n v="12"/>
    <n v="191333.33333333334"/>
    <d v="2026-02-03T00:00:00"/>
    <m/>
  </r>
  <r>
    <n v="63"/>
    <x v="0"/>
    <s v="YB"/>
    <x v="0"/>
    <s v="CP đăng kiểm, đường bộ"/>
    <s v="CP đăng kiểm, bảo trì đường bộ"/>
    <s v="Mua 1 lần, tính khấu hao hàng tháng"/>
    <s v="29B30446"/>
    <s v="Vf6"/>
    <n v="4465"/>
    <d v="2025-03-03T00:00:00"/>
    <n v="2296000"/>
    <n v="12"/>
    <n v="191333.33333333334"/>
    <d v="2026-02-03T00:00:00"/>
    <m/>
  </r>
  <r>
    <n v="64"/>
    <x v="0"/>
    <s v="YB"/>
    <x v="0"/>
    <s v="CP đăng kiểm, đường bộ"/>
    <s v="CP đăng kiểm, bảo trì đường bộ"/>
    <s v="Mua 1 lần, tính khấu hao hàng tháng"/>
    <s v="29B30409"/>
    <s v="Vf6"/>
    <n v="4226"/>
    <d v="2025-03-03T00:00:00"/>
    <n v="2296000"/>
    <n v="12"/>
    <n v="191333.33333333334"/>
    <d v="2026-02-03T00:00:00"/>
    <m/>
  </r>
  <r>
    <n v="65"/>
    <x v="0"/>
    <s v="YB"/>
    <x v="0"/>
    <s v="CP đăng kiểm, đường bộ"/>
    <s v="CP đăng kiểm, bảo trì đường bộ"/>
    <s v="Mua 1 lần, tính khấu hao hàng tháng"/>
    <s v="30M36249"/>
    <s v="Vf6"/>
    <n v="2375"/>
    <d v="2025-07-25T00:00:00"/>
    <n v="2206000"/>
    <n v="12"/>
    <n v="183833.33333333334"/>
    <d v="2026-06-25T00:00:00"/>
    <m/>
  </r>
  <r>
    <n v="66"/>
    <x v="0"/>
    <s v="YB"/>
    <x v="0"/>
    <s v="Mua thiết bị lắp thêm"/>
    <s v="Mua sim 5G"/>
    <s v="Mua 1 lần, tính khấu hao hàng tháng"/>
    <s v="30L86704"/>
    <s v="Vf6"/>
    <n v="3886"/>
    <d v="2024-12-16T00:00:00"/>
    <n v="750000"/>
    <n v="12"/>
    <s v=""/>
    <d v="2025-11-16T00:00:00"/>
    <m/>
  </r>
  <r>
    <n v="67"/>
    <x v="0"/>
    <s v="YB"/>
    <x v="0"/>
    <s v="Mua thiết bị lắp thêm"/>
    <s v="Mua sim 5G"/>
    <s v="Mua 1 lần, tính khấu hao hàng tháng"/>
    <s v="30L86761"/>
    <s v="Vf6"/>
    <n v="3316"/>
    <d v="2024-12-16T00:00:00"/>
    <n v="750000"/>
    <n v="12"/>
    <s v=""/>
    <d v="2025-11-16T00:00:00"/>
    <m/>
  </r>
  <r>
    <n v="68"/>
    <x v="0"/>
    <s v="YB"/>
    <x v="0"/>
    <s v="Mua thiết bị lắp thêm"/>
    <s v="Mua sim 5G"/>
    <s v="Mua 1 lần, tính khấu hao hàng tháng"/>
    <s v="30L86763"/>
    <s v="Vf6"/>
    <n v="5021"/>
    <d v="2024-12-16T00:00:00"/>
    <n v="750000"/>
    <n v="12"/>
    <s v=""/>
    <d v="2025-11-16T00:00:00"/>
    <m/>
  </r>
  <r>
    <n v="69"/>
    <x v="0"/>
    <s v="YB"/>
    <x v="0"/>
    <s v="Mua thiết bị lắp thêm"/>
    <s v="Mua sim 5G"/>
    <s v="Mua 1 lần, tính khấu hao hàng tháng"/>
    <s v="30L86727"/>
    <s v="Vf6"/>
    <n v="7271"/>
    <d v="2025-01-08T00:00:00"/>
    <n v="750000"/>
    <n v="12"/>
    <n v="62500"/>
    <d v="2025-12-08T00:00:00"/>
    <m/>
  </r>
  <r>
    <n v="70"/>
    <x v="0"/>
    <s v="YB"/>
    <x v="0"/>
    <s v="Mua thiết bị lắp thêm"/>
    <s v="Mua sim 5G"/>
    <s v="Mua 1 lần, tính khấu hao hàng tháng"/>
    <s v="30L86964"/>
    <s v="Vf6"/>
    <n v="5003"/>
    <d v="2025-01-08T00:00:00"/>
    <n v="750000"/>
    <n v="12"/>
    <n v="62500"/>
    <d v="2025-12-08T00:00:00"/>
    <m/>
  </r>
  <r>
    <n v="71"/>
    <x v="0"/>
    <s v="YB"/>
    <x v="0"/>
    <s v="Mua thiết bị lắp thêm"/>
    <s v="chi phí mua ô 2m5 x 2m5 che nắng mưa đón khách trên Yên Bái"/>
    <s v="Mua 1 lần, tính khấu hao hàng tháng"/>
    <m/>
    <m/>
    <n v="0"/>
    <d v="2025-06-19T00:00:00"/>
    <n v="2500000"/>
    <n v="12"/>
    <n v="208333.33333333334"/>
    <d v="2026-05-19T00:00:00"/>
    <m/>
  </r>
  <r>
    <n v="72"/>
    <x v="0"/>
    <s v="YB"/>
    <x v="0"/>
    <s v="CP mua sắm TTB VP"/>
    <s v="máy chấm công Yên Bái ngày 05/02/2024"/>
    <s v="Mua 1 lần, tính khấu hao hàng tháng"/>
    <m/>
    <m/>
    <n v="0"/>
    <d v="2024-02-05T00:00:00"/>
    <n v="2363636"/>
    <n v="24"/>
    <n v="98484.833333333328"/>
    <d v="2026-01-05T00:00:00"/>
    <m/>
  </r>
  <r>
    <n v="73"/>
    <x v="0"/>
    <s v="YB"/>
    <x v="1"/>
    <s v="CP mua sắm TTB VP"/>
    <s v="CP mua sắm TTB VP"/>
    <s v="Mua 1 lần, tính khấu hao hàng tháng"/>
    <m/>
    <m/>
    <n v="0"/>
    <d v="2024-01-30T00:00:00"/>
    <n v="5000000"/>
    <n v="24"/>
    <n v="208333.33333333334"/>
    <d v="2025-12-30T00:00:00"/>
    <m/>
  </r>
  <r>
    <n v="74"/>
    <x v="0"/>
    <s v="YB"/>
    <x v="1"/>
    <s v="CP mua sắm TTB VP"/>
    <s v="CP mua sắm TTB VP"/>
    <s v="Mua 1 lần, tính khấu hao hàng tháng"/>
    <m/>
    <m/>
    <n v="0"/>
    <d v="2024-02-02T00:00:00"/>
    <n v="5000000"/>
    <n v="24"/>
    <n v="208333.33333333334"/>
    <d v="2026-01-02T00:00:00"/>
    <m/>
  </r>
  <r>
    <n v="75"/>
    <x v="0"/>
    <s v="YB"/>
    <x v="1"/>
    <s v="CP mua sắm TTB VP"/>
    <s v="CP mua sắm TTB VP VP 263 2 bộ máy tính"/>
    <s v="Mua 1 lần, tính khấu hao hàng tháng"/>
    <m/>
    <m/>
    <n v="0"/>
    <d v="2024-05-20T00:00:00"/>
    <n v="10200000"/>
    <n v="24"/>
    <n v="425000"/>
    <d v="2026-04-20T00:00:00"/>
    <m/>
  </r>
  <r>
    <n v="76"/>
    <x v="0"/>
    <s v="YB"/>
    <x v="1"/>
    <s v="CP mua sắm TTB VP"/>
    <s v="CP mua sắm TTB VP VP 263 máy in 2900"/>
    <s v="Mua 1 lần, tính khấu hao hàng tháng"/>
    <m/>
    <m/>
    <n v="0"/>
    <d v="2024-05-20T00:00:00"/>
    <n v="3636364"/>
    <n v="24"/>
    <n v="151515.16666666666"/>
    <d v="2026-04-20T00:00:00"/>
    <m/>
  </r>
  <r>
    <n v="77"/>
    <x v="0"/>
    <s v="YB"/>
    <x v="1"/>
    <s v="CP mua sắm TTB VP"/>
    <s v="CP mua sắm TTB VP VP 263 máy in 2900"/>
    <s v="Mua 1 lần, tính khấu hao hàng tháng"/>
    <m/>
    <m/>
    <n v="0"/>
    <d v="2024-01-30T00:00:00"/>
    <n v="3636364"/>
    <n v="24"/>
    <n v="151515.16666666666"/>
    <d v="2025-12-30T00:00:00"/>
    <m/>
  </r>
  <r>
    <n v="78"/>
    <x v="0"/>
    <s v="YB"/>
    <x v="2"/>
    <s v="CP điện thoại"/>
    <s v="CP điện thoại điều hành 0868312223"/>
    <s v="CP phát sinh hàng tháng"/>
    <m/>
    <m/>
    <n v="0"/>
    <d v="2025-12-01T00:00:00"/>
    <n v="151000"/>
    <n v="1"/>
    <n v="151000"/>
    <d v="2025-12-01T00:00:00"/>
    <m/>
  </r>
  <r>
    <n v="79"/>
    <x v="0"/>
    <s v="YB"/>
    <x v="2"/>
    <s v="CP điện thoại"/>
    <s v="CP điện thoại văn phòng 0862890005"/>
    <s v="CP phát sinh hàng tháng"/>
    <m/>
    <m/>
    <n v="0"/>
    <d v="2025-12-01T00:00:00"/>
    <n v="150000"/>
    <n v="1"/>
    <n v="150000"/>
    <d v="2025-12-01T00:00:00"/>
    <m/>
  </r>
  <r>
    <n v="80"/>
    <x v="0"/>
    <s v="YB"/>
    <x v="2"/>
    <s v="CP điện thoại"/>
    <s v="CP điện thoại xe trung chuyển 0967144495"/>
    <s v="CP phát sinh hàng tháng"/>
    <m/>
    <m/>
    <n v="0"/>
    <d v="2025-12-01T00:00:00"/>
    <n v="160000"/>
    <n v="1"/>
    <n v="160000"/>
    <d v="2025-12-01T00:00:00"/>
    <m/>
  </r>
  <r>
    <n v="81"/>
    <x v="0"/>
    <s v="YB"/>
    <x v="3"/>
    <s v="BD, SC PT"/>
    <s v="CP bảo dưỡng"/>
    <s v="CP phát sinh trong tháng"/>
    <s v="30L86851"/>
    <s v="Vf6"/>
    <n v="6230"/>
    <d v="2025-12-01T00:00:00"/>
    <n v="722113.63589166664"/>
    <n v="1"/>
    <n v="722113.63589166664"/>
    <d v="2025-12-01T00:00:00"/>
    <m/>
  </r>
  <r>
    <n v="82"/>
    <x v="0"/>
    <s v="YB"/>
    <x v="3"/>
    <s v="BD, SC PT"/>
    <s v="CP bảo dưỡng"/>
    <s v="CP phát sinh trong tháng"/>
    <s v="30L86704"/>
    <s v="Vf6"/>
    <n v="4166"/>
    <d v="2025-12-01T00:00:00"/>
    <n v="482877.27241166669"/>
    <n v="1"/>
    <n v="482877.27241166669"/>
    <d v="2025-12-01T00:00:00"/>
    <m/>
  </r>
  <r>
    <n v="83"/>
    <x v="0"/>
    <s v="YB"/>
    <x v="3"/>
    <s v="BD, SC PT"/>
    <s v="CP bảo dưỡng"/>
    <s v="CP phát sinh trong tháng"/>
    <s v="30L86761"/>
    <s v="Vf6"/>
    <n v="3567"/>
    <d v="2025-12-01T00:00:00"/>
    <n v="413447.72700250003"/>
    <n v="1"/>
    <n v="413447.72700250003"/>
    <d v="2025-12-01T00:00:00"/>
    <m/>
  </r>
  <r>
    <n v="84"/>
    <x v="0"/>
    <s v="YB"/>
    <x v="3"/>
    <s v="BD, SC PT"/>
    <s v="CP bảo dưỡng"/>
    <s v="CP phát sinh trong tháng"/>
    <s v="30L86763"/>
    <s v="Vf6"/>
    <n v="4630"/>
    <d v="2025-12-01T00:00:00"/>
    <n v="536659.09055833332"/>
    <n v="1"/>
    <n v="536659.09055833332"/>
    <d v="2025-12-01T00:00:00"/>
    <m/>
  </r>
  <r>
    <n v="85"/>
    <x v="0"/>
    <s v="YB"/>
    <x v="3"/>
    <s v="BD, SC PT"/>
    <s v="CP bảo dưỡng"/>
    <s v="CP phát sinh trong tháng"/>
    <s v="30L86727"/>
    <s v="Vf6"/>
    <n v="5098"/>
    <d v="2025-12-01T00:00:00"/>
    <n v="590904.54506833339"/>
    <n v="1"/>
    <n v="590904.54506833339"/>
    <d v="2025-12-01T00:00:00"/>
    <m/>
  </r>
  <r>
    <n v="86"/>
    <x v="0"/>
    <s v="YB"/>
    <x v="3"/>
    <s v="BD, SC PT"/>
    <s v="CP bảo dưỡng"/>
    <s v="CP phát sinh trong tháng"/>
    <s v="30L86964"/>
    <s v="Vf6"/>
    <n v="3938"/>
    <d v="2025-12-01T00:00:00"/>
    <n v="456449.9997016667"/>
    <n v="1"/>
    <n v="456449.9997016667"/>
    <d v="2025-12-01T00:00:00"/>
    <m/>
  </r>
  <r>
    <n v="87"/>
    <x v="0"/>
    <s v="YB"/>
    <x v="3"/>
    <s v="BD, SC PT"/>
    <s v="CP bảo dưỡng"/>
    <s v="CP phát sinh trong tháng"/>
    <s v="29B30385"/>
    <s v="Vf6"/>
    <n v="4167"/>
    <d v="2025-12-01T00:00:00"/>
    <n v="482993.18150250003"/>
    <n v="1"/>
    <n v="482993.18150250003"/>
    <d v="2025-12-01T00:00:00"/>
    <m/>
  </r>
  <r>
    <n v="88"/>
    <x v="0"/>
    <s v="YB"/>
    <x v="3"/>
    <s v="BD, SC PT"/>
    <s v="CP bảo dưỡng"/>
    <s v="CP phát sinh trong tháng"/>
    <s v="29B61137"/>
    <s v="Vf6"/>
    <n v="3716"/>
    <d v="2025-12-01T00:00:00"/>
    <n v="430718.1815366667"/>
    <n v="1"/>
    <n v="430718.1815366667"/>
    <d v="2025-12-01T00:00:00"/>
    <m/>
  </r>
  <r>
    <n v="89"/>
    <x v="0"/>
    <s v="YB"/>
    <x v="3"/>
    <s v="BD, SC PT"/>
    <s v="CP bảo dưỡng"/>
    <s v="CP phát sinh trong tháng"/>
    <s v="29B30453"/>
    <s v="Vf6"/>
    <n v="4342"/>
    <d v="2025-12-01T00:00:00"/>
    <n v="503277.27239833336"/>
    <n v="1"/>
    <n v="503277.27239833336"/>
    <d v="2025-12-01T00:00:00"/>
    <m/>
  </r>
  <r>
    <n v="90"/>
    <x v="0"/>
    <s v="YB"/>
    <x v="3"/>
    <s v="BD, SC PT"/>
    <s v="CP bảo dưỡng"/>
    <s v="CP phát sinh trong tháng"/>
    <s v="29B30407"/>
    <s v="Vf6"/>
    <n v="4442"/>
    <d v="2025-12-01T00:00:00"/>
    <n v="514868.18148166669"/>
    <n v="1"/>
    <n v="514868.18148166669"/>
    <d v="2025-12-01T00:00:00"/>
    <m/>
  </r>
  <r>
    <n v="91"/>
    <x v="0"/>
    <s v="YB"/>
    <x v="3"/>
    <s v="BD, SC PT"/>
    <s v="CP bảo dưỡng"/>
    <s v="CP phát sinh trong tháng"/>
    <s v="29B30446"/>
    <s v="Vf6"/>
    <n v="3730"/>
    <d v="2025-12-01T00:00:00"/>
    <n v="432340.90880833333"/>
    <n v="1"/>
    <n v="432340.90880833333"/>
    <d v="2025-12-01T00:00:00"/>
    <m/>
  </r>
  <r>
    <n v="92"/>
    <x v="0"/>
    <s v="YB"/>
    <x v="3"/>
    <s v="BD, SC PT"/>
    <s v="CP bảo dưỡng"/>
    <s v="CP phát sinh trong tháng"/>
    <s v="29B30409"/>
    <s v="Vf6"/>
    <n v="4065"/>
    <d v="2025-12-01T00:00:00"/>
    <n v="471170.45423750003"/>
    <n v="1"/>
    <n v="471170.45423750003"/>
    <d v="2025-12-01T00:00:00"/>
    <m/>
  </r>
  <r>
    <n v="93"/>
    <x v="0"/>
    <s v="YB"/>
    <x v="3"/>
    <s v="BD, SC PT"/>
    <s v="CP bảo dưỡng"/>
    <s v="CP phát sinh trong tháng"/>
    <s v="30M36249"/>
    <s v="Vf6"/>
    <n v="2565"/>
    <d v="2025-12-01T00:00:00"/>
    <n v="297306.81798749999"/>
    <n v="1"/>
    <n v="297306.81798749999"/>
    <d v="2025-12-01T00:00:00"/>
    <m/>
  </r>
  <r>
    <n v="94"/>
    <x v="0"/>
    <s v="YB"/>
    <x v="3"/>
    <s v="BD, SC PT"/>
    <s v="CP thay lốp"/>
    <s v="CP phát sinh trong tháng"/>
    <s v="30L86851"/>
    <s v="Vf6"/>
    <n v="6230"/>
    <d v="2025-12-01T00:00:00"/>
    <n v="1121400"/>
    <n v="1"/>
    <n v="1121400"/>
    <d v="2025-12-01T00:00:00"/>
    <m/>
  </r>
  <r>
    <n v="95"/>
    <x v="0"/>
    <s v="YB"/>
    <x v="3"/>
    <s v="BD, SC PT"/>
    <s v="CP thay lốp"/>
    <s v="CP phát sinh trong tháng"/>
    <s v="30L86704"/>
    <s v="Vf6"/>
    <n v="4166"/>
    <d v="2025-12-01T00:00:00"/>
    <n v="749880"/>
    <n v="1"/>
    <n v="749880"/>
    <d v="2025-12-01T00:00:00"/>
    <m/>
  </r>
  <r>
    <n v="96"/>
    <x v="0"/>
    <s v="YB"/>
    <x v="3"/>
    <s v="BD, SC PT"/>
    <s v="CP thay lốp"/>
    <s v="CP phát sinh trong tháng"/>
    <s v="30L86761"/>
    <s v="Vf6"/>
    <n v="3567"/>
    <d v="2025-12-01T00:00:00"/>
    <n v="642060"/>
    <n v="1"/>
    <n v="642060"/>
    <d v="2025-12-01T00:00:00"/>
    <m/>
  </r>
  <r>
    <n v="97"/>
    <x v="0"/>
    <s v="YB"/>
    <x v="3"/>
    <s v="BD, SC PT"/>
    <s v="CP thay lốp"/>
    <s v="CP phát sinh trong tháng"/>
    <s v="30L86763"/>
    <s v="Vf6"/>
    <n v="4630"/>
    <d v="2025-12-01T00:00:00"/>
    <n v="833400"/>
    <n v="1"/>
    <n v="833400"/>
    <d v="2025-12-01T00:00:00"/>
    <m/>
  </r>
  <r>
    <n v="98"/>
    <x v="0"/>
    <s v="YB"/>
    <x v="3"/>
    <s v="BD, SC PT"/>
    <s v="CP thay lốp"/>
    <s v="CP phát sinh trong tháng"/>
    <s v="30L86727"/>
    <s v="Vf6"/>
    <n v="5098"/>
    <d v="2025-12-01T00:00:00"/>
    <n v="917640"/>
    <n v="1"/>
    <n v="917640"/>
    <d v="2025-12-01T00:00:00"/>
    <m/>
  </r>
  <r>
    <n v="99"/>
    <x v="0"/>
    <s v="YB"/>
    <x v="3"/>
    <s v="BD, SC PT"/>
    <s v="CP thay lốp"/>
    <s v="CP phát sinh trong tháng"/>
    <s v="30L86964"/>
    <s v="Vf6"/>
    <n v="3938"/>
    <d v="2025-12-01T00:00:00"/>
    <n v="708840"/>
    <n v="1"/>
    <n v="708840"/>
    <d v="2025-12-01T00:00:00"/>
    <m/>
  </r>
  <r>
    <n v="100"/>
    <x v="0"/>
    <s v="YB"/>
    <x v="3"/>
    <s v="BD, SC PT"/>
    <s v="CP thay lốp"/>
    <s v="CP phát sinh trong tháng"/>
    <s v="29B30385"/>
    <s v="Vf6"/>
    <n v="4167"/>
    <d v="2025-12-01T00:00:00"/>
    <n v="750060"/>
    <n v="1"/>
    <n v="750060"/>
    <d v="2025-12-01T00:00:00"/>
    <m/>
  </r>
  <r>
    <n v="101"/>
    <x v="0"/>
    <s v="YB"/>
    <x v="3"/>
    <s v="BD, SC PT"/>
    <s v="CP thay lốp"/>
    <s v="CP phát sinh trong tháng"/>
    <s v="29B61137"/>
    <s v="Vf6"/>
    <n v="3716"/>
    <d v="2025-12-01T00:00:00"/>
    <n v="668880"/>
    <n v="1"/>
    <n v="668880"/>
    <d v="2025-12-01T00:00:00"/>
    <m/>
  </r>
  <r>
    <n v="102"/>
    <x v="0"/>
    <s v="YB"/>
    <x v="3"/>
    <s v="BD, SC PT"/>
    <s v="CP thay lốp"/>
    <s v="CP phát sinh trong tháng"/>
    <s v="29B30453"/>
    <s v="Vf6"/>
    <n v="4342"/>
    <d v="2025-12-01T00:00:00"/>
    <n v="781560"/>
    <n v="1"/>
    <n v="781560"/>
    <d v="2025-12-01T00:00:00"/>
    <m/>
  </r>
  <r>
    <n v="103"/>
    <x v="0"/>
    <s v="YB"/>
    <x v="3"/>
    <s v="BD, SC PT"/>
    <s v="CP thay lốp"/>
    <s v="CP phát sinh trong tháng"/>
    <s v="29B30407"/>
    <s v="Vf6"/>
    <n v="4442"/>
    <d v="2025-12-01T00:00:00"/>
    <n v="799560"/>
    <n v="1"/>
    <n v="799560"/>
    <d v="2025-12-01T00:00:00"/>
    <m/>
  </r>
  <r>
    <n v="104"/>
    <x v="0"/>
    <s v="YB"/>
    <x v="3"/>
    <s v="BD, SC PT"/>
    <s v="CP thay lốp"/>
    <s v="CP phát sinh trong tháng"/>
    <s v="29B30446"/>
    <s v="Vf6"/>
    <n v="3730"/>
    <d v="2025-12-01T00:00:00"/>
    <n v="671400"/>
    <n v="1"/>
    <n v="671400"/>
    <d v="2025-12-01T00:00:00"/>
    <m/>
  </r>
  <r>
    <n v="105"/>
    <x v="0"/>
    <s v="YB"/>
    <x v="3"/>
    <s v="BD, SC PT"/>
    <s v="CP thay lốp"/>
    <s v="CP phát sinh trong tháng"/>
    <s v="29B30409"/>
    <s v="Vf6"/>
    <n v="4065"/>
    <d v="2025-12-01T00:00:00"/>
    <n v="731700"/>
    <n v="1"/>
    <n v="731700"/>
    <d v="2025-12-01T00:00:00"/>
    <m/>
  </r>
  <r>
    <n v="106"/>
    <x v="0"/>
    <s v="YB"/>
    <x v="3"/>
    <s v="BD, SC PT"/>
    <s v="CP thay lốp"/>
    <s v="CP phát sinh trong tháng"/>
    <s v="30M36249"/>
    <s v="Vf6"/>
    <n v="2565"/>
    <d v="2025-12-01T00:00:00"/>
    <n v="461700"/>
    <n v="1"/>
    <n v="461700"/>
    <d v="2025-12-01T00:00:00"/>
    <m/>
  </r>
  <r>
    <n v="107"/>
    <x v="0"/>
    <s v="YB"/>
    <x v="3"/>
    <s v="BD, SC PT"/>
    <s v="CP thay ắc quy"/>
    <s v="CP phát sinh trong tháng"/>
    <s v="30L86851"/>
    <s v="Vf6"/>
    <n v="6230"/>
    <d v="2025-12-01T00:00:00"/>
    <n v="115255"/>
    <n v="1"/>
    <n v="115255"/>
    <d v="2025-12-01T00:00:00"/>
    <m/>
  </r>
  <r>
    <n v="108"/>
    <x v="0"/>
    <s v="YB"/>
    <x v="3"/>
    <s v="BD, SC PT"/>
    <s v="CP thay ắc quy"/>
    <s v="CP phát sinh trong tháng"/>
    <s v="30L86704"/>
    <s v="Vf6"/>
    <n v="4166"/>
    <d v="2025-12-01T00:00:00"/>
    <n v="77071"/>
    <n v="1"/>
    <n v="77071"/>
    <d v="2025-12-01T00:00:00"/>
    <m/>
  </r>
  <r>
    <n v="109"/>
    <x v="0"/>
    <s v="YB"/>
    <x v="3"/>
    <s v="BD, SC PT"/>
    <s v="CP thay ắc quy"/>
    <s v="CP phát sinh trong tháng"/>
    <s v="30L86761"/>
    <s v="Vf6"/>
    <n v="3567"/>
    <d v="2025-12-01T00:00:00"/>
    <n v="65989.5"/>
    <n v="1"/>
    <n v="65989.5"/>
    <d v="2025-12-01T00:00:00"/>
    <m/>
  </r>
  <r>
    <n v="110"/>
    <x v="0"/>
    <s v="YB"/>
    <x v="3"/>
    <s v="BD, SC PT"/>
    <s v="CP thay ắc quy"/>
    <s v="CP phát sinh trong tháng"/>
    <s v="30L86763"/>
    <s v="Vf6"/>
    <n v="4630"/>
    <d v="2025-12-01T00:00:00"/>
    <n v="85655"/>
    <n v="1"/>
    <n v="85655"/>
    <d v="2025-12-01T00:00:00"/>
    <m/>
  </r>
  <r>
    <n v="111"/>
    <x v="0"/>
    <s v="YB"/>
    <x v="3"/>
    <s v="BD, SC PT"/>
    <s v="CP thay ắc quy"/>
    <s v="CP phát sinh trong tháng"/>
    <s v="30L86727"/>
    <s v="Vf6"/>
    <n v="5098"/>
    <d v="2025-12-01T00:00:00"/>
    <n v="94313"/>
    <n v="1"/>
    <n v="94313"/>
    <d v="2025-12-01T00:00:00"/>
    <m/>
  </r>
  <r>
    <n v="112"/>
    <x v="0"/>
    <s v="YB"/>
    <x v="3"/>
    <s v="BD, SC PT"/>
    <s v="CP thay ắc quy"/>
    <s v="CP phát sinh trong tháng"/>
    <s v="30L86964"/>
    <s v="Vf6"/>
    <n v="3938"/>
    <d v="2025-12-01T00:00:00"/>
    <n v="72853"/>
    <n v="1"/>
    <n v="72853"/>
    <d v="2025-12-01T00:00:00"/>
    <m/>
  </r>
  <r>
    <n v="113"/>
    <x v="0"/>
    <s v="YB"/>
    <x v="3"/>
    <s v="BD, SC PT"/>
    <s v="CP thay ắc quy"/>
    <s v="CP phát sinh trong tháng"/>
    <s v="29B30385"/>
    <s v="Vf6"/>
    <n v="4167"/>
    <d v="2025-12-01T00:00:00"/>
    <n v="77089.5"/>
    <n v="1"/>
    <n v="77089.5"/>
    <d v="2025-12-01T00:00:00"/>
    <m/>
  </r>
  <r>
    <n v="114"/>
    <x v="0"/>
    <s v="YB"/>
    <x v="3"/>
    <s v="BD, SC PT"/>
    <s v="CP thay ắc quy"/>
    <s v="CP phát sinh trong tháng"/>
    <s v="29B61137"/>
    <s v="Vf6"/>
    <n v="3716"/>
    <d v="2025-12-01T00:00:00"/>
    <n v="68746"/>
    <n v="1"/>
    <n v="68746"/>
    <d v="2025-12-01T00:00:00"/>
    <m/>
  </r>
  <r>
    <n v="115"/>
    <x v="0"/>
    <s v="YB"/>
    <x v="3"/>
    <s v="BD, SC PT"/>
    <s v="CP thay ắc quy"/>
    <s v="CP phát sinh trong tháng"/>
    <s v="29B30453"/>
    <s v="Vf6"/>
    <n v="4342"/>
    <d v="2025-12-01T00:00:00"/>
    <n v="80327"/>
    <n v="1"/>
    <n v="80327"/>
    <d v="2025-12-01T00:00:00"/>
    <m/>
  </r>
  <r>
    <n v="116"/>
    <x v="0"/>
    <s v="YB"/>
    <x v="3"/>
    <s v="BD, SC PT"/>
    <s v="CP thay ắc quy"/>
    <s v="CP phát sinh trong tháng"/>
    <s v="29B30407"/>
    <s v="Vf6"/>
    <n v="4442"/>
    <d v="2025-12-01T00:00:00"/>
    <n v="82177"/>
    <n v="1"/>
    <n v="82177"/>
    <d v="2025-12-01T00:00:00"/>
    <m/>
  </r>
  <r>
    <n v="117"/>
    <x v="0"/>
    <s v="YB"/>
    <x v="3"/>
    <s v="BD, SC PT"/>
    <s v="CP thay ắc quy"/>
    <s v="CP phát sinh trong tháng"/>
    <s v="29B30446"/>
    <s v="Vf6"/>
    <n v="3730"/>
    <d v="2025-12-01T00:00:00"/>
    <n v="69005"/>
    <n v="1"/>
    <n v="69005"/>
    <d v="2025-12-01T00:00:00"/>
    <m/>
  </r>
  <r>
    <n v="118"/>
    <x v="0"/>
    <s v="YB"/>
    <x v="3"/>
    <s v="BD, SC PT"/>
    <s v="CP thay ắc quy"/>
    <s v="CP phát sinh trong tháng"/>
    <s v="29B30409"/>
    <s v="Vf6"/>
    <n v="4065"/>
    <d v="2025-12-01T00:00:00"/>
    <n v="75202.5"/>
    <n v="1"/>
    <n v="75202.5"/>
    <d v="2025-12-01T00:00:00"/>
    <m/>
  </r>
  <r>
    <n v="119"/>
    <x v="0"/>
    <s v="YB"/>
    <x v="3"/>
    <s v="BD, SC PT"/>
    <s v="CP thay ắc quy"/>
    <s v="CP phát sinh trong tháng"/>
    <s v="30M36249"/>
    <s v="Vf6"/>
    <n v="2565"/>
    <d v="2025-12-01T00:00:00"/>
    <n v="47452.5"/>
    <n v="1"/>
    <n v="47452.5"/>
    <d v="2025-12-01T00:00:00"/>
    <m/>
  </r>
  <r>
    <n v="120"/>
    <x v="0"/>
    <s v="YB"/>
    <x v="4"/>
    <s v="Tiền điện"/>
    <s v="Tiền điện"/>
    <s v="CP phát sinh hàng tháng"/>
    <s v="30L86763"/>
    <s v="Vf6"/>
    <m/>
    <d v="2025-12-01T00:00:00"/>
    <n v="2840258"/>
    <n v="1"/>
    <n v="2840258"/>
    <d v="2025-12-01T00:00:00"/>
    <m/>
  </r>
  <r>
    <n v="121"/>
    <x v="0"/>
    <s v="YB"/>
    <x v="4"/>
    <s v="Tiền điện"/>
    <s v="Tiền điện"/>
    <s v="CP phát sinh hàng tháng"/>
    <s v="30L86761"/>
    <s v="Vf6"/>
    <m/>
    <d v="2025-12-01T00:00:00"/>
    <n v="2300757"/>
    <n v="1"/>
    <n v="2300757"/>
    <d v="2025-12-01T00:00:00"/>
    <m/>
  </r>
  <r>
    <n v="122"/>
    <x v="0"/>
    <s v="YB"/>
    <x v="4"/>
    <s v="Tiền điện"/>
    <s v="Tiền điện"/>
    <s v="CP phát sinh hàng tháng"/>
    <s v="30L86704"/>
    <s v="Vf6"/>
    <m/>
    <d v="2025-12-01T00:00:00"/>
    <n v="2505810"/>
    <n v="1"/>
    <n v="2505810"/>
    <d v="2025-12-01T00:00:00"/>
    <m/>
  </r>
  <r>
    <n v="123"/>
    <x v="0"/>
    <s v="YB"/>
    <x v="4"/>
    <s v="Tiền điện"/>
    <s v="Tiền điện"/>
    <s v="CP phát sinh hàng tháng"/>
    <s v="30L86964"/>
    <s v="Vf6"/>
    <m/>
    <d v="2025-12-01T00:00:00"/>
    <n v="2633625"/>
    <n v="1"/>
    <n v="2633625"/>
    <d v="2025-12-01T00:00:00"/>
    <m/>
  </r>
  <r>
    <n v="124"/>
    <x v="0"/>
    <s v="YB"/>
    <x v="4"/>
    <s v="Tiền điện"/>
    <s v="Tiền điện"/>
    <s v="CP phát sinh hàng tháng"/>
    <s v="30L86851"/>
    <s v="Vf6"/>
    <m/>
    <d v="2025-12-01T00:00:00"/>
    <n v="3428373"/>
    <n v="1"/>
    <n v="3428373"/>
    <d v="2025-12-01T00:00:00"/>
    <m/>
  </r>
  <r>
    <n v="125"/>
    <x v="0"/>
    <s v="YB"/>
    <x v="4"/>
    <s v="Tiền điện"/>
    <s v="Tiền điện"/>
    <s v="CP phát sinh hàng tháng"/>
    <s v="30L86727"/>
    <s v="Vf6"/>
    <m/>
    <d v="2025-12-01T00:00:00"/>
    <n v="3063021"/>
    <n v="1"/>
    <n v="3063021"/>
    <d v="2025-12-01T00:00:00"/>
    <m/>
  </r>
  <r>
    <n v="126"/>
    <x v="0"/>
    <s v="YB"/>
    <x v="4"/>
    <s v="Tiền điện"/>
    <s v="Tiền điện"/>
    <s v="CP phát sinh hàng tháng"/>
    <s v="29B30385"/>
    <s v="Vf6"/>
    <m/>
    <d v="2025-12-01T00:00:00"/>
    <n v="2621944"/>
    <n v="1"/>
    <n v="2621944"/>
    <d v="2025-12-01T00:00:00"/>
    <m/>
  </r>
  <r>
    <n v="127"/>
    <x v="0"/>
    <s v="YB"/>
    <x v="4"/>
    <s v="Tiền điện"/>
    <s v="Tiền điện"/>
    <s v="CP phát sinh hàng tháng"/>
    <s v="29B30409"/>
    <s v="Vf6"/>
    <m/>
    <d v="2025-12-01T00:00:00"/>
    <n v="2625716"/>
    <n v="1"/>
    <n v="2625716"/>
    <d v="2025-12-01T00:00:00"/>
    <m/>
  </r>
  <r>
    <n v="128"/>
    <x v="0"/>
    <s v="YB"/>
    <x v="4"/>
    <s v="Tiền điện"/>
    <s v="Tiền điện"/>
    <s v="CP phát sinh hàng tháng"/>
    <s v="29B30446"/>
    <s v="Vf6"/>
    <m/>
    <d v="2025-12-01T00:00:00"/>
    <n v="2523171"/>
    <n v="1"/>
    <n v="2523171"/>
    <d v="2025-12-01T00:00:00"/>
    <m/>
  </r>
  <r>
    <n v="129"/>
    <x v="0"/>
    <s v="YB"/>
    <x v="4"/>
    <s v="Tiền điện"/>
    <s v="Tiền điện"/>
    <s v="CP phát sinh hàng tháng"/>
    <s v="29B30453"/>
    <s v="Vf6"/>
    <m/>
    <d v="2025-12-01T00:00:00"/>
    <n v="2883276"/>
    <n v="1"/>
    <n v="2883276"/>
    <d v="2025-12-01T00:00:00"/>
    <m/>
  </r>
  <r>
    <n v="130"/>
    <x v="0"/>
    <s v="YB"/>
    <x v="4"/>
    <s v="Tiền điện"/>
    <s v="Tiền điện"/>
    <s v="CP phát sinh hàng tháng"/>
    <s v="29B61137"/>
    <s v="Vf6"/>
    <m/>
    <d v="2025-12-01T00:00:00"/>
    <n v="2597591"/>
    <n v="1"/>
    <n v="2597591"/>
    <d v="2025-12-01T00:00:00"/>
    <m/>
  </r>
  <r>
    <n v="131"/>
    <x v="0"/>
    <s v="YB"/>
    <x v="4"/>
    <s v="Tiền điện"/>
    <s v="Tiền điện"/>
    <s v="CP phát sinh hàng tháng"/>
    <s v="29B30407"/>
    <s v="Vf6"/>
    <m/>
    <d v="2025-12-01T00:00:00"/>
    <n v="2825754"/>
    <n v="1"/>
    <n v="2825754"/>
    <d v="2025-12-01T00:00:00"/>
    <m/>
  </r>
  <r>
    <n v="132"/>
    <x v="0"/>
    <s v="YB"/>
    <x v="4"/>
    <s v="Tiền điện"/>
    <s v="Tiền điện"/>
    <s v="CP phát sinh hàng tháng"/>
    <s v="30M36249"/>
    <s v="Vf6"/>
    <m/>
    <d v="2025-12-01T00:00:00"/>
    <n v="1264074"/>
    <n v="1"/>
    <n v="1264074"/>
    <d v="2025-12-01T00:00:00"/>
    <m/>
  </r>
  <r>
    <n v="133"/>
    <x v="0"/>
    <s v="YB"/>
    <x v="5"/>
    <s v="CP rửa xe"/>
    <s v="Rửa xe TC bãi cố định"/>
    <s v="CP phát sinh hàng tháng"/>
    <s v="30L86704"/>
    <s v="Vf6"/>
    <m/>
    <d v="2025-12-01T00:00:00"/>
    <n v="50000"/>
    <n v="1"/>
    <n v="50000"/>
    <d v="2025-12-01T00:00:00"/>
    <m/>
  </r>
  <r>
    <n v="134"/>
    <x v="0"/>
    <s v="YB"/>
    <x v="5"/>
    <s v="CP rửa xe"/>
    <s v="Rửa xe TC bãi cố định"/>
    <s v="CP phát sinh hàng tháng"/>
    <s v="29B30446"/>
    <s v="Vf6"/>
    <m/>
    <d v="2025-12-02T00:00:00"/>
    <n v="50000"/>
    <n v="1"/>
    <n v="50000"/>
    <d v="2025-12-02T00:00:00"/>
    <m/>
  </r>
  <r>
    <n v="135"/>
    <x v="0"/>
    <s v="YB"/>
    <x v="5"/>
    <s v="CP rửa xe"/>
    <s v="Rửa xe TC bãi cố định"/>
    <s v="CP phát sinh hàng tháng"/>
    <s v="30L86964"/>
    <s v="Vf6"/>
    <m/>
    <d v="2025-12-03T00:00:00"/>
    <n v="50000"/>
    <n v="1"/>
    <n v="50000"/>
    <d v="2025-12-03T00:00:00"/>
    <m/>
  </r>
  <r>
    <n v="136"/>
    <x v="0"/>
    <s v="YB"/>
    <x v="5"/>
    <s v="CP rửa xe"/>
    <s v="Rửa xe TC bãi cố định"/>
    <s v="CP phát sinh hàng tháng"/>
    <s v="29B30407"/>
    <s v="Vf6"/>
    <m/>
    <d v="2025-12-03T00:00:00"/>
    <n v="50000"/>
    <n v="1"/>
    <n v="50000"/>
    <d v="2025-12-03T00:00:00"/>
    <m/>
  </r>
  <r>
    <n v="137"/>
    <x v="0"/>
    <s v="YB"/>
    <x v="5"/>
    <s v="CP rửa xe"/>
    <s v="Rửa xe TC bãi cố định"/>
    <s v="CP phát sinh hàng tháng"/>
    <s v="29B61137"/>
    <s v="Vf6"/>
    <m/>
    <d v="2025-12-03T00:00:00"/>
    <n v="50000"/>
    <n v="1"/>
    <n v="50000"/>
    <d v="2025-12-03T00:00:00"/>
    <m/>
  </r>
  <r>
    <n v="138"/>
    <x v="0"/>
    <s v="YB"/>
    <x v="5"/>
    <s v="CP rửa xe"/>
    <s v="Rửa xe TC bãi cố định"/>
    <s v="CP phát sinh hàng tháng"/>
    <s v="30L86851"/>
    <s v="Vf6"/>
    <m/>
    <d v="2025-12-03T00:00:00"/>
    <n v="50000"/>
    <n v="1"/>
    <n v="50000"/>
    <d v="2025-12-03T00:00:00"/>
    <m/>
  </r>
  <r>
    <n v="139"/>
    <x v="0"/>
    <s v="YB"/>
    <x v="5"/>
    <s v="CP rửa xe"/>
    <s v="Rửa xe TC bãi cố định"/>
    <s v="CP phát sinh hàng tháng"/>
    <s v="30L86763"/>
    <s v="Vf6"/>
    <m/>
    <d v="2025-12-04T00:00:00"/>
    <n v="50000"/>
    <n v="1"/>
    <n v="50000"/>
    <d v="2025-12-04T00:00:00"/>
    <m/>
  </r>
  <r>
    <n v="140"/>
    <x v="0"/>
    <s v="YB"/>
    <x v="5"/>
    <s v="CP rửa xe"/>
    <s v="Rửa xe TC bãi cố định"/>
    <s v="CP phát sinh hàng tháng"/>
    <s v="30L86761"/>
    <s v="Vf6"/>
    <m/>
    <d v="2025-12-04T00:00:00"/>
    <n v="50000"/>
    <n v="1"/>
    <n v="50000"/>
    <d v="2025-12-04T00:00:00"/>
    <m/>
  </r>
  <r>
    <n v="141"/>
    <x v="0"/>
    <s v="YB"/>
    <x v="5"/>
    <s v="CP rửa xe"/>
    <s v="Rửa xe TC bãi cố định"/>
    <s v="CP phát sinh hàng tháng"/>
    <s v="29B30453"/>
    <s v="Vf6"/>
    <m/>
    <d v="2025-12-05T00:00:00"/>
    <n v="50000"/>
    <n v="1"/>
    <n v="50000"/>
    <d v="2025-12-05T00:00:00"/>
    <m/>
  </r>
  <r>
    <n v="142"/>
    <x v="0"/>
    <s v="YB"/>
    <x v="5"/>
    <s v="CP rửa xe"/>
    <s v="Rửa xe TC bãi cố định"/>
    <s v="CP phát sinh hàng tháng"/>
    <s v="30L86727"/>
    <s v="Vf6"/>
    <m/>
    <d v="2025-12-06T00:00:00"/>
    <n v="50000"/>
    <n v="1"/>
    <n v="50000"/>
    <d v="2025-12-06T00:00:00"/>
    <m/>
  </r>
  <r>
    <n v="143"/>
    <x v="0"/>
    <s v="YB"/>
    <x v="5"/>
    <s v="CP rửa xe"/>
    <s v="Rửa xe TC bãi cố định"/>
    <s v="CP phát sinh hàng tháng"/>
    <s v="29B61137"/>
    <s v="Vf6"/>
    <m/>
    <d v="2025-12-07T00:00:00"/>
    <n v="50000"/>
    <n v="1"/>
    <n v="50000"/>
    <d v="2025-12-07T00:00:00"/>
    <m/>
  </r>
  <r>
    <n v="144"/>
    <x v="0"/>
    <s v="YB"/>
    <x v="5"/>
    <s v="CP rửa xe"/>
    <s v="Rửa xe TC bãi cố định"/>
    <s v="CP phát sinh hàng tháng"/>
    <s v="29B30446"/>
    <s v="Vf6"/>
    <m/>
    <d v="2025-12-08T00:00:00"/>
    <n v="50000"/>
    <n v="1"/>
    <n v="50000"/>
    <d v="2025-12-08T00:00:00"/>
    <m/>
  </r>
  <r>
    <n v="145"/>
    <x v="0"/>
    <s v="YB"/>
    <x v="5"/>
    <s v="CP rửa xe"/>
    <s v="Rửa xe TC bãi cố định"/>
    <s v="CP phát sinh hàng tháng"/>
    <s v="30L86964"/>
    <s v="Vf6"/>
    <m/>
    <d v="2025-12-08T00:00:00"/>
    <n v="50000"/>
    <n v="1"/>
    <n v="50000"/>
    <d v="2025-12-08T00:00:00"/>
    <m/>
  </r>
  <r>
    <n v="146"/>
    <x v="0"/>
    <s v="YB"/>
    <x v="5"/>
    <s v="CP rửa xe"/>
    <s v="Rửa xe TC bãi cố định"/>
    <s v="CP phát sinh hàng tháng"/>
    <s v="29B30385"/>
    <s v="Vf6"/>
    <m/>
    <d v="2025-12-08T00:00:00"/>
    <n v="50000"/>
    <n v="1"/>
    <n v="50000"/>
    <d v="2025-12-08T00:00:00"/>
    <m/>
  </r>
  <r>
    <n v="147"/>
    <x v="0"/>
    <s v="YB"/>
    <x v="5"/>
    <s v="CP rửa xe"/>
    <s v="Rửa xe TC bãi cố định"/>
    <s v="CP phát sinh hàng tháng"/>
    <s v="30M36249"/>
    <s v="Vf6"/>
    <m/>
    <d v="2025-12-08T00:00:00"/>
    <n v="50000"/>
    <n v="1"/>
    <n v="50000"/>
    <d v="2025-12-08T00:00:00"/>
    <m/>
  </r>
  <r>
    <n v="148"/>
    <x v="0"/>
    <s v="YB"/>
    <x v="5"/>
    <s v="CP rửa xe"/>
    <s v="Rửa xe TC bãi cố định"/>
    <s v="CP phát sinh hàng tháng"/>
    <s v="30L86704"/>
    <s v="Vf6"/>
    <m/>
    <d v="2025-12-08T00:00:00"/>
    <n v="50000"/>
    <n v="1"/>
    <n v="50000"/>
    <d v="2025-12-08T00:00:00"/>
    <m/>
  </r>
  <r>
    <n v="149"/>
    <x v="0"/>
    <s v="YB"/>
    <x v="5"/>
    <s v="CP rửa xe"/>
    <s v="Rửa xe TC bãi cố định"/>
    <s v="CP phát sinh hàng tháng"/>
    <s v="29B30453"/>
    <s v="Vf6"/>
    <m/>
    <d v="2025-12-08T00:00:00"/>
    <n v="50000"/>
    <n v="1"/>
    <n v="50000"/>
    <d v="2025-12-08T00:00:00"/>
    <m/>
  </r>
  <r>
    <n v="150"/>
    <x v="0"/>
    <s v="YB"/>
    <x v="5"/>
    <s v="CP rửa xe"/>
    <s v="Rửa xe TC bãi cố định"/>
    <s v="CP phát sinh hàng tháng"/>
    <s v="29B30409"/>
    <s v="Vf6"/>
    <m/>
    <d v="2025-12-08T00:00:00"/>
    <n v="50000"/>
    <n v="1"/>
    <n v="50000"/>
    <d v="2025-12-08T00:00:00"/>
    <m/>
  </r>
  <r>
    <n v="151"/>
    <x v="0"/>
    <s v="YB"/>
    <x v="5"/>
    <s v="CP rửa xe"/>
    <s v="Rửa xe TC bãi cố định"/>
    <s v="CP phát sinh hàng tháng"/>
    <s v="30L86727"/>
    <s v="Vf6"/>
    <m/>
    <d v="2025-12-08T00:00:00"/>
    <n v="50000"/>
    <n v="1"/>
    <n v="50000"/>
    <d v="2025-12-08T00:00:00"/>
    <m/>
  </r>
  <r>
    <n v="152"/>
    <x v="0"/>
    <s v="YB"/>
    <x v="5"/>
    <s v="CP rửa xe"/>
    <s v="Rửa xe TC bãi cố định"/>
    <s v="CP phát sinh hàng tháng"/>
    <s v="30L86763"/>
    <s v="Vf6"/>
    <m/>
    <d v="2025-12-09T00:00:00"/>
    <n v="50000"/>
    <n v="1"/>
    <n v="50000"/>
    <d v="2025-12-09T00:00:00"/>
    <m/>
  </r>
  <r>
    <n v="153"/>
    <x v="0"/>
    <s v="YB"/>
    <x v="5"/>
    <s v="CP rửa xe"/>
    <s v="Rửa xe TC bãi cố định"/>
    <s v="CP phát sinh hàng tháng"/>
    <s v="30L86851"/>
    <s v="Vf6"/>
    <m/>
    <d v="2025-12-09T00:00:00"/>
    <n v="50000"/>
    <n v="1"/>
    <n v="50000"/>
    <d v="2025-12-09T00:00:00"/>
    <m/>
  </r>
  <r>
    <n v="154"/>
    <x v="0"/>
    <s v="YB"/>
    <x v="5"/>
    <s v="CP rửa xe"/>
    <s v="Rửa xe TC bãi cố định"/>
    <s v="CP phát sinh hàng tháng"/>
    <s v="30L86761"/>
    <s v="Vf6"/>
    <m/>
    <d v="2025-12-09T00:00:00"/>
    <n v="50000"/>
    <n v="1"/>
    <n v="50000"/>
    <d v="2025-12-09T00:00:00"/>
    <m/>
  </r>
  <r>
    <n v="155"/>
    <x v="0"/>
    <s v="YB"/>
    <x v="5"/>
    <s v="CP rửa xe"/>
    <s v="Rửa xe TC bãi cố định"/>
    <s v="CP phát sinh hàng tháng"/>
    <s v="29B30407"/>
    <s v="Vf6"/>
    <m/>
    <d v="2025-12-11T00:00:00"/>
    <n v="50000"/>
    <n v="1"/>
    <n v="50000"/>
    <d v="2025-12-11T00:00:00"/>
    <m/>
  </r>
  <r>
    <n v="156"/>
    <x v="0"/>
    <s v="YB"/>
    <x v="5"/>
    <s v="CP rửa xe"/>
    <s v="Rửa xe TC bãi cố định"/>
    <s v="CP phát sinh hàng tháng"/>
    <s v="30L86851"/>
    <s v="Vf6"/>
    <m/>
    <d v="2025-12-13T00:00:00"/>
    <n v="50000"/>
    <n v="1"/>
    <n v="50000"/>
    <d v="2025-12-13T00:00:00"/>
    <m/>
  </r>
  <r>
    <n v="157"/>
    <x v="0"/>
    <s v="YB"/>
    <x v="5"/>
    <s v="CP rửa xe"/>
    <s v="Rửa xe TC bãi cố định"/>
    <s v="CP phát sinh hàng tháng"/>
    <s v="30M36249"/>
    <s v="Vf6"/>
    <m/>
    <d v="2025-12-13T00:00:00"/>
    <n v="50000"/>
    <n v="1"/>
    <n v="50000"/>
    <d v="2025-12-13T00:00:00"/>
    <m/>
  </r>
  <r>
    <n v="158"/>
    <x v="0"/>
    <s v="YB"/>
    <x v="5"/>
    <s v="CP rửa xe"/>
    <s v="Rửa xe TC bãi cố định"/>
    <s v="CP phát sinh hàng tháng"/>
    <s v="29B30453"/>
    <s v="Vf6"/>
    <m/>
    <d v="2025-12-13T00:00:00"/>
    <n v="50000"/>
    <n v="1"/>
    <n v="50000"/>
    <d v="2025-12-13T00:00:00"/>
    <m/>
  </r>
  <r>
    <n v="159"/>
    <x v="0"/>
    <s v="YB"/>
    <x v="5"/>
    <s v="CP rửa xe"/>
    <s v="Rửa xe TC bãi cố định"/>
    <s v="CP phát sinh hàng tháng"/>
    <s v="30L86763"/>
    <s v="Vf6"/>
    <m/>
    <d v="2025-12-13T00:00:00"/>
    <n v="50000"/>
    <n v="1"/>
    <n v="50000"/>
    <d v="2025-12-13T00:00:00"/>
    <m/>
  </r>
  <r>
    <n v="160"/>
    <x v="0"/>
    <s v="YB"/>
    <x v="5"/>
    <s v="CP rửa xe"/>
    <s v="Rửa xe TC bãi cố định"/>
    <s v="CP phát sinh hàng tháng"/>
    <s v="30L86704"/>
    <s v="Vf6"/>
    <m/>
    <d v="2025-12-13T00:00:00"/>
    <n v="50000"/>
    <n v="1"/>
    <n v="50000"/>
    <d v="2025-12-13T00:00:00"/>
    <m/>
  </r>
  <r>
    <n v="161"/>
    <x v="0"/>
    <s v="YB"/>
    <x v="5"/>
    <s v="CP rửa xe"/>
    <s v="Rửa xe TC bãi cố định"/>
    <s v="CP phát sinh hàng tháng"/>
    <s v="29B30409"/>
    <s v="Vf6"/>
    <m/>
    <d v="2025-12-13T00:00:00"/>
    <n v="50000"/>
    <n v="1"/>
    <n v="50000"/>
    <d v="2025-12-13T00:00:00"/>
    <m/>
  </r>
  <r>
    <n v="162"/>
    <x v="0"/>
    <s v="YB"/>
    <x v="5"/>
    <s v="CP rửa xe"/>
    <s v="Rửa xe TC bãi cố định"/>
    <s v="CP phát sinh hàng tháng"/>
    <s v="29B61137"/>
    <s v="Vf6"/>
    <m/>
    <d v="2025-12-14T00:00:00"/>
    <n v="50000"/>
    <n v="1"/>
    <n v="50000"/>
    <d v="2025-12-14T00:00:00"/>
    <m/>
  </r>
  <r>
    <n v="163"/>
    <x v="0"/>
    <s v="YB"/>
    <x v="5"/>
    <s v="CP rửa xe"/>
    <s v="Rửa xe TC bãi cố định"/>
    <s v="CP phát sinh hàng tháng"/>
    <s v="30L86964"/>
    <s v="Vf6"/>
    <m/>
    <d v="2025-12-14T00:00:00"/>
    <n v="50000"/>
    <n v="1"/>
    <n v="50000"/>
    <d v="2025-12-14T00:00:00"/>
    <m/>
  </r>
  <r>
    <n v="164"/>
    <x v="0"/>
    <s v="YB"/>
    <x v="5"/>
    <s v="CP rửa xe"/>
    <s v="Rửa xe TC bãi cố định"/>
    <s v="CP phát sinh hàng tháng"/>
    <s v="29B30446"/>
    <s v="Vf6"/>
    <m/>
    <d v="2025-12-14T00:00:00"/>
    <n v="50000"/>
    <n v="1"/>
    <n v="50000"/>
    <d v="2025-12-14T00:00:00"/>
    <m/>
  </r>
  <r>
    <n v="165"/>
    <x v="0"/>
    <s v="YB"/>
    <x v="5"/>
    <s v="CP rửa xe"/>
    <s v="Rửa xe TC bãi cố định"/>
    <s v="CP phát sinh hàng tháng"/>
    <s v="30L86761"/>
    <s v="Vf6"/>
    <m/>
    <d v="2025-12-14T00:00:00"/>
    <n v="50000"/>
    <n v="1"/>
    <n v="50000"/>
    <d v="2025-12-14T00:00:00"/>
    <m/>
  </r>
  <r>
    <n v="166"/>
    <x v="0"/>
    <s v="YB"/>
    <x v="5"/>
    <s v="CP rửa xe"/>
    <s v="Rửa xe TC bãi cố định"/>
    <s v="CP phát sinh hàng tháng"/>
    <s v="30L86727"/>
    <s v="Vf6"/>
    <m/>
    <d v="2025-12-14T00:00:00"/>
    <n v="50000"/>
    <n v="1"/>
    <n v="50000"/>
    <d v="2025-12-14T00:00:00"/>
    <m/>
  </r>
  <r>
    <n v="167"/>
    <x v="0"/>
    <s v="YB"/>
    <x v="5"/>
    <s v="CP rửa xe"/>
    <s v="Rửa xe TC bãi cố định"/>
    <s v="CP phát sinh hàng tháng"/>
    <s v="29B30407"/>
    <s v="Vf6"/>
    <m/>
    <d v="2025-12-14T00:00:00"/>
    <n v="50000"/>
    <n v="1"/>
    <n v="50000"/>
    <d v="2025-12-14T00:00:00"/>
    <m/>
  </r>
  <r>
    <n v="168"/>
    <x v="0"/>
    <s v="YB"/>
    <x v="5"/>
    <s v="CP rửa xe"/>
    <s v="Rửa xe TC bãi cố định"/>
    <s v="CP phát sinh hàng tháng"/>
    <s v="29B30409"/>
    <s v="Vf6"/>
    <m/>
    <d v="2025-12-14T00:00:00"/>
    <n v="50000"/>
    <n v="1"/>
    <n v="50000"/>
    <d v="2025-12-14T00:00:00"/>
    <m/>
  </r>
  <r>
    <n v="169"/>
    <x v="0"/>
    <s v="YB"/>
    <x v="5"/>
    <s v="CP rửa xe"/>
    <s v="Rửa xe TC bãi cố định"/>
    <s v="CP phát sinh hàng tháng"/>
    <s v="29B30385"/>
    <s v="Vf6"/>
    <m/>
    <d v="2025-12-15T00:00:00"/>
    <n v="50000"/>
    <n v="1"/>
    <n v="50000"/>
    <d v="2025-12-15T00:00:00"/>
    <m/>
  </r>
  <r>
    <n v="170"/>
    <x v="0"/>
    <s v="YB"/>
    <x v="5"/>
    <s v="CP rửa xe"/>
    <s v="Rửa xe TC bãi cố định"/>
    <s v="CP phát sinh hàng tháng"/>
    <s v="30L86851"/>
    <s v="Vf6"/>
    <m/>
    <d v="2025-12-15T00:00:00"/>
    <n v="50000"/>
    <n v="1"/>
    <n v="50000"/>
    <d v="2025-12-15T00:00:00"/>
    <m/>
  </r>
  <r>
    <n v="171"/>
    <x v="0"/>
    <s v="YB"/>
    <x v="5"/>
    <s v="CP rửa xe"/>
    <s v="Rửa xe TC bãi cố định"/>
    <s v="CP phát sinh hàng tháng"/>
    <s v="30L86763"/>
    <s v="Vf6"/>
    <m/>
    <d v="2025-12-16T00:00:00"/>
    <n v="50000"/>
    <n v="1"/>
    <n v="50000"/>
    <d v="2025-12-16T00:00:00"/>
    <m/>
  </r>
  <r>
    <n v="172"/>
    <x v="0"/>
    <s v="YB"/>
    <x v="5"/>
    <s v="CP rửa xe"/>
    <s v="Rửa xe TC bãi cố định"/>
    <s v="CP phát sinh hàng tháng"/>
    <s v="29B30385"/>
    <s v="Vf6"/>
    <m/>
    <d v="2025-12-17T00:00:00"/>
    <n v="50000"/>
    <n v="1"/>
    <n v="50000"/>
    <d v="2025-12-17T00:00:00"/>
    <m/>
  </r>
  <r>
    <n v="173"/>
    <x v="0"/>
    <s v="YB"/>
    <x v="5"/>
    <s v="CP rửa xe"/>
    <s v="Rửa xe TC bãi cố định"/>
    <s v="CP phát sinh hàng tháng"/>
    <s v="29B30453"/>
    <s v="Vf6"/>
    <m/>
    <d v="2025-12-17T00:00:00"/>
    <n v="50000"/>
    <n v="1"/>
    <n v="50000"/>
    <d v="2025-12-17T00:00:00"/>
    <m/>
  </r>
  <r>
    <n v="174"/>
    <x v="0"/>
    <s v="YB"/>
    <x v="5"/>
    <s v="CP rửa xe"/>
    <s v="Rửa xe TC bãi cố định"/>
    <s v="CP phát sinh hàng tháng"/>
    <s v="30L86704"/>
    <s v="Vf6"/>
    <m/>
    <d v="2025-12-18T00:00:00"/>
    <n v="50000"/>
    <n v="1"/>
    <n v="50000"/>
    <d v="2025-12-18T00:00:00"/>
    <m/>
  </r>
  <r>
    <n v="175"/>
    <x v="0"/>
    <s v="YB"/>
    <x v="5"/>
    <s v="CP rửa xe"/>
    <s v="Rửa xe TC bãi cố định"/>
    <s v="CP phát sinh hàng tháng"/>
    <s v="29B61137"/>
    <s v="Vf6"/>
    <m/>
    <d v="2025-12-18T00:00:00"/>
    <n v="50000"/>
    <n v="1"/>
    <n v="50000"/>
    <d v="2025-12-18T00:00:00"/>
    <m/>
  </r>
  <r>
    <n v="176"/>
    <x v="0"/>
    <s v="YB"/>
    <x v="5"/>
    <s v="CP rửa xe"/>
    <s v="Rửa xe TC bãi cố định"/>
    <s v="CP phát sinh hàng tháng"/>
    <s v="30L86727"/>
    <s v="Vf6"/>
    <m/>
    <d v="2025-12-18T00:00:00"/>
    <n v="50000"/>
    <n v="1"/>
    <n v="50000"/>
    <d v="2025-12-18T00:00:00"/>
    <m/>
  </r>
  <r>
    <n v="177"/>
    <x v="0"/>
    <s v="YB"/>
    <x v="5"/>
    <s v="CP rửa xe"/>
    <s v="Rửa xe TC bãi cố định"/>
    <s v="CP phát sinh hàng tháng"/>
    <s v="30L86763"/>
    <s v="Vf6"/>
    <m/>
    <d v="2025-12-19T00:00:00"/>
    <n v="50000"/>
    <n v="1"/>
    <n v="50000"/>
    <d v="2025-12-19T00:00:00"/>
    <m/>
  </r>
  <r>
    <n v="178"/>
    <x v="0"/>
    <s v="YB"/>
    <x v="5"/>
    <s v="CP rửa xe"/>
    <s v="Rửa xe TC bãi cố định"/>
    <s v="CP phát sinh hàng tháng"/>
    <s v="30L86964"/>
    <s v="Vf6"/>
    <m/>
    <d v="2025-12-19T00:00:00"/>
    <n v="50000"/>
    <n v="1"/>
    <n v="50000"/>
    <d v="2025-12-19T00:00:00"/>
    <m/>
  </r>
  <r>
    <n v="179"/>
    <x v="0"/>
    <s v="YB"/>
    <x v="5"/>
    <s v="CP rửa xe"/>
    <s v="Rửa xe TC bãi cố định"/>
    <s v="CP phát sinh hàng tháng"/>
    <s v="29B30407"/>
    <s v="Vf6"/>
    <m/>
    <d v="2025-12-19T00:00:00"/>
    <n v="50000"/>
    <n v="1"/>
    <n v="50000"/>
    <d v="2025-12-19T00:00:00"/>
    <m/>
  </r>
  <r>
    <n v="180"/>
    <x v="0"/>
    <s v="YB"/>
    <x v="5"/>
    <s v="CP rửa xe"/>
    <s v="Rửa xe TC bãi cố định"/>
    <s v="CP phát sinh hàng tháng"/>
    <s v="29B30446"/>
    <s v="Vf6"/>
    <m/>
    <d v="2025-12-19T00:00:00"/>
    <n v="50000"/>
    <n v="1"/>
    <n v="50000"/>
    <d v="2025-12-19T00:00:00"/>
    <m/>
  </r>
  <r>
    <n v="181"/>
    <x v="0"/>
    <s v="YB"/>
    <x v="5"/>
    <s v="CP rửa xe"/>
    <s v="Rửa xe TC bãi cố định"/>
    <s v="CP phát sinh hàng tháng"/>
    <s v="30L86761"/>
    <s v="Vf6"/>
    <m/>
    <d v="2025-12-19T00:00:00"/>
    <n v="50000"/>
    <n v="1"/>
    <n v="50000"/>
    <d v="2025-12-19T00:00:00"/>
    <m/>
  </r>
  <r>
    <n v="182"/>
    <x v="0"/>
    <s v="YB"/>
    <x v="5"/>
    <s v="CP rửa xe"/>
    <s v="Rửa xe TC bãi cố định"/>
    <s v="CP phát sinh hàng tháng"/>
    <s v="30L86851"/>
    <s v="Vf6"/>
    <m/>
    <d v="2025-12-19T00:00:00"/>
    <n v="50000"/>
    <n v="1"/>
    <n v="50000"/>
    <d v="2025-12-19T00:00:00"/>
    <m/>
  </r>
  <r>
    <n v="183"/>
    <x v="0"/>
    <s v="YB"/>
    <x v="5"/>
    <s v="CP rửa xe"/>
    <s v="Rửa xe TC bãi cố định"/>
    <s v="CP phát sinh hàng tháng"/>
    <s v="29B30453"/>
    <s v="Vf6"/>
    <m/>
    <d v="2025-12-21T00:00:00"/>
    <n v="50000"/>
    <n v="1"/>
    <n v="50000"/>
    <d v="2025-12-21T00:00:00"/>
    <m/>
  </r>
  <r>
    <n v="184"/>
    <x v="0"/>
    <s v="YB"/>
    <x v="5"/>
    <s v="CP rửa xe"/>
    <s v="Rửa xe TC bãi cố định"/>
    <s v="CP phát sinh hàng tháng"/>
    <s v="30L86704"/>
    <s v="Vf6"/>
    <m/>
    <d v="2025-12-21T00:00:00"/>
    <n v="50000"/>
    <n v="1"/>
    <n v="50000"/>
    <d v="2025-12-21T00:00:00"/>
    <m/>
  </r>
  <r>
    <n v="185"/>
    <x v="0"/>
    <s v="YB"/>
    <x v="5"/>
    <s v="CP rửa xe"/>
    <s v="Rửa xe TC bãi cố định"/>
    <s v="CP phát sinh hàng tháng"/>
    <s v="29B61137"/>
    <s v="Vf6"/>
    <m/>
    <d v="2025-12-22T00:00:00"/>
    <n v="50000"/>
    <n v="1"/>
    <n v="50000"/>
    <d v="2025-12-22T00:00:00"/>
    <m/>
  </r>
  <r>
    <n v="186"/>
    <x v="0"/>
    <s v="YB"/>
    <x v="5"/>
    <s v="CP rửa xe"/>
    <s v="Rửa xe TC bãi cố định"/>
    <s v="CP phát sinh hàng tháng"/>
    <s v="30L86761"/>
    <s v="Vf6"/>
    <m/>
    <d v="2025-12-22T00:00:00"/>
    <n v="50000"/>
    <n v="1"/>
    <n v="50000"/>
    <d v="2025-12-22T00:00:00"/>
    <m/>
  </r>
  <r>
    <n v="187"/>
    <x v="0"/>
    <s v="YB"/>
    <x v="5"/>
    <s v="CP rửa xe"/>
    <s v="Rửa xe TC bãi cố định"/>
    <s v="CP phát sinh hàng tháng"/>
    <s v="30L86763"/>
    <s v="Vf6"/>
    <m/>
    <d v="2025-12-22T00:00:00"/>
    <n v="50000"/>
    <n v="1"/>
    <n v="50000"/>
    <d v="2025-12-22T00:00:00"/>
    <m/>
  </r>
  <r>
    <n v="188"/>
    <x v="0"/>
    <s v="YB"/>
    <x v="5"/>
    <s v="CP rửa xe"/>
    <s v="Rửa xe TC bãi cố định"/>
    <s v="CP phát sinh hàng tháng"/>
    <s v="30L86851"/>
    <s v="Vf6"/>
    <m/>
    <d v="2025-12-22T00:00:00"/>
    <n v="50000"/>
    <n v="1"/>
    <n v="50000"/>
    <d v="2025-12-22T00:00:00"/>
    <m/>
  </r>
  <r>
    <n v="189"/>
    <x v="0"/>
    <s v="YB"/>
    <x v="5"/>
    <s v="CP rửa xe"/>
    <s v="Rửa xe TC bãi cố định"/>
    <s v="CP phát sinh hàng tháng"/>
    <s v="29B30409"/>
    <s v="Vf6"/>
    <m/>
    <d v="2025-12-22T00:00:00"/>
    <n v="50000"/>
    <n v="1"/>
    <n v="50000"/>
    <d v="2025-12-22T00:00:00"/>
    <m/>
  </r>
  <r>
    <n v="190"/>
    <x v="0"/>
    <s v="YB"/>
    <x v="5"/>
    <s v="CP rửa xe"/>
    <s v="Rửa xe TC bãi cố định"/>
    <s v="CP phát sinh hàng tháng"/>
    <s v="30L86704"/>
    <s v="Vf6"/>
    <m/>
    <d v="2025-12-24T00:00:00"/>
    <n v="50000"/>
    <n v="1"/>
    <n v="50000"/>
    <d v="2025-12-24T00:00:00"/>
    <m/>
  </r>
  <r>
    <n v="191"/>
    <x v="0"/>
    <s v="YB"/>
    <x v="5"/>
    <s v="CP rửa xe"/>
    <s v="Rửa xe TC bãi cố định"/>
    <s v="CP phát sinh hàng tháng"/>
    <s v="30L86763"/>
    <s v="Vf6"/>
    <m/>
    <d v="2025-12-24T00:00:00"/>
    <n v="50000"/>
    <n v="1"/>
    <n v="50000"/>
    <d v="2025-12-24T00:00:00"/>
    <m/>
  </r>
  <r>
    <n v="192"/>
    <x v="0"/>
    <s v="YB"/>
    <x v="5"/>
    <s v="CP rửa xe"/>
    <s v="Rửa xe TC bãi cố định"/>
    <s v="CP phát sinh hàng tháng"/>
    <s v="30L86727"/>
    <s v="Vf6"/>
    <m/>
    <d v="2025-12-25T00:00:00"/>
    <n v="50000"/>
    <n v="1"/>
    <n v="50000"/>
    <d v="2025-12-25T00:00:00"/>
    <m/>
  </r>
  <r>
    <n v="193"/>
    <x v="0"/>
    <s v="YB"/>
    <x v="5"/>
    <s v="CP rửa xe"/>
    <s v="Rửa xe TC bãi cố định"/>
    <s v="CP phát sinh hàng tháng"/>
    <s v="30L86964"/>
    <s v="Vf6"/>
    <m/>
    <d v="2025-12-25T00:00:00"/>
    <n v="50000"/>
    <n v="1"/>
    <n v="50000"/>
    <d v="2025-12-25T00:00:00"/>
    <m/>
  </r>
  <r>
    <n v="194"/>
    <x v="0"/>
    <s v="YB"/>
    <x v="5"/>
    <s v="CP rửa xe"/>
    <s v="Rửa xe TC bãi cố định"/>
    <s v="CP phát sinh hàng tháng"/>
    <s v="29B30453"/>
    <s v="Vf6"/>
    <m/>
    <d v="2025-12-25T00:00:00"/>
    <n v="50000"/>
    <n v="1"/>
    <n v="50000"/>
    <d v="2025-12-25T00:00:00"/>
    <m/>
  </r>
  <r>
    <n v="195"/>
    <x v="0"/>
    <s v="YB"/>
    <x v="5"/>
    <s v="CP rửa xe"/>
    <s v="Rửa xe TC bãi cố định"/>
    <s v="CP phát sinh hàng tháng"/>
    <s v="29B30385"/>
    <s v="Vf6"/>
    <m/>
    <d v="2025-12-26T00:00:00"/>
    <n v="50000"/>
    <n v="1"/>
    <n v="50000"/>
    <d v="2025-12-26T00:00:00"/>
    <m/>
  </r>
  <r>
    <n v="196"/>
    <x v="0"/>
    <s v="YB"/>
    <x v="5"/>
    <s v="CP rửa xe"/>
    <s v="Rửa xe TC bãi cố định"/>
    <s v="CP phát sinh hàng tháng"/>
    <s v="30M36249"/>
    <s v="Vf6"/>
    <m/>
    <d v="2025-12-26T00:00:00"/>
    <n v="50000"/>
    <n v="1"/>
    <n v="50000"/>
    <d v="2025-12-26T00:00:00"/>
    <m/>
  </r>
  <r>
    <n v="197"/>
    <x v="0"/>
    <s v="YB"/>
    <x v="5"/>
    <s v="CP rửa xe"/>
    <s v="Rửa xe TC bãi cố định"/>
    <s v="CP phát sinh hàng tháng"/>
    <s v="30L86851"/>
    <s v="Vf6"/>
    <m/>
    <d v="2025-12-26T00:00:00"/>
    <n v="50000"/>
    <n v="1"/>
    <n v="50000"/>
    <d v="2025-12-26T00:00:00"/>
    <m/>
  </r>
  <r>
    <n v="198"/>
    <x v="0"/>
    <s v="YB"/>
    <x v="5"/>
    <s v="CP rửa xe"/>
    <s v="Rửa xe TC bãi cố định"/>
    <s v="CP phát sinh hàng tháng"/>
    <s v="29B30446"/>
    <s v="Vf6"/>
    <m/>
    <d v="2025-12-27T00:00:00"/>
    <n v="50000"/>
    <n v="1"/>
    <n v="50000"/>
    <d v="2025-12-27T00:00:00"/>
    <m/>
  </r>
  <r>
    <n v="199"/>
    <x v="0"/>
    <s v="YB"/>
    <x v="5"/>
    <s v="CP rửa xe"/>
    <s v="Rửa xe TC bãi cố định"/>
    <s v="CP phát sinh hàng tháng"/>
    <s v="29B61137"/>
    <s v="Vf6"/>
    <m/>
    <d v="2025-12-28T00:00:00"/>
    <n v="50000"/>
    <n v="1"/>
    <n v="50000"/>
    <d v="2025-12-28T00:00:00"/>
    <m/>
  </r>
  <r>
    <n v="200"/>
    <x v="0"/>
    <s v="YB"/>
    <x v="5"/>
    <s v="CP rửa xe"/>
    <s v="Rửa xe TC bãi cố định"/>
    <s v="CP phát sinh hàng tháng"/>
    <s v="30L86851"/>
    <s v="Vf6"/>
    <m/>
    <d v="2025-12-31T00:00:00"/>
    <n v="50000"/>
    <n v="1"/>
    <n v="50000"/>
    <d v="2025-12-31T00:00:00"/>
    <m/>
  </r>
  <r>
    <n v="201"/>
    <x v="0"/>
    <s v="YB"/>
    <x v="5"/>
    <s v="CP rửa xe"/>
    <s v="Rửa xe TC bãi cố định"/>
    <s v="CP phát sinh hàng tháng"/>
    <s v="29B30385"/>
    <s v="Vf6"/>
    <m/>
    <d v="2025-12-31T00:00:00"/>
    <n v="50000"/>
    <n v="1"/>
    <n v="50000"/>
    <d v="2025-12-31T00:00:00"/>
    <m/>
  </r>
  <r>
    <n v="202"/>
    <x v="0"/>
    <s v="YB"/>
    <x v="5"/>
    <s v="CP rửa xe"/>
    <s v="Rửa xe TC bãi cố định"/>
    <s v="CP phát sinh hàng tháng"/>
    <s v="29B30409"/>
    <s v="Vf6"/>
    <m/>
    <d v="2025-12-31T00:00:00"/>
    <n v="50000"/>
    <n v="1"/>
    <n v="50000"/>
    <d v="2025-12-31T00:00:00"/>
    <m/>
  </r>
  <r>
    <n v="203"/>
    <x v="0"/>
    <s v="YB"/>
    <x v="5"/>
    <s v="CP rửa xe"/>
    <s v="Rửa xe TC bãi cố định"/>
    <s v="CP phát sinh hàng tháng"/>
    <s v="30L86727"/>
    <s v="Vf6"/>
    <m/>
    <d v="2025-12-31T00:00:00"/>
    <n v="50000"/>
    <n v="1"/>
    <n v="50000"/>
    <d v="2025-12-31T00:00:00"/>
    <m/>
  </r>
  <r>
    <n v="204"/>
    <x v="0"/>
    <s v="YB"/>
    <x v="5"/>
    <s v="CP rửa xe"/>
    <s v="Rửa xe TC bãi cố định"/>
    <s v="CP phát sinh hàng tháng"/>
    <s v="29B30407"/>
    <s v="Vf6"/>
    <m/>
    <d v="2025-12-31T00:00:00"/>
    <n v="50000"/>
    <n v="1"/>
    <n v="50000"/>
    <d v="2025-12-31T00:00:00"/>
    <m/>
  </r>
  <r>
    <n v="205"/>
    <x v="0"/>
    <s v="YB"/>
    <x v="2"/>
    <s v="CP điện nước"/>
    <s v="Chi phí điện T11/2025 VP 263"/>
    <s v="CP phát sinh hàng tháng"/>
    <m/>
    <m/>
    <m/>
    <d v="2025-12-01T00:00:00"/>
    <n v="1268827"/>
    <n v="1"/>
    <n v="1268827"/>
    <d v="2025-12-01T00:00:00"/>
    <m/>
  </r>
  <r>
    <n v="206"/>
    <x v="0"/>
    <s v="YB"/>
    <x v="2"/>
    <s v="CP điện nước"/>
    <s v="Chi phí điện T11/2025 VP 209"/>
    <s v="CP phát sinh hàng tháng"/>
    <m/>
    <m/>
    <m/>
    <d v="2025-12-01T00:00:00"/>
    <n v="2643970"/>
    <n v="1"/>
    <n v="2643970"/>
    <d v="2025-12-01T00:00:00"/>
    <m/>
  </r>
  <r>
    <n v="207"/>
    <x v="0"/>
    <s v="YB"/>
    <x v="2"/>
    <s v="Văn phòng phẩm"/>
    <s v="Chi phí VPP T12/2025"/>
    <s v="CP phát sinh hàng tháng"/>
    <m/>
    <m/>
    <m/>
    <d v="2025-12-01T00:00:00"/>
    <n v="204811"/>
    <n v="1"/>
    <n v="204811"/>
    <d v="2025-12-01T00:00:00"/>
    <m/>
  </r>
  <r>
    <n v="208"/>
    <x v="0"/>
    <s v="YB"/>
    <x v="2"/>
    <s v="CP thờ cúng"/>
    <s v="Mua thắp hương rằm T10"/>
    <s v="CP phát sinh hàng tháng"/>
    <m/>
    <m/>
    <m/>
    <d v="2025-12-01T00:00:00"/>
    <n v="500000"/>
    <n v="1"/>
    <n v="500000"/>
    <d v="2025-12-01T00:00:00"/>
    <m/>
  </r>
  <r>
    <n v="209"/>
    <x v="0"/>
    <s v="YB"/>
    <x v="2"/>
    <s v="CP điện nước"/>
    <s v="TT tiền bốc nước PN"/>
    <s v="CP phát sinh hàng tháng"/>
    <m/>
    <m/>
    <m/>
    <d v="2025-12-01T00:00:00"/>
    <n v="500000"/>
    <n v="1"/>
    <n v="500000"/>
    <d v="2025-12-01T00:00:00"/>
    <m/>
  </r>
  <r>
    <n v="210"/>
    <x v="0"/>
    <s v="YB"/>
    <x v="2"/>
    <s v="CP điện nước"/>
    <s v="TT tiền nước lọc bình 20l"/>
    <s v="CP phát sinh hàng tháng"/>
    <m/>
    <m/>
    <m/>
    <d v="2025-12-01T00:00:00"/>
    <n v="770000"/>
    <n v="1"/>
    <n v="770000"/>
    <d v="2025-12-01T00:00:00"/>
    <m/>
  </r>
  <r>
    <n v="211"/>
    <x v="0"/>
    <s v="YB"/>
    <x v="2"/>
    <s v="CP điện thoại"/>
    <s v="Mạng Wifi VPYB 209 T11"/>
    <s v="CP phát sinh hàng tháng"/>
    <m/>
    <m/>
    <m/>
    <d v="2025-12-01T00:00:00"/>
    <n v="215000"/>
    <n v="1"/>
    <n v="215000"/>
    <d v="2025-12-01T00:00:00"/>
    <m/>
  </r>
  <r>
    <n v="212"/>
    <x v="0"/>
    <s v="YB"/>
    <x v="2"/>
    <s v="CP điện thoại"/>
    <s v="Mạng Wifi VPYB 263 T11"/>
    <s v="CP phát sinh hàng tháng"/>
    <m/>
    <m/>
    <m/>
    <d v="2025-12-01T00:00:00"/>
    <n v="304000"/>
    <n v="1"/>
    <n v="304000"/>
    <d v="2025-12-01T00:00:00"/>
    <m/>
  </r>
  <r>
    <n v="213"/>
    <x v="0"/>
    <s v="YB"/>
    <x v="2"/>
    <s v="CP vệ sinh"/>
    <s v="Tiền VSMT 6 tháng cuối năm"/>
    <s v="CP phát sinh hàng tháng"/>
    <m/>
    <m/>
    <m/>
    <d v="2025-12-01T00:00:00"/>
    <n v="190000"/>
    <n v="1"/>
    <n v="190000"/>
    <d v="2025-12-01T00:00:00"/>
    <m/>
  </r>
  <r>
    <n v="214"/>
    <x v="0"/>
    <s v="YB"/>
    <x v="2"/>
    <s v="CP thờ cúng"/>
    <s v="Mua đồ thắp hương M1 T11"/>
    <s v="CP phát sinh hàng tháng"/>
    <m/>
    <m/>
    <m/>
    <d v="2025-12-01T00:00:00"/>
    <n v="500000"/>
    <n v="1"/>
    <n v="500000"/>
    <d v="2025-12-01T00:00:00"/>
    <m/>
  </r>
  <r>
    <n v="215"/>
    <x v="0"/>
    <s v="YB"/>
    <x v="2"/>
    <s v="CP điện nước"/>
    <s v="TT nước sinh hoạt VP209"/>
    <s v="CP phát sinh hàng tháng"/>
    <m/>
    <m/>
    <m/>
    <d v="2025-12-01T00:00:00"/>
    <n v="135595"/>
    <n v="1"/>
    <n v="135595"/>
    <d v="2025-12-01T00:00:00"/>
    <m/>
  </r>
  <r>
    <n v="216"/>
    <x v="0"/>
    <s v="YB"/>
    <x v="2"/>
    <s v="CP điện nước"/>
    <s v="TT nước sinh hoạt VP263"/>
    <s v="CP phát sinh hàng tháng"/>
    <m/>
    <m/>
    <m/>
    <d v="2025-12-01T00:00:00"/>
    <n v="171738"/>
    <n v="1"/>
    <n v="171738"/>
    <d v="2025-12-01T00:00:00"/>
    <m/>
  </r>
  <r>
    <n v="217"/>
    <x v="0"/>
    <s v="YB"/>
    <x v="2"/>
    <s v="CP điện nước"/>
    <s v="Thay sửa vòi sen VP263"/>
    <s v="CP phát sinh hàng tháng"/>
    <m/>
    <m/>
    <m/>
    <d v="2025-12-01T00:00:00"/>
    <n v="150000"/>
    <n v="1"/>
    <n v="150000"/>
    <d v="2025-12-01T00:00:00"/>
    <m/>
  </r>
  <r>
    <n v="218"/>
    <x v="0"/>
    <s v="YB"/>
    <x v="2"/>
    <s v="CP điện thoại"/>
    <s v="Tiền điện thoại qua App"/>
    <s v="CP phát sinh hàng tháng"/>
    <m/>
    <m/>
    <m/>
    <d v="2025-12-01T00:00:00"/>
    <n v="875709"/>
    <n v="1"/>
    <n v="875709"/>
    <d v="2025-12-01T00:00:00"/>
    <m/>
  </r>
  <r>
    <n v="219"/>
    <x v="0"/>
    <s v="YB"/>
    <x v="5"/>
    <s v="CP vá lốp"/>
    <s v="Vá lốp xe 30L86763"/>
    <s v="CP phát sinh hàng tháng"/>
    <m/>
    <m/>
    <m/>
    <d v="2025-12-02T00:00:00"/>
    <n v="50000"/>
    <n v="1"/>
    <n v="50000"/>
    <d v="2025-12-02T00:00:00"/>
    <m/>
  </r>
  <r>
    <n v="220"/>
    <x v="0"/>
    <s v="YB"/>
    <x v="5"/>
    <s v="CP vá lốp"/>
    <s v="Vá lốp xe 29B30453"/>
    <s v="CP phát sinh hàng tháng"/>
    <m/>
    <m/>
    <m/>
    <d v="2025-12-06T00:00:00"/>
    <n v="50000"/>
    <n v="1"/>
    <n v="50000"/>
    <d v="2025-12-06T00:00:00"/>
    <m/>
  </r>
  <r>
    <n v="221"/>
    <x v="0"/>
    <s v="YB"/>
    <x v="5"/>
    <s v="CP vá lốp"/>
    <s v="Vá xe 29B30409"/>
    <s v="CP phát sinh hàng tháng"/>
    <m/>
    <m/>
    <m/>
    <d v="2025-12-08T00:00:00"/>
    <n v="60000"/>
    <n v="1"/>
    <n v="60000"/>
    <d v="2025-12-08T00:00:00"/>
    <m/>
  </r>
  <r>
    <n v="222"/>
    <x v="0"/>
    <s v="YB"/>
    <x v="5"/>
    <s v="CP vá lốp"/>
    <s v="Vá xe 29B30446"/>
    <s v="CP phát sinh hàng tháng"/>
    <m/>
    <m/>
    <m/>
    <d v="2025-12-08T00:00:00"/>
    <n v="50000"/>
    <n v="1"/>
    <n v="50000"/>
    <d v="2025-12-08T00:00:00"/>
    <m/>
  </r>
  <r>
    <n v="223"/>
    <x v="0"/>
    <s v="YB"/>
    <x v="5"/>
    <s v="CP vá lốp"/>
    <s v="Vá lốp xe 30L86727"/>
    <s v="CP phát sinh hàng tháng"/>
    <m/>
    <m/>
    <m/>
    <d v="2025-12-11T00:00:00"/>
    <n v="50000"/>
    <n v="1"/>
    <n v="50000"/>
    <d v="2025-12-11T00:00:00"/>
    <m/>
  </r>
  <r>
    <n v="224"/>
    <x v="0"/>
    <s v="YB"/>
    <x v="5"/>
    <s v="CP vá lốp"/>
    <s v="Vá lốp xe 30L86851"/>
    <s v="CP phát sinh hàng tháng"/>
    <m/>
    <m/>
    <m/>
    <d v="2025-12-11T00:00:00"/>
    <n v="50000"/>
    <n v="1"/>
    <n v="50000"/>
    <d v="2025-12-11T00:00:00"/>
    <m/>
  </r>
  <r>
    <n v="225"/>
    <x v="0"/>
    <s v="YB"/>
    <x v="5"/>
    <s v="CP vá lốp"/>
    <s v="Vá lốp xe 30L86761"/>
    <s v="CP phát sinh hàng tháng"/>
    <m/>
    <m/>
    <m/>
    <d v="2025-12-11T00:00:00"/>
    <n v="50000"/>
    <n v="1"/>
    <n v="50000"/>
    <d v="2025-12-11T00:00:00"/>
    <m/>
  </r>
  <r>
    <n v="226"/>
    <x v="0"/>
    <s v="YB"/>
    <x v="5"/>
    <s v="CP vá lốp"/>
    <s v="Vá xe 29B30407"/>
    <s v="CP phát sinh hàng tháng"/>
    <m/>
    <m/>
    <m/>
    <d v="2025-12-16T00:00:00"/>
    <n v="50000"/>
    <n v="1"/>
    <n v="50000"/>
    <d v="2025-12-16T00:00:00"/>
    <m/>
  </r>
  <r>
    <n v="227"/>
    <x v="0"/>
    <s v="YB"/>
    <x v="5"/>
    <s v="CP vá lốp"/>
    <s v="Vá xe 29B61137"/>
    <s v="CP phát sinh hàng tháng"/>
    <m/>
    <m/>
    <m/>
    <d v="2025-12-16T00:00:00"/>
    <n v="50000"/>
    <n v="1"/>
    <n v="50000"/>
    <d v="2025-12-16T00:00:00"/>
    <m/>
  </r>
  <r>
    <n v="228"/>
    <x v="0"/>
    <s v="YB"/>
    <x v="5"/>
    <s v="CP vá lốp"/>
    <s v="Sửa chữa xe 29B30446"/>
    <s v="CP phát sinh hàng tháng"/>
    <m/>
    <m/>
    <m/>
    <d v="2025-12-18T00:00:00"/>
    <n v="540000"/>
    <n v="1"/>
    <n v="540000"/>
    <d v="2025-12-18T00:00:00"/>
    <m/>
  </r>
  <r>
    <n v="229"/>
    <x v="0"/>
    <s v="YB"/>
    <x v="5"/>
    <s v="CP vá lốp"/>
    <s v="Vá lốp xe 30L86727"/>
    <s v="CP phát sinh hàng tháng"/>
    <m/>
    <m/>
    <m/>
    <d v="2025-12-22T00:00:00"/>
    <n v="50000"/>
    <n v="1"/>
    <n v="50000"/>
    <d v="2025-12-22T00:00:00"/>
    <m/>
  </r>
  <r>
    <n v="230"/>
    <x v="0"/>
    <s v="YB"/>
    <x v="5"/>
    <s v="CP vá lốp"/>
    <s v="Vá xe 29B30446"/>
    <s v="CP phát sinh hàng tháng"/>
    <m/>
    <m/>
    <m/>
    <d v="2025-12-23T00:00:00"/>
    <n v="50000"/>
    <n v="1"/>
    <n v="50000"/>
    <d v="2025-12-23T00:00:00"/>
    <m/>
  </r>
  <r>
    <n v="231"/>
    <x v="0"/>
    <s v="YB"/>
    <x v="5"/>
    <s v="CP vá lốp"/>
    <s v="Vá lốp xe 30L86727"/>
    <s v="CP phát sinh hàng tháng"/>
    <m/>
    <m/>
    <m/>
    <d v="2025-12-29T00:00:00"/>
    <n v="50000"/>
    <n v="1"/>
    <n v="50000"/>
    <d v="2025-12-29T00:00:00"/>
    <m/>
  </r>
  <r>
    <m/>
    <x v="1"/>
    <m/>
    <x v="6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559B2-04B6-449D-A9F8-9B1BF15604D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16">
    <pivotField showAll="0"/>
    <pivotField axis="axisPage" showAll="0">
      <items count="3">
        <item n="01/12/2025" x="0"/>
        <item x="1"/>
        <item t="default"/>
      </items>
    </pivotField>
    <pivotField showAll="0"/>
    <pivotField axis="axisRow" showAll="0">
      <items count="8">
        <item x="3"/>
        <item x="0"/>
        <item x="1"/>
        <item x="4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item="0" hier="-1"/>
  </pageFields>
  <dataFields count="1">
    <dataField name="Sum of Chi phí khấu trừ quỹ lương tháng" fld="13" baseField="3" baseItem="0" numFmtId="165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8B68-CFE3-4E7F-8A74-558A5A53AC84}">
  <dimension ref="A1:N10"/>
  <sheetViews>
    <sheetView workbookViewId="0">
      <selection activeCell="G5" sqref="G5"/>
    </sheetView>
  </sheetViews>
  <sheetFormatPr defaultRowHeight="15" x14ac:dyDescent="0.25"/>
  <cols>
    <col min="1" max="1" width="27.5703125" bestFit="1" customWidth="1"/>
    <col min="2" max="2" width="37.5703125" bestFit="1" customWidth="1"/>
    <col min="3" max="3" width="15.28515625" bestFit="1" customWidth="1"/>
    <col min="4" max="4" width="16.140625" style="29" customWidth="1"/>
    <col min="5" max="5" width="17.42578125" style="29" customWidth="1"/>
    <col min="6" max="6" width="17.28515625" style="29" customWidth="1"/>
    <col min="7" max="7" width="15.5703125" style="29" customWidth="1"/>
    <col min="8" max="9" width="14" style="29" customWidth="1"/>
    <col min="10" max="14" width="14" customWidth="1"/>
  </cols>
  <sheetData>
    <row r="1" spans="1:14" x14ac:dyDescent="0.25">
      <c r="A1" s="3" t="s">
        <v>1</v>
      </c>
      <c r="B1" t="s">
        <v>92</v>
      </c>
    </row>
    <row r="3" spans="1:14" x14ac:dyDescent="0.25">
      <c r="A3" s="3" t="s">
        <v>69</v>
      </c>
      <c r="B3" t="s">
        <v>71</v>
      </c>
      <c r="C3" s="26" t="s">
        <v>90</v>
      </c>
      <c r="D3" s="30" t="s">
        <v>91</v>
      </c>
      <c r="E3" s="30" t="s">
        <v>99</v>
      </c>
      <c r="F3" s="30" t="s">
        <v>100</v>
      </c>
      <c r="G3" s="30" t="s">
        <v>101</v>
      </c>
      <c r="H3" s="30"/>
      <c r="I3" s="30"/>
      <c r="J3" s="26"/>
      <c r="K3" s="26"/>
      <c r="L3" s="26"/>
      <c r="M3" s="26"/>
      <c r="N3" s="26"/>
    </row>
    <row r="4" spans="1:14" ht="16.5" x14ac:dyDescent="0.3">
      <c r="A4" s="4" t="s">
        <v>29</v>
      </c>
      <c r="B4" s="5">
        <v>17184343.268586665</v>
      </c>
      <c r="C4" s="25">
        <v>16339840</v>
      </c>
      <c r="D4" s="31">
        <v>17433355.27</v>
      </c>
      <c r="E4" s="64">
        <v>15286570</v>
      </c>
      <c r="F4" s="31">
        <v>17410089</v>
      </c>
      <c r="G4" s="31">
        <f>+SUMIF('Chi tiết T4'!D:D,'Tóm tắt CP'!A4,'Chi tiết T4'!N:N)</f>
        <v>19392123.904418334</v>
      </c>
      <c r="H4" s="31"/>
      <c r="I4" s="31"/>
      <c r="J4" s="24"/>
      <c r="K4" s="24"/>
      <c r="L4" s="24"/>
      <c r="M4" s="24"/>
      <c r="N4" s="24"/>
    </row>
    <row r="5" spans="1:14" ht="16.5" x14ac:dyDescent="0.3">
      <c r="A5" s="4" t="s">
        <v>15</v>
      </c>
      <c r="B5" s="5">
        <v>179571334.83333349</v>
      </c>
      <c r="C5" s="25">
        <v>178646335</v>
      </c>
      <c r="D5" s="31">
        <v>174865000</v>
      </c>
      <c r="E5" s="65">
        <v>180346016.66999999</v>
      </c>
      <c r="F5" s="31">
        <v>179479350</v>
      </c>
      <c r="G5" s="31">
        <f>+SUMIF('Chi tiết T4'!D:D,'Tóm tắt CP'!A5,'Chi tiết T4'!N:N)</f>
        <v>179479350.00000009</v>
      </c>
      <c r="H5" s="31"/>
      <c r="I5" s="31"/>
      <c r="J5" s="24"/>
      <c r="K5" s="24"/>
      <c r="L5" s="24"/>
      <c r="M5" s="24"/>
      <c r="N5" s="24"/>
    </row>
    <row r="6" spans="1:14" ht="16.5" x14ac:dyDescent="0.3">
      <c r="A6" s="4" t="s">
        <v>28</v>
      </c>
      <c r="B6" s="5">
        <v>1144697</v>
      </c>
      <c r="C6" s="25">
        <v>936364</v>
      </c>
      <c r="D6" s="31">
        <v>728030.33</v>
      </c>
      <c r="E6" s="65">
        <v>728030.33</v>
      </c>
      <c r="F6" s="31">
        <v>728030.33</v>
      </c>
      <c r="G6" s="31">
        <f>+SUMIF('Chi tiết T4'!D:D,'Tóm tắt CP'!A6,'Chi tiết T4'!N:N)</f>
        <v>151515.16666666666</v>
      </c>
      <c r="H6" s="31"/>
      <c r="I6" s="31"/>
      <c r="J6" s="24"/>
      <c r="K6" s="24"/>
      <c r="L6" s="24"/>
      <c r="M6" s="24"/>
      <c r="N6" s="24"/>
    </row>
    <row r="7" spans="1:14" ht="16.5" x14ac:dyDescent="0.3">
      <c r="A7" s="4" t="s">
        <v>34</v>
      </c>
      <c r="B7" s="5">
        <v>34113370</v>
      </c>
      <c r="C7" s="25">
        <v>39459879</v>
      </c>
      <c r="D7" s="31">
        <v>33848308</v>
      </c>
      <c r="E7" s="65">
        <v>32475252</v>
      </c>
      <c r="F7" s="31">
        <v>38476445</v>
      </c>
      <c r="G7" s="31">
        <f>+SUMIF('Chi tiết T4'!D:D,'Tóm tắt CP'!A7,'Chi tiết T4'!N:N)</f>
        <v>47875851</v>
      </c>
      <c r="H7" s="31"/>
      <c r="I7" s="31"/>
      <c r="J7" s="24"/>
      <c r="K7" s="24"/>
      <c r="L7" s="24"/>
      <c r="M7" s="24"/>
      <c r="N7" s="24"/>
    </row>
    <row r="8" spans="1:14" ht="16.5" x14ac:dyDescent="0.3">
      <c r="A8" s="4" t="s">
        <v>38</v>
      </c>
      <c r="B8" s="5">
        <v>8890650</v>
      </c>
      <c r="C8" s="25">
        <v>7792758</v>
      </c>
      <c r="D8" s="31">
        <v>13781942</v>
      </c>
      <c r="E8" s="65">
        <v>7394737</v>
      </c>
      <c r="F8" s="31">
        <v>17637808</v>
      </c>
      <c r="G8" s="31">
        <f>+SUMIF('Chi tiết T4'!D:D,'Tóm tắt CP'!A8,'Chi tiết T4'!N:N)</f>
        <v>12389643</v>
      </c>
      <c r="H8" s="31"/>
      <c r="I8" s="31"/>
      <c r="J8" s="24"/>
      <c r="K8" s="24"/>
      <c r="L8" s="24"/>
      <c r="M8" s="24"/>
      <c r="N8" s="24"/>
    </row>
    <row r="9" spans="1:14" ht="16.5" x14ac:dyDescent="0.3">
      <c r="A9" s="4" t="s">
        <v>37</v>
      </c>
      <c r="B9" s="5">
        <v>4750000</v>
      </c>
      <c r="C9" s="25">
        <v>6640000</v>
      </c>
      <c r="D9" s="31">
        <v>3420000</v>
      </c>
      <c r="E9" s="65">
        <v>6086000</v>
      </c>
      <c r="F9" s="31">
        <v>4939000</v>
      </c>
      <c r="G9" s="31">
        <f>+SUMIF('Chi tiết T4'!D:D,'Tóm tắt CP'!A9,'Chi tiết T4'!N:N)</f>
        <v>2770000</v>
      </c>
      <c r="H9" s="31"/>
      <c r="I9" s="31"/>
      <c r="J9" s="24"/>
      <c r="K9" s="24"/>
      <c r="L9" s="24"/>
      <c r="M9" s="24"/>
      <c r="N9" s="24"/>
    </row>
    <row r="10" spans="1:14" x14ac:dyDescent="0.25">
      <c r="A10" s="4" t="s">
        <v>70</v>
      </c>
      <c r="B10" s="5">
        <v>245654395.10192016</v>
      </c>
      <c r="C10" s="32">
        <f>SUBTOTAL(9,C4:C9)</f>
        <v>249815176</v>
      </c>
      <c r="D10" s="32">
        <f>SUBTOTAL(9,D4:D9)</f>
        <v>244076635.60000002</v>
      </c>
      <c r="E10" s="32">
        <f>SUBTOTAL(9,E4:E9)</f>
        <v>242316606</v>
      </c>
      <c r="F10" s="32">
        <f t="shared" ref="F10:N10" si="0">SUM(F4:F9)</f>
        <v>258670722.33000001</v>
      </c>
      <c r="G10" s="32">
        <f t="shared" si="0"/>
        <v>262058483.07108507</v>
      </c>
      <c r="H10" s="32">
        <f t="shared" si="0"/>
        <v>0</v>
      </c>
      <c r="I10" s="32">
        <f t="shared" si="0"/>
        <v>0</v>
      </c>
      <c r="J10" s="27">
        <f t="shared" si="0"/>
        <v>0</v>
      </c>
      <c r="K10" s="27">
        <f t="shared" si="0"/>
        <v>0</v>
      </c>
      <c r="L10" s="27">
        <f t="shared" si="0"/>
        <v>0</v>
      </c>
      <c r="M10" s="27">
        <f t="shared" si="0"/>
        <v>0</v>
      </c>
      <c r="N10" s="27">
        <f t="shared" si="0"/>
        <v>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9AB5-4969-49F6-989D-5F4EC3D6EEFB}">
  <dimension ref="A1:R213"/>
  <sheetViews>
    <sheetView tabSelected="1" zoomScale="85" zoomScaleNormal="85" workbookViewId="0">
      <pane ySplit="1" topLeftCell="A176" activePane="bottomLeft" state="frozen"/>
      <selection pane="bottomLeft" activeCell="A204" sqref="A204:XFD204"/>
    </sheetView>
  </sheetViews>
  <sheetFormatPr defaultRowHeight="15.75" x14ac:dyDescent="0.25"/>
  <cols>
    <col min="1" max="1" width="5.28515625" style="19" customWidth="1"/>
    <col min="2" max="3" width="9.140625" style="19"/>
    <col min="4" max="4" width="21" style="19" customWidth="1"/>
    <col min="5" max="5" width="19.28515625" style="19" customWidth="1"/>
    <col min="6" max="6" width="51.85546875" style="19" customWidth="1"/>
    <col min="7" max="7" width="24.85546875" style="19" customWidth="1"/>
    <col min="8" max="8" width="12.42578125" style="19" customWidth="1"/>
    <col min="9" max="9" width="15.42578125" style="19" customWidth="1"/>
    <col min="10" max="10" width="9.140625" style="19"/>
    <col min="11" max="11" width="15.5703125" style="23" customWidth="1"/>
    <col min="12" max="12" width="15.85546875" style="23" customWidth="1"/>
    <col min="13" max="13" width="9.140625" style="19"/>
    <col min="14" max="14" width="16" style="19" customWidth="1"/>
    <col min="15" max="15" width="15.28515625" style="19" customWidth="1"/>
    <col min="16" max="16" width="21.5703125" style="19" customWidth="1"/>
    <col min="18" max="18" width="10.28515625" bestFit="1" customWidth="1"/>
  </cols>
  <sheetData>
    <row r="1" spans="1:16" ht="63" x14ac:dyDescent="0.25">
      <c r="A1" s="1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1" t="s">
        <v>40</v>
      </c>
      <c r="I1" s="1" t="s">
        <v>7</v>
      </c>
      <c r="J1" s="1" t="s">
        <v>8</v>
      </c>
      <c r="K1" s="39" t="s">
        <v>9</v>
      </c>
      <c r="L1" s="1" t="s">
        <v>10</v>
      </c>
      <c r="M1" s="1" t="s">
        <v>11</v>
      </c>
      <c r="N1" s="1" t="s">
        <v>12</v>
      </c>
      <c r="O1" s="40" t="s">
        <v>13</v>
      </c>
      <c r="P1" s="1" t="s">
        <v>14</v>
      </c>
    </row>
    <row r="2" spans="1:16" x14ac:dyDescent="0.25">
      <c r="A2" s="2">
        <f>SUBTOTAL(3,$B$2:B2)</f>
        <v>1</v>
      </c>
      <c r="B2" s="20">
        <v>46143</v>
      </c>
      <c r="C2" s="20" t="s">
        <v>44</v>
      </c>
      <c r="D2" s="2" t="s">
        <v>15</v>
      </c>
      <c r="E2" s="2" t="s">
        <v>16</v>
      </c>
      <c r="F2" s="2" t="s">
        <v>17</v>
      </c>
      <c r="G2" s="2" t="s">
        <v>18</v>
      </c>
      <c r="H2" s="34" t="s">
        <v>45</v>
      </c>
      <c r="I2" s="34" t="s">
        <v>19</v>
      </c>
      <c r="J2" s="34"/>
      <c r="K2" s="41">
        <v>45653</v>
      </c>
      <c r="L2" s="42">
        <v>785000000</v>
      </c>
      <c r="M2" s="43">
        <v>60</v>
      </c>
      <c r="N2" s="21">
        <f t="shared" ref="N2:N65" si="0">IF(B2&gt;O2,"",L2/M2)</f>
        <v>13083333.333333334</v>
      </c>
      <c r="O2" s="22">
        <f t="shared" ref="O2:O65" si="1">EDATE(K2, M2-1)</f>
        <v>47449</v>
      </c>
      <c r="P2" s="2"/>
    </row>
    <row r="3" spans="1:16" x14ac:dyDescent="0.25">
      <c r="A3" s="2">
        <f>SUBTOTAL(3,$B$2:B3)</f>
        <v>2</v>
      </c>
      <c r="B3" s="20">
        <v>46143</v>
      </c>
      <c r="C3" s="20" t="s">
        <v>44</v>
      </c>
      <c r="D3" s="2" t="s">
        <v>15</v>
      </c>
      <c r="E3" s="2" t="s">
        <v>16</v>
      </c>
      <c r="F3" s="2" t="s">
        <v>17</v>
      </c>
      <c r="G3" s="2" t="s">
        <v>18</v>
      </c>
      <c r="H3" s="34" t="s">
        <v>46</v>
      </c>
      <c r="I3" s="34" t="s">
        <v>19</v>
      </c>
      <c r="J3" s="34"/>
      <c r="K3" s="41">
        <v>45653</v>
      </c>
      <c r="L3" s="42">
        <v>785000000</v>
      </c>
      <c r="M3" s="43">
        <v>60</v>
      </c>
      <c r="N3" s="21">
        <f t="shared" si="0"/>
        <v>13083333.333333334</v>
      </c>
      <c r="O3" s="22">
        <f t="shared" si="1"/>
        <v>47449</v>
      </c>
      <c r="P3" s="2"/>
    </row>
    <row r="4" spans="1:16" x14ac:dyDescent="0.25">
      <c r="A4" s="2">
        <f>SUBTOTAL(3,$B$2:B4)</f>
        <v>3</v>
      </c>
      <c r="B4" s="20">
        <v>46143</v>
      </c>
      <c r="C4" s="20" t="s">
        <v>44</v>
      </c>
      <c r="D4" s="2" t="s">
        <v>15</v>
      </c>
      <c r="E4" s="2" t="s">
        <v>16</v>
      </c>
      <c r="F4" s="2" t="s">
        <v>17</v>
      </c>
      <c r="G4" s="2" t="s">
        <v>18</v>
      </c>
      <c r="H4" s="34" t="s">
        <v>47</v>
      </c>
      <c r="I4" s="34" t="s">
        <v>19</v>
      </c>
      <c r="J4" s="34"/>
      <c r="K4" s="41">
        <v>45653</v>
      </c>
      <c r="L4" s="42">
        <v>785000000</v>
      </c>
      <c r="M4" s="43">
        <v>60</v>
      </c>
      <c r="N4" s="21">
        <f t="shared" si="0"/>
        <v>13083333.333333334</v>
      </c>
      <c r="O4" s="22">
        <f t="shared" si="1"/>
        <v>47449</v>
      </c>
      <c r="P4" s="2"/>
    </row>
    <row r="5" spans="1:16" x14ac:dyDescent="0.25">
      <c r="A5" s="2">
        <f>SUBTOTAL(3,$B$2:B5)</f>
        <v>4</v>
      </c>
      <c r="B5" s="20">
        <v>46143</v>
      </c>
      <c r="C5" s="20" t="s">
        <v>44</v>
      </c>
      <c r="D5" s="2" t="s">
        <v>15</v>
      </c>
      <c r="E5" s="2" t="s">
        <v>16</v>
      </c>
      <c r="F5" s="2" t="s">
        <v>17</v>
      </c>
      <c r="G5" s="2" t="s">
        <v>18</v>
      </c>
      <c r="H5" s="34" t="s">
        <v>48</v>
      </c>
      <c r="I5" s="34" t="s">
        <v>19</v>
      </c>
      <c r="J5" s="34"/>
      <c r="K5" s="41">
        <v>45653</v>
      </c>
      <c r="L5" s="42">
        <v>785000000</v>
      </c>
      <c r="M5" s="43">
        <v>60</v>
      </c>
      <c r="N5" s="21">
        <f t="shared" si="0"/>
        <v>13083333.333333334</v>
      </c>
      <c r="O5" s="22">
        <f t="shared" si="1"/>
        <v>47449</v>
      </c>
      <c r="P5" s="2"/>
    </row>
    <row r="6" spans="1:16" x14ac:dyDescent="0.25">
      <c r="A6" s="2">
        <f>SUBTOTAL(3,$B$2:B6)</f>
        <v>5</v>
      </c>
      <c r="B6" s="20">
        <v>46143</v>
      </c>
      <c r="C6" s="20" t="s">
        <v>44</v>
      </c>
      <c r="D6" s="2" t="s">
        <v>15</v>
      </c>
      <c r="E6" s="2" t="s">
        <v>16</v>
      </c>
      <c r="F6" s="2" t="s">
        <v>17</v>
      </c>
      <c r="G6" s="2" t="s">
        <v>18</v>
      </c>
      <c r="H6" s="34" t="s">
        <v>49</v>
      </c>
      <c r="I6" s="34" t="s">
        <v>19</v>
      </c>
      <c r="J6" s="34"/>
      <c r="K6" s="41">
        <v>45665</v>
      </c>
      <c r="L6" s="42">
        <v>785000000</v>
      </c>
      <c r="M6" s="43">
        <v>60</v>
      </c>
      <c r="N6" s="21">
        <f t="shared" si="0"/>
        <v>13083333.333333334</v>
      </c>
      <c r="O6" s="22">
        <f t="shared" si="1"/>
        <v>47460</v>
      </c>
      <c r="P6" s="2"/>
    </row>
    <row r="7" spans="1:16" x14ac:dyDescent="0.25">
      <c r="A7" s="2">
        <f>SUBTOTAL(3,$B$2:B7)</f>
        <v>6</v>
      </c>
      <c r="B7" s="20">
        <v>46143</v>
      </c>
      <c r="C7" s="20" t="s">
        <v>44</v>
      </c>
      <c r="D7" s="2" t="s">
        <v>15</v>
      </c>
      <c r="E7" s="2" t="s">
        <v>16</v>
      </c>
      <c r="F7" s="2" t="s">
        <v>17</v>
      </c>
      <c r="G7" s="2" t="s">
        <v>18</v>
      </c>
      <c r="H7" s="34" t="s">
        <v>50</v>
      </c>
      <c r="I7" s="34" t="s">
        <v>19</v>
      </c>
      <c r="J7" s="34"/>
      <c r="K7" s="41">
        <v>45665</v>
      </c>
      <c r="L7" s="42">
        <v>785000000</v>
      </c>
      <c r="M7" s="43">
        <v>60</v>
      </c>
      <c r="N7" s="21">
        <f t="shared" si="0"/>
        <v>13083333.333333334</v>
      </c>
      <c r="O7" s="22">
        <f t="shared" si="1"/>
        <v>47460</v>
      </c>
      <c r="P7" s="2"/>
    </row>
    <row r="8" spans="1:16" x14ac:dyDescent="0.25">
      <c r="A8" s="2">
        <f>SUBTOTAL(3,$B$2:B8)</f>
        <v>7</v>
      </c>
      <c r="B8" s="20">
        <v>46143</v>
      </c>
      <c r="C8" s="20" t="s">
        <v>44</v>
      </c>
      <c r="D8" s="2" t="s">
        <v>15</v>
      </c>
      <c r="E8" s="2" t="s">
        <v>16</v>
      </c>
      <c r="F8" s="2" t="s">
        <v>17</v>
      </c>
      <c r="G8" s="2" t="s">
        <v>18</v>
      </c>
      <c r="H8" s="34" t="s">
        <v>51</v>
      </c>
      <c r="I8" s="34" t="s">
        <v>19</v>
      </c>
      <c r="J8" s="34"/>
      <c r="K8" s="41">
        <v>45729</v>
      </c>
      <c r="L8" s="42">
        <v>785000000</v>
      </c>
      <c r="M8" s="43">
        <v>60</v>
      </c>
      <c r="N8" s="21">
        <f t="shared" si="0"/>
        <v>13083333.333333334</v>
      </c>
      <c r="O8" s="22">
        <f t="shared" si="1"/>
        <v>47527</v>
      </c>
      <c r="P8" s="2"/>
    </row>
    <row r="9" spans="1:16" x14ac:dyDescent="0.25">
      <c r="A9" s="2">
        <f>SUBTOTAL(3,$B$2:B9)</f>
        <v>8</v>
      </c>
      <c r="B9" s="20">
        <v>46143</v>
      </c>
      <c r="C9" s="20" t="s">
        <v>44</v>
      </c>
      <c r="D9" s="2" t="s">
        <v>15</v>
      </c>
      <c r="E9" s="2" t="s">
        <v>16</v>
      </c>
      <c r="F9" s="2" t="s">
        <v>17</v>
      </c>
      <c r="G9" s="2" t="s">
        <v>18</v>
      </c>
      <c r="H9" s="34" t="s">
        <v>52</v>
      </c>
      <c r="I9" s="34" t="s">
        <v>19</v>
      </c>
      <c r="J9" s="34"/>
      <c r="K9" s="41">
        <v>45729</v>
      </c>
      <c r="L9" s="42">
        <v>785000000</v>
      </c>
      <c r="M9" s="43">
        <v>60</v>
      </c>
      <c r="N9" s="21">
        <f t="shared" si="0"/>
        <v>13083333.333333334</v>
      </c>
      <c r="O9" s="22">
        <f t="shared" si="1"/>
        <v>47527</v>
      </c>
      <c r="P9" s="2"/>
    </row>
    <row r="10" spans="1:16" x14ac:dyDescent="0.25">
      <c r="A10" s="2">
        <f>SUBTOTAL(3,$B$2:B10)</f>
        <v>9</v>
      </c>
      <c r="B10" s="20">
        <v>46143</v>
      </c>
      <c r="C10" s="20" t="s">
        <v>44</v>
      </c>
      <c r="D10" s="2" t="s">
        <v>15</v>
      </c>
      <c r="E10" s="2" t="s">
        <v>16</v>
      </c>
      <c r="F10" s="2" t="s">
        <v>17</v>
      </c>
      <c r="G10" s="2" t="s">
        <v>18</v>
      </c>
      <c r="H10" s="34" t="s">
        <v>53</v>
      </c>
      <c r="I10" s="34" t="s">
        <v>19</v>
      </c>
      <c r="J10" s="34"/>
      <c r="K10" s="41">
        <v>45729</v>
      </c>
      <c r="L10" s="42">
        <v>785000000</v>
      </c>
      <c r="M10" s="43">
        <v>60</v>
      </c>
      <c r="N10" s="21">
        <f t="shared" si="0"/>
        <v>13083333.333333334</v>
      </c>
      <c r="O10" s="22">
        <f t="shared" si="1"/>
        <v>47527</v>
      </c>
      <c r="P10" s="2"/>
    </row>
    <row r="11" spans="1:16" x14ac:dyDescent="0.25">
      <c r="A11" s="2">
        <f>SUBTOTAL(3,$B$2:B11)</f>
        <v>10</v>
      </c>
      <c r="B11" s="20">
        <v>46143</v>
      </c>
      <c r="C11" s="20" t="s">
        <v>44</v>
      </c>
      <c r="D11" s="2" t="s">
        <v>15</v>
      </c>
      <c r="E11" s="2" t="s">
        <v>16</v>
      </c>
      <c r="F11" s="2" t="s">
        <v>17</v>
      </c>
      <c r="G11" s="2" t="s">
        <v>18</v>
      </c>
      <c r="H11" s="34" t="s">
        <v>54</v>
      </c>
      <c r="I11" s="34" t="s">
        <v>19</v>
      </c>
      <c r="J11" s="34"/>
      <c r="K11" s="41">
        <v>45729</v>
      </c>
      <c r="L11" s="42">
        <v>785000000</v>
      </c>
      <c r="M11" s="43">
        <v>60</v>
      </c>
      <c r="N11" s="21">
        <f t="shared" si="0"/>
        <v>13083333.333333334</v>
      </c>
      <c r="O11" s="22">
        <f t="shared" si="1"/>
        <v>47527</v>
      </c>
      <c r="P11" s="2"/>
    </row>
    <row r="12" spans="1:16" x14ac:dyDescent="0.25">
      <c r="A12" s="2">
        <f>SUBTOTAL(3,$B$2:B12)</f>
        <v>11</v>
      </c>
      <c r="B12" s="20">
        <v>46143</v>
      </c>
      <c r="C12" s="20" t="s">
        <v>44</v>
      </c>
      <c r="D12" s="2" t="s">
        <v>15</v>
      </c>
      <c r="E12" s="2" t="s">
        <v>16</v>
      </c>
      <c r="F12" s="2" t="s">
        <v>17</v>
      </c>
      <c r="G12" s="2" t="s">
        <v>18</v>
      </c>
      <c r="H12" s="34" t="s">
        <v>55</v>
      </c>
      <c r="I12" s="34" t="s">
        <v>19</v>
      </c>
      <c r="J12" s="34"/>
      <c r="K12" s="41">
        <v>45729</v>
      </c>
      <c r="L12" s="42">
        <v>785000000</v>
      </c>
      <c r="M12" s="43">
        <v>60</v>
      </c>
      <c r="N12" s="21">
        <f t="shared" si="0"/>
        <v>13083333.333333334</v>
      </c>
      <c r="O12" s="22">
        <f t="shared" si="1"/>
        <v>47527</v>
      </c>
      <c r="P12" s="2"/>
    </row>
    <row r="13" spans="1:16" x14ac:dyDescent="0.25">
      <c r="A13" s="2">
        <f>SUBTOTAL(3,$B$2:B13)</f>
        <v>12</v>
      </c>
      <c r="B13" s="20">
        <v>46143</v>
      </c>
      <c r="C13" s="20" t="s">
        <v>44</v>
      </c>
      <c r="D13" s="2" t="s">
        <v>15</v>
      </c>
      <c r="E13" s="2" t="s">
        <v>16</v>
      </c>
      <c r="F13" s="2" t="s">
        <v>17</v>
      </c>
      <c r="G13" s="2" t="s">
        <v>18</v>
      </c>
      <c r="H13" s="34" t="s">
        <v>56</v>
      </c>
      <c r="I13" s="34" t="s">
        <v>19</v>
      </c>
      <c r="J13" s="34"/>
      <c r="K13" s="41">
        <v>45729</v>
      </c>
      <c r="L13" s="42">
        <v>785000000</v>
      </c>
      <c r="M13" s="43">
        <v>60</v>
      </c>
      <c r="N13" s="21">
        <f t="shared" si="0"/>
        <v>13083333.333333334</v>
      </c>
      <c r="O13" s="22">
        <f t="shared" si="1"/>
        <v>47527</v>
      </c>
      <c r="P13" s="2"/>
    </row>
    <row r="14" spans="1:16" x14ac:dyDescent="0.25">
      <c r="A14" s="2">
        <f>SUBTOTAL(3,$B$2:B14)</f>
        <v>13</v>
      </c>
      <c r="B14" s="20">
        <v>46143</v>
      </c>
      <c r="C14" s="20" t="s">
        <v>44</v>
      </c>
      <c r="D14" s="2" t="s">
        <v>15</v>
      </c>
      <c r="E14" s="2" t="s">
        <v>16</v>
      </c>
      <c r="F14" s="2" t="s">
        <v>17</v>
      </c>
      <c r="G14" s="2" t="s">
        <v>18</v>
      </c>
      <c r="H14" s="34" t="s">
        <v>57</v>
      </c>
      <c r="I14" s="34" t="s">
        <v>19</v>
      </c>
      <c r="J14" s="34"/>
      <c r="K14" s="41">
        <v>45863</v>
      </c>
      <c r="L14" s="42">
        <v>681240000</v>
      </c>
      <c r="M14" s="43">
        <v>60</v>
      </c>
      <c r="N14" s="21">
        <f t="shared" si="0"/>
        <v>11354000</v>
      </c>
      <c r="O14" s="22">
        <f t="shared" si="1"/>
        <v>47659</v>
      </c>
      <c r="P14" s="2"/>
    </row>
    <row r="15" spans="1:16" x14ac:dyDescent="0.25">
      <c r="A15" s="2">
        <f>SUBTOTAL(3,$B$2:B15)</f>
        <v>14</v>
      </c>
      <c r="B15" s="20">
        <v>46143</v>
      </c>
      <c r="C15" s="20" t="s">
        <v>44</v>
      </c>
      <c r="D15" s="2" t="s">
        <v>15</v>
      </c>
      <c r="E15" s="2" t="s">
        <v>24</v>
      </c>
      <c r="F15" s="2" t="s">
        <v>25</v>
      </c>
      <c r="G15" s="2" t="s">
        <v>18</v>
      </c>
      <c r="H15" s="34" t="s">
        <v>45</v>
      </c>
      <c r="I15" s="34" t="s">
        <v>19</v>
      </c>
      <c r="J15" s="34"/>
      <c r="K15" s="41">
        <v>45645</v>
      </c>
      <c r="L15" s="42">
        <v>5200000</v>
      </c>
      <c r="M15" s="43">
        <v>12</v>
      </c>
      <c r="N15" s="21" t="str">
        <f t="shared" si="0"/>
        <v/>
      </c>
      <c r="O15" s="22">
        <f t="shared" si="1"/>
        <v>45980</v>
      </c>
      <c r="P15" s="2"/>
    </row>
    <row r="16" spans="1:16" x14ac:dyDescent="0.25">
      <c r="A16" s="2">
        <f>SUBTOTAL(3,$B$2:B16)</f>
        <v>15</v>
      </c>
      <c r="B16" s="20">
        <v>46143</v>
      </c>
      <c r="C16" s="20" t="s">
        <v>44</v>
      </c>
      <c r="D16" s="2" t="s">
        <v>15</v>
      </c>
      <c r="E16" s="2" t="s">
        <v>24</v>
      </c>
      <c r="F16" s="2" t="s">
        <v>25</v>
      </c>
      <c r="G16" s="2" t="s">
        <v>18</v>
      </c>
      <c r="H16" s="34" t="s">
        <v>46</v>
      </c>
      <c r="I16" s="34" t="s">
        <v>19</v>
      </c>
      <c r="J16" s="34"/>
      <c r="K16" s="41">
        <v>45645</v>
      </c>
      <c r="L16" s="42">
        <v>5200000</v>
      </c>
      <c r="M16" s="43">
        <v>12</v>
      </c>
      <c r="N16" s="21" t="str">
        <f t="shared" si="0"/>
        <v/>
      </c>
      <c r="O16" s="22">
        <f t="shared" si="1"/>
        <v>45980</v>
      </c>
      <c r="P16" s="2"/>
    </row>
    <row r="17" spans="1:16" x14ac:dyDescent="0.25">
      <c r="A17" s="2">
        <f>SUBTOTAL(3,$B$2:B17)</f>
        <v>16</v>
      </c>
      <c r="B17" s="20">
        <v>46143</v>
      </c>
      <c r="C17" s="20" t="s">
        <v>44</v>
      </c>
      <c r="D17" s="2" t="s">
        <v>15</v>
      </c>
      <c r="E17" s="2" t="s">
        <v>24</v>
      </c>
      <c r="F17" s="2" t="s">
        <v>25</v>
      </c>
      <c r="G17" s="2" t="s">
        <v>18</v>
      </c>
      <c r="H17" s="34" t="s">
        <v>47</v>
      </c>
      <c r="I17" s="34" t="s">
        <v>19</v>
      </c>
      <c r="J17" s="34"/>
      <c r="K17" s="41">
        <v>45645</v>
      </c>
      <c r="L17" s="42">
        <v>5200000</v>
      </c>
      <c r="M17" s="43">
        <v>12</v>
      </c>
      <c r="N17" s="21" t="str">
        <f t="shared" si="0"/>
        <v/>
      </c>
      <c r="O17" s="22">
        <f t="shared" si="1"/>
        <v>45980</v>
      </c>
      <c r="P17" s="2"/>
    </row>
    <row r="18" spans="1:16" x14ac:dyDescent="0.25">
      <c r="A18" s="2">
        <f>SUBTOTAL(3,$B$2:B18)</f>
        <v>17</v>
      </c>
      <c r="B18" s="20">
        <v>46143</v>
      </c>
      <c r="C18" s="20" t="s">
        <v>44</v>
      </c>
      <c r="D18" s="2" t="s">
        <v>15</v>
      </c>
      <c r="E18" s="2" t="s">
        <v>24</v>
      </c>
      <c r="F18" s="2" t="s">
        <v>25</v>
      </c>
      <c r="G18" s="2" t="s">
        <v>18</v>
      </c>
      <c r="H18" s="34" t="s">
        <v>48</v>
      </c>
      <c r="I18" s="34" t="s">
        <v>19</v>
      </c>
      <c r="J18" s="34"/>
      <c r="K18" s="41">
        <v>45645</v>
      </c>
      <c r="L18" s="42">
        <v>5200000</v>
      </c>
      <c r="M18" s="43">
        <v>12</v>
      </c>
      <c r="N18" s="21" t="str">
        <f t="shared" si="0"/>
        <v/>
      </c>
      <c r="O18" s="22">
        <f t="shared" si="1"/>
        <v>45980</v>
      </c>
      <c r="P18" s="2"/>
    </row>
    <row r="19" spans="1:16" x14ac:dyDescent="0.25">
      <c r="A19" s="2">
        <f>SUBTOTAL(3,$B$2:B19)</f>
        <v>18</v>
      </c>
      <c r="B19" s="20">
        <v>46143</v>
      </c>
      <c r="C19" s="20" t="s">
        <v>44</v>
      </c>
      <c r="D19" s="2" t="s">
        <v>15</v>
      </c>
      <c r="E19" s="2" t="s">
        <v>24</v>
      </c>
      <c r="F19" s="2" t="s">
        <v>25</v>
      </c>
      <c r="G19" s="2" t="s">
        <v>18</v>
      </c>
      <c r="H19" s="34" t="s">
        <v>49</v>
      </c>
      <c r="I19" s="34" t="s">
        <v>19</v>
      </c>
      <c r="J19" s="34"/>
      <c r="K19" s="41">
        <v>45758</v>
      </c>
      <c r="L19" s="42">
        <v>5200000</v>
      </c>
      <c r="M19" s="43">
        <v>12</v>
      </c>
      <c r="N19" s="21" t="str">
        <f t="shared" si="0"/>
        <v/>
      </c>
      <c r="O19" s="22">
        <f t="shared" si="1"/>
        <v>46092</v>
      </c>
      <c r="P19" s="2"/>
    </row>
    <row r="20" spans="1:16" x14ac:dyDescent="0.25">
      <c r="A20" s="2">
        <f>SUBTOTAL(3,$B$2:B20)</f>
        <v>19</v>
      </c>
      <c r="B20" s="20">
        <v>46143</v>
      </c>
      <c r="C20" s="20" t="s">
        <v>44</v>
      </c>
      <c r="D20" s="2" t="s">
        <v>15</v>
      </c>
      <c r="E20" s="2" t="s">
        <v>24</v>
      </c>
      <c r="F20" s="2" t="s">
        <v>25</v>
      </c>
      <c r="G20" s="2" t="s">
        <v>18</v>
      </c>
      <c r="H20" s="34" t="s">
        <v>50</v>
      </c>
      <c r="I20" s="34" t="s">
        <v>19</v>
      </c>
      <c r="J20" s="34"/>
      <c r="K20" s="41">
        <v>45758</v>
      </c>
      <c r="L20" s="42">
        <v>5200000</v>
      </c>
      <c r="M20" s="43">
        <v>12</v>
      </c>
      <c r="N20" s="21" t="str">
        <f t="shared" si="0"/>
        <v/>
      </c>
      <c r="O20" s="22">
        <f t="shared" si="1"/>
        <v>46092</v>
      </c>
      <c r="P20" s="2"/>
    </row>
    <row r="21" spans="1:16" x14ac:dyDescent="0.25">
      <c r="A21" s="2">
        <f>SUBTOTAL(3,$B$2:B21)</f>
        <v>20</v>
      </c>
      <c r="B21" s="20">
        <v>46143</v>
      </c>
      <c r="C21" s="20" t="s">
        <v>44</v>
      </c>
      <c r="D21" s="2" t="s">
        <v>15</v>
      </c>
      <c r="E21" s="2" t="s">
        <v>24</v>
      </c>
      <c r="F21" s="2" t="s">
        <v>25</v>
      </c>
      <c r="G21" s="2" t="s">
        <v>18</v>
      </c>
      <c r="H21" s="34" t="s">
        <v>51</v>
      </c>
      <c r="I21" s="34" t="s">
        <v>19</v>
      </c>
      <c r="J21" s="34"/>
      <c r="K21" s="41">
        <v>45729</v>
      </c>
      <c r="L21" s="42">
        <v>5000000</v>
      </c>
      <c r="M21" s="43">
        <v>12</v>
      </c>
      <c r="N21" s="21" t="str">
        <f t="shared" si="0"/>
        <v/>
      </c>
      <c r="O21" s="22">
        <f t="shared" si="1"/>
        <v>46066</v>
      </c>
      <c r="P21" s="2"/>
    </row>
    <row r="22" spans="1:16" x14ac:dyDescent="0.25">
      <c r="A22" s="2">
        <f>SUBTOTAL(3,$B$2:B22)</f>
        <v>21</v>
      </c>
      <c r="B22" s="20">
        <v>46143</v>
      </c>
      <c r="C22" s="20" t="s">
        <v>44</v>
      </c>
      <c r="D22" s="2" t="s">
        <v>15</v>
      </c>
      <c r="E22" s="2" t="s">
        <v>24</v>
      </c>
      <c r="F22" s="2" t="s">
        <v>25</v>
      </c>
      <c r="G22" s="2" t="s">
        <v>18</v>
      </c>
      <c r="H22" s="34" t="s">
        <v>52</v>
      </c>
      <c r="I22" s="34" t="s">
        <v>19</v>
      </c>
      <c r="J22" s="34"/>
      <c r="K22" s="41">
        <v>45729</v>
      </c>
      <c r="L22" s="42">
        <v>5000000</v>
      </c>
      <c r="M22" s="43">
        <v>12</v>
      </c>
      <c r="N22" s="21" t="str">
        <f t="shared" si="0"/>
        <v/>
      </c>
      <c r="O22" s="22">
        <f t="shared" si="1"/>
        <v>46066</v>
      </c>
      <c r="P22" s="2"/>
    </row>
    <row r="23" spans="1:16" x14ac:dyDescent="0.25">
      <c r="A23" s="2">
        <f>SUBTOTAL(3,$B$2:B23)</f>
        <v>22</v>
      </c>
      <c r="B23" s="20">
        <v>46143</v>
      </c>
      <c r="C23" s="20" t="s">
        <v>44</v>
      </c>
      <c r="D23" s="2" t="s">
        <v>15</v>
      </c>
      <c r="E23" s="2" t="s">
        <v>24</v>
      </c>
      <c r="F23" s="2" t="s">
        <v>25</v>
      </c>
      <c r="G23" s="2" t="s">
        <v>18</v>
      </c>
      <c r="H23" s="34" t="s">
        <v>53</v>
      </c>
      <c r="I23" s="34" t="s">
        <v>19</v>
      </c>
      <c r="J23" s="34"/>
      <c r="K23" s="41">
        <v>45729</v>
      </c>
      <c r="L23" s="42">
        <v>5000000</v>
      </c>
      <c r="M23" s="43">
        <v>12</v>
      </c>
      <c r="N23" s="21" t="str">
        <f t="shared" si="0"/>
        <v/>
      </c>
      <c r="O23" s="22">
        <f t="shared" si="1"/>
        <v>46066</v>
      </c>
      <c r="P23" s="2"/>
    </row>
    <row r="24" spans="1:16" x14ac:dyDescent="0.25">
      <c r="A24" s="2">
        <f>SUBTOTAL(3,$B$2:B24)</f>
        <v>23</v>
      </c>
      <c r="B24" s="20">
        <v>46143</v>
      </c>
      <c r="C24" s="20" t="s">
        <v>44</v>
      </c>
      <c r="D24" s="2" t="s">
        <v>15</v>
      </c>
      <c r="E24" s="2" t="s">
        <v>24</v>
      </c>
      <c r="F24" s="2" t="s">
        <v>25</v>
      </c>
      <c r="G24" s="2" t="s">
        <v>18</v>
      </c>
      <c r="H24" s="34" t="s">
        <v>54</v>
      </c>
      <c r="I24" s="34" t="s">
        <v>19</v>
      </c>
      <c r="J24" s="34"/>
      <c r="K24" s="41">
        <v>45729</v>
      </c>
      <c r="L24" s="42">
        <v>5000000</v>
      </c>
      <c r="M24" s="43">
        <v>12</v>
      </c>
      <c r="N24" s="21" t="str">
        <f t="shared" si="0"/>
        <v/>
      </c>
      <c r="O24" s="22">
        <f t="shared" si="1"/>
        <v>46066</v>
      </c>
      <c r="P24" s="2"/>
    </row>
    <row r="25" spans="1:16" x14ac:dyDescent="0.25">
      <c r="A25" s="2">
        <f>SUBTOTAL(3,$B$2:B25)</f>
        <v>24</v>
      </c>
      <c r="B25" s="20">
        <v>46143</v>
      </c>
      <c r="C25" s="20" t="s">
        <v>44</v>
      </c>
      <c r="D25" s="2" t="s">
        <v>15</v>
      </c>
      <c r="E25" s="2" t="s">
        <v>24</v>
      </c>
      <c r="F25" s="2" t="s">
        <v>25</v>
      </c>
      <c r="G25" s="2" t="s">
        <v>18</v>
      </c>
      <c r="H25" s="34" t="s">
        <v>55</v>
      </c>
      <c r="I25" s="34" t="s">
        <v>19</v>
      </c>
      <c r="J25" s="34"/>
      <c r="K25" s="41">
        <v>45729</v>
      </c>
      <c r="L25" s="42">
        <v>5000000</v>
      </c>
      <c r="M25" s="43">
        <v>12</v>
      </c>
      <c r="N25" s="21" t="str">
        <f t="shared" si="0"/>
        <v/>
      </c>
      <c r="O25" s="22">
        <f t="shared" si="1"/>
        <v>46066</v>
      </c>
      <c r="P25" s="2"/>
    </row>
    <row r="26" spans="1:16" x14ac:dyDescent="0.25">
      <c r="A26" s="2">
        <f>SUBTOTAL(3,$B$2:B26)</f>
        <v>25</v>
      </c>
      <c r="B26" s="20">
        <v>46143</v>
      </c>
      <c r="C26" s="20" t="s">
        <v>44</v>
      </c>
      <c r="D26" s="2" t="s">
        <v>15</v>
      </c>
      <c r="E26" s="2" t="s">
        <v>24</v>
      </c>
      <c r="F26" s="2" t="s">
        <v>25</v>
      </c>
      <c r="G26" s="2" t="s">
        <v>18</v>
      </c>
      <c r="H26" s="34" t="s">
        <v>56</v>
      </c>
      <c r="I26" s="34" t="s">
        <v>19</v>
      </c>
      <c r="J26" s="34"/>
      <c r="K26" s="41">
        <v>45729</v>
      </c>
      <c r="L26" s="42">
        <v>5000000</v>
      </c>
      <c r="M26" s="43">
        <v>12</v>
      </c>
      <c r="N26" s="21" t="str">
        <f t="shared" si="0"/>
        <v/>
      </c>
      <c r="O26" s="22">
        <f t="shared" si="1"/>
        <v>46066</v>
      </c>
      <c r="P26" s="2"/>
    </row>
    <row r="27" spans="1:16" x14ac:dyDescent="0.25">
      <c r="A27" s="2">
        <f>SUBTOTAL(3,$B$2:B27)</f>
        <v>26</v>
      </c>
      <c r="B27" s="20">
        <v>46143</v>
      </c>
      <c r="C27" s="20" t="s">
        <v>44</v>
      </c>
      <c r="D27" s="2" t="s">
        <v>15</v>
      </c>
      <c r="E27" s="2" t="s">
        <v>24</v>
      </c>
      <c r="F27" s="2" t="s">
        <v>25</v>
      </c>
      <c r="G27" s="2" t="s">
        <v>18</v>
      </c>
      <c r="H27" s="34" t="s">
        <v>57</v>
      </c>
      <c r="I27" s="34" t="s">
        <v>19</v>
      </c>
      <c r="J27" s="34"/>
      <c r="K27" s="41">
        <v>45870</v>
      </c>
      <c r="L27" s="42">
        <v>3300000</v>
      </c>
      <c r="M27" s="43">
        <v>12</v>
      </c>
      <c r="N27" s="21">
        <f t="shared" si="0"/>
        <v>275000</v>
      </c>
      <c r="O27" s="22">
        <f t="shared" si="1"/>
        <v>46204</v>
      </c>
      <c r="P27" s="2"/>
    </row>
    <row r="28" spans="1:16" x14ac:dyDescent="0.25">
      <c r="A28" s="2">
        <f>SUBTOTAL(3,$B$2:B28)</f>
        <v>27</v>
      </c>
      <c r="B28" s="20">
        <v>46143</v>
      </c>
      <c r="C28" s="20" t="s">
        <v>44</v>
      </c>
      <c r="D28" s="2" t="s">
        <v>15</v>
      </c>
      <c r="E28" s="2" t="s">
        <v>20</v>
      </c>
      <c r="F28" s="2" t="s">
        <v>21</v>
      </c>
      <c r="G28" s="2" t="s">
        <v>18</v>
      </c>
      <c r="H28" s="34" t="s">
        <v>45</v>
      </c>
      <c r="I28" s="34" t="s">
        <v>19</v>
      </c>
      <c r="J28" s="34"/>
      <c r="K28" s="41">
        <v>45992</v>
      </c>
      <c r="L28" s="42">
        <v>7322000</v>
      </c>
      <c r="M28" s="43">
        <v>12</v>
      </c>
      <c r="N28" s="21">
        <f t="shared" ref="N28:N29" si="2">IF(B28&gt;O28,"",L28/M28)</f>
        <v>610166.66666666663</v>
      </c>
      <c r="O28" s="22">
        <f t="shared" ref="O28:O29" si="3">EDATE(K28, M28-1)</f>
        <v>46327</v>
      </c>
      <c r="P28" s="2"/>
    </row>
    <row r="29" spans="1:16" x14ac:dyDescent="0.25">
      <c r="A29" s="2">
        <f>SUBTOTAL(3,$B$2:B29)</f>
        <v>28</v>
      </c>
      <c r="B29" s="20">
        <v>46143</v>
      </c>
      <c r="C29" s="20" t="s">
        <v>44</v>
      </c>
      <c r="D29" s="2" t="s">
        <v>15</v>
      </c>
      <c r="E29" s="2" t="s">
        <v>20</v>
      </c>
      <c r="F29" s="2" t="s">
        <v>21</v>
      </c>
      <c r="G29" s="2" t="s">
        <v>18</v>
      </c>
      <c r="H29" s="34" t="s">
        <v>46</v>
      </c>
      <c r="I29" s="34" t="s">
        <v>19</v>
      </c>
      <c r="J29" s="34"/>
      <c r="K29" s="41">
        <v>45992</v>
      </c>
      <c r="L29" s="42">
        <v>7322000</v>
      </c>
      <c r="M29" s="43">
        <v>12</v>
      </c>
      <c r="N29" s="21">
        <f t="shared" si="2"/>
        <v>610166.66666666663</v>
      </c>
      <c r="O29" s="22">
        <f t="shared" si="3"/>
        <v>46327</v>
      </c>
      <c r="P29" s="2"/>
    </row>
    <row r="30" spans="1:16" x14ac:dyDescent="0.25">
      <c r="A30" s="2">
        <f>SUBTOTAL(3,$B$2:B30)</f>
        <v>29</v>
      </c>
      <c r="B30" s="20">
        <v>46143</v>
      </c>
      <c r="C30" s="20" t="s">
        <v>44</v>
      </c>
      <c r="D30" s="2" t="s">
        <v>15</v>
      </c>
      <c r="E30" s="2" t="s">
        <v>20</v>
      </c>
      <c r="F30" s="2" t="s">
        <v>21</v>
      </c>
      <c r="G30" s="2" t="s">
        <v>18</v>
      </c>
      <c r="H30" s="34" t="s">
        <v>47</v>
      </c>
      <c r="I30" s="34" t="s">
        <v>19</v>
      </c>
      <c r="J30" s="34"/>
      <c r="K30" s="41">
        <v>45992</v>
      </c>
      <c r="L30" s="42">
        <v>7322000</v>
      </c>
      <c r="M30" s="43">
        <v>12</v>
      </c>
      <c r="N30" s="21">
        <f t="shared" si="0"/>
        <v>610166.66666666663</v>
      </c>
      <c r="O30" s="22">
        <f t="shared" si="1"/>
        <v>46327</v>
      </c>
      <c r="P30" s="2"/>
    </row>
    <row r="31" spans="1:16" x14ac:dyDescent="0.25">
      <c r="A31" s="2">
        <f>SUBTOTAL(3,$B$2:B31)</f>
        <v>30</v>
      </c>
      <c r="B31" s="20">
        <v>46143</v>
      </c>
      <c r="C31" s="20" t="s">
        <v>44</v>
      </c>
      <c r="D31" s="2" t="s">
        <v>15</v>
      </c>
      <c r="E31" s="2" t="s">
        <v>20</v>
      </c>
      <c r="F31" s="2" t="s">
        <v>21</v>
      </c>
      <c r="G31" s="2" t="s">
        <v>18</v>
      </c>
      <c r="H31" s="34" t="s">
        <v>48</v>
      </c>
      <c r="I31" s="34" t="s">
        <v>19</v>
      </c>
      <c r="J31" s="34"/>
      <c r="K31" s="41">
        <v>45992</v>
      </c>
      <c r="L31" s="42">
        <v>7322000</v>
      </c>
      <c r="M31" s="43">
        <v>12</v>
      </c>
      <c r="N31" s="21">
        <f t="shared" si="0"/>
        <v>610166.66666666663</v>
      </c>
      <c r="O31" s="22">
        <f t="shared" si="1"/>
        <v>46327</v>
      </c>
      <c r="P31" s="2"/>
    </row>
    <row r="32" spans="1:16" x14ac:dyDescent="0.25">
      <c r="A32" s="2">
        <f>SUBTOTAL(3,$B$2:B32)</f>
        <v>31</v>
      </c>
      <c r="B32" s="20">
        <v>46143</v>
      </c>
      <c r="C32" s="20" t="s">
        <v>44</v>
      </c>
      <c r="D32" s="2" t="s">
        <v>15</v>
      </c>
      <c r="E32" s="2" t="s">
        <v>20</v>
      </c>
      <c r="F32" s="2" t="s">
        <v>21</v>
      </c>
      <c r="G32" s="2" t="s">
        <v>18</v>
      </c>
      <c r="H32" s="34" t="s">
        <v>49</v>
      </c>
      <c r="I32" s="34" t="s">
        <v>19</v>
      </c>
      <c r="J32" s="34"/>
      <c r="K32" s="41">
        <v>45992</v>
      </c>
      <c r="L32" s="42">
        <v>6885000</v>
      </c>
      <c r="M32" s="43">
        <v>12</v>
      </c>
      <c r="N32" s="21">
        <f t="shared" si="0"/>
        <v>573750</v>
      </c>
      <c r="O32" s="22">
        <f t="shared" si="1"/>
        <v>46327</v>
      </c>
      <c r="P32" s="2"/>
    </row>
    <row r="33" spans="1:16" x14ac:dyDescent="0.25">
      <c r="A33" s="2">
        <f>SUBTOTAL(3,$B$2:B33)</f>
        <v>32</v>
      </c>
      <c r="B33" s="20">
        <v>46143</v>
      </c>
      <c r="C33" s="20" t="s">
        <v>44</v>
      </c>
      <c r="D33" s="2" t="s">
        <v>15</v>
      </c>
      <c r="E33" s="2" t="s">
        <v>20</v>
      </c>
      <c r="F33" s="2" t="s">
        <v>21</v>
      </c>
      <c r="G33" s="2" t="s">
        <v>18</v>
      </c>
      <c r="H33" s="34" t="s">
        <v>50</v>
      </c>
      <c r="I33" s="34" t="s">
        <v>19</v>
      </c>
      <c r="J33" s="34"/>
      <c r="K33" s="41">
        <v>45992</v>
      </c>
      <c r="L33" s="42">
        <v>6885000</v>
      </c>
      <c r="M33" s="43">
        <v>12</v>
      </c>
      <c r="N33" s="21">
        <f t="shared" si="0"/>
        <v>573750</v>
      </c>
      <c r="O33" s="22">
        <f t="shared" si="1"/>
        <v>46327</v>
      </c>
      <c r="P33" s="2"/>
    </row>
    <row r="34" spans="1:16" x14ac:dyDescent="0.25">
      <c r="A34" s="2">
        <f>SUBTOTAL(3,$B$2:B34)</f>
        <v>33</v>
      </c>
      <c r="B34" s="20">
        <v>46143</v>
      </c>
      <c r="C34" s="20" t="s">
        <v>44</v>
      </c>
      <c r="D34" s="2" t="s">
        <v>15</v>
      </c>
      <c r="E34" s="2" t="s">
        <v>20</v>
      </c>
      <c r="F34" s="2" t="s">
        <v>21</v>
      </c>
      <c r="G34" s="2" t="s">
        <v>18</v>
      </c>
      <c r="H34" s="34" t="s">
        <v>51</v>
      </c>
      <c r="I34" s="34" t="s">
        <v>19</v>
      </c>
      <c r="J34" s="34"/>
      <c r="K34" s="41">
        <v>46054</v>
      </c>
      <c r="L34" s="42">
        <v>7365700</v>
      </c>
      <c r="M34" s="43">
        <v>12</v>
      </c>
      <c r="N34" s="21">
        <f t="shared" si="0"/>
        <v>613808.33333333337</v>
      </c>
      <c r="O34" s="22">
        <f t="shared" si="1"/>
        <v>46388</v>
      </c>
      <c r="P34" s="2"/>
    </row>
    <row r="35" spans="1:16" x14ac:dyDescent="0.25">
      <c r="A35" s="2">
        <f>SUBTOTAL(3,$B$2:B35)</f>
        <v>34</v>
      </c>
      <c r="B35" s="20">
        <v>46143</v>
      </c>
      <c r="C35" s="20" t="s">
        <v>44</v>
      </c>
      <c r="D35" s="2" t="s">
        <v>15</v>
      </c>
      <c r="E35" s="2" t="s">
        <v>20</v>
      </c>
      <c r="F35" s="2" t="s">
        <v>21</v>
      </c>
      <c r="G35" s="2" t="s">
        <v>18</v>
      </c>
      <c r="H35" s="34" t="s">
        <v>52</v>
      </c>
      <c r="I35" s="34" t="s">
        <v>19</v>
      </c>
      <c r="J35" s="34"/>
      <c r="K35" s="41">
        <v>46054</v>
      </c>
      <c r="L35" s="42">
        <v>7365700</v>
      </c>
      <c r="M35" s="43">
        <v>12</v>
      </c>
      <c r="N35" s="21">
        <f t="shared" si="0"/>
        <v>613808.33333333337</v>
      </c>
      <c r="O35" s="22">
        <f t="shared" si="1"/>
        <v>46388</v>
      </c>
      <c r="P35" s="2"/>
    </row>
    <row r="36" spans="1:16" x14ac:dyDescent="0.25">
      <c r="A36" s="2">
        <f>SUBTOTAL(3,$B$2:B36)</f>
        <v>35</v>
      </c>
      <c r="B36" s="20">
        <v>46143</v>
      </c>
      <c r="C36" s="20" t="s">
        <v>44</v>
      </c>
      <c r="D36" s="2" t="s">
        <v>15</v>
      </c>
      <c r="E36" s="2" t="s">
        <v>20</v>
      </c>
      <c r="F36" s="2" t="s">
        <v>21</v>
      </c>
      <c r="G36" s="2" t="s">
        <v>18</v>
      </c>
      <c r="H36" s="34" t="s">
        <v>53</v>
      </c>
      <c r="I36" s="34" t="s">
        <v>19</v>
      </c>
      <c r="J36" s="34"/>
      <c r="K36" s="41">
        <v>46054</v>
      </c>
      <c r="L36" s="42">
        <v>7365700</v>
      </c>
      <c r="M36" s="43">
        <v>12</v>
      </c>
      <c r="N36" s="21">
        <f t="shared" si="0"/>
        <v>613808.33333333337</v>
      </c>
      <c r="O36" s="22">
        <f t="shared" si="1"/>
        <v>46388</v>
      </c>
      <c r="P36" s="2"/>
    </row>
    <row r="37" spans="1:16" x14ac:dyDescent="0.25">
      <c r="A37" s="2">
        <f>SUBTOTAL(3,$B$2:B37)</f>
        <v>36</v>
      </c>
      <c r="B37" s="20">
        <v>46143</v>
      </c>
      <c r="C37" s="20" t="s">
        <v>44</v>
      </c>
      <c r="D37" s="2" t="s">
        <v>15</v>
      </c>
      <c r="E37" s="2" t="s">
        <v>20</v>
      </c>
      <c r="F37" s="2" t="s">
        <v>21</v>
      </c>
      <c r="G37" s="2" t="s">
        <v>18</v>
      </c>
      <c r="H37" s="34" t="s">
        <v>54</v>
      </c>
      <c r="I37" s="34" t="s">
        <v>19</v>
      </c>
      <c r="J37" s="34"/>
      <c r="K37" s="41">
        <v>46054</v>
      </c>
      <c r="L37" s="42">
        <v>7365700</v>
      </c>
      <c r="M37" s="43">
        <v>12</v>
      </c>
      <c r="N37" s="21">
        <f t="shared" si="0"/>
        <v>613808.33333333337</v>
      </c>
      <c r="O37" s="22">
        <f t="shared" si="1"/>
        <v>46388</v>
      </c>
      <c r="P37" s="2"/>
    </row>
    <row r="38" spans="1:16" x14ac:dyDescent="0.25">
      <c r="A38" s="2">
        <f>SUBTOTAL(3,$B$2:B38)</f>
        <v>37</v>
      </c>
      <c r="B38" s="20">
        <v>46143</v>
      </c>
      <c r="C38" s="20" t="s">
        <v>44</v>
      </c>
      <c r="D38" s="2" t="s">
        <v>15</v>
      </c>
      <c r="E38" s="2" t="s">
        <v>20</v>
      </c>
      <c r="F38" s="2" t="s">
        <v>21</v>
      </c>
      <c r="G38" s="2" t="s">
        <v>18</v>
      </c>
      <c r="H38" s="34" t="s">
        <v>55</v>
      </c>
      <c r="I38" s="34" t="s">
        <v>19</v>
      </c>
      <c r="J38" s="34"/>
      <c r="K38" s="41">
        <v>46054</v>
      </c>
      <c r="L38" s="42">
        <v>7365700</v>
      </c>
      <c r="M38" s="43">
        <v>12</v>
      </c>
      <c r="N38" s="21">
        <f t="shared" si="0"/>
        <v>613808.33333333337</v>
      </c>
      <c r="O38" s="22">
        <f t="shared" si="1"/>
        <v>46388</v>
      </c>
      <c r="P38" s="2"/>
    </row>
    <row r="39" spans="1:16" x14ac:dyDescent="0.25">
      <c r="A39" s="2">
        <f>SUBTOTAL(3,$B$2:B39)</f>
        <v>38</v>
      </c>
      <c r="B39" s="20">
        <v>46143</v>
      </c>
      <c r="C39" s="20" t="s">
        <v>44</v>
      </c>
      <c r="D39" s="2" t="s">
        <v>15</v>
      </c>
      <c r="E39" s="2" t="s">
        <v>20</v>
      </c>
      <c r="F39" s="2" t="s">
        <v>21</v>
      </c>
      <c r="G39" s="2" t="s">
        <v>18</v>
      </c>
      <c r="H39" s="34" t="s">
        <v>56</v>
      </c>
      <c r="I39" s="34" t="s">
        <v>19</v>
      </c>
      <c r="J39" s="34"/>
      <c r="K39" s="41">
        <v>46054</v>
      </c>
      <c r="L39" s="42">
        <v>7365700</v>
      </c>
      <c r="M39" s="43">
        <v>12</v>
      </c>
      <c r="N39" s="21">
        <f t="shared" si="0"/>
        <v>613808.33333333337</v>
      </c>
      <c r="O39" s="22">
        <f t="shared" si="1"/>
        <v>46388</v>
      </c>
      <c r="P39" s="2"/>
    </row>
    <row r="40" spans="1:16" x14ac:dyDescent="0.25">
      <c r="A40" s="2">
        <f>SUBTOTAL(3,$B$2:B40)</f>
        <v>39</v>
      </c>
      <c r="B40" s="20">
        <v>46143</v>
      </c>
      <c r="C40" s="20" t="s">
        <v>44</v>
      </c>
      <c r="D40" s="2" t="s">
        <v>15</v>
      </c>
      <c r="E40" s="2" t="s">
        <v>20</v>
      </c>
      <c r="F40" s="2" t="s">
        <v>21</v>
      </c>
      <c r="G40" s="2" t="s">
        <v>18</v>
      </c>
      <c r="H40" s="34" t="s">
        <v>57</v>
      </c>
      <c r="I40" s="34" t="s">
        <v>19</v>
      </c>
      <c r="J40" s="34"/>
      <c r="K40" s="41">
        <v>45870</v>
      </c>
      <c r="L40" s="42">
        <v>6395000</v>
      </c>
      <c r="M40" s="43">
        <v>12</v>
      </c>
      <c r="N40" s="21">
        <f t="shared" si="0"/>
        <v>532916.66666666663</v>
      </c>
      <c r="O40" s="22">
        <f t="shared" si="1"/>
        <v>46204</v>
      </c>
      <c r="P40" s="2"/>
    </row>
    <row r="41" spans="1:16" x14ac:dyDescent="0.25">
      <c r="A41" s="2">
        <f>SUBTOTAL(3,$B$2:B41)</f>
        <v>40</v>
      </c>
      <c r="B41" s="20">
        <v>46143</v>
      </c>
      <c r="C41" s="20" t="s">
        <v>44</v>
      </c>
      <c r="D41" s="2" t="s">
        <v>15</v>
      </c>
      <c r="E41" s="2" t="s">
        <v>24</v>
      </c>
      <c r="F41" s="2" t="s">
        <v>26</v>
      </c>
      <c r="G41" s="2" t="s">
        <v>18</v>
      </c>
      <c r="H41" s="34" t="s">
        <v>45</v>
      </c>
      <c r="I41" s="34" t="s">
        <v>19</v>
      </c>
      <c r="J41" s="34"/>
      <c r="K41" s="41">
        <v>45659</v>
      </c>
      <c r="L41" s="42">
        <v>1600000</v>
      </c>
      <c r="M41" s="43">
        <v>12</v>
      </c>
      <c r="N41" s="21" t="str">
        <f t="shared" si="0"/>
        <v/>
      </c>
      <c r="O41" s="22">
        <f t="shared" si="1"/>
        <v>45993</v>
      </c>
      <c r="P41" s="2"/>
    </row>
    <row r="42" spans="1:16" x14ac:dyDescent="0.25">
      <c r="A42" s="2">
        <f>SUBTOTAL(3,$B$2:B42)</f>
        <v>41</v>
      </c>
      <c r="B42" s="20">
        <v>46143</v>
      </c>
      <c r="C42" s="20" t="s">
        <v>44</v>
      </c>
      <c r="D42" s="2" t="s">
        <v>15</v>
      </c>
      <c r="E42" s="2" t="s">
        <v>24</v>
      </c>
      <c r="F42" s="2" t="s">
        <v>26</v>
      </c>
      <c r="G42" s="2" t="s">
        <v>18</v>
      </c>
      <c r="H42" s="34" t="s">
        <v>46</v>
      </c>
      <c r="I42" s="34" t="s">
        <v>19</v>
      </c>
      <c r="J42" s="34"/>
      <c r="K42" s="41">
        <v>45659</v>
      </c>
      <c r="L42" s="42">
        <v>1600000</v>
      </c>
      <c r="M42" s="43">
        <v>12</v>
      </c>
      <c r="N42" s="21" t="str">
        <f t="shared" si="0"/>
        <v/>
      </c>
      <c r="O42" s="22">
        <f t="shared" si="1"/>
        <v>45993</v>
      </c>
      <c r="P42" s="2"/>
    </row>
    <row r="43" spans="1:16" x14ac:dyDescent="0.25">
      <c r="A43" s="2">
        <f>SUBTOTAL(3,$B$2:B43)</f>
        <v>42</v>
      </c>
      <c r="B43" s="20">
        <v>46143</v>
      </c>
      <c r="C43" s="20" t="s">
        <v>44</v>
      </c>
      <c r="D43" s="2" t="s">
        <v>15</v>
      </c>
      <c r="E43" s="2" t="s">
        <v>24</v>
      </c>
      <c r="F43" s="2" t="s">
        <v>26</v>
      </c>
      <c r="G43" s="2" t="s">
        <v>18</v>
      </c>
      <c r="H43" s="34" t="s">
        <v>47</v>
      </c>
      <c r="I43" s="34" t="s">
        <v>19</v>
      </c>
      <c r="J43" s="34"/>
      <c r="K43" s="41">
        <v>45659</v>
      </c>
      <c r="L43" s="42">
        <v>1600000</v>
      </c>
      <c r="M43" s="43">
        <v>12</v>
      </c>
      <c r="N43" s="21" t="str">
        <f t="shared" si="0"/>
        <v/>
      </c>
      <c r="O43" s="22">
        <f t="shared" si="1"/>
        <v>45993</v>
      </c>
      <c r="P43" s="2"/>
    </row>
    <row r="44" spans="1:16" x14ac:dyDescent="0.25">
      <c r="A44" s="2">
        <f>SUBTOTAL(3,$B$2:B44)</f>
        <v>43</v>
      </c>
      <c r="B44" s="20">
        <v>46143</v>
      </c>
      <c r="C44" s="20" t="s">
        <v>44</v>
      </c>
      <c r="D44" s="2" t="s">
        <v>15</v>
      </c>
      <c r="E44" s="2" t="s">
        <v>24</v>
      </c>
      <c r="F44" s="2" t="s">
        <v>26</v>
      </c>
      <c r="G44" s="2" t="s">
        <v>18</v>
      </c>
      <c r="H44" s="34" t="s">
        <v>48</v>
      </c>
      <c r="I44" s="34" t="s">
        <v>19</v>
      </c>
      <c r="J44" s="34"/>
      <c r="K44" s="41">
        <v>45659</v>
      </c>
      <c r="L44" s="42">
        <v>1600000</v>
      </c>
      <c r="M44" s="43">
        <v>12</v>
      </c>
      <c r="N44" s="21" t="str">
        <f t="shared" si="0"/>
        <v/>
      </c>
      <c r="O44" s="22">
        <f t="shared" si="1"/>
        <v>45993</v>
      </c>
      <c r="P44" s="2"/>
    </row>
    <row r="45" spans="1:16" x14ac:dyDescent="0.25">
      <c r="A45" s="2">
        <f>SUBTOTAL(3,$B$2:B45)</f>
        <v>44</v>
      </c>
      <c r="B45" s="20">
        <v>46143</v>
      </c>
      <c r="C45" s="20" t="s">
        <v>44</v>
      </c>
      <c r="D45" s="2" t="s">
        <v>15</v>
      </c>
      <c r="E45" s="2" t="s">
        <v>24</v>
      </c>
      <c r="F45" s="2" t="s">
        <v>26</v>
      </c>
      <c r="G45" s="2" t="s">
        <v>18</v>
      </c>
      <c r="H45" s="34" t="s">
        <v>49</v>
      </c>
      <c r="I45" s="34" t="s">
        <v>19</v>
      </c>
      <c r="J45" s="34"/>
      <c r="K45" s="41">
        <v>45659</v>
      </c>
      <c r="L45" s="42">
        <v>1600000</v>
      </c>
      <c r="M45" s="43">
        <v>12</v>
      </c>
      <c r="N45" s="21" t="str">
        <f t="shared" si="0"/>
        <v/>
      </c>
      <c r="O45" s="22">
        <f t="shared" si="1"/>
        <v>45993</v>
      </c>
      <c r="P45" s="2"/>
    </row>
    <row r="46" spans="1:16" x14ac:dyDescent="0.25">
      <c r="A46" s="2">
        <f>SUBTOTAL(3,$B$2:B46)</f>
        <v>45</v>
      </c>
      <c r="B46" s="20">
        <v>46143</v>
      </c>
      <c r="C46" s="20" t="s">
        <v>44</v>
      </c>
      <c r="D46" s="2" t="s">
        <v>15</v>
      </c>
      <c r="E46" s="2" t="s">
        <v>24</v>
      </c>
      <c r="F46" s="2" t="s">
        <v>26</v>
      </c>
      <c r="G46" s="2" t="s">
        <v>18</v>
      </c>
      <c r="H46" s="34" t="s">
        <v>50</v>
      </c>
      <c r="I46" s="34" t="s">
        <v>19</v>
      </c>
      <c r="J46" s="34"/>
      <c r="K46" s="41">
        <v>45659</v>
      </c>
      <c r="L46" s="42">
        <v>1600000</v>
      </c>
      <c r="M46" s="43">
        <v>12</v>
      </c>
      <c r="N46" s="21" t="str">
        <f t="shared" si="0"/>
        <v/>
      </c>
      <c r="O46" s="22">
        <f t="shared" si="1"/>
        <v>45993</v>
      </c>
      <c r="P46" s="2"/>
    </row>
    <row r="47" spans="1:16" x14ac:dyDescent="0.25">
      <c r="A47" s="2">
        <f>SUBTOTAL(3,$B$2:B47)</f>
        <v>46</v>
      </c>
      <c r="B47" s="20">
        <v>46143</v>
      </c>
      <c r="C47" s="20" t="s">
        <v>44</v>
      </c>
      <c r="D47" s="2" t="s">
        <v>15</v>
      </c>
      <c r="E47" s="2" t="s">
        <v>24</v>
      </c>
      <c r="F47" s="2" t="s">
        <v>26</v>
      </c>
      <c r="G47" s="2" t="s">
        <v>18</v>
      </c>
      <c r="H47" s="34" t="s">
        <v>52</v>
      </c>
      <c r="I47" s="34" t="s">
        <v>19</v>
      </c>
      <c r="J47" s="34"/>
      <c r="K47" s="41">
        <v>45719</v>
      </c>
      <c r="L47" s="42">
        <v>1365000</v>
      </c>
      <c r="M47" s="43">
        <v>12</v>
      </c>
      <c r="N47" s="21" t="str">
        <f t="shared" si="0"/>
        <v/>
      </c>
      <c r="O47" s="22">
        <f t="shared" si="1"/>
        <v>46056</v>
      </c>
      <c r="P47" s="2"/>
    </row>
    <row r="48" spans="1:16" x14ac:dyDescent="0.25">
      <c r="A48" s="2">
        <f>SUBTOTAL(3,$B$2:B48)</f>
        <v>47</v>
      </c>
      <c r="B48" s="20">
        <v>46143</v>
      </c>
      <c r="C48" s="20" t="s">
        <v>44</v>
      </c>
      <c r="D48" s="2" t="s">
        <v>15</v>
      </c>
      <c r="E48" s="2" t="s">
        <v>24</v>
      </c>
      <c r="F48" s="2" t="s">
        <v>26</v>
      </c>
      <c r="G48" s="2" t="s">
        <v>18</v>
      </c>
      <c r="H48" s="34" t="s">
        <v>53</v>
      </c>
      <c r="I48" s="34" t="s">
        <v>19</v>
      </c>
      <c r="J48" s="34"/>
      <c r="K48" s="41">
        <v>45729</v>
      </c>
      <c r="L48" s="42">
        <v>1365000</v>
      </c>
      <c r="M48" s="43">
        <v>12</v>
      </c>
      <c r="N48" s="21" t="str">
        <f t="shared" si="0"/>
        <v/>
      </c>
      <c r="O48" s="22">
        <f t="shared" si="1"/>
        <v>46066</v>
      </c>
      <c r="P48" s="2"/>
    </row>
    <row r="49" spans="1:16" x14ac:dyDescent="0.25">
      <c r="A49" s="2">
        <f>SUBTOTAL(3,$B$2:B49)</f>
        <v>48</v>
      </c>
      <c r="B49" s="20">
        <v>46143</v>
      </c>
      <c r="C49" s="20" t="s">
        <v>44</v>
      </c>
      <c r="D49" s="2" t="s">
        <v>15</v>
      </c>
      <c r="E49" s="2" t="s">
        <v>24</v>
      </c>
      <c r="F49" s="2" t="s">
        <v>26</v>
      </c>
      <c r="G49" s="2" t="s">
        <v>18</v>
      </c>
      <c r="H49" s="34" t="s">
        <v>54</v>
      </c>
      <c r="I49" s="34" t="s">
        <v>19</v>
      </c>
      <c r="J49" s="34"/>
      <c r="K49" s="41">
        <v>45729</v>
      </c>
      <c r="L49" s="42">
        <v>1365000</v>
      </c>
      <c r="M49" s="43">
        <v>12</v>
      </c>
      <c r="N49" s="21" t="str">
        <f t="shared" si="0"/>
        <v/>
      </c>
      <c r="O49" s="22">
        <f t="shared" si="1"/>
        <v>46066</v>
      </c>
      <c r="P49" s="2"/>
    </row>
    <row r="50" spans="1:16" x14ac:dyDescent="0.25">
      <c r="A50" s="2">
        <f>SUBTOTAL(3,$B$2:B50)</f>
        <v>49</v>
      </c>
      <c r="B50" s="20">
        <v>46143</v>
      </c>
      <c r="C50" s="20" t="s">
        <v>44</v>
      </c>
      <c r="D50" s="2" t="s">
        <v>15</v>
      </c>
      <c r="E50" s="2" t="s">
        <v>24</v>
      </c>
      <c r="F50" s="2" t="s">
        <v>26</v>
      </c>
      <c r="G50" s="2" t="s">
        <v>18</v>
      </c>
      <c r="H50" s="34" t="s">
        <v>55</v>
      </c>
      <c r="I50" s="34" t="s">
        <v>19</v>
      </c>
      <c r="J50" s="34"/>
      <c r="K50" s="41">
        <v>45729</v>
      </c>
      <c r="L50" s="42">
        <v>1365000</v>
      </c>
      <c r="M50" s="43">
        <v>12</v>
      </c>
      <c r="N50" s="21" t="str">
        <f t="shared" si="0"/>
        <v/>
      </c>
      <c r="O50" s="22">
        <f t="shared" si="1"/>
        <v>46066</v>
      </c>
      <c r="P50" s="2"/>
    </row>
    <row r="51" spans="1:16" x14ac:dyDescent="0.25">
      <c r="A51" s="2">
        <f>SUBTOTAL(3,$B$2:B51)</f>
        <v>50</v>
      </c>
      <c r="B51" s="20">
        <v>46143</v>
      </c>
      <c r="C51" s="20" t="s">
        <v>44</v>
      </c>
      <c r="D51" s="2" t="s">
        <v>15</v>
      </c>
      <c r="E51" s="2" t="s">
        <v>24</v>
      </c>
      <c r="F51" s="2" t="s">
        <v>26</v>
      </c>
      <c r="G51" s="2" t="s">
        <v>18</v>
      </c>
      <c r="H51" s="34" t="s">
        <v>56</v>
      </c>
      <c r="I51" s="34" t="s">
        <v>19</v>
      </c>
      <c r="J51" s="34"/>
      <c r="K51" s="41">
        <v>45729</v>
      </c>
      <c r="L51" s="42">
        <v>1365000</v>
      </c>
      <c r="M51" s="43">
        <v>12</v>
      </c>
      <c r="N51" s="21" t="str">
        <f t="shared" si="0"/>
        <v/>
      </c>
      <c r="O51" s="22">
        <f t="shared" si="1"/>
        <v>46066</v>
      </c>
      <c r="P51" s="2"/>
    </row>
    <row r="52" spans="1:16" x14ac:dyDescent="0.25">
      <c r="A52" s="2">
        <f>SUBTOTAL(3,$B$2:B52)</f>
        <v>51</v>
      </c>
      <c r="B52" s="20">
        <v>46143</v>
      </c>
      <c r="C52" s="20" t="s">
        <v>44</v>
      </c>
      <c r="D52" s="2" t="s">
        <v>15</v>
      </c>
      <c r="E52" s="2" t="s">
        <v>24</v>
      </c>
      <c r="F52" s="2" t="s">
        <v>26</v>
      </c>
      <c r="G52" s="2" t="s">
        <v>18</v>
      </c>
      <c r="H52" s="34" t="s">
        <v>57</v>
      </c>
      <c r="I52" s="34" t="s">
        <v>19</v>
      </c>
      <c r="J52" s="34"/>
      <c r="K52" s="41">
        <v>45870</v>
      </c>
      <c r="L52" s="42">
        <v>1365000</v>
      </c>
      <c r="M52" s="43">
        <v>12</v>
      </c>
      <c r="N52" s="21">
        <f t="shared" si="0"/>
        <v>113750</v>
      </c>
      <c r="O52" s="22">
        <f t="shared" si="1"/>
        <v>46204</v>
      </c>
      <c r="P52" s="2"/>
    </row>
    <row r="53" spans="1:16" x14ac:dyDescent="0.25">
      <c r="A53" s="2">
        <f>SUBTOTAL(3,$B$2:B53)</f>
        <v>52</v>
      </c>
      <c r="B53" s="20">
        <v>46143</v>
      </c>
      <c r="C53" s="20" t="s">
        <v>44</v>
      </c>
      <c r="D53" s="2" t="s">
        <v>15</v>
      </c>
      <c r="E53" s="2" t="s">
        <v>24</v>
      </c>
      <c r="F53" s="2" t="s">
        <v>26</v>
      </c>
      <c r="G53" s="2" t="s">
        <v>18</v>
      </c>
      <c r="H53" s="34" t="s">
        <v>58</v>
      </c>
      <c r="I53" s="34" t="s">
        <v>19</v>
      </c>
      <c r="J53" s="34"/>
      <c r="K53" s="41">
        <v>45719</v>
      </c>
      <c r="L53" s="42">
        <v>1365000</v>
      </c>
      <c r="M53" s="43">
        <v>12</v>
      </c>
      <c r="N53" s="21" t="str">
        <f t="shared" si="0"/>
        <v/>
      </c>
      <c r="O53" s="22">
        <f t="shared" si="1"/>
        <v>46056</v>
      </c>
      <c r="P53" s="2"/>
    </row>
    <row r="54" spans="1:16" x14ac:dyDescent="0.25">
      <c r="A54" s="2">
        <f>SUBTOTAL(3,$B$2:B54)</f>
        <v>53</v>
      </c>
      <c r="B54" s="20">
        <v>46143</v>
      </c>
      <c r="C54" s="20" t="s">
        <v>44</v>
      </c>
      <c r="D54" s="2" t="s">
        <v>15</v>
      </c>
      <c r="E54" s="2" t="s">
        <v>22</v>
      </c>
      <c r="F54" s="2" t="s">
        <v>23</v>
      </c>
      <c r="G54" s="2" t="s">
        <v>18</v>
      </c>
      <c r="H54" s="34" t="s">
        <v>45</v>
      </c>
      <c r="I54" s="34" t="s">
        <v>19</v>
      </c>
      <c r="J54" s="34"/>
      <c r="K54" s="41">
        <v>45992</v>
      </c>
      <c r="L54" s="42">
        <v>2160000</v>
      </c>
      <c r="M54" s="43">
        <v>12</v>
      </c>
      <c r="N54" s="21">
        <f t="shared" si="0"/>
        <v>180000</v>
      </c>
      <c r="O54" s="22">
        <f t="shared" si="1"/>
        <v>46327</v>
      </c>
      <c r="P54" s="2"/>
    </row>
    <row r="55" spans="1:16" x14ac:dyDescent="0.25">
      <c r="A55" s="2">
        <f>SUBTOTAL(3,$B$2:B55)</f>
        <v>54</v>
      </c>
      <c r="B55" s="20">
        <v>46143</v>
      </c>
      <c r="C55" s="20" t="s">
        <v>44</v>
      </c>
      <c r="D55" s="2" t="s">
        <v>15</v>
      </c>
      <c r="E55" s="2" t="s">
        <v>22</v>
      </c>
      <c r="F55" s="2" t="s">
        <v>23</v>
      </c>
      <c r="G55" s="2" t="s">
        <v>18</v>
      </c>
      <c r="H55" s="34" t="s">
        <v>46</v>
      </c>
      <c r="I55" s="34" t="s">
        <v>19</v>
      </c>
      <c r="J55" s="34"/>
      <c r="K55" s="41">
        <v>45992</v>
      </c>
      <c r="L55" s="42">
        <v>2160000</v>
      </c>
      <c r="M55" s="43">
        <v>12</v>
      </c>
      <c r="N55" s="21">
        <f t="shared" si="0"/>
        <v>180000</v>
      </c>
      <c r="O55" s="22">
        <f t="shared" si="1"/>
        <v>46327</v>
      </c>
      <c r="P55" s="2"/>
    </row>
    <row r="56" spans="1:16" x14ac:dyDescent="0.25">
      <c r="A56" s="2">
        <f>SUBTOTAL(3,$B$2:B56)</f>
        <v>55</v>
      </c>
      <c r="B56" s="20">
        <v>46143</v>
      </c>
      <c r="C56" s="20" t="s">
        <v>44</v>
      </c>
      <c r="D56" s="2" t="s">
        <v>15</v>
      </c>
      <c r="E56" s="2" t="s">
        <v>22</v>
      </c>
      <c r="F56" s="2" t="s">
        <v>23</v>
      </c>
      <c r="G56" s="2" t="s">
        <v>18</v>
      </c>
      <c r="H56" s="34" t="s">
        <v>47</v>
      </c>
      <c r="I56" s="34" t="s">
        <v>19</v>
      </c>
      <c r="J56" s="34"/>
      <c r="K56" s="41">
        <v>45992</v>
      </c>
      <c r="L56" s="42">
        <v>2160000</v>
      </c>
      <c r="M56" s="43">
        <v>12</v>
      </c>
      <c r="N56" s="21">
        <f t="shared" si="0"/>
        <v>180000</v>
      </c>
      <c r="O56" s="22">
        <f t="shared" si="1"/>
        <v>46327</v>
      </c>
      <c r="P56" s="2"/>
    </row>
    <row r="57" spans="1:16" x14ac:dyDescent="0.25">
      <c r="A57" s="2">
        <f>SUBTOTAL(3,$B$2:B57)</f>
        <v>56</v>
      </c>
      <c r="B57" s="20">
        <v>46143</v>
      </c>
      <c r="C57" s="20" t="s">
        <v>44</v>
      </c>
      <c r="D57" s="2" t="s">
        <v>15</v>
      </c>
      <c r="E57" s="2" t="s">
        <v>22</v>
      </c>
      <c r="F57" s="2" t="s">
        <v>23</v>
      </c>
      <c r="G57" s="2" t="s">
        <v>18</v>
      </c>
      <c r="H57" s="34" t="s">
        <v>48</v>
      </c>
      <c r="I57" s="34" t="s">
        <v>19</v>
      </c>
      <c r="J57" s="34"/>
      <c r="K57" s="41">
        <v>45992</v>
      </c>
      <c r="L57" s="42">
        <v>2160000</v>
      </c>
      <c r="M57" s="43">
        <v>12</v>
      </c>
      <c r="N57" s="21">
        <f t="shared" si="0"/>
        <v>180000</v>
      </c>
      <c r="O57" s="22">
        <f t="shared" si="1"/>
        <v>46327</v>
      </c>
      <c r="P57" s="2"/>
    </row>
    <row r="58" spans="1:16" x14ac:dyDescent="0.25">
      <c r="A58" s="2">
        <f>SUBTOTAL(3,$B$2:B58)</f>
        <v>57</v>
      </c>
      <c r="B58" s="20">
        <v>46143</v>
      </c>
      <c r="C58" s="20" t="s">
        <v>44</v>
      </c>
      <c r="D58" s="2" t="s">
        <v>15</v>
      </c>
      <c r="E58" s="2" t="s">
        <v>22</v>
      </c>
      <c r="F58" s="2" t="s">
        <v>23</v>
      </c>
      <c r="G58" s="2" t="s">
        <v>18</v>
      </c>
      <c r="H58" s="34" t="s">
        <v>49</v>
      </c>
      <c r="I58" s="34" t="s">
        <v>19</v>
      </c>
      <c r="J58" s="34"/>
      <c r="K58" s="41">
        <v>45992</v>
      </c>
      <c r="L58" s="42">
        <v>2160000</v>
      </c>
      <c r="M58" s="43">
        <v>12</v>
      </c>
      <c r="N58" s="21">
        <f t="shared" si="0"/>
        <v>180000</v>
      </c>
      <c r="O58" s="22">
        <f t="shared" si="1"/>
        <v>46327</v>
      </c>
      <c r="P58" s="2"/>
    </row>
    <row r="59" spans="1:16" x14ac:dyDescent="0.25">
      <c r="A59" s="2">
        <f>SUBTOTAL(3,$B$2:B59)</f>
        <v>58</v>
      </c>
      <c r="B59" s="20">
        <v>46143</v>
      </c>
      <c r="C59" s="20" t="s">
        <v>44</v>
      </c>
      <c r="D59" s="2" t="s">
        <v>15</v>
      </c>
      <c r="E59" s="2" t="s">
        <v>22</v>
      </c>
      <c r="F59" s="2" t="s">
        <v>23</v>
      </c>
      <c r="G59" s="2" t="s">
        <v>18</v>
      </c>
      <c r="H59" s="34" t="s">
        <v>50</v>
      </c>
      <c r="I59" s="34" t="s">
        <v>19</v>
      </c>
      <c r="J59" s="34"/>
      <c r="K59" s="41">
        <v>45992</v>
      </c>
      <c r="L59" s="42">
        <v>2160000</v>
      </c>
      <c r="M59" s="43">
        <v>12</v>
      </c>
      <c r="N59" s="21">
        <f t="shared" si="0"/>
        <v>180000</v>
      </c>
      <c r="O59" s="22">
        <f t="shared" si="1"/>
        <v>46327</v>
      </c>
      <c r="P59" s="2"/>
    </row>
    <row r="60" spans="1:16" x14ac:dyDescent="0.25">
      <c r="A60" s="2">
        <f>SUBTOTAL(3,$B$2:B60)</f>
        <v>59</v>
      </c>
      <c r="B60" s="20">
        <v>46143</v>
      </c>
      <c r="C60" s="20" t="s">
        <v>44</v>
      </c>
      <c r="D60" s="2" t="s">
        <v>15</v>
      </c>
      <c r="E60" s="2" t="s">
        <v>22</v>
      </c>
      <c r="F60" s="2" t="s">
        <v>23</v>
      </c>
      <c r="G60" s="2" t="s">
        <v>18</v>
      </c>
      <c r="H60" s="34" t="s">
        <v>51</v>
      </c>
      <c r="I60" s="34" t="s">
        <v>19</v>
      </c>
      <c r="J60" s="34"/>
      <c r="K60" s="41">
        <v>45992</v>
      </c>
      <c r="L60" s="42">
        <v>2296000</v>
      </c>
      <c r="M60" s="43">
        <v>12</v>
      </c>
      <c r="N60" s="21">
        <f t="shared" si="0"/>
        <v>191333.33333333334</v>
      </c>
      <c r="O60" s="22">
        <f t="shared" si="1"/>
        <v>46327</v>
      </c>
      <c r="P60" s="2"/>
    </row>
    <row r="61" spans="1:16" x14ac:dyDescent="0.25">
      <c r="A61" s="2">
        <f>SUBTOTAL(3,$B$2:B61)</f>
        <v>60</v>
      </c>
      <c r="B61" s="20">
        <v>46143</v>
      </c>
      <c r="C61" s="20" t="s">
        <v>44</v>
      </c>
      <c r="D61" s="2" t="s">
        <v>15</v>
      </c>
      <c r="E61" s="2" t="s">
        <v>22</v>
      </c>
      <c r="F61" s="2" t="s">
        <v>23</v>
      </c>
      <c r="G61" s="2" t="s">
        <v>18</v>
      </c>
      <c r="H61" s="34" t="s">
        <v>52</v>
      </c>
      <c r="I61" s="34" t="s">
        <v>19</v>
      </c>
      <c r="J61" s="34"/>
      <c r="K61" s="41">
        <v>45992</v>
      </c>
      <c r="L61" s="42">
        <v>2296000</v>
      </c>
      <c r="M61" s="43">
        <v>12</v>
      </c>
      <c r="N61" s="21">
        <f t="shared" si="0"/>
        <v>191333.33333333334</v>
      </c>
      <c r="O61" s="22">
        <f t="shared" si="1"/>
        <v>46327</v>
      </c>
      <c r="P61" s="2"/>
    </row>
    <row r="62" spans="1:16" x14ac:dyDescent="0.25">
      <c r="A62" s="2">
        <f>SUBTOTAL(3,$B$2:B62)</f>
        <v>61</v>
      </c>
      <c r="B62" s="20">
        <v>46143</v>
      </c>
      <c r="C62" s="20" t="s">
        <v>44</v>
      </c>
      <c r="D62" s="2" t="s">
        <v>15</v>
      </c>
      <c r="E62" s="2" t="s">
        <v>22</v>
      </c>
      <c r="F62" s="2" t="s">
        <v>23</v>
      </c>
      <c r="G62" s="2" t="s">
        <v>18</v>
      </c>
      <c r="H62" s="34" t="s">
        <v>53</v>
      </c>
      <c r="I62" s="34" t="s">
        <v>19</v>
      </c>
      <c r="J62" s="34"/>
      <c r="K62" s="41">
        <v>45992</v>
      </c>
      <c r="L62" s="42">
        <v>2296000</v>
      </c>
      <c r="M62" s="43">
        <v>12</v>
      </c>
      <c r="N62" s="21">
        <f t="shared" si="0"/>
        <v>191333.33333333334</v>
      </c>
      <c r="O62" s="22">
        <f t="shared" si="1"/>
        <v>46327</v>
      </c>
      <c r="P62" s="2"/>
    </row>
    <row r="63" spans="1:16" x14ac:dyDescent="0.25">
      <c r="A63" s="2">
        <f>SUBTOTAL(3,$B$2:B63)</f>
        <v>62</v>
      </c>
      <c r="B63" s="20">
        <v>46143</v>
      </c>
      <c r="C63" s="20" t="s">
        <v>44</v>
      </c>
      <c r="D63" s="2" t="s">
        <v>15</v>
      </c>
      <c r="E63" s="2" t="s">
        <v>22</v>
      </c>
      <c r="F63" s="2" t="s">
        <v>23</v>
      </c>
      <c r="G63" s="2" t="s">
        <v>18</v>
      </c>
      <c r="H63" s="34" t="s">
        <v>54</v>
      </c>
      <c r="I63" s="34" t="s">
        <v>19</v>
      </c>
      <c r="J63" s="34"/>
      <c r="K63" s="41">
        <v>45992</v>
      </c>
      <c r="L63" s="42">
        <v>2296000</v>
      </c>
      <c r="M63" s="43">
        <v>12</v>
      </c>
      <c r="N63" s="21">
        <f t="shared" si="0"/>
        <v>191333.33333333334</v>
      </c>
      <c r="O63" s="22">
        <f t="shared" si="1"/>
        <v>46327</v>
      </c>
      <c r="P63" s="2"/>
    </row>
    <row r="64" spans="1:16" x14ac:dyDescent="0.25">
      <c r="A64" s="2">
        <f>SUBTOTAL(3,$B$2:B64)</f>
        <v>63</v>
      </c>
      <c r="B64" s="20">
        <v>46143</v>
      </c>
      <c r="C64" s="20" t="s">
        <v>44</v>
      </c>
      <c r="D64" s="2" t="s">
        <v>15</v>
      </c>
      <c r="E64" s="2" t="s">
        <v>22</v>
      </c>
      <c r="F64" s="2" t="s">
        <v>23</v>
      </c>
      <c r="G64" s="2" t="s">
        <v>18</v>
      </c>
      <c r="H64" s="34" t="s">
        <v>55</v>
      </c>
      <c r="I64" s="34" t="s">
        <v>19</v>
      </c>
      <c r="J64" s="34"/>
      <c r="K64" s="41">
        <v>45992</v>
      </c>
      <c r="L64" s="42">
        <v>2296000</v>
      </c>
      <c r="M64" s="43">
        <v>12</v>
      </c>
      <c r="N64" s="21">
        <f t="shared" si="0"/>
        <v>191333.33333333334</v>
      </c>
      <c r="O64" s="22">
        <f t="shared" si="1"/>
        <v>46327</v>
      </c>
      <c r="P64" s="2"/>
    </row>
    <row r="65" spans="1:16" x14ac:dyDescent="0.25">
      <c r="A65" s="2">
        <f>SUBTOTAL(3,$B$2:B65)</f>
        <v>64</v>
      </c>
      <c r="B65" s="20">
        <v>46143</v>
      </c>
      <c r="C65" s="20" t="s">
        <v>44</v>
      </c>
      <c r="D65" s="2" t="s">
        <v>15</v>
      </c>
      <c r="E65" s="2" t="s">
        <v>22</v>
      </c>
      <c r="F65" s="2" t="s">
        <v>23</v>
      </c>
      <c r="G65" s="2" t="s">
        <v>18</v>
      </c>
      <c r="H65" s="34" t="s">
        <v>56</v>
      </c>
      <c r="I65" s="34" t="s">
        <v>19</v>
      </c>
      <c r="J65" s="34"/>
      <c r="K65" s="41">
        <v>45992</v>
      </c>
      <c r="L65" s="42">
        <v>2296000</v>
      </c>
      <c r="M65" s="43">
        <v>12</v>
      </c>
      <c r="N65" s="21">
        <f t="shared" si="0"/>
        <v>191333.33333333334</v>
      </c>
      <c r="O65" s="22">
        <f t="shared" si="1"/>
        <v>46327</v>
      </c>
      <c r="P65" s="2"/>
    </row>
    <row r="66" spans="1:16" x14ac:dyDescent="0.25">
      <c r="A66" s="2">
        <f>SUBTOTAL(3,$B$2:B66)</f>
        <v>65</v>
      </c>
      <c r="B66" s="20">
        <v>46143</v>
      </c>
      <c r="C66" s="20" t="s">
        <v>44</v>
      </c>
      <c r="D66" s="2" t="s">
        <v>15</v>
      </c>
      <c r="E66" s="2" t="s">
        <v>22</v>
      </c>
      <c r="F66" s="2" t="s">
        <v>23</v>
      </c>
      <c r="G66" s="2" t="s">
        <v>18</v>
      </c>
      <c r="H66" s="34" t="s">
        <v>57</v>
      </c>
      <c r="I66" s="34" t="s">
        <v>19</v>
      </c>
      <c r="J66" s="34"/>
      <c r="K66" s="41">
        <v>45992</v>
      </c>
      <c r="L66" s="42">
        <v>2206000</v>
      </c>
      <c r="M66" s="43">
        <v>12</v>
      </c>
      <c r="N66" s="21">
        <f t="shared" ref="N66:N129" si="4">IF(B66&gt;O66,"",L66/M66)</f>
        <v>183833.33333333334</v>
      </c>
      <c r="O66" s="22">
        <f t="shared" ref="O66:O129" si="5">EDATE(K66, M66-1)</f>
        <v>46327</v>
      </c>
      <c r="P66" s="2"/>
    </row>
    <row r="67" spans="1:16" x14ac:dyDescent="0.25">
      <c r="A67" s="2">
        <f>SUBTOTAL(3,$B$2:B67)</f>
        <v>66</v>
      </c>
      <c r="B67" s="20">
        <v>46143</v>
      </c>
      <c r="C67" s="20" t="s">
        <v>44</v>
      </c>
      <c r="D67" s="2" t="s">
        <v>15</v>
      </c>
      <c r="E67" s="2" t="s">
        <v>24</v>
      </c>
      <c r="F67" s="2" t="s">
        <v>27</v>
      </c>
      <c r="G67" s="2" t="s">
        <v>18</v>
      </c>
      <c r="H67" s="34" t="s">
        <v>46</v>
      </c>
      <c r="I67" s="34" t="s">
        <v>19</v>
      </c>
      <c r="J67" s="34"/>
      <c r="K67" s="41">
        <v>46007</v>
      </c>
      <c r="L67" s="42">
        <v>750000</v>
      </c>
      <c r="M67" s="43">
        <v>12</v>
      </c>
      <c r="N67" s="21">
        <f t="shared" si="4"/>
        <v>62500</v>
      </c>
      <c r="O67" s="22">
        <f t="shared" si="5"/>
        <v>46342</v>
      </c>
      <c r="P67" s="2"/>
    </row>
    <row r="68" spans="1:16" x14ac:dyDescent="0.25">
      <c r="A68" s="2">
        <f>SUBTOTAL(3,$B$2:B68)</f>
        <v>67</v>
      </c>
      <c r="B68" s="20">
        <v>46143</v>
      </c>
      <c r="C68" s="20" t="s">
        <v>44</v>
      </c>
      <c r="D68" s="2" t="s">
        <v>15</v>
      </c>
      <c r="E68" s="2" t="s">
        <v>24</v>
      </c>
      <c r="F68" s="2" t="s">
        <v>27</v>
      </c>
      <c r="G68" s="2" t="s">
        <v>18</v>
      </c>
      <c r="H68" s="34" t="s">
        <v>47</v>
      </c>
      <c r="I68" s="34" t="s">
        <v>19</v>
      </c>
      <c r="J68" s="34"/>
      <c r="K68" s="41">
        <v>46007</v>
      </c>
      <c r="L68" s="42">
        <v>750000</v>
      </c>
      <c r="M68" s="43">
        <v>12</v>
      </c>
      <c r="N68" s="21">
        <f t="shared" si="4"/>
        <v>62500</v>
      </c>
      <c r="O68" s="22">
        <f t="shared" si="5"/>
        <v>46342</v>
      </c>
      <c r="P68" s="2"/>
    </row>
    <row r="69" spans="1:16" x14ac:dyDescent="0.25">
      <c r="A69" s="2">
        <f>SUBTOTAL(3,$B$2:B69)</f>
        <v>68</v>
      </c>
      <c r="B69" s="20">
        <v>46143</v>
      </c>
      <c r="C69" s="20" t="s">
        <v>44</v>
      </c>
      <c r="D69" s="2" t="s">
        <v>15</v>
      </c>
      <c r="E69" s="2" t="s">
        <v>24</v>
      </c>
      <c r="F69" s="2" t="s">
        <v>27</v>
      </c>
      <c r="G69" s="2" t="s">
        <v>18</v>
      </c>
      <c r="H69" s="34" t="s">
        <v>48</v>
      </c>
      <c r="I69" s="34" t="s">
        <v>19</v>
      </c>
      <c r="J69" s="34"/>
      <c r="K69" s="41">
        <v>46007</v>
      </c>
      <c r="L69" s="42">
        <v>750000</v>
      </c>
      <c r="M69" s="43">
        <v>12</v>
      </c>
      <c r="N69" s="21">
        <f t="shared" si="4"/>
        <v>62500</v>
      </c>
      <c r="O69" s="22">
        <f t="shared" si="5"/>
        <v>46342</v>
      </c>
      <c r="P69" s="2"/>
    </row>
    <row r="70" spans="1:16" x14ac:dyDescent="0.25">
      <c r="A70" s="2">
        <f>SUBTOTAL(3,$B$2:B70)</f>
        <v>69</v>
      </c>
      <c r="B70" s="20">
        <v>46143</v>
      </c>
      <c r="C70" s="20" t="s">
        <v>44</v>
      </c>
      <c r="D70" s="2" t="s">
        <v>15</v>
      </c>
      <c r="E70" s="2" t="s">
        <v>24</v>
      </c>
      <c r="F70" s="2" t="s">
        <v>27</v>
      </c>
      <c r="G70" s="2" t="s">
        <v>18</v>
      </c>
      <c r="H70" s="34" t="s">
        <v>49</v>
      </c>
      <c r="I70" s="34" t="s">
        <v>19</v>
      </c>
      <c r="J70" s="34"/>
      <c r="K70" s="41">
        <v>46030</v>
      </c>
      <c r="L70" s="42">
        <v>750000</v>
      </c>
      <c r="M70" s="43">
        <v>12</v>
      </c>
      <c r="N70" s="21">
        <f t="shared" si="4"/>
        <v>62500</v>
      </c>
      <c r="O70" s="22">
        <f t="shared" si="5"/>
        <v>46364</v>
      </c>
      <c r="P70" s="2"/>
    </row>
    <row r="71" spans="1:16" x14ac:dyDescent="0.25">
      <c r="A71" s="2">
        <f>SUBTOTAL(3,$B$2:B71)</f>
        <v>70</v>
      </c>
      <c r="B71" s="20">
        <v>46143</v>
      </c>
      <c r="C71" s="20" t="s">
        <v>44</v>
      </c>
      <c r="D71" s="2" t="s">
        <v>15</v>
      </c>
      <c r="E71" s="2" t="s">
        <v>24</v>
      </c>
      <c r="F71" s="2" t="s">
        <v>27</v>
      </c>
      <c r="G71" s="2" t="s">
        <v>18</v>
      </c>
      <c r="H71" s="34" t="s">
        <v>50</v>
      </c>
      <c r="I71" s="34" t="s">
        <v>19</v>
      </c>
      <c r="J71" s="34"/>
      <c r="K71" s="41">
        <v>46030</v>
      </c>
      <c r="L71" s="42">
        <v>750000</v>
      </c>
      <c r="M71" s="43">
        <v>12</v>
      </c>
      <c r="N71" s="21">
        <f t="shared" si="4"/>
        <v>62500</v>
      </c>
      <c r="O71" s="22">
        <f t="shared" si="5"/>
        <v>46364</v>
      </c>
      <c r="P71" s="2"/>
    </row>
    <row r="72" spans="1:16" x14ac:dyDescent="0.25">
      <c r="A72" s="2">
        <f>SUBTOTAL(3,$B$2:B72)</f>
        <v>71</v>
      </c>
      <c r="B72" s="20">
        <v>46143</v>
      </c>
      <c r="C72" s="20" t="s">
        <v>44</v>
      </c>
      <c r="D72" s="2" t="s">
        <v>15</v>
      </c>
      <c r="E72" s="2" t="s">
        <v>24</v>
      </c>
      <c r="F72" s="2" t="s">
        <v>59</v>
      </c>
      <c r="G72" s="2" t="s">
        <v>18</v>
      </c>
      <c r="H72" s="34"/>
      <c r="I72" s="34"/>
      <c r="J72" s="34"/>
      <c r="K72" s="41">
        <v>45827</v>
      </c>
      <c r="L72" s="42">
        <v>2500000</v>
      </c>
      <c r="M72" s="43">
        <v>12</v>
      </c>
      <c r="N72" s="21">
        <f t="shared" si="4"/>
        <v>208333.33333333334</v>
      </c>
      <c r="O72" s="22">
        <f t="shared" si="5"/>
        <v>46161</v>
      </c>
      <c r="P72" s="2"/>
    </row>
    <row r="73" spans="1:16" x14ac:dyDescent="0.25">
      <c r="A73" s="2">
        <f>SUBTOTAL(3,$B$2:B73)</f>
        <v>72</v>
      </c>
      <c r="B73" s="20">
        <v>46143</v>
      </c>
      <c r="C73" s="20" t="s">
        <v>44</v>
      </c>
      <c r="D73" s="2" t="s">
        <v>15</v>
      </c>
      <c r="E73" s="2" t="s">
        <v>28</v>
      </c>
      <c r="F73" s="2" t="s">
        <v>60</v>
      </c>
      <c r="G73" s="2" t="s">
        <v>18</v>
      </c>
      <c r="H73" s="34"/>
      <c r="I73" s="34"/>
      <c r="J73" s="34"/>
      <c r="K73" s="41">
        <v>45327</v>
      </c>
      <c r="L73" s="42">
        <v>2363636</v>
      </c>
      <c r="M73" s="43">
        <v>24</v>
      </c>
      <c r="N73" s="21" t="str">
        <f t="shared" si="4"/>
        <v/>
      </c>
      <c r="O73" s="22">
        <f t="shared" si="5"/>
        <v>46027</v>
      </c>
      <c r="P73" s="2"/>
    </row>
    <row r="74" spans="1:16" x14ac:dyDescent="0.25">
      <c r="A74" s="2">
        <f>SUBTOTAL(3,$B$2:B74)</f>
        <v>73</v>
      </c>
      <c r="B74" s="20">
        <v>46143</v>
      </c>
      <c r="C74" s="20" t="s">
        <v>44</v>
      </c>
      <c r="D74" s="2" t="s">
        <v>28</v>
      </c>
      <c r="E74" s="2" t="s">
        <v>28</v>
      </c>
      <c r="F74" s="2" t="s">
        <v>88</v>
      </c>
      <c r="G74" s="2" t="s">
        <v>18</v>
      </c>
      <c r="H74" s="34"/>
      <c r="I74" s="34"/>
      <c r="J74" s="34"/>
      <c r="K74" s="41">
        <v>45321</v>
      </c>
      <c r="L74" s="42">
        <v>5000000</v>
      </c>
      <c r="M74" s="43">
        <v>24</v>
      </c>
      <c r="N74" s="21" t="str">
        <f t="shared" si="4"/>
        <v/>
      </c>
      <c r="O74" s="22">
        <f t="shared" si="5"/>
        <v>46021</v>
      </c>
      <c r="P74" s="2"/>
    </row>
    <row r="75" spans="1:16" x14ac:dyDescent="0.25">
      <c r="A75" s="2">
        <f>SUBTOTAL(3,$B$2:B75)</f>
        <v>74</v>
      </c>
      <c r="B75" s="20">
        <v>46143</v>
      </c>
      <c r="C75" s="20" t="s">
        <v>44</v>
      </c>
      <c r="D75" s="2" t="s">
        <v>28</v>
      </c>
      <c r="E75" s="2" t="s">
        <v>28</v>
      </c>
      <c r="F75" s="2" t="s">
        <v>88</v>
      </c>
      <c r="G75" s="2" t="s">
        <v>18</v>
      </c>
      <c r="H75" s="34"/>
      <c r="I75" s="34"/>
      <c r="J75" s="34"/>
      <c r="K75" s="41">
        <v>45324</v>
      </c>
      <c r="L75" s="42">
        <v>5000000</v>
      </c>
      <c r="M75" s="43">
        <v>24</v>
      </c>
      <c r="N75" s="21" t="str">
        <f t="shared" si="4"/>
        <v/>
      </c>
      <c r="O75" s="22">
        <f t="shared" si="5"/>
        <v>46024</v>
      </c>
      <c r="P75" s="2"/>
    </row>
    <row r="76" spans="1:16" x14ac:dyDescent="0.25">
      <c r="A76" s="2">
        <f>SUBTOTAL(3,$B$2:B76)</f>
        <v>75</v>
      </c>
      <c r="B76" s="20">
        <v>46143</v>
      </c>
      <c r="C76" s="20" t="s">
        <v>44</v>
      </c>
      <c r="D76" s="2" t="s">
        <v>28</v>
      </c>
      <c r="E76" s="2" t="s">
        <v>28</v>
      </c>
      <c r="F76" s="2" t="s">
        <v>61</v>
      </c>
      <c r="G76" s="2" t="s">
        <v>18</v>
      </c>
      <c r="H76" s="34"/>
      <c r="I76" s="34"/>
      <c r="J76" s="34"/>
      <c r="K76" s="41">
        <v>45432</v>
      </c>
      <c r="L76" s="42">
        <v>10200000</v>
      </c>
      <c r="M76" s="43">
        <v>24</v>
      </c>
      <c r="N76" s="21" t="str">
        <f t="shared" si="4"/>
        <v/>
      </c>
      <c r="O76" s="22">
        <f t="shared" si="5"/>
        <v>46132</v>
      </c>
      <c r="P76" s="2"/>
    </row>
    <row r="77" spans="1:16" x14ac:dyDescent="0.25">
      <c r="A77" s="2">
        <f>SUBTOTAL(3,$B$2:B77)</f>
        <v>76</v>
      </c>
      <c r="B77" s="20">
        <v>46143</v>
      </c>
      <c r="C77" s="20" t="s">
        <v>44</v>
      </c>
      <c r="D77" s="2" t="s">
        <v>28</v>
      </c>
      <c r="E77" s="2" t="s">
        <v>28</v>
      </c>
      <c r="F77" s="2" t="s">
        <v>62</v>
      </c>
      <c r="G77" s="2" t="s">
        <v>18</v>
      </c>
      <c r="H77" s="34"/>
      <c r="I77" s="34"/>
      <c r="J77" s="34"/>
      <c r="K77" s="41">
        <v>45432</v>
      </c>
      <c r="L77" s="42">
        <v>3636364</v>
      </c>
      <c r="M77" s="43">
        <v>24</v>
      </c>
      <c r="N77" s="21" t="str">
        <f t="shared" si="4"/>
        <v/>
      </c>
      <c r="O77" s="22">
        <f t="shared" si="5"/>
        <v>46132</v>
      </c>
      <c r="P77" s="2"/>
    </row>
    <row r="78" spans="1:16" x14ac:dyDescent="0.25">
      <c r="A78" s="2">
        <f>SUBTOTAL(3,$B$2:B78)</f>
        <v>77</v>
      </c>
      <c r="B78" s="20">
        <v>46143</v>
      </c>
      <c r="C78" s="20" t="s">
        <v>44</v>
      </c>
      <c r="D78" s="2" t="s">
        <v>28</v>
      </c>
      <c r="E78" s="2" t="s">
        <v>28</v>
      </c>
      <c r="F78" s="2" t="s">
        <v>62</v>
      </c>
      <c r="G78" s="2" t="s">
        <v>18</v>
      </c>
      <c r="H78" s="34"/>
      <c r="I78" s="34"/>
      <c r="J78" s="34"/>
      <c r="K78" s="41">
        <v>45321</v>
      </c>
      <c r="L78" s="42">
        <v>3636364</v>
      </c>
      <c r="M78" s="43">
        <v>24</v>
      </c>
      <c r="N78" s="21" t="str">
        <f t="shared" si="4"/>
        <v/>
      </c>
      <c r="O78" s="22">
        <f t="shared" si="5"/>
        <v>46021</v>
      </c>
      <c r="P78" s="2"/>
    </row>
    <row r="79" spans="1:16" x14ac:dyDescent="0.25">
      <c r="A79" s="2">
        <f>SUBTOTAL(3,$B$2:B79)</f>
        <v>78</v>
      </c>
      <c r="B79" s="20">
        <v>46143</v>
      </c>
      <c r="C79" s="20" t="s">
        <v>44</v>
      </c>
      <c r="D79" s="2" t="s">
        <v>28</v>
      </c>
      <c r="E79" s="2" t="s">
        <v>28</v>
      </c>
      <c r="F79" s="48" t="s">
        <v>89</v>
      </c>
      <c r="G79" s="2" t="s">
        <v>18</v>
      </c>
      <c r="H79" s="34"/>
      <c r="I79" s="34"/>
      <c r="J79" s="34"/>
      <c r="K79" s="50">
        <v>46044</v>
      </c>
      <c r="L79" s="53">
        <v>3636364</v>
      </c>
      <c r="M79" s="43">
        <v>24</v>
      </c>
      <c r="N79" s="21">
        <f t="shared" ref="N79" si="6">IF(B79&gt;O79,"",L79/M79)</f>
        <v>151515.16666666666</v>
      </c>
      <c r="O79" s="22">
        <f t="shared" si="5"/>
        <v>46743</v>
      </c>
      <c r="P79" s="2"/>
    </row>
    <row r="80" spans="1:16" x14ac:dyDescent="0.25">
      <c r="A80" s="2">
        <f>SUBTOTAL(3,$B$2:B80)</f>
        <v>79</v>
      </c>
      <c r="B80" s="20">
        <v>46143</v>
      </c>
      <c r="C80" s="20" t="s">
        <v>44</v>
      </c>
      <c r="D80" s="2" t="s">
        <v>38</v>
      </c>
      <c r="E80" s="2" t="s">
        <v>39</v>
      </c>
      <c r="F80" s="2" t="s">
        <v>63</v>
      </c>
      <c r="G80" s="2" t="s">
        <v>35</v>
      </c>
      <c r="H80" s="34"/>
      <c r="I80" s="34"/>
      <c r="J80" s="34"/>
      <c r="K80" s="51">
        <v>46143</v>
      </c>
      <c r="L80" s="54">
        <v>150000</v>
      </c>
      <c r="M80" s="43">
        <v>1</v>
      </c>
      <c r="N80" s="21">
        <f t="shared" si="4"/>
        <v>150000</v>
      </c>
      <c r="O80" s="22">
        <f t="shared" si="5"/>
        <v>46143</v>
      </c>
      <c r="P80" s="2"/>
    </row>
    <row r="81" spans="1:16" x14ac:dyDescent="0.25">
      <c r="A81" s="2">
        <f>SUBTOTAL(3,$B$2:B81)</f>
        <v>80</v>
      </c>
      <c r="B81" s="20">
        <v>46143</v>
      </c>
      <c r="C81" s="20" t="s">
        <v>44</v>
      </c>
      <c r="D81" s="2" t="s">
        <v>38</v>
      </c>
      <c r="E81" s="2" t="s">
        <v>39</v>
      </c>
      <c r="F81" s="2" t="s">
        <v>64</v>
      </c>
      <c r="G81" s="2" t="s">
        <v>35</v>
      </c>
      <c r="H81" s="34"/>
      <c r="I81" s="34"/>
      <c r="J81" s="34"/>
      <c r="K81" s="51">
        <v>46143</v>
      </c>
      <c r="L81" s="54">
        <v>160000</v>
      </c>
      <c r="M81" s="43">
        <v>1</v>
      </c>
      <c r="N81" s="21">
        <f t="shared" si="4"/>
        <v>160000</v>
      </c>
      <c r="O81" s="22">
        <f t="shared" si="5"/>
        <v>46143</v>
      </c>
      <c r="P81" s="2"/>
    </row>
    <row r="82" spans="1:16" x14ac:dyDescent="0.25">
      <c r="A82" s="2">
        <f>SUBTOTAL(3,$B$2:B82)</f>
        <v>81</v>
      </c>
      <c r="B82" s="20">
        <v>46143</v>
      </c>
      <c r="C82" s="20" t="s">
        <v>44</v>
      </c>
      <c r="D82" s="2" t="s">
        <v>29</v>
      </c>
      <c r="E82" s="2" t="s">
        <v>30</v>
      </c>
      <c r="F82" s="2" t="s">
        <v>33</v>
      </c>
      <c r="G82" s="2" t="s">
        <v>65</v>
      </c>
      <c r="H82" s="34" t="s">
        <v>45</v>
      </c>
      <c r="I82" s="34" t="s">
        <v>19</v>
      </c>
      <c r="J82" s="63">
        <v>6634</v>
      </c>
      <c r="K82" s="51">
        <v>46143</v>
      </c>
      <c r="L82" s="53">
        <f>J82*SUMIFS('Đơn giá SCBD'!F:F,'Đơn giá SCBD'!A:A,'Chi tiết T4'!F82,'Đơn giá SCBD'!B:B,'Chi tiết T4'!I82)</f>
        <v>768940.9085883334</v>
      </c>
      <c r="M82" s="43">
        <v>1</v>
      </c>
      <c r="N82" s="21">
        <f t="shared" si="4"/>
        <v>768940.9085883334</v>
      </c>
      <c r="O82" s="22">
        <f t="shared" si="5"/>
        <v>46143</v>
      </c>
      <c r="P82" s="2"/>
    </row>
    <row r="83" spans="1:16" x14ac:dyDescent="0.25">
      <c r="A83" s="2">
        <f>SUBTOTAL(3,$B$2:B83)</f>
        <v>82</v>
      </c>
      <c r="B83" s="20">
        <v>46143</v>
      </c>
      <c r="C83" s="20" t="s">
        <v>44</v>
      </c>
      <c r="D83" s="2" t="s">
        <v>29</v>
      </c>
      <c r="E83" s="2" t="s">
        <v>30</v>
      </c>
      <c r="F83" s="2" t="s">
        <v>33</v>
      </c>
      <c r="G83" s="2" t="s">
        <v>65</v>
      </c>
      <c r="H83" s="34" t="s">
        <v>46</v>
      </c>
      <c r="I83" s="34" t="s">
        <v>19</v>
      </c>
      <c r="J83" s="63">
        <v>5266</v>
      </c>
      <c r="K83" s="51">
        <v>46143</v>
      </c>
      <c r="L83" s="53">
        <f>J83*SUMIFS('Đơn giá SCBD'!F:F,'Đơn giá SCBD'!A:A,'Chi tiết T4'!F83,'Đơn giá SCBD'!B:B,'Chi tiết T4'!I83)</f>
        <v>610377.27232833335</v>
      </c>
      <c r="M83" s="43">
        <v>1</v>
      </c>
      <c r="N83" s="21">
        <f t="shared" si="4"/>
        <v>610377.27232833335</v>
      </c>
      <c r="O83" s="22">
        <f t="shared" si="5"/>
        <v>46143</v>
      </c>
      <c r="P83" s="2"/>
    </row>
    <row r="84" spans="1:16" x14ac:dyDescent="0.25">
      <c r="A84" s="2">
        <f>SUBTOTAL(3,$B$2:B84)</f>
        <v>83</v>
      </c>
      <c r="B84" s="20">
        <v>46143</v>
      </c>
      <c r="C84" s="20" t="s">
        <v>44</v>
      </c>
      <c r="D84" s="2" t="s">
        <v>29</v>
      </c>
      <c r="E84" s="2" t="s">
        <v>30</v>
      </c>
      <c r="F84" s="2" t="s">
        <v>33</v>
      </c>
      <c r="G84" s="2" t="s">
        <v>65</v>
      </c>
      <c r="H84" s="34" t="s">
        <v>47</v>
      </c>
      <c r="I84" s="34" t="s">
        <v>19</v>
      </c>
      <c r="J84" s="63">
        <v>3400</v>
      </c>
      <c r="K84" s="51">
        <v>46143</v>
      </c>
      <c r="L84" s="53">
        <f>J84*SUMIFS('Đơn giá SCBD'!F:F,'Đơn giá SCBD'!A:A,'Chi tiết T4'!F84,'Đơn giá SCBD'!B:B,'Chi tiết T4'!I84)</f>
        <v>394090.90883333335</v>
      </c>
      <c r="M84" s="43">
        <v>1</v>
      </c>
      <c r="N84" s="21">
        <f t="shared" si="4"/>
        <v>394090.90883333335</v>
      </c>
      <c r="O84" s="22">
        <f t="shared" si="5"/>
        <v>46143</v>
      </c>
      <c r="P84" s="2"/>
    </row>
    <row r="85" spans="1:16" x14ac:dyDescent="0.25">
      <c r="A85" s="2">
        <f>SUBTOTAL(3,$B$2:B85)</f>
        <v>84</v>
      </c>
      <c r="B85" s="20">
        <v>46143</v>
      </c>
      <c r="C85" s="20" t="s">
        <v>44</v>
      </c>
      <c r="D85" s="2" t="s">
        <v>29</v>
      </c>
      <c r="E85" s="2" t="s">
        <v>30</v>
      </c>
      <c r="F85" s="2" t="s">
        <v>33</v>
      </c>
      <c r="G85" s="2" t="s">
        <v>65</v>
      </c>
      <c r="H85" s="34" t="s">
        <v>48</v>
      </c>
      <c r="I85" s="34" t="s">
        <v>19</v>
      </c>
      <c r="J85" s="63">
        <v>4784</v>
      </c>
      <c r="K85" s="51">
        <v>46143</v>
      </c>
      <c r="L85" s="53">
        <f>J85*SUMIFS('Đơn giá SCBD'!F:F,'Đơn giá SCBD'!A:A,'Chi tiết T4'!F85,'Đơn giá SCBD'!B:B,'Chi tiết T4'!I85)</f>
        <v>554509.09054666664</v>
      </c>
      <c r="M85" s="43">
        <v>1</v>
      </c>
      <c r="N85" s="21">
        <f t="shared" si="4"/>
        <v>554509.09054666664</v>
      </c>
      <c r="O85" s="22">
        <f t="shared" si="5"/>
        <v>46143</v>
      </c>
      <c r="P85" s="2"/>
    </row>
    <row r="86" spans="1:16" x14ac:dyDescent="0.25">
      <c r="A86" s="2">
        <f>SUBTOTAL(3,$B$2:B86)</f>
        <v>85</v>
      </c>
      <c r="B86" s="20">
        <v>46143</v>
      </c>
      <c r="C86" s="20" t="s">
        <v>44</v>
      </c>
      <c r="D86" s="2" t="s">
        <v>29</v>
      </c>
      <c r="E86" s="2" t="s">
        <v>30</v>
      </c>
      <c r="F86" s="2" t="s">
        <v>33</v>
      </c>
      <c r="G86" s="2" t="s">
        <v>65</v>
      </c>
      <c r="H86" s="34" t="s">
        <v>49</v>
      </c>
      <c r="I86" s="34" t="s">
        <v>19</v>
      </c>
      <c r="J86" s="63">
        <v>5645</v>
      </c>
      <c r="K86" s="51">
        <v>46143</v>
      </c>
      <c r="L86" s="53">
        <f>J86*SUMIFS('Đơn giá SCBD'!F:F,'Đơn giá SCBD'!A:A,'Chi tiết T4'!F86,'Đơn giá SCBD'!B:B,'Chi tiết T4'!I86)</f>
        <v>654306.81775416667</v>
      </c>
      <c r="M86" s="43">
        <v>1</v>
      </c>
      <c r="N86" s="21">
        <f t="shared" si="4"/>
        <v>654306.81775416667</v>
      </c>
      <c r="O86" s="22">
        <f t="shared" si="5"/>
        <v>46143</v>
      </c>
      <c r="P86" s="2"/>
    </row>
    <row r="87" spans="1:16" x14ac:dyDescent="0.25">
      <c r="A87" s="2">
        <f>SUBTOTAL(3,$B$2:B87)</f>
        <v>86</v>
      </c>
      <c r="B87" s="20">
        <v>46143</v>
      </c>
      <c r="C87" s="20" t="s">
        <v>44</v>
      </c>
      <c r="D87" s="2" t="s">
        <v>29</v>
      </c>
      <c r="E87" s="2" t="s">
        <v>30</v>
      </c>
      <c r="F87" s="2" t="s">
        <v>33</v>
      </c>
      <c r="G87" s="2" t="s">
        <v>65</v>
      </c>
      <c r="H87" s="34" t="s">
        <v>50</v>
      </c>
      <c r="I87" s="34" t="s">
        <v>19</v>
      </c>
      <c r="J87" s="63">
        <v>4632</v>
      </c>
      <c r="K87" s="51">
        <v>46143</v>
      </c>
      <c r="L87" s="53">
        <f>J87*SUMIFS('Đơn giá SCBD'!F:F,'Đơn giá SCBD'!A:A,'Chi tiết T4'!F87,'Đơn giá SCBD'!B:B,'Chi tiết T4'!I87)</f>
        <v>536890.90873999998</v>
      </c>
      <c r="M87" s="43">
        <v>1</v>
      </c>
      <c r="N87" s="21">
        <f t="shared" si="4"/>
        <v>536890.90873999998</v>
      </c>
      <c r="O87" s="22">
        <f t="shared" si="5"/>
        <v>46143</v>
      </c>
      <c r="P87" s="2"/>
    </row>
    <row r="88" spans="1:16" x14ac:dyDescent="0.25">
      <c r="A88" s="2">
        <f>SUBTOTAL(3,$B$2:B88)</f>
        <v>87</v>
      </c>
      <c r="B88" s="20">
        <v>46143</v>
      </c>
      <c r="C88" s="20" t="s">
        <v>44</v>
      </c>
      <c r="D88" s="2" t="s">
        <v>29</v>
      </c>
      <c r="E88" s="2" t="s">
        <v>30</v>
      </c>
      <c r="F88" s="2" t="s">
        <v>33</v>
      </c>
      <c r="G88" s="2" t="s">
        <v>65</v>
      </c>
      <c r="H88" s="34" t="s">
        <v>51</v>
      </c>
      <c r="I88" s="34" t="s">
        <v>19</v>
      </c>
      <c r="J88" s="63">
        <v>4952</v>
      </c>
      <c r="K88" s="51">
        <v>46143</v>
      </c>
      <c r="L88" s="53">
        <f>J88*SUMIFS('Đơn giá SCBD'!F:F,'Đơn giá SCBD'!A:A,'Chi tiết T4'!F88,'Đơn giá SCBD'!B:B,'Chi tiết T4'!I88)</f>
        <v>573981.81780666672</v>
      </c>
      <c r="M88" s="43">
        <v>1</v>
      </c>
      <c r="N88" s="21">
        <f t="shared" si="4"/>
        <v>573981.81780666672</v>
      </c>
      <c r="O88" s="22">
        <f t="shared" si="5"/>
        <v>46143</v>
      </c>
      <c r="P88" s="2"/>
    </row>
    <row r="89" spans="1:16" x14ac:dyDescent="0.25">
      <c r="A89" s="2">
        <f>SUBTOTAL(3,$B$2:B89)</f>
        <v>88</v>
      </c>
      <c r="B89" s="20">
        <v>46143</v>
      </c>
      <c r="C89" s="20" t="s">
        <v>44</v>
      </c>
      <c r="D89" s="2" t="s">
        <v>29</v>
      </c>
      <c r="E89" s="2" t="s">
        <v>30</v>
      </c>
      <c r="F89" s="2" t="s">
        <v>33</v>
      </c>
      <c r="G89" s="2" t="s">
        <v>65</v>
      </c>
      <c r="H89" s="34" t="s">
        <v>52</v>
      </c>
      <c r="I89" s="34" t="s">
        <v>19</v>
      </c>
      <c r="J89" s="63">
        <v>4934</v>
      </c>
      <c r="K89" s="51">
        <v>46143</v>
      </c>
      <c r="L89" s="53">
        <f>J89*SUMIFS('Đơn giá SCBD'!F:F,'Đơn giá SCBD'!A:A,'Chi tiết T4'!F89,'Đơn giá SCBD'!B:B,'Chi tiết T4'!I89)</f>
        <v>571895.45417166664</v>
      </c>
      <c r="M89" s="43">
        <v>1</v>
      </c>
      <c r="N89" s="21">
        <f t="shared" si="4"/>
        <v>571895.45417166664</v>
      </c>
      <c r="O89" s="22">
        <f t="shared" si="5"/>
        <v>46143</v>
      </c>
      <c r="P89" s="2"/>
    </row>
    <row r="90" spans="1:16" x14ac:dyDescent="0.25">
      <c r="A90" s="2">
        <f>SUBTOTAL(3,$B$2:B90)</f>
        <v>89</v>
      </c>
      <c r="B90" s="20">
        <v>46143</v>
      </c>
      <c r="C90" s="20" t="s">
        <v>44</v>
      </c>
      <c r="D90" s="2" t="s">
        <v>29</v>
      </c>
      <c r="E90" s="2" t="s">
        <v>30</v>
      </c>
      <c r="F90" s="2" t="s">
        <v>33</v>
      </c>
      <c r="G90" s="2" t="s">
        <v>65</v>
      </c>
      <c r="H90" s="34" t="s">
        <v>53</v>
      </c>
      <c r="I90" s="34" t="s">
        <v>19</v>
      </c>
      <c r="J90" s="63">
        <v>4963</v>
      </c>
      <c r="K90" s="51">
        <v>46143</v>
      </c>
      <c r="L90" s="53">
        <f>J90*SUMIFS('Đơn giá SCBD'!F:F,'Đơn giá SCBD'!A:A,'Chi tiết T4'!F90,'Đơn giá SCBD'!B:B,'Chi tiết T4'!I90)</f>
        <v>575256.8178058333</v>
      </c>
      <c r="M90" s="43">
        <v>1</v>
      </c>
      <c r="N90" s="21">
        <f t="shared" si="4"/>
        <v>575256.8178058333</v>
      </c>
      <c r="O90" s="22">
        <f t="shared" si="5"/>
        <v>46143</v>
      </c>
      <c r="P90" s="2"/>
    </row>
    <row r="91" spans="1:16" x14ac:dyDescent="0.25">
      <c r="A91" s="2">
        <f>SUBTOTAL(3,$B$2:B91)</f>
        <v>90</v>
      </c>
      <c r="B91" s="20">
        <v>46143</v>
      </c>
      <c r="C91" s="20" t="s">
        <v>44</v>
      </c>
      <c r="D91" s="2" t="s">
        <v>29</v>
      </c>
      <c r="E91" s="2" t="s">
        <v>30</v>
      </c>
      <c r="F91" s="2" t="s">
        <v>33</v>
      </c>
      <c r="G91" s="2" t="s">
        <v>65</v>
      </c>
      <c r="H91" s="34" t="s">
        <v>54</v>
      </c>
      <c r="I91" s="34" t="s">
        <v>19</v>
      </c>
      <c r="J91" s="63">
        <v>5096</v>
      </c>
      <c r="K91" s="51">
        <v>46143</v>
      </c>
      <c r="L91" s="53">
        <f>J91*SUMIFS('Đơn giá SCBD'!F:F,'Đơn giá SCBD'!A:A,'Chi tiết T4'!F91,'Đơn giá SCBD'!B:B,'Chi tiết T4'!I91)</f>
        <v>590672.72688666673</v>
      </c>
      <c r="M91" s="43">
        <v>1</v>
      </c>
      <c r="N91" s="21">
        <f t="shared" si="4"/>
        <v>590672.72688666673</v>
      </c>
      <c r="O91" s="22">
        <f t="shared" si="5"/>
        <v>46143</v>
      </c>
      <c r="P91" s="2"/>
    </row>
    <row r="92" spans="1:16" x14ac:dyDescent="0.25">
      <c r="A92" s="2">
        <f>SUBTOTAL(3,$B$2:B92)</f>
        <v>91</v>
      </c>
      <c r="B92" s="20">
        <v>46143</v>
      </c>
      <c r="C92" s="20" t="s">
        <v>44</v>
      </c>
      <c r="D92" s="2" t="s">
        <v>29</v>
      </c>
      <c r="E92" s="2" t="s">
        <v>30</v>
      </c>
      <c r="F92" s="2" t="s">
        <v>33</v>
      </c>
      <c r="G92" s="2" t="s">
        <v>65</v>
      </c>
      <c r="H92" s="34" t="s">
        <v>55</v>
      </c>
      <c r="I92" s="34" t="s">
        <v>19</v>
      </c>
      <c r="J92" s="63">
        <v>4690</v>
      </c>
      <c r="K92" s="51">
        <v>46143</v>
      </c>
      <c r="L92" s="53">
        <f>J92*SUMIFS('Đơn giá SCBD'!F:F,'Đơn giá SCBD'!A:A,'Chi tiết T4'!F92,'Đơn giá SCBD'!B:B,'Chi tiết T4'!I92)</f>
        <v>543613.6360083333</v>
      </c>
      <c r="M92" s="43">
        <v>1</v>
      </c>
      <c r="N92" s="21">
        <f t="shared" si="4"/>
        <v>543613.6360083333</v>
      </c>
      <c r="O92" s="22">
        <f t="shared" si="5"/>
        <v>46143</v>
      </c>
      <c r="P92" s="2"/>
    </row>
    <row r="93" spans="1:16" x14ac:dyDescent="0.25">
      <c r="A93" s="2">
        <f>SUBTOTAL(3,$B$2:B93)</f>
        <v>92</v>
      </c>
      <c r="B93" s="20">
        <v>46143</v>
      </c>
      <c r="C93" s="20" t="s">
        <v>44</v>
      </c>
      <c r="D93" s="2" t="s">
        <v>29</v>
      </c>
      <c r="E93" s="2" t="s">
        <v>30</v>
      </c>
      <c r="F93" s="2" t="s">
        <v>33</v>
      </c>
      <c r="G93" s="2" t="s">
        <v>65</v>
      </c>
      <c r="H93" s="34" t="s">
        <v>56</v>
      </c>
      <c r="I93" s="34" t="s">
        <v>19</v>
      </c>
      <c r="J93" s="63">
        <v>5465</v>
      </c>
      <c r="K93" s="51">
        <v>46143</v>
      </c>
      <c r="L93" s="53">
        <f>J93*SUMIFS('Đơn giá SCBD'!F:F,'Đơn giá SCBD'!A:A,'Chi tiết T4'!F93,'Đơn giá SCBD'!B:B,'Chi tiết T4'!I93)</f>
        <v>633443.18140416674</v>
      </c>
      <c r="M93" s="43">
        <v>1</v>
      </c>
      <c r="N93" s="21">
        <f t="shared" si="4"/>
        <v>633443.18140416674</v>
      </c>
      <c r="O93" s="22">
        <f t="shared" si="5"/>
        <v>46143</v>
      </c>
      <c r="P93" s="2"/>
    </row>
    <row r="94" spans="1:16" x14ac:dyDescent="0.25">
      <c r="A94" s="2">
        <f>SUBTOTAL(3,$B$2:B94)</f>
        <v>93</v>
      </c>
      <c r="B94" s="20">
        <v>46143</v>
      </c>
      <c r="C94" s="20" t="s">
        <v>44</v>
      </c>
      <c r="D94" s="2" t="s">
        <v>29</v>
      </c>
      <c r="E94" s="2" t="s">
        <v>30</v>
      </c>
      <c r="F94" s="2" t="s">
        <v>33</v>
      </c>
      <c r="G94" s="2" t="s">
        <v>65</v>
      </c>
      <c r="H94" s="34" t="s">
        <v>57</v>
      </c>
      <c r="I94" s="34" t="s">
        <v>19</v>
      </c>
      <c r="J94" s="63">
        <v>1217</v>
      </c>
      <c r="K94" s="51">
        <v>46143</v>
      </c>
      <c r="L94" s="53">
        <f>J94*SUMIFS('Đơn giá SCBD'!F:F,'Đơn giá SCBD'!A:A,'Chi tiết T4'!F94,'Đơn giá SCBD'!B:B,'Chi tiết T4'!I94)</f>
        <v>141061.36354416667</v>
      </c>
      <c r="M94" s="43">
        <v>1</v>
      </c>
      <c r="N94" s="21">
        <f t="shared" si="4"/>
        <v>141061.36354416667</v>
      </c>
      <c r="O94" s="22">
        <f t="shared" si="5"/>
        <v>46143</v>
      </c>
      <c r="P94" s="2"/>
    </row>
    <row r="95" spans="1:16" x14ac:dyDescent="0.25">
      <c r="A95" s="2">
        <f>SUBTOTAL(3,$B$2:B95)</f>
        <v>94</v>
      </c>
      <c r="B95" s="20">
        <v>46143</v>
      </c>
      <c r="C95" s="20" t="s">
        <v>44</v>
      </c>
      <c r="D95" s="2" t="s">
        <v>29</v>
      </c>
      <c r="E95" s="2" t="s">
        <v>30</v>
      </c>
      <c r="F95" s="2" t="s">
        <v>31</v>
      </c>
      <c r="G95" s="2" t="s">
        <v>65</v>
      </c>
      <c r="H95" s="34" t="s">
        <v>45</v>
      </c>
      <c r="I95" s="34" t="s">
        <v>19</v>
      </c>
      <c r="J95" s="63">
        <v>6634</v>
      </c>
      <c r="K95" s="51">
        <v>46143</v>
      </c>
      <c r="L95" s="53">
        <f>J95*SUMIFS('Đơn giá SCBD'!F:F,'Đơn giá SCBD'!A:A,'Chi tiết T4'!F95,'Đơn giá SCBD'!B:B,'Chi tiết T4'!I95)</f>
        <v>1194120</v>
      </c>
      <c r="M95" s="43">
        <v>1</v>
      </c>
      <c r="N95" s="21">
        <f t="shared" si="4"/>
        <v>1194120</v>
      </c>
      <c r="O95" s="22">
        <f t="shared" si="5"/>
        <v>46143</v>
      </c>
      <c r="P95" s="2"/>
    </row>
    <row r="96" spans="1:16" x14ac:dyDescent="0.25">
      <c r="A96" s="2">
        <f>SUBTOTAL(3,$B$2:B96)</f>
        <v>95</v>
      </c>
      <c r="B96" s="20">
        <v>46143</v>
      </c>
      <c r="C96" s="20" t="s">
        <v>44</v>
      </c>
      <c r="D96" s="2" t="s">
        <v>29</v>
      </c>
      <c r="E96" s="2" t="s">
        <v>30</v>
      </c>
      <c r="F96" s="2" t="s">
        <v>31</v>
      </c>
      <c r="G96" s="2" t="s">
        <v>65</v>
      </c>
      <c r="H96" s="34" t="s">
        <v>46</v>
      </c>
      <c r="I96" s="34" t="s">
        <v>19</v>
      </c>
      <c r="J96" s="63">
        <v>5266</v>
      </c>
      <c r="K96" s="51">
        <v>46143</v>
      </c>
      <c r="L96" s="53">
        <f>J96*SUMIFS('Đơn giá SCBD'!F:F,'Đơn giá SCBD'!A:A,'Chi tiết T4'!F96,'Đơn giá SCBD'!B:B,'Chi tiết T4'!I96)</f>
        <v>947880</v>
      </c>
      <c r="M96" s="43">
        <v>1</v>
      </c>
      <c r="N96" s="21">
        <f t="shared" si="4"/>
        <v>947880</v>
      </c>
      <c r="O96" s="22">
        <f t="shared" si="5"/>
        <v>46143</v>
      </c>
      <c r="P96" s="2"/>
    </row>
    <row r="97" spans="1:16" x14ac:dyDescent="0.25">
      <c r="A97" s="2">
        <f>SUBTOTAL(3,$B$2:B97)</f>
        <v>96</v>
      </c>
      <c r="B97" s="20">
        <v>46143</v>
      </c>
      <c r="C97" s="20" t="s">
        <v>44</v>
      </c>
      <c r="D97" s="2" t="s">
        <v>29</v>
      </c>
      <c r="E97" s="2" t="s">
        <v>30</v>
      </c>
      <c r="F97" s="2" t="s">
        <v>31</v>
      </c>
      <c r="G97" s="2" t="s">
        <v>65</v>
      </c>
      <c r="H97" s="34" t="s">
        <v>47</v>
      </c>
      <c r="I97" s="34" t="s">
        <v>19</v>
      </c>
      <c r="J97" s="63">
        <v>3400</v>
      </c>
      <c r="K97" s="51">
        <v>46143</v>
      </c>
      <c r="L97" s="53">
        <f>J97*SUMIFS('Đơn giá SCBD'!F:F,'Đơn giá SCBD'!A:A,'Chi tiết T4'!F97,'Đơn giá SCBD'!B:B,'Chi tiết T4'!I97)</f>
        <v>612000</v>
      </c>
      <c r="M97" s="43">
        <v>1</v>
      </c>
      <c r="N97" s="21">
        <f t="shared" si="4"/>
        <v>612000</v>
      </c>
      <c r="O97" s="22">
        <f t="shared" si="5"/>
        <v>46143</v>
      </c>
      <c r="P97" s="2"/>
    </row>
    <row r="98" spans="1:16" x14ac:dyDescent="0.25">
      <c r="A98" s="2">
        <f>SUBTOTAL(3,$B$2:B98)</f>
        <v>97</v>
      </c>
      <c r="B98" s="20">
        <v>46143</v>
      </c>
      <c r="C98" s="20" t="s">
        <v>44</v>
      </c>
      <c r="D98" s="2" t="s">
        <v>29</v>
      </c>
      <c r="E98" s="2" t="s">
        <v>30</v>
      </c>
      <c r="F98" s="2" t="s">
        <v>31</v>
      </c>
      <c r="G98" s="2" t="s">
        <v>65</v>
      </c>
      <c r="H98" s="34" t="s">
        <v>48</v>
      </c>
      <c r="I98" s="34" t="s">
        <v>19</v>
      </c>
      <c r="J98" s="63">
        <v>4784</v>
      </c>
      <c r="K98" s="51">
        <v>46143</v>
      </c>
      <c r="L98" s="53">
        <f>J98*SUMIFS('Đơn giá SCBD'!F:F,'Đơn giá SCBD'!A:A,'Chi tiết T4'!F98,'Đơn giá SCBD'!B:B,'Chi tiết T4'!I98)</f>
        <v>861120</v>
      </c>
      <c r="M98" s="43">
        <v>1</v>
      </c>
      <c r="N98" s="21">
        <f t="shared" si="4"/>
        <v>861120</v>
      </c>
      <c r="O98" s="22">
        <f t="shared" si="5"/>
        <v>46143</v>
      </c>
      <c r="P98" s="2"/>
    </row>
    <row r="99" spans="1:16" x14ac:dyDescent="0.25">
      <c r="A99" s="2">
        <f>SUBTOTAL(3,$B$2:B99)</f>
        <v>98</v>
      </c>
      <c r="B99" s="20">
        <v>46143</v>
      </c>
      <c r="C99" s="20" t="s">
        <v>44</v>
      </c>
      <c r="D99" s="2" t="s">
        <v>29</v>
      </c>
      <c r="E99" s="2" t="s">
        <v>30</v>
      </c>
      <c r="F99" s="2" t="s">
        <v>31</v>
      </c>
      <c r="G99" s="2" t="s">
        <v>65</v>
      </c>
      <c r="H99" s="34" t="s">
        <v>49</v>
      </c>
      <c r="I99" s="34" t="s">
        <v>19</v>
      </c>
      <c r="J99" s="63">
        <v>5645</v>
      </c>
      <c r="K99" s="51">
        <v>46143</v>
      </c>
      <c r="L99" s="53">
        <f>J99*SUMIFS('Đơn giá SCBD'!F:F,'Đơn giá SCBD'!A:A,'Chi tiết T4'!F99,'Đơn giá SCBD'!B:B,'Chi tiết T4'!I99)</f>
        <v>1016100</v>
      </c>
      <c r="M99" s="43">
        <v>1</v>
      </c>
      <c r="N99" s="21">
        <f t="shared" si="4"/>
        <v>1016100</v>
      </c>
      <c r="O99" s="22">
        <f t="shared" si="5"/>
        <v>46143</v>
      </c>
      <c r="P99" s="2"/>
    </row>
    <row r="100" spans="1:16" x14ac:dyDescent="0.25">
      <c r="A100" s="2">
        <f>SUBTOTAL(3,$B$2:B100)</f>
        <v>99</v>
      </c>
      <c r="B100" s="20">
        <v>46143</v>
      </c>
      <c r="C100" s="20" t="s">
        <v>44</v>
      </c>
      <c r="D100" s="2" t="s">
        <v>29</v>
      </c>
      <c r="E100" s="2" t="s">
        <v>30</v>
      </c>
      <c r="F100" s="2" t="s">
        <v>31</v>
      </c>
      <c r="G100" s="2" t="s">
        <v>65</v>
      </c>
      <c r="H100" s="34" t="s">
        <v>50</v>
      </c>
      <c r="I100" s="34" t="s">
        <v>19</v>
      </c>
      <c r="J100" s="63">
        <v>4632</v>
      </c>
      <c r="K100" s="51">
        <v>46143</v>
      </c>
      <c r="L100" s="53">
        <f>J100*SUMIFS('Đơn giá SCBD'!F:F,'Đơn giá SCBD'!A:A,'Chi tiết T4'!F100,'Đơn giá SCBD'!B:B,'Chi tiết T4'!I100)</f>
        <v>833760</v>
      </c>
      <c r="M100" s="43">
        <v>1</v>
      </c>
      <c r="N100" s="21">
        <f t="shared" si="4"/>
        <v>833760</v>
      </c>
      <c r="O100" s="22">
        <f t="shared" si="5"/>
        <v>46143</v>
      </c>
      <c r="P100" s="2"/>
    </row>
    <row r="101" spans="1:16" x14ac:dyDescent="0.25">
      <c r="A101" s="2">
        <f>SUBTOTAL(3,$B$2:B101)</f>
        <v>100</v>
      </c>
      <c r="B101" s="20">
        <v>46143</v>
      </c>
      <c r="C101" s="20" t="s">
        <v>44</v>
      </c>
      <c r="D101" s="2" t="s">
        <v>29</v>
      </c>
      <c r="E101" s="2" t="s">
        <v>30</v>
      </c>
      <c r="F101" s="2" t="s">
        <v>31</v>
      </c>
      <c r="G101" s="2" t="s">
        <v>65</v>
      </c>
      <c r="H101" s="34" t="s">
        <v>51</v>
      </c>
      <c r="I101" s="34" t="s">
        <v>19</v>
      </c>
      <c r="J101" s="63">
        <v>4952</v>
      </c>
      <c r="K101" s="51">
        <v>46143</v>
      </c>
      <c r="L101" s="53">
        <f>J101*SUMIFS('Đơn giá SCBD'!F:F,'Đơn giá SCBD'!A:A,'Chi tiết T4'!F101,'Đơn giá SCBD'!B:B,'Chi tiết T4'!I101)</f>
        <v>891360</v>
      </c>
      <c r="M101" s="43">
        <v>1</v>
      </c>
      <c r="N101" s="21">
        <f t="shared" si="4"/>
        <v>891360</v>
      </c>
      <c r="O101" s="22">
        <f t="shared" si="5"/>
        <v>46143</v>
      </c>
      <c r="P101" s="2"/>
    </row>
    <row r="102" spans="1:16" x14ac:dyDescent="0.25">
      <c r="A102" s="2">
        <f>SUBTOTAL(3,$B$2:B102)</f>
        <v>101</v>
      </c>
      <c r="B102" s="20">
        <v>46143</v>
      </c>
      <c r="C102" s="20" t="s">
        <v>44</v>
      </c>
      <c r="D102" s="2" t="s">
        <v>29</v>
      </c>
      <c r="E102" s="2" t="s">
        <v>30</v>
      </c>
      <c r="F102" s="2" t="s">
        <v>31</v>
      </c>
      <c r="G102" s="2" t="s">
        <v>65</v>
      </c>
      <c r="H102" s="34" t="s">
        <v>52</v>
      </c>
      <c r="I102" s="34" t="s">
        <v>19</v>
      </c>
      <c r="J102" s="63">
        <v>4934</v>
      </c>
      <c r="K102" s="51">
        <v>46143</v>
      </c>
      <c r="L102" s="53">
        <f>J102*SUMIFS('Đơn giá SCBD'!F:F,'Đơn giá SCBD'!A:A,'Chi tiết T4'!F102,'Đơn giá SCBD'!B:B,'Chi tiết T4'!I102)</f>
        <v>888120</v>
      </c>
      <c r="M102" s="43">
        <v>1</v>
      </c>
      <c r="N102" s="21">
        <f t="shared" si="4"/>
        <v>888120</v>
      </c>
      <c r="O102" s="22">
        <f t="shared" si="5"/>
        <v>46143</v>
      </c>
      <c r="P102" s="2"/>
    </row>
    <row r="103" spans="1:16" x14ac:dyDescent="0.25">
      <c r="A103" s="2">
        <f>SUBTOTAL(3,$B$2:B103)</f>
        <v>102</v>
      </c>
      <c r="B103" s="20">
        <v>46143</v>
      </c>
      <c r="C103" s="20" t="s">
        <v>44</v>
      </c>
      <c r="D103" s="2" t="s">
        <v>29</v>
      </c>
      <c r="E103" s="2" t="s">
        <v>30</v>
      </c>
      <c r="F103" s="2" t="s">
        <v>31</v>
      </c>
      <c r="G103" s="2" t="s">
        <v>65</v>
      </c>
      <c r="H103" s="34" t="s">
        <v>53</v>
      </c>
      <c r="I103" s="34" t="s">
        <v>19</v>
      </c>
      <c r="J103" s="63">
        <v>4963</v>
      </c>
      <c r="K103" s="51">
        <v>46143</v>
      </c>
      <c r="L103" s="53">
        <f>J103*SUMIFS('Đơn giá SCBD'!F:F,'Đơn giá SCBD'!A:A,'Chi tiết T4'!F103,'Đơn giá SCBD'!B:B,'Chi tiết T4'!I103)</f>
        <v>893340</v>
      </c>
      <c r="M103" s="43">
        <v>1</v>
      </c>
      <c r="N103" s="21">
        <f t="shared" si="4"/>
        <v>893340</v>
      </c>
      <c r="O103" s="22">
        <f t="shared" si="5"/>
        <v>46143</v>
      </c>
      <c r="P103" s="2"/>
    </row>
    <row r="104" spans="1:16" x14ac:dyDescent="0.25">
      <c r="A104" s="2">
        <f>SUBTOTAL(3,$B$2:B104)</f>
        <v>103</v>
      </c>
      <c r="B104" s="20">
        <v>46143</v>
      </c>
      <c r="C104" s="20" t="s">
        <v>44</v>
      </c>
      <c r="D104" s="2" t="s">
        <v>29</v>
      </c>
      <c r="E104" s="2" t="s">
        <v>30</v>
      </c>
      <c r="F104" s="2" t="s">
        <v>31</v>
      </c>
      <c r="G104" s="2" t="s">
        <v>65</v>
      </c>
      <c r="H104" s="34" t="s">
        <v>54</v>
      </c>
      <c r="I104" s="34" t="s">
        <v>19</v>
      </c>
      <c r="J104" s="63">
        <v>5096</v>
      </c>
      <c r="K104" s="51">
        <v>46143</v>
      </c>
      <c r="L104" s="53">
        <f>J104*SUMIFS('Đơn giá SCBD'!F:F,'Đơn giá SCBD'!A:A,'Chi tiết T4'!F104,'Đơn giá SCBD'!B:B,'Chi tiết T4'!I104)</f>
        <v>917280</v>
      </c>
      <c r="M104" s="43">
        <v>1</v>
      </c>
      <c r="N104" s="21">
        <f t="shared" si="4"/>
        <v>917280</v>
      </c>
      <c r="O104" s="22">
        <f t="shared" si="5"/>
        <v>46143</v>
      </c>
      <c r="P104" s="2"/>
    </row>
    <row r="105" spans="1:16" x14ac:dyDescent="0.25">
      <c r="A105" s="2">
        <f>SUBTOTAL(3,$B$2:B105)</f>
        <v>104</v>
      </c>
      <c r="B105" s="20">
        <v>46143</v>
      </c>
      <c r="C105" s="20" t="s">
        <v>44</v>
      </c>
      <c r="D105" s="2" t="s">
        <v>29</v>
      </c>
      <c r="E105" s="2" t="s">
        <v>30</v>
      </c>
      <c r="F105" s="2" t="s">
        <v>31</v>
      </c>
      <c r="G105" s="2" t="s">
        <v>65</v>
      </c>
      <c r="H105" s="34" t="s">
        <v>55</v>
      </c>
      <c r="I105" s="34" t="s">
        <v>19</v>
      </c>
      <c r="J105" s="63">
        <v>4690</v>
      </c>
      <c r="K105" s="51">
        <v>46143</v>
      </c>
      <c r="L105" s="53">
        <f>J105*SUMIFS('Đơn giá SCBD'!F:F,'Đơn giá SCBD'!A:A,'Chi tiết T4'!F105,'Đơn giá SCBD'!B:B,'Chi tiết T4'!I105)</f>
        <v>844200</v>
      </c>
      <c r="M105" s="43">
        <v>1</v>
      </c>
      <c r="N105" s="21">
        <f t="shared" si="4"/>
        <v>844200</v>
      </c>
      <c r="O105" s="22">
        <f t="shared" si="5"/>
        <v>46143</v>
      </c>
      <c r="P105" s="2"/>
    </row>
    <row r="106" spans="1:16" x14ac:dyDescent="0.25">
      <c r="A106" s="2">
        <f>SUBTOTAL(3,$B$2:B106)</f>
        <v>105</v>
      </c>
      <c r="B106" s="20">
        <v>46143</v>
      </c>
      <c r="C106" s="20" t="s">
        <v>44</v>
      </c>
      <c r="D106" s="2" t="s">
        <v>29</v>
      </c>
      <c r="E106" s="2" t="s">
        <v>30</v>
      </c>
      <c r="F106" s="2" t="s">
        <v>31</v>
      </c>
      <c r="G106" s="2" t="s">
        <v>65</v>
      </c>
      <c r="H106" s="34" t="s">
        <v>56</v>
      </c>
      <c r="I106" s="34" t="s">
        <v>19</v>
      </c>
      <c r="J106" s="63">
        <v>5465</v>
      </c>
      <c r="K106" s="51">
        <v>46143</v>
      </c>
      <c r="L106" s="53">
        <f>J106*SUMIFS('Đơn giá SCBD'!F:F,'Đơn giá SCBD'!A:A,'Chi tiết T4'!F106,'Đơn giá SCBD'!B:B,'Chi tiết T4'!I106)</f>
        <v>983700</v>
      </c>
      <c r="M106" s="43">
        <v>1</v>
      </c>
      <c r="N106" s="21">
        <f t="shared" si="4"/>
        <v>983700</v>
      </c>
      <c r="O106" s="22">
        <f t="shared" si="5"/>
        <v>46143</v>
      </c>
      <c r="P106" s="2"/>
    </row>
    <row r="107" spans="1:16" x14ac:dyDescent="0.25">
      <c r="A107" s="2">
        <f>SUBTOTAL(3,$B$2:B107)</f>
        <v>106</v>
      </c>
      <c r="B107" s="20">
        <v>46143</v>
      </c>
      <c r="C107" s="20" t="s">
        <v>44</v>
      </c>
      <c r="D107" s="2" t="s">
        <v>29</v>
      </c>
      <c r="E107" s="2" t="s">
        <v>30</v>
      </c>
      <c r="F107" s="2" t="s">
        <v>31</v>
      </c>
      <c r="G107" s="2" t="s">
        <v>65</v>
      </c>
      <c r="H107" s="34" t="s">
        <v>57</v>
      </c>
      <c r="I107" s="34" t="s">
        <v>19</v>
      </c>
      <c r="J107" s="63">
        <v>1217</v>
      </c>
      <c r="K107" s="51">
        <v>46143</v>
      </c>
      <c r="L107" s="53">
        <f>J107*SUMIFS('Đơn giá SCBD'!F:F,'Đơn giá SCBD'!A:A,'Chi tiết T4'!F107,'Đơn giá SCBD'!B:B,'Chi tiết T4'!I107)</f>
        <v>219060</v>
      </c>
      <c r="M107" s="43">
        <v>1</v>
      </c>
      <c r="N107" s="21">
        <f t="shared" si="4"/>
        <v>219060</v>
      </c>
      <c r="O107" s="22">
        <f t="shared" si="5"/>
        <v>46143</v>
      </c>
      <c r="P107" s="2"/>
    </row>
    <row r="108" spans="1:16" x14ac:dyDescent="0.25">
      <c r="A108" s="2">
        <f>SUBTOTAL(3,$B$2:B108)</f>
        <v>107</v>
      </c>
      <c r="B108" s="20">
        <v>46143</v>
      </c>
      <c r="C108" s="20" t="s">
        <v>44</v>
      </c>
      <c r="D108" s="2" t="s">
        <v>29</v>
      </c>
      <c r="E108" s="2" t="s">
        <v>30</v>
      </c>
      <c r="F108" s="2" t="s">
        <v>32</v>
      </c>
      <c r="G108" s="2" t="s">
        <v>65</v>
      </c>
      <c r="H108" s="34" t="s">
        <v>45</v>
      </c>
      <c r="I108" s="34" t="s">
        <v>19</v>
      </c>
      <c r="J108" s="63">
        <v>6634</v>
      </c>
      <c r="K108" s="51">
        <v>46143</v>
      </c>
      <c r="L108" s="53">
        <f>J108*SUMIFS('Đơn giá SCBD'!F:F,'Đơn giá SCBD'!A:A,'Chi tiết T4'!F108,'Đơn giá SCBD'!B:B,'Chi tiết T4'!I108)</f>
        <v>122729</v>
      </c>
      <c r="M108" s="43">
        <v>1</v>
      </c>
      <c r="N108" s="21">
        <f t="shared" si="4"/>
        <v>122729</v>
      </c>
      <c r="O108" s="22">
        <f t="shared" si="5"/>
        <v>46143</v>
      </c>
      <c r="P108" s="2"/>
    </row>
    <row r="109" spans="1:16" x14ac:dyDescent="0.25">
      <c r="A109" s="2">
        <f>SUBTOTAL(3,$B$2:B109)</f>
        <v>108</v>
      </c>
      <c r="B109" s="20">
        <v>46143</v>
      </c>
      <c r="C109" s="20" t="s">
        <v>44</v>
      </c>
      <c r="D109" s="2" t="s">
        <v>29</v>
      </c>
      <c r="E109" s="2" t="s">
        <v>30</v>
      </c>
      <c r="F109" s="2" t="s">
        <v>32</v>
      </c>
      <c r="G109" s="2" t="s">
        <v>65</v>
      </c>
      <c r="H109" s="34" t="s">
        <v>46</v>
      </c>
      <c r="I109" s="34" t="s">
        <v>19</v>
      </c>
      <c r="J109" s="63">
        <v>5266</v>
      </c>
      <c r="K109" s="51">
        <v>46143</v>
      </c>
      <c r="L109" s="53">
        <f>J109*SUMIFS('Đơn giá SCBD'!F:F,'Đơn giá SCBD'!A:A,'Chi tiết T4'!F109,'Đơn giá SCBD'!B:B,'Chi tiết T4'!I109)</f>
        <v>97421</v>
      </c>
      <c r="M109" s="43">
        <v>1</v>
      </c>
      <c r="N109" s="21">
        <f t="shared" si="4"/>
        <v>97421</v>
      </c>
      <c r="O109" s="22">
        <f t="shared" si="5"/>
        <v>46143</v>
      </c>
      <c r="P109" s="2"/>
    </row>
    <row r="110" spans="1:16" x14ac:dyDescent="0.25">
      <c r="A110" s="2">
        <f>SUBTOTAL(3,$B$2:B110)</f>
        <v>109</v>
      </c>
      <c r="B110" s="20">
        <v>46143</v>
      </c>
      <c r="C110" s="20" t="s">
        <v>44</v>
      </c>
      <c r="D110" s="2" t="s">
        <v>29</v>
      </c>
      <c r="E110" s="2" t="s">
        <v>30</v>
      </c>
      <c r="F110" s="2" t="s">
        <v>32</v>
      </c>
      <c r="G110" s="2" t="s">
        <v>65</v>
      </c>
      <c r="H110" s="34" t="s">
        <v>47</v>
      </c>
      <c r="I110" s="34" t="s">
        <v>19</v>
      </c>
      <c r="J110" s="63">
        <v>3400</v>
      </c>
      <c r="K110" s="51">
        <v>46143</v>
      </c>
      <c r="L110" s="53">
        <f>J110*SUMIFS('Đơn giá SCBD'!F:F,'Đơn giá SCBD'!A:A,'Chi tiết T4'!F110,'Đơn giá SCBD'!B:B,'Chi tiết T4'!I110)</f>
        <v>62900</v>
      </c>
      <c r="M110" s="43">
        <v>1</v>
      </c>
      <c r="N110" s="21">
        <f t="shared" si="4"/>
        <v>62900</v>
      </c>
      <c r="O110" s="22">
        <f t="shared" si="5"/>
        <v>46143</v>
      </c>
      <c r="P110" s="2"/>
    </row>
    <row r="111" spans="1:16" x14ac:dyDescent="0.25">
      <c r="A111" s="2">
        <f>SUBTOTAL(3,$B$2:B111)</f>
        <v>110</v>
      </c>
      <c r="B111" s="20">
        <v>46143</v>
      </c>
      <c r="C111" s="20" t="s">
        <v>44</v>
      </c>
      <c r="D111" s="2" t="s">
        <v>29</v>
      </c>
      <c r="E111" s="2" t="s">
        <v>30</v>
      </c>
      <c r="F111" s="2" t="s">
        <v>32</v>
      </c>
      <c r="G111" s="2" t="s">
        <v>65</v>
      </c>
      <c r="H111" s="34" t="s">
        <v>48</v>
      </c>
      <c r="I111" s="34" t="s">
        <v>19</v>
      </c>
      <c r="J111" s="63">
        <v>4784</v>
      </c>
      <c r="K111" s="51">
        <v>46143</v>
      </c>
      <c r="L111" s="53">
        <f>J111*SUMIFS('Đơn giá SCBD'!F:F,'Đơn giá SCBD'!A:A,'Chi tiết T4'!F111,'Đơn giá SCBD'!B:B,'Chi tiết T4'!I111)</f>
        <v>88504</v>
      </c>
      <c r="M111" s="43">
        <v>1</v>
      </c>
      <c r="N111" s="21">
        <f t="shared" si="4"/>
        <v>88504</v>
      </c>
      <c r="O111" s="22">
        <f t="shared" si="5"/>
        <v>46143</v>
      </c>
      <c r="P111" s="2"/>
    </row>
    <row r="112" spans="1:16" x14ac:dyDescent="0.25">
      <c r="A112" s="2">
        <f>SUBTOTAL(3,$B$2:B112)</f>
        <v>111</v>
      </c>
      <c r="B112" s="20">
        <v>46143</v>
      </c>
      <c r="C112" s="20" t="s">
        <v>44</v>
      </c>
      <c r="D112" s="2" t="s">
        <v>29</v>
      </c>
      <c r="E112" s="2" t="s">
        <v>30</v>
      </c>
      <c r="F112" s="2" t="s">
        <v>32</v>
      </c>
      <c r="G112" s="2" t="s">
        <v>65</v>
      </c>
      <c r="H112" s="34" t="s">
        <v>49</v>
      </c>
      <c r="I112" s="34" t="s">
        <v>19</v>
      </c>
      <c r="J112" s="63">
        <v>5645</v>
      </c>
      <c r="K112" s="51">
        <v>46143</v>
      </c>
      <c r="L112" s="53">
        <f>J112*SUMIFS('Đơn giá SCBD'!F:F,'Đơn giá SCBD'!A:A,'Chi tiết T4'!F112,'Đơn giá SCBD'!B:B,'Chi tiết T4'!I112)</f>
        <v>104432.5</v>
      </c>
      <c r="M112" s="43">
        <v>1</v>
      </c>
      <c r="N112" s="21">
        <f t="shared" si="4"/>
        <v>104432.5</v>
      </c>
      <c r="O112" s="22">
        <f t="shared" si="5"/>
        <v>46143</v>
      </c>
      <c r="P112" s="2"/>
    </row>
    <row r="113" spans="1:18" x14ac:dyDescent="0.25">
      <c r="A113" s="2">
        <f>SUBTOTAL(3,$B$2:B113)</f>
        <v>112</v>
      </c>
      <c r="B113" s="20">
        <v>46143</v>
      </c>
      <c r="C113" s="20" t="s">
        <v>44</v>
      </c>
      <c r="D113" s="2" t="s">
        <v>29</v>
      </c>
      <c r="E113" s="2" t="s">
        <v>30</v>
      </c>
      <c r="F113" s="2" t="s">
        <v>32</v>
      </c>
      <c r="G113" s="2" t="s">
        <v>65</v>
      </c>
      <c r="H113" s="34" t="s">
        <v>50</v>
      </c>
      <c r="I113" s="34" t="s">
        <v>19</v>
      </c>
      <c r="J113" s="63">
        <v>4632</v>
      </c>
      <c r="K113" s="51">
        <v>46143</v>
      </c>
      <c r="L113" s="53">
        <f>J113*SUMIFS('Đơn giá SCBD'!F:F,'Đơn giá SCBD'!A:A,'Chi tiết T4'!F113,'Đơn giá SCBD'!B:B,'Chi tiết T4'!I113)</f>
        <v>85692</v>
      </c>
      <c r="M113" s="43">
        <v>1</v>
      </c>
      <c r="N113" s="21">
        <f t="shared" si="4"/>
        <v>85692</v>
      </c>
      <c r="O113" s="22">
        <f t="shared" si="5"/>
        <v>46143</v>
      </c>
      <c r="P113" s="2"/>
    </row>
    <row r="114" spans="1:18" x14ac:dyDescent="0.25">
      <c r="A114" s="2">
        <f>SUBTOTAL(3,$B$2:B114)</f>
        <v>113</v>
      </c>
      <c r="B114" s="20">
        <v>46143</v>
      </c>
      <c r="C114" s="20" t="s">
        <v>44</v>
      </c>
      <c r="D114" s="2" t="s">
        <v>29</v>
      </c>
      <c r="E114" s="2" t="s">
        <v>30</v>
      </c>
      <c r="F114" s="2" t="s">
        <v>32</v>
      </c>
      <c r="G114" s="2" t="s">
        <v>65</v>
      </c>
      <c r="H114" s="34" t="s">
        <v>51</v>
      </c>
      <c r="I114" s="34" t="s">
        <v>19</v>
      </c>
      <c r="J114" s="63">
        <v>4952</v>
      </c>
      <c r="K114" s="51">
        <v>46143</v>
      </c>
      <c r="L114" s="53">
        <f>J114*SUMIFS('Đơn giá SCBD'!F:F,'Đơn giá SCBD'!A:A,'Chi tiết T4'!F114,'Đơn giá SCBD'!B:B,'Chi tiết T4'!I114)</f>
        <v>91612</v>
      </c>
      <c r="M114" s="43">
        <v>1</v>
      </c>
      <c r="N114" s="21">
        <f t="shared" si="4"/>
        <v>91612</v>
      </c>
      <c r="O114" s="22">
        <f t="shared" si="5"/>
        <v>46143</v>
      </c>
      <c r="P114" s="2"/>
    </row>
    <row r="115" spans="1:18" x14ac:dyDescent="0.25">
      <c r="A115" s="2">
        <f>SUBTOTAL(3,$B$2:B115)</f>
        <v>114</v>
      </c>
      <c r="B115" s="20">
        <v>46143</v>
      </c>
      <c r="C115" s="20" t="s">
        <v>44</v>
      </c>
      <c r="D115" s="2" t="s">
        <v>29</v>
      </c>
      <c r="E115" s="2" t="s">
        <v>30</v>
      </c>
      <c r="F115" s="2" t="s">
        <v>32</v>
      </c>
      <c r="G115" s="2" t="s">
        <v>65</v>
      </c>
      <c r="H115" s="34" t="s">
        <v>52</v>
      </c>
      <c r="I115" s="34" t="s">
        <v>19</v>
      </c>
      <c r="J115" s="63">
        <v>4934</v>
      </c>
      <c r="K115" s="51">
        <v>46143</v>
      </c>
      <c r="L115" s="53">
        <f>J115*SUMIFS('Đơn giá SCBD'!F:F,'Đơn giá SCBD'!A:A,'Chi tiết T4'!F115,'Đơn giá SCBD'!B:B,'Chi tiết T4'!I115)</f>
        <v>91279</v>
      </c>
      <c r="M115" s="43">
        <v>1</v>
      </c>
      <c r="N115" s="21">
        <f t="shared" si="4"/>
        <v>91279</v>
      </c>
      <c r="O115" s="22">
        <f t="shared" si="5"/>
        <v>46143</v>
      </c>
      <c r="P115" s="2"/>
    </row>
    <row r="116" spans="1:18" x14ac:dyDescent="0.25">
      <c r="A116" s="2">
        <f>SUBTOTAL(3,$B$2:B116)</f>
        <v>115</v>
      </c>
      <c r="B116" s="20">
        <v>46143</v>
      </c>
      <c r="C116" s="20" t="s">
        <v>44</v>
      </c>
      <c r="D116" s="2" t="s">
        <v>29</v>
      </c>
      <c r="E116" s="2" t="s">
        <v>30</v>
      </c>
      <c r="F116" s="2" t="s">
        <v>32</v>
      </c>
      <c r="G116" s="2" t="s">
        <v>65</v>
      </c>
      <c r="H116" s="34" t="s">
        <v>53</v>
      </c>
      <c r="I116" s="34" t="s">
        <v>19</v>
      </c>
      <c r="J116" s="63">
        <v>4963</v>
      </c>
      <c r="K116" s="51">
        <v>46143</v>
      </c>
      <c r="L116" s="53">
        <f>J116*SUMIFS('Đơn giá SCBD'!F:F,'Đơn giá SCBD'!A:A,'Chi tiết T4'!F116,'Đơn giá SCBD'!B:B,'Chi tiết T4'!I116)</f>
        <v>91815.5</v>
      </c>
      <c r="M116" s="43">
        <v>1</v>
      </c>
      <c r="N116" s="21">
        <f t="shared" si="4"/>
        <v>91815.5</v>
      </c>
      <c r="O116" s="22">
        <f t="shared" si="5"/>
        <v>46143</v>
      </c>
      <c r="P116" s="2"/>
    </row>
    <row r="117" spans="1:18" x14ac:dyDescent="0.25">
      <c r="A117" s="2">
        <f>SUBTOTAL(3,$B$2:B117)</f>
        <v>116</v>
      </c>
      <c r="B117" s="20">
        <v>46143</v>
      </c>
      <c r="C117" s="20" t="s">
        <v>44</v>
      </c>
      <c r="D117" s="2" t="s">
        <v>29</v>
      </c>
      <c r="E117" s="2" t="s">
        <v>30</v>
      </c>
      <c r="F117" s="2" t="s">
        <v>32</v>
      </c>
      <c r="G117" s="2" t="s">
        <v>65</v>
      </c>
      <c r="H117" s="34" t="s">
        <v>54</v>
      </c>
      <c r="I117" s="34" t="s">
        <v>19</v>
      </c>
      <c r="J117" s="63">
        <v>5096</v>
      </c>
      <c r="K117" s="51">
        <v>46143</v>
      </c>
      <c r="L117" s="53">
        <f>J117*SUMIFS('Đơn giá SCBD'!F:F,'Đơn giá SCBD'!A:A,'Chi tiết T4'!F117,'Đơn giá SCBD'!B:B,'Chi tiết T4'!I117)</f>
        <v>94276</v>
      </c>
      <c r="M117" s="43">
        <v>1</v>
      </c>
      <c r="N117" s="21">
        <f t="shared" si="4"/>
        <v>94276</v>
      </c>
      <c r="O117" s="22">
        <f t="shared" si="5"/>
        <v>46143</v>
      </c>
      <c r="P117" s="2"/>
    </row>
    <row r="118" spans="1:18" x14ac:dyDescent="0.25">
      <c r="A118" s="2">
        <f>SUBTOTAL(3,$B$2:B118)</f>
        <v>117</v>
      </c>
      <c r="B118" s="20">
        <v>46143</v>
      </c>
      <c r="C118" s="20" t="s">
        <v>44</v>
      </c>
      <c r="D118" s="2" t="s">
        <v>29</v>
      </c>
      <c r="E118" s="2" t="s">
        <v>30</v>
      </c>
      <c r="F118" s="2" t="s">
        <v>32</v>
      </c>
      <c r="G118" s="2" t="s">
        <v>65</v>
      </c>
      <c r="H118" s="34" t="s">
        <v>55</v>
      </c>
      <c r="I118" s="34" t="s">
        <v>19</v>
      </c>
      <c r="J118" s="63">
        <v>4690</v>
      </c>
      <c r="K118" s="51">
        <v>46143</v>
      </c>
      <c r="L118" s="53">
        <f>J118*SUMIFS('Đơn giá SCBD'!F:F,'Đơn giá SCBD'!A:A,'Chi tiết T4'!F118,'Đơn giá SCBD'!B:B,'Chi tiết T4'!I118)</f>
        <v>86765</v>
      </c>
      <c r="M118" s="43">
        <v>1</v>
      </c>
      <c r="N118" s="21">
        <f t="shared" si="4"/>
        <v>86765</v>
      </c>
      <c r="O118" s="22">
        <f t="shared" si="5"/>
        <v>46143</v>
      </c>
      <c r="P118" s="2"/>
    </row>
    <row r="119" spans="1:18" x14ac:dyDescent="0.25">
      <c r="A119" s="2">
        <f>SUBTOTAL(3,$B$2:B119)</f>
        <v>118</v>
      </c>
      <c r="B119" s="20">
        <v>46143</v>
      </c>
      <c r="C119" s="20" t="s">
        <v>44</v>
      </c>
      <c r="D119" s="2" t="s">
        <v>29</v>
      </c>
      <c r="E119" s="2" t="s">
        <v>30</v>
      </c>
      <c r="F119" s="2" t="s">
        <v>32</v>
      </c>
      <c r="G119" s="2" t="s">
        <v>65</v>
      </c>
      <c r="H119" s="34" t="s">
        <v>56</v>
      </c>
      <c r="I119" s="34" t="s">
        <v>19</v>
      </c>
      <c r="J119" s="63">
        <v>5465</v>
      </c>
      <c r="K119" s="51">
        <v>46143</v>
      </c>
      <c r="L119" s="53">
        <f>J119*SUMIFS('Đơn giá SCBD'!F:F,'Đơn giá SCBD'!A:A,'Chi tiết T4'!F119,'Đơn giá SCBD'!B:B,'Chi tiết T4'!I119)</f>
        <v>101102.5</v>
      </c>
      <c r="M119" s="43">
        <v>1</v>
      </c>
      <c r="N119" s="21">
        <f t="shared" si="4"/>
        <v>101102.5</v>
      </c>
      <c r="O119" s="22">
        <f t="shared" si="5"/>
        <v>46143</v>
      </c>
      <c r="P119" s="2"/>
    </row>
    <row r="120" spans="1:18" x14ac:dyDescent="0.25">
      <c r="A120" s="2">
        <f>SUBTOTAL(3,$B$2:B120)</f>
        <v>119</v>
      </c>
      <c r="B120" s="20">
        <v>46143</v>
      </c>
      <c r="C120" s="20" t="s">
        <v>44</v>
      </c>
      <c r="D120" s="2" t="s">
        <v>29</v>
      </c>
      <c r="E120" s="2" t="s">
        <v>30</v>
      </c>
      <c r="F120" s="2" t="s">
        <v>32</v>
      </c>
      <c r="G120" s="2" t="s">
        <v>65</v>
      </c>
      <c r="H120" s="34" t="s">
        <v>57</v>
      </c>
      <c r="I120" s="34" t="s">
        <v>19</v>
      </c>
      <c r="J120" s="63">
        <v>1217</v>
      </c>
      <c r="K120" s="51">
        <v>46143</v>
      </c>
      <c r="L120" s="53">
        <f>J120*SUMIFS('Đơn giá SCBD'!F:F,'Đơn giá SCBD'!A:A,'Chi tiết T4'!F120,'Đơn giá SCBD'!B:B,'Chi tiết T4'!I120)</f>
        <v>22514.5</v>
      </c>
      <c r="M120" s="43">
        <v>1</v>
      </c>
      <c r="N120" s="21">
        <f t="shared" si="4"/>
        <v>22514.5</v>
      </c>
      <c r="O120" s="22">
        <f t="shared" si="5"/>
        <v>46143</v>
      </c>
      <c r="P120" s="2"/>
    </row>
    <row r="121" spans="1:18" x14ac:dyDescent="0.25">
      <c r="A121" s="2">
        <f>SUBTOTAL(3,$B$2:B121)</f>
        <v>120</v>
      </c>
      <c r="B121" s="20">
        <v>46143</v>
      </c>
      <c r="C121" s="20" t="s">
        <v>44</v>
      </c>
      <c r="D121" s="2" t="s">
        <v>34</v>
      </c>
      <c r="E121" s="2" t="s">
        <v>36</v>
      </c>
      <c r="F121" s="2" t="s">
        <v>36</v>
      </c>
      <c r="G121" s="2" t="s">
        <v>35</v>
      </c>
      <c r="H121" s="55" t="s">
        <v>48</v>
      </c>
      <c r="I121" s="34" t="s">
        <v>19</v>
      </c>
      <c r="J121" s="34"/>
      <c r="K121" s="51">
        <v>46143</v>
      </c>
      <c r="L121">
        <v>3622739</v>
      </c>
      <c r="M121" s="43">
        <v>1</v>
      </c>
      <c r="N121" s="21">
        <f t="shared" si="4"/>
        <v>3622739</v>
      </c>
      <c r="O121" s="22">
        <f t="shared" si="5"/>
        <v>46143</v>
      </c>
      <c r="P121" s="2"/>
    </row>
    <row r="122" spans="1:18" x14ac:dyDescent="0.25">
      <c r="A122" s="2">
        <f>SUBTOTAL(3,$B$2:B122)</f>
        <v>121</v>
      </c>
      <c r="B122" s="20">
        <v>46143</v>
      </c>
      <c r="C122" s="20" t="s">
        <v>44</v>
      </c>
      <c r="D122" s="2" t="s">
        <v>34</v>
      </c>
      <c r="E122" s="2" t="s">
        <v>36</v>
      </c>
      <c r="F122" s="2" t="s">
        <v>36</v>
      </c>
      <c r="G122" s="2" t="s">
        <v>35</v>
      </c>
      <c r="H122" s="55" t="s">
        <v>47</v>
      </c>
      <c r="I122" s="34" t="s">
        <v>19</v>
      </c>
      <c r="J122" s="34"/>
      <c r="K122" s="51">
        <v>46143</v>
      </c>
      <c r="L122">
        <v>2603263</v>
      </c>
      <c r="M122" s="43">
        <v>1</v>
      </c>
      <c r="N122" s="21">
        <f t="shared" si="4"/>
        <v>2603263</v>
      </c>
      <c r="O122" s="22">
        <f t="shared" si="5"/>
        <v>46143</v>
      </c>
      <c r="P122" s="2"/>
    </row>
    <row r="123" spans="1:18" x14ac:dyDescent="0.25">
      <c r="A123" s="2">
        <f>SUBTOTAL(3,$B$2:B123)</f>
        <v>122</v>
      </c>
      <c r="B123" s="20">
        <v>46143</v>
      </c>
      <c r="C123" s="20" t="s">
        <v>44</v>
      </c>
      <c r="D123" s="2" t="s">
        <v>34</v>
      </c>
      <c r="E123" s="2" t="s">
        <v>36</v>
      </c>
      <c r="F123" s="2" t="s">
        <v>36</v>
      </c>
      <c r="G123" s="2" t="s">
        <v>35</v>
      </c>
      <c r="H123" s="56" t="s">
        <v>46</v>
      </c>
      <c r="I123" s="34" t="s">
        <v>19</v>
      </c>
      <c r="J123" s="34"/>
      <c r="K123" s="51">
        <v>46143</v>
      </c>
      <c r="L123">
        <v>4228368</v>
      </c>
      <c r="M123" s="43">
        <v>1</v>
      </c>
      <c r="N123" s="21">
        <f t="shared" si="4"/>
        <v>4228368</v>
      </c>
      <c r="O123" s="22">
        <f t="shared" si="5"/>
        <v>46143</v>
      </c>
      <c r="P123" s="2"/>
    </row>
    <row r="124" spans="1:18" x14ac:dyDescent="0.25">
      <c r="A124" s="2">
        <f>SUBTOTAL(3,$B$2:B124)</f>
        <v>123</v>
      </c>
      <c r="B124" s="20">
        <v>46143</v>
      </c>
      <c r="C124" s="20" t="s">
        <v>44</v>
      </c>
      <c r="D124" s="2" t="s">
        <v>34</v>
      </c>
      <c r="E124" s="2" t="s">
        <v>36</v>
      </c>
      <c r="F124" s="2" t="s">
        <v>36</v>
      </c>
      <c r="G124" s="2" t="s">
        <v>35</v>
      </c>
      <c r="H124" s="55" t="s">
        <v>50</v>
      </c>
      <c r="I124" s="34" t="s">
        <v>19</v>
      </c>
      <c r="J124" s="34"/>
      <c r="K124" s="51">
        <v>46143</v>
      </c>
      <c r="L124">
        <v>3737283</v>
      </c>
      <c r="M124" s="43">
        <v>1</v>
      </c>
      <c r="N124" s="21">
        <f t="shared" si="4"/>
        <v>3737283</v>
      </c>
      <c r="O124" s="22">
        <f t="shared" si="5"/>
        <v>46143</v>
      </c>
      <c r="P124" s="2"/>
      <c r="R124" s="28"/>
    </row>
    <row r="125" spans="1:18" x14ac:dyDescent="0.25">
      <c r="A125" s="2">
        <f>SUBTOTAL(3,$B$2:B125)</f>
        <v>124</v>
      </c>
      <c r="B125" s="20">
        <v>46143</v>
      </c>
      <c r="C125" s="20" t="s">
        <v>44</v>
      </c>
      <c r="D125" s="2" t="s">
        <v>34</v>
      </c>
      <c r="E125" s="2" t="s">
        <v>36</v>
      </c>
      <c r="F125" s="2" t="s">
        <v>36</v>
      </c>
      <c r="G125" s="2" t="s">
        <v>35</v>
      </c>
      <c r="H125" s="56" t="s">
        <v>45</v>
      </c>
      <c r="I125" s="34" t="s">
        <v>19</v>
      </c>
      <c r="J125" s="34"/>
      <c r="K125" s="51">
        <v>46143</v>
      </c>
      <c r="L125">
        <v>4841790</v>
      </c>
      <c r="M125" s="43">
        <v>1</v>
      </c>
      <c r="N125" s="21">
        <f t="shared" si="4"/>
        <v>4841790</v>
      </c>
      <c r="O125" s="22">
        <f t="shared" si="5"/>
        <v>46143</v>
      </c>
      <c r="P125" s="2"/>
    </row>
    <row r="126" spans="1:18" x14ac:dyDescent="0.25">
      <c r="A126" s="2">
        <f>SUBTOTAL(3,$B$2:B126)</f>
        <v>125</v>
      </c>
      <c r="B126" s="20">
        <v>46143</v>
      </c>
      <c r="C126" s="20" t="s">
        <v>44</v>
      </c>
      <c r="D126" s="2" t="s">
        <v>34</v>
      </c>
      <c r="E126" s="2" t="s">
        <v>36</v>
      </c>
      <c r="F126" s="2" t="s">
        <v>36</v>
      </c>
      <c r="G126" s="2" t="s">
        <v>35</v>
      </c>
      <c r="H126" s="56" t="s">
        <v>49</v>
      </c>
      <c r="I126" s="34" t="s">
        <v>19</v>
      </c>
      <c r="J126" s="34"/>
      <c r="K126" s="51">
        <v>46143</v>
      </c>
      <c r="L126">
        <v>4356068</v>
      </c>
      <c r="M126" s="43">
        <v>1</v>
      </c>
      <c r="N126" s="21">
        <f t="shared" si="4"/>
        <v>4356068</v>
      </c>
      <c r="O126" s="22">
        <f t="shared" si="5"/>
        <v>46143</v>
      </c>
      <c r="P126" s="2"/>
    </row>
    <row r="127" spans="1:18" x14ac:dyDescent="0.25">
      <c r="A127" s="2">
        <f>SUBTOTAL(3,$B$2:B127)</f>
        <v>126</v>
      </c>
      <c r="B127" s="20">
        <v>46143</v>
      </c>
      <c r="C127" s="20" t="s">
        <v>44</v>
      </c>
      <c r="D127" s="2" t="s">
        <v>34</v>
      </c>
      <c r="E127" s="2" t="s">
        <v>36</v>
      </c>
      <c r="F127" s="2" t="s">
        <v>36</v>
      </c>
      <c r="G127" s="2" t="s">
        <v>35</v>
      </c>
      <c r="H127" s="56" t="s">
        <v>51</v>
      </c>
      <c r="I127" s="34" t="s">
        <v>19</v>
      </c>
      <c r="J127" s="34"/>
      <c r="K127" s="51">
        <v>46143</v>
      </c>
      <c r="L127">
        <v>3553295</v>
      </c>
      <c r="M127" s="43">
        <v>1</v>
      </c>
      <c r="N127" s="21">
        <f t="shared" si="4"/>
        <v>3553295</v>
      </c>
      <c r="O127" s="22">
        <f t="shared" si="5"/>
        <v>46143</v>
      </c>
      <c r="P127" s="2"/>
    </row>
    <row r="128" spans="1:18" x14ac:dyDescent="0.25">
      <c r="A128" s="2">
        <f>SUBTOTAL(3,$B$2:B128)</f>
        <v>127</v>
      </c>
      <c r="B128" s="20">
        <v>46143</v>
      </c>
      <c r="C128" s="20" t="s">
        <v>44</v>
      </c>
      <c r="D128" s="2" t="s">
        <v>34</v>
      </c>
      <c r="E128" s="2" t="s">
        <v>36</v>
      </c>
      <c r="F128" s="2" t="s">
        <v>36</v>
      </c>
      <c r="G128" s="2" t="s">
        <v>35</v>
      </c>
      <c r="H128" s="55" t="s">
        <v>56</v>
      </c>
      <c r="I128" s="34" t="s">
        <v>19</v>
      </c>
      <c r="J128" s="34"/>
      <c r="K128" s="51">
        <v>46143</v>
      </c>
      <c r="L128">
        <v>4325551</v>
      </c>
      <c r="M128" s="43">
        <v>1</v>
      </c>
      <c r="N128" s="21">
        <f t="shared" si="4"/>
        <v>4325551</v>
      </c>
      <c r="O128" s="22">
        <f t="shared" si="5"/>
        <v>46143</v>
      </c>
      <c r="P128" s="2"/>
    </row>
    <row r="129" spans="1:16" x14ac:dyDescent="0.25">
      <c r="A129" s="2">
        <f>SUBTOTAL(3,$B$2:B129)</f>
        <v>128</v>
      </c>
      <c r="B129" s="20">
        <v>46143</v>
      </c>
      <c r="C129" s="20" t="s">
        <v>44</v>
      </c>
      <c r="D129" s="2" t="s">
        <v>34</v>
      </c>
      <c r="E129" s="2" t="s">
        <v>36</v>
      </c>
      <c r="F129" s="2" t="s">
        <v>36</v>
      </c>
      <c r="G129" s="2" t="s">
        <v>35</v>
      </c>
      <c r="H129" s="56" t="s">
        <v>55</v>
      </c>
      <c r="I129" s="34" t="s">
        <v>19</v>
      </c>
      <c r="J129" s="34"/>
      <c r="K129" s="51">
        <v>46143</v>
      </c>
      <c r="L129">
        <v>3590911</v>
      </c>
      <c r="M129" s="43">
        <v>1</v>
      </c>
      <c r="N129" s="21">
        <f t="shared" si="4"/>
        <v>3590911</v>
      </c>
      <c r="O129" s="22">
        <f t="shared" si="5"/>
        <v>46143</v>
      </c>
      <c r="P129" s="2"/>
    </row>
    <row r="130" spans="1:16" x14ac:dyDescent="0.25">
      <c r="A130" s="2">
        <f>SUBTOTAL(3,$B$2:B130)</f>
        <v>129</v>
      </c>
      <c r="B130" s="20">
        <v>46143</v>
      </c>
      <c r="C130" s="20" t="s">
        <v>44</v>
      </c>
      <c r="D130" s="2" t="s">
        <v>34</v>
      </c>
      <c r="E130" s="2" t="s">
        <v>36</v>
      </c>
      <c r="F130" s="2" t="s">
        <v>36</v>
      </c>
      <c r="G130" s="2" t="s">
        <v>35</v>
      </c>
      <c r="H130" s="56" t="s">
        <v>53</v>
      </c>
      <c r="I130" s="34" t="s">
        <v>19</v>
      </c>
      <c r="J130" s="34"/>
      <c r="K130" s="51">
        <v>46143</v>
      </c>
      <c r="L130">
        <v>4472464</v>
      </c>
      <c r="M130" s="43">
        <v>1</v>
      </c>
      <c r="N130" s="21">
        <f t="shared" ref="N130:N156" si="7">IF(B130&gt;O130,"",L130/M130)</f>
        <v>4472464</v>
      </c>
      <c r="O130" s="22">
        <f t="shared" ref="O130:O156" si="8">EDATE(K130, M130-1)</f>
        <v>46143</v>
      </c>
      <c r="P130" s="2"/>
    </row>
    <row r="131" spans="1:16" x14ac:dyDescent="0.25">
      <c r="A131" s="2">
        <f>SUBTOTAL(3,$B$2:B131)</f>
        <v>130</v>
      </c>
      <c r="B131" s="20">
        <v>46143</v>
      </c>
      <c r="C131" s="20" t="s">
        <v>44</v>
      </c>
      <c r="D131" s="2" t="s">
        <v>34</v>
      </c>
      <c r="E131" s="2" t="s">
        <v>36</v>
      </c>
      <c r="F131" s="2" t="s">
        <v>36</v>
      </c>
      <c r="G131" s="2" t="s">
        <v>35</v>
      </c>
      <c r="H131" s="55" t="s">
        <v>52</v>
      </c>
      <c r="I131" s="34" t="s">
        <v>19</v>
      </c>
      <c r="J131" s="34"/>
      <c r="K131" s="51">
        <v>46143</v>
      </c>
      <c r="L131">
        <v>4073199</v>
      </c>
      <c r="M131" s="43">
        <v>1</v>
      </c>
      <c r="N131" s="21">
        <f t="shared" si="7"/>
        <v>4073199</v>
      </c>
      <c r="O131" s="22">
        <f t="shared" si="8"/>
        <v>46143</v>
      </c>
      <c r="P131" s="2"/>
    </row>
    <row r="132" spans="1:16" x14ac:dyDescent="0.25">
      <c r="A132" s="2">
        <f>SUBTOTAL(3,$B$2:B132)</f>
        <v>131</v>
      </c>
      <c r="B132" s="20">
        <v>46143</v>
      </c>
      <c r="C132" s="20" t="s">
        <v>44</v>
      </c>
      <c r="D132" s="2" t="s">
        <v>34</v>
      </c>
      <c r="E132" s="2" t="s">
        <v>36</v>
      </c>
      <c r="F132" s="2" t="s">
        <v>36</v>
      </c>
      <c r="G132" s="2" t="s">
        <v>35</v>
      </c>
      <c r="H132" s="56" t="s">
        <v>54</v>
      </c>
      <c r="I132" s="34" t="s">
        <v>19</v>
      </c>
      <c r="J132" s="34"/>
      <c r="K132" s="51">
        <v>46143</v>
      </c>
      <c r="L132">
        <v>3490757</v>
      </c>
      <c r="M132" s="43">
        <v>1</v>
      </c>
      <c r="N132" s="21">
        <f t="shared" si="7"/>
        <v>3490757</v>
      </c>
      <c r="O132" s="22">
        <f t="shared" si="8"/>
        <v>46143</v>
      </c>
      <c r="P132" s="2"/>
    </row>
    <row r="133" spans="1:16" x14ac:dyDescent="0.25">
      <c r="A133" s="2">
        <f>SUBTOTAL(3,$B$2:B133)</f>
        <v>132</v>
      </c>
      <c r="B133" s="20">
        <v>46143</v>
      </c>
      <c r="C133" s="20" t="s">
        <v>44</v>
      </c>
      <c r="D133" s="2" t="s">
        <v>34</v>
      </c>
      <c r="E133" s="2" t="s">
        <v>36</v>
      </c>
      <c r="F133" s="2" t="s">
        <v>36</v>
      </c>
      <c r="G133" s="2" t="s">
        <v>35</v>
      </c>
      <c r="H133" s="55" t="s">
        <v>57</v>
      </c>
      <c r="I133" s="34" t="s">
        <v>19</v>
      </c>
      <c r="J133" s="34"/>
      <c r="K133" s="51">
        <v>46143</v>
      </c>
      <c r="L133">
        <v>980163</v>
      </c>
      <c r="M133" s="43">
        <v>1</v>
      </c>
      <c r="N133" s="21">
        <f t="shared" si="7"/>
        <v>980163</v>
      </c>
      <c r="O133" s="22">
        <f t="shared" si="8"/>
        <v>46143</v>
      </c>
      <c r="P133" s="2"/>
    </row>
    <row r="134" spans="1:16" x14ac:dyDescent="0.25">
      <c r="A134" s="2">
        <f>SUBTOTAL(3,$B$2:B134)</f>
        <v>133</v>
      </c>
      <c r="B134" s="20">
        <v>46143</v>
      </c>
      <c r="C134" s="20" t="s">
        <v>44</v>
      </c>
      <c r="D134" s="2" t="s">
        <v>37</v>
      </c>
      <c r="E134" s="2" t="s">
        <v>66</v>
      </c>
      <c r="F134" s="2" t="s">
        <v>67</v>
      </c>
      <c r="G134" s="33" t="s">
        <v>35</v>
      </c>
      <c r="H134" s="58" t="s">
        <v>57</v>
      </c>
      <c r="I134" s="57" t="s">
        <v>19</v>
      </c>
      <c r="J134" s="57"/>
      <c r="K134" s="59">
        <v>46144</v>
      </c>
      <c r="L134" s="42">
        <v>50000</v>
      </c>
      <c r="M134" s="43">
        <v>1</v>
      </c>
      <c r="N134" s="21">
        <f t="shared" si="7"/>
        <v>50000</v>
      </c>
      <c r="O134" s="22">
        <f t="shared" si="8"/>
        <v>46144</v>
      </c>
      <c r="P134" s="2"/>
    </row>
    <row r="135" spans="1:16" x14ac:dyDescent="0.25">
      <c r="A135" s="2">
        <f>SUBTOTAL(3,$B$2:B135)</f>
        <v>134</v>
      </c>
      <c r="B135" s="20">
        <v>46143</v>
      </c>
      <c r="C135" s="20" t="s">
        <v>44</v>
      </c>
      <c r="D135" s="2" t="s">
        <v>37</v>
      </c>
      <c r="E135" s="2" t="s">
        <v>66</v>
      </c>
      <c r="F135" s="2" t="s">
        <v>67</v>
      </c>
      <c r="G135" s="33" t="s">
        <v>35</v>
      </c>
      <c r="H135" s="58" t="s">
        <v>48</v>
      </c>
      <c r="I135" s="57" t="s">
        <v>19</v>
      </c>
      <c r="J135" s="57"/>
      <c r="K135" s="59">
        <v>46146</v>
      </c>
      <c r="L135" s="42">
        <v>50000</v>
      </c>
      <c r="M135" s="43">
        <v>1</v>
      </c>
      <c r="N135" s="21">
        <f t="shared" si="7"/>
        <v>50000</v>
      </c>
      <c r="O135" s="22">
        <f t="shared" si="8"/>
        <v>46146</v>
      </c>
      <c r="P135" s="2"/>
    </row>
    <row r="136" spans="1:16" x14ac:dyDescent="0.25">
      <c r="A136" s="2">
        <f>SUBTOTAL(3,$B$2:B136)</f>
        <v>135</v>
      </c>
      <c r="B136" s="20">
        <v>46143</v>
      </c>
      <c r="C136" s="20" t="s">
        <v>44</v>
      </c>
      <c r="D136" s="2" t="s">
        <v>37</v>
      </c>
      <c r="E136" s="2" t="s">
        <v>66</v>
      </c>
      <c r="F136" s="2" t="s">
        <v>67</v>
      </c>
      <c r="G136" s="33" t="s">
        <v>35</v>
      </c>
      <c r="H136" s="58" t="s">
        <v>50</v>
      </c>
      <c r="I136" s="57" t="s">
        <v>19</v>
      </c>
      <c r="J136" s="57"/>
      <c r="K136" s="59">
        <v>46147</v>
      </c>
      <c r="L136" s="42">
        <v>50000</v>
      </c>
      <c r="M136" s="43">
        <v>1</v>
      </c>
      <c r="N136" s="21">
        <f t="shared" si="7"/>
        <v>50000</v>
      </c>
      <c r="O136" s="22">
        <f t="shared" si="8"/>
        <v>46147</v>
      </c>
      <c r="P136" s="2"/>
    </row>
    <row r="137" spans="1:16" x14ac:dyDescent="0.25">
      <c r="A137" s="2">
        <f>SUBTOTAL(3,$B$2:B137)</f>
        <v>136</v>
      </c>
      <c r="B137" s="20">
        <v>46143</v>
      </c>
      <c r="C137" s="20" t="s">
        <v>44</v>
      </c>
      <c r="D137" s="2" t="s">
        <v>37</v>
      </c>
      <c r="E137" s="2" t="s">
        <v>66</v>
      </c>
      <c r="F137" s="2" t="s">
        <v>67</v>
      </c>
      <c r="G137" s="33" t="s">
        <v>35</v>
      </c>
      <c r="H137" s="58" t="s">
        <v>46</v>
      </c>
      <c r="I137" s="57" t="s">
        <v>19</v>
      </c>
      <c r="J137" s="57"/>
      <c r="K137" s="59">
        <v>46147</v>
      </c>
      <c r="L137" s="42">
        <v>50000</v>
      </c>
      <c r="M137" s="43">
        <v>1</v>
      </c>
      <c r="N137" s="21">
        <f t="shared" si="7"/>
        <v>50000</v>
      </c>
      <c r="O137" s="22">
        <f t="shared" si="8"/>
        <v>46147</v>
      </c>
      <c r="P137" s="2"/>
    </row>
    <row r="138" spans="1:16" x14ac:dyDescent="0.25">
      <c r="A138" s="2">
        <f>SUBTOTAL(3,$B$2:B138)</f>
        <v>137</v>
      </c>
      <c r="B138" s="20">
        <v>46143</v>
      </c>
      <c r="C138" s="20" t="s">
        <v>44</v>
      </c>
      <c r="D138" s="2" t="s">
        <v>37</v>
      </c>
      <c r="E138" s="2" t="s">
        <v>66</v>
      </c>
      <c r="F138" s="2" t="s">
        <v>67</v>
      </c>
      <c r="G138" s="33" t="s">
        <v>35</v>
      </c>
      <c r="H138" s="58" t="s">
        <v>53</v>
      </c>
      <c r="I138" s="57" t="s">
        <v>19</v>
      </c>
      <c r="J138" s="57"/>
      <c r="K138" s="59">
        <v>46147</v>
      </c>
      <c r="L138" s="42">
        <v>50000</v>
      </c>
      <c r="M138" s="43">
        <v>1</v>
      </c>
      <c r="N138" s="21">
        <f t="shared" si="7"/>
        <v>50000</v>
      </c>
      <c r="O138" s="22">
        <f t="shared" si="8"/>
        <v>46147</v>
      </c>
      <c r="P138" s="2"/>
    </row>
    <row r="139" spans="1:16" x14ac:dyDescent="0.25">
      <c r="A139" s="2">
        <f>SUBTOTAL(3,$B$2:B139)</f>
        <v>138</v>
      </c>
      <c r="B139" s="20">
        <v>46143</v>
      </c>
      <c r="C139" s="20" t="s">
        <v>44</v>
      </c>
      <c r="D139" s="2" t="s">
        <v>37</v>
      </c>
      <c r="E139" s="2" t="s">
        <v>66</v>
      </c>
      <c r="F139" s="2" t="s">
        <v>67</v>
      </c>
      <c r="G139" s="33" t="s">
        <v>35</v>
      </c>
      <c r="H139" s="58" t="s">
        <v>56</v>
      </c>
      <c r="I139" s="57" t="s">
        <v>19</v>
      </c>
      <c r="J139" s="57"/>
      <c r="K139" s="59">
        <v>46147</v>
      </c>
      <c r="L139" s="42">
        <v>50000</v>
      </c>
      <c r="M139" s="43">
        <v>1</v>
      </c>
      <c r="N139" s="21">
        <f t="shared" si="7"/>
        <v>50000</v>
      </c>
      <c r="O139" s="22">
        <f t="shared" si="8"/>
        <v>46147</v>
      </c>
      <c r="P139" s="2"/>
    </row>
    <row r="140" spans="1:16" x14ac:dyDescent="0.25">
      <c r="A140" s="2">
        <f>SUBTOTAL(3,$B$2:B140)</f>
        <v>139</v>
      </c>
      <c r="B140" s="20">
        <v>46143</v>
      </c>
      <c r="C140" s="20" t="s">
        <v>44</v>
      </c>
      <c r="D140" s="2" t="s">
        <v>37</v>
      </c>
      <c r="E140" s="2" t="s">
        <v>66</v>
      </c>
      <c r="F140" s="2" t="s">
        <v>67</v>
      </c>
      <c r="G140" s="33" t="s">
        <v>35</v>
      </c>
      <c r="H140" s="58" t="s">
        <v>45</v>
      </c>
      <c r="I140" s="57" t="s">
        <v>19</v>
      </c>
      <c r="J140" s="57"/>
      <c r="K140" s="59">
        <v>46148</v>
      </c>
      <c r="L140" s="42">
        <v>50000</v>
      </c>
      <c r="M140" s="43">
        <v>1</v>
      </c>
      <c r="N140" s="21">
        <f t="shared" si="7"/>
        <v>50000</v>
      </c>
      <c r="O140" s="22">
        <f t="shared" si="8"/>
        <v>46148</v>
      </c>
      <c r="P140" s="2"/>
    </row>
    <row r="141" spans="1:16" x14ac:dyDescent="0.25">
      <c r="A141" s="2">
        <f>SUBTOTAL(3,$B$2:B141)</f>
        <v>140</v>
      </c>
      <c r="B141" s="20">
        <v>46143</v>
      </c>
      <c r="C141" s="20" t="s">
        <v>44</v>
      </c>
      <c r="D141" s="2" t="s">
        <v>37</v>
      </c>
      <c r="E141" s="2" t="s">
        <v>66</v>
      </c>
      <c r="F141" s="2" t="s">
        <v>67</v>
      </c>
      <c r="G141" s="33" t="s">
        <v>35</v>
      </c>
      <c r="H141" s="58" t="s">
        <v>49</v>
      </c>
      <c r="I141" s="57" t="s">
        <v>19</v>
      </c>
      <c r="J141" s="57"/>
      <c r="K141" s="59">
        <v>46148</v>
      </c>
      <c r="L141" s="42">
        <v>50000</v>
      </c>
      <c r="M141" s="43">
        <v>1</v>
      </c>
      <c r="N141" s="21">
        <f t="shared" si="7"/>
        <v>50000</v>
      </c>
      <c r="O141" s="22">
        <f t="shared" si="8"/>
        <v>46148</v>
      </c>
      <c r="P141" s="2"/>
    </row>
    <row r="142" spans="1:16" x14ac:dyDescent="0.25">
      <c r="A142" s="2">
        <f>SUBTOTAL(3,$B$2:B142)</f>
        <v>141</v>
      </c>
      <c r="B142" s="20">
        <v>46143</v>
      </c>
      <c r="C142" s="20" t="s">
        <v>44</v>
      </c>
      <c r="D142" s="2" t="s">
        <v>37</v>
      </c>
      <c r="E142" s="2" t="s">
        <v>66</v>
      </c>
      <c r="F142" s="2" t="s">
        <v>67</v>
      </c>
      <c r="G142" s="33" t="s">
        <v>35</v>
      </c>
      <c r="H142" s="58" t="s">
        <v>55</v>
      </c>
      <c r="I142" s="57" t="s">
        <v>19</v>
      </c>
      <c r="J142" s="57"/>
      <c r="K142" s="59">
        <v>46148</v>
      </c>
      <c r="L142" s="42">
        <v>50000</v>
      </c>
      <c r="M142" s="43">
        <v>1</v>
      </c>
      <c r="N142" s="21">
        <f t="shared" si="7"/>
        <v>50000</v>
      </c>
      <c r="O142" s="22">
        <f t="shared" si="8"/>
        <v>46148</v>
      </c>
      <c r="P142" s="2"/>
    </row>
    <row r="143" spans="1:16" x14ac:dyDescent="0.25">
      <c r="A143" s="2">
        <f>SUBTOTAL(3,$B$2:B143)</f>
        <v>142</v>
      </c>
      <c r="B143" s="20">
        <v>46143</v>
      </c>
      <c r="C143" s="20" t="s">
        <v>44</v>
      </c>
      <c r="D143" s="2" t="s">
        <v>37</v>
      </c>
      <c r="E143" s="2" t="s">
        <v>66</v>
      </c>
      <c r="F143" s="2" t="s">
        <v>67</v>
      </c>
      <c r="G143" s="33" t="s">
        <v>35</v>
      </c>
      <c r="H143" s="58" t="s">
        <v>52</v>
      </c>
      <c r="I143" s="57" t="s">
        <v>19</v>
      </c>
      <c r="J143" s="57"/>
      <c r="K143" s="59">
        <v>46148</v>
      </c>
      <c r="L143" s="42">
        <v>50000</v>
      </c>
      <c r="M143" s="43">
        <v>1</v>
      </c>
      <c r="N143" s="21">
        <f t="shared" si="7"/>
        <v>50000</v>
      </c>
      <c r="O143" s="22">
        <f t="shared" si="8"/>
        <v>46148</v>
      </c>
      <c r="P143" s="2"/>
    </row>
    <row r="144" spans="1:16" x14ac:dyDescent="0.25">
      <c r="A144" s="2">
        <f>SUBTOTAL(3,$B$2:B144)</f>
        <v>143</v>
      </c>
      <c r="B144" s="20">
        <v>46143</v>
      </c>
      <c r="C144" s="20" t="s">
        <v>44</v>
      </c>
      <c r="D144" s="2" t="s">
        <v>37</v>
      </c>
      <c r="E144" s="2" t="s">
        <v>66</v>
      </c>
      <c r="F144" s="2" t="s">
        <v>67</v>
      </c>
      <c r="G144" s="33" t="s">
        <v>35</v>
      </c>
      <c r="H144" s="58" t="s">
        <v>47</v>
      </c>
      <c r="I144" s="57" t="s">
        <v>19</v>
      </c>
      <c r="J144" s="57"/>
      <c r="K144" s="59">
        <v>46149</v>
      </c>
      <c r="L144" s="42">
        <v>50000</v>
      </c>
      <c r="M144" s="43">
        <v>1</v>
      </c>
      <c r="N144" s="21">
        <f t="shared" si="7"/>
        <v>50000</v>
      </c>
      <c r="O144" s="22">
        <f t="shared" si="8"/>
        <v>46149</v>
      </c>
      <c r="P144" s="2"/>
    </row>
    <row r="145" spans="1:17" x14ac:dyDescent="0.25">
      <c r="A145" s="2">
        <f>SUBTOTAL(3,$B$2:B145)</f>
        <v>144</v>
      </c>
      <c r="B145" s="20">
        <v>46143</v>
      </c>
      <c r="C145" s="20" t="s">
        <v>44</v>
      </c>
      <c r="D145" s="2" t="s">
        <v>37</v>
      </c>
      <c r="E145" s="2" t="s">
        <v>66</v>
      </c>
      <c r="F145" s="2" t="s">
        <v>67</v>
      </c>
      <c r="G145" s="33" t="s">
        <v>35</v>
      </c>
      <c r="H145" s="58" t="s">
        <v>51</v>
      </c>
      <c r="I145" s="57" t="s">
        <v>19</v>
      </c>
      <c r="J145" s="57"/>
      <c r="K145" s="59">
        <v>46149</v>
      </c>
      <c r="L145" s="42">
        <v>50000</v>
      </c>
      <c r="M145" s="43">
        <v>1</v>
      </c>
      <c r="N145" s="21">
        <f t="shared" si="7"/>
        <v>50000</v>
      </c>
      <c r="O145" s="22">
        <f t="shared" si="8"/>
        <v>46149</v>
      </c>
      <c r="P145" s="2"/>
      <c r="Q145" s="28"/>
    </row>
    <row r="146" spans="1:17" x14ac:dyDescent="0.25">
      <c r="A146" s="2">
        <f>SUBTOTAL(3,$B$2:B146)</f>
        <v>145</v>
      </c>
      <c r="B146" s="20">
        <v>46143</v>
      </c>
      <c r="C146" s="20" t="s">
        <v>44</v>
      </c>
      <c r="D146" s="2" t="s">
        <v>37</v>
      </c>
      <c r="E146" s="2" t="s">
        <v>66</v>
      </c>
      <c r="F146" s="2" t="s">
        <v>67</v>
      </c>
      <c r="G146" s="33" t="s">
        <v>35</v>
      </c>
      <c r="H146" s="58" t="s">
        <v>53</v>
      </c>
      <c r="I146" s="57" t="s">
        <v>19</v>
      </c>
      <c r="J146" s="57"/>
      <c r="K146" s="59">
        <v>46153</v>
      </c>
      <c r="L146" s="42">
        <v>50000</v>
      </c>
      <c r="M146" s="43">
        <v>1</v>
      </c>
      <c r="N146" s="21">
        <f t="shared" si="7"/>
        <v>50000</v>
      </c>
      <c r="O146" s="22">
        <f t="shared" si="8"/>
        <v>46153</v>
      </c>
      <c r="P146" s="2"/>
    </row>
    <row r="147" spans="1:17" x14ac:dyDescent="0.25">
      <c r="A147" s="2">
        <f>SUBTOTAL(3,$B$2:B147)</f>
        <v>146</v>
      </c>
      <c r="B147" s="20">
        <v>46143</v>
      </c>
      <c r="C147" s="20" t="s">
        <v>44</v>
      </c>
      <c r="D147" s="2" t="s">
        <v>37</v>
      </c>
      <c r="E147" s="2" t="s">
        <v>66</v>
      </c>
      <c r="F147" s="2" t="s">
        <v>67</v>
      </c>
      <c r="G147" s="33" t="s">
        <v>35</v>
      </c>
      <c r="H147" s="58" t="s">
        <v>49</v>
      </c>
      <c r="I147" s="57" t="s">
        <v>19</v>
      </c>
      <c r="J147" s="57"/>
      <c r="K147" s="59">
        <v>46153</v>
      </c>
      <c r="L147" s="42">
        <v>50000</v>
      </c>
      <c r="M147" s="43">
        <v>1</v>
      </c>
      <c r="N147" s="21">
        <f t="shared" si="7"/>
        <v>50000</v>
      </c>
      <c r="O147" s="22">
        <f t="shared" si="8"/>
        <v>46153</v>
      </c>
      <c r="P147" s="2"/>
    </row>
    <row r="148" spans="1:17" x14ac:dyDescent="0.25">
      <c r="A148" s="2">
        <f>SUBTOTAL(3,$B$2:B148)</f>
        <v>147</v>
      </c>
      <c r="B148" s="20">
        <v>46143</v>
      </c>
      <c r="C148" s="20" t="s">
        <v>44</v>
      </c>
      <c r="D148" s="2" t="s">
        <v>37</v>
      </c>
      <c r="E148" s="2" t="s">
        <v>66</v>
      </c>
      <c r="F148" s="2" t="s">
        <v>67</v>
      </c>
      <c r="G148" s="33" t="s">
        <v>35</v>
      </c>
      <c r="H148" s="58" t="s">
        <v>52</v>
      </c>
      <c r="I148" s="57" t="s">
        <v>19</v>
      </c>
      <c r="J148" s="57"/>
      <c r="K148" s="59">
        <v>46154</v>
      </c>
      <c r="L148" s="42">
        <v>50000</v>
      </c>
      <c r="M148" s="43">
        <v>1</v>
      </c>
      <c r="N148" s="21">
        <f t="shared" si="7"/>
        <v>50000</v>
      </c>
      <c r="O148" s="22">
        <f t="shared" si="8"/>
        <v>46154</v>
      </c>
      <c r="P148" s="2"/>
    </row>
    <row r="149" spans="1:17" x14ac:dyDescent="0.25">
      <c r="A149" s="2">
        <f>SUBTOTAL(3,$B$2:B149)</f>
        <v>148</v>
      </c>
      <c r="B149" s="20">
        <v>46143</v>
      </c>
      <c r="C149" s="20" t="s">
        <v>44</v>
      </c>
      <c r="D149" s="2" t="s">
        <v>37</v>
      </c>
      <c r="E149" s="2" t="s">
        <v>66</v>
      </c>
      <c r="F149" s="2" t="s">
        <v>67</v>
      </c>
      <c r="G149" s="33" t="s">
        <v>35</v>
      </c>
      <c r="H149" s="58" t="s">
        <v>56</v>
      </c>
      <c r="I149" s="57" t="s">
        <v>19</v>
      </c>
      <c r="J149" s="57"/>
      <c r="K149" s="59">
        <v>46155</v>
      </c>
      <c r="L149" s="42">
        <v>50000</v>
      </c>
      <c r="M149" s="43">
        <v>1</v>
      </c>
      <c r="N149" s="21">
        <f t="shared" si="7"/>
        <v>50000</v>
      </c>
      <c r="O149" s="22">
        <f t="shared" si="8"/>
        <v>46155</v>
      </c>
      <c r="P149" s="2"/>
    </row>
    <row r="150" spans="1:17" x14ac:dyDescent="0.25">
      <c r="A150" s="2">
        <f>SUBTOTAL(3,$B$2:B150)</f>
        <v>149</v>
      </c>
      <c r="B150" s="20">
        <v>46143</v>
      </c>
      <c r="C150" s="20" t="s">
        <v>44</v>
      </c>
      <c r="D150" s="2" t="s">
        <v>37</v>
      </c>
      <c r="E150" s="2" t="s">
        <v>66</v>
      </c>
      <c r="F150" s="2" t="s">
        <v>67</v>
      </c>
      <c r="G150" s="33" t="s">
        <v>35</v>
      </c>
      <c r="H150" s="58" t="s">
        <v>46</v>
      </c>
      <c r="I150" s="57" t="s">
        <v>19</v>
      </c>
      <c r="J150" s="57"/>
      <c r="K150" s="59">
        <v>46155</v>
      </c>
      <c r="L150" s="42">
        <v>50000</v>
      </c>
      <c r="M150" s="43">
        <v>1</v>
      </c>
      <c r="N150" s="21">
        <f t="shared" si="7"/>
        <v>50000</v>
      </c>
      <c r="O150" s="22">
        <f t="shared" si="8"/>
        <v>46155</v>
      </c>
      <c r="P150" s="21"/>
    </row>
    <row r="151" spans="1:17" x14ac:dyDescent="0.25">
      <c r="A151" s="2">
        <f>SUBTOTAL(3,$B$2:B151)</f>
        <v>150</v>
      </c>
      <c r="B151" s="20">
        <v>46143</v>
      </c>
      <c r="C151" s="20" t="s">
        <v>44</v>
      </c>
      <c r="D151" s="2" t="s">
        <v>37</v>
      </c>
      <c r="E151" s="2" t="s">
        <v>66</v>
      </c>
      <c r="F151" s="2" t="s">
        <v>67</v>
      </c>
      <c r="G151" s="33" t="s">
        <v>35</v>
      </c>
      <c r="H151" s="58" t="s">
        <v>52</v>
      </c>
      <c r="I151" s="57" t="s">
        <v>19</v>
      </c>
      <c r="J151" s="57"/>
      <c r="K151" s="59">
        <v>46156</v>
      </c>
      <c r="L151" s="42">
        <v>50000</v>
      </c>
      <c r="M151" s="43">
        <v>1</v>
      </c>
      <c r="N151" s="21">
        <f t="shared" si="7"/>
        <v>50000</v>
      </c>
      <c r="O151" s="22">
        <f t="shared" si="8"/>
        <v>46156</v>
      </c>
      <c r="P151" s="2"/>
    </row>
    <row r="152" spans="1:17" x14ac:dyDescent="0.25">
      <c r="A152" s="2">
        <f>SUBTOTAL(3,$B$2:B152)</f>
        <v>151</v>
      </c>
      <c r="B152" s="20">
        <v>46143</v>
      </c>
      <c r="C152" s="20" t="s">
        <v>44</v>
      </c>
      <c r="D152" s="2" t="s">
        <v>37</v>
      </c>
      <c r="E152" s="2" t="s">
        <v>66</v>
      </c>
      <c r="F152" s="2" t="s">
        <v>67</v>
      </c>
      <c r="G152" s="33" t="s">
        <v>35</v>
      </c>
      <c r="H152" s="58" t="s">
        <v>45</v>
      </c>
      <c r="I152" s="57" t="s">
        <v>19</v>
      </c>
      <c r="J152" s="57"/>
      <c r="K152" s="59">
        <v>46156</v>
      </c>
      <c r="L152" s="42">
        <v>50000</v>
      </c>
      <c r="M152" s="43">
        <v>1</v>
      </c>
      <c r="N152" s="21">
        <f t="shared" si="7"/>
        <v>50000</v>
      </c>
      <c r="O152" s="22">
        <f t="shared" si="8"/>
        <v>46156</v>
      </c>
      <c r="P152" s="2"/>
    </row>
    <row r="153" spans="1:17" x14ac:dyDescent="0.25">
      <c r="A153" s="2">
        <f>SUBTOTAL(3,$B$2:B153)</f>
        <v>152</v>
      </c>
      <c r="B153" s="20">
        <v>46143</v>
      </c>
      <c r="C153" s="20" t="s">
        <v>44</v>
      </c>
      <c r="D153" s="2" t="s">
        <v>37</v>
      </c>
      <c r="E153" s="2" t="s">
        <v>66</v>
      </c>
      <c r="F153" s="2" t="s">
        <v>67</v>
      </c>
      <c r="G153" s="33" t="s">
        <v>35</v>
      </c>
      <c r="H153" s="58" t="s">
        <v>47</v>
      </c>
      <c r="I153" s="57" t="s">
        <v>19</v>
      </c>
      <c r="J153" s="57"/>
      <c r="K153" s="59">
        <v>46156</v>
      </c>
      <c r="L153" s="42">
        <v>50000</v>
      </c>
      <c r="M153" s="43">
        <v>1</v>
      </c>
      <c r="N153" s="21">
        <f t="shared" si="7"/>
        <v>50000</v>
      </c>
      <c r="O153" s="22">
        <f t="shared" si="8"/>
        <v>46156</v>
      </c>
      <c r="P153" s="2"/>
    </row>
    <row r="154" spans="1:17" x14ac:dyDescent="0.25">
      <c r="A154" s="2">
        <f>SUBTOTAL(3,$B$2:B154)</f>
        <v>153</v>
      </c>
      <c r="B154" s="20">
        <v>46143</v>
      </c>
      <c r="C154" s="20" t="s">
        <v>44</v>
      </c>
      <c r="D154" s="2" t="s">
        <v>37</v>
      </c>
      <c r="E154" s="2" t="s">
        <v>66</v>
      </c>
      <c r="F154" s="2" t="s">
        <v>67</v>
      </c>
      <c r="G154" s="33" t="s">
        <v>35</v>
      </c>
      <c r="H154" s="58" t="s">
        <v>49</v>
      </c>
      <c r="I154" s="57" t="s">
        <v>19</v>
      </c>
      <c r="J154" s="57"/>
      <c r="K154" s="59">
        <v>46156</v>
      </c>
      <c r="L154" s="42">
        <v>50000</v>
      </c>
      <c r="M154" s="43">
        <v>1</v>
      </c>
      <c r="N154" s="21">
        <f t="shared" si="7"/>
        <v>50000</v>
      </c>
      <c r="O154" s="22">
        <f t="shared" si="8"/>
        <v>46156</v>
      </c>
      <c r="P154" s="2"/>
    </row>
    <row r="155" spans="1:17" x14ac:dyDescent="0.25">
      <c r="A155" s="2">
        <f>SUBTOTAL(3,$B$2:B155)</f>
        <v>154</v>
      </c>
      <c r="B155" s="20">
        <v>46143</v>
      </c>
      <c r="C155" s="20" t="s">
        <v>44</v>
      </c>
      <c r="D155" s="2" t="s">
        <v>37</v>
      </c>
      <c r="E155" s="2" t="s">
        <v>66</v>
      </c>
      <c r="F155" s="2" t="s">
        <v>67</v>
      </c>
      <c r="G155" s="33" t="s">
        <v>35</v>
      </c>
      <c r="H155" s="58" t="s">
        <v>55</v>
      </c>
      <c r="I155" s="57" t="s">
        <v>19</v>
      </c>
      <c r="J155" s="57"/>
      <c r="K155" s="59">
        <v>46156</v>
      </c>
      <c r="L155" s="42">
        <v>50000</v>
      </c>
      <c r="M155" s="43">
        <v>1</v>
      </c>
      <c r="N155" s="21">
        <f t="shared" si="7"/>
        <v>50000</v>
      </c>
      <c r="O155" s="22">
        <f t="shared" si="8"/>
        <v>46156</v>
      </c>
      <c r="P155" s="2"/>
    </row>
    <row r="156" spans="1:17" x14ac:dyDescent="0.25">
      <c r="A156" s="2">
        <f>SUBTOTAL(3,$B$2:B156)</f>
        <v>155</v>
      </c>
      <c r="B156" s="20">
        <v>46143</v>
      </c>
      <c r="C156" s="20" t="s">
        <v>44</v>
      </c>
      <c r="D156" s="2" t="s">
        <v>37</v>
      </c>
      <c r="E156" s="2" t="s">
        <v>66</v>
      </c>
      <c r="F156" s="2" t="s">
        <v>67</v>
      </c>
      <c r="G156" s="33" t="s">
        <v>35</v>
      </c>
      <c r="H156" s="58" t="s">
        <v>48</v>
      </c>
      <c r="I156" s="57" t="s">
        <v>19</v>
      </c>
      <c r="J156" s="57"/>
      <c r="K156" s="59">
        <v>46157</v>
      </c>
      <c r="L156" s="42">
        <v>50000</v>
      </c>
      <c r="M156" s="43">
        <v>1</v>
      </c>
      <c r="N156" s="21">
        <f t="shared" si="7"/>
        <v>50000</v>
      </c>
      <c r="O156" s="22">
        <f t="shared" si="8"/>
        <v>46157</v>
      </c>
      <c r="P156" s="2"/>
    </row>
    <row r="157" spans="1:17" x14ac:dyDescent="0.25">
      <c r="A157" s="2">
        <f>SUBTOTAL(3,$B$2:B157)</f>
        <v>156</v>
      </c>
      <c r="B157" s="20">
        <v>46143</v>
      </c>
      <c r="C157" s="20" t="s">
        <v>44</v>
      </c>
      <c r="D157" s="2" t="s">
        <v>37</v>
      </c>
      <c r="E157" s="2" t="s">
        <v>66</v>
      </c>
      <c r="F157" s="2" t="s">
        <v>67</v>
      </c>
      <c r="G157" s="33" t="s">
        <v>35</v>
      </c>
      <c r="H157" s="58" t="s">
        <v>51</v>
      </c>
      <c r="I157" s="57" t="s">
        <v>19</v>
      </c>
      <c r="J157" s="57"/>
      <c r="K157" s="59">
        <v>46158</v>
      </c>
      <c r="L157" s="42">
        <v>50000</v>
      </c>
      <c r="M157" s="43">
        <v>1</v>
      </c>
      <c r="N157" s="21">
        <f t="shared" ref="N157:N173" si="9">IF(B157&gt;O157,"",L157/M157)</f>
        <v>50000</v>
      </c>
      <c r="O157" s="22">
        <f t="shared" ref="O157:O173" si="10">EDATE(K157, M157-1)</f>
        <v>46158</v>
      </c>
      <c r="P157" s="2"/>
    </row>
    <row r="158" spans="1:17" x14ac:dyDescent="0.25">
      <c r="A158" s="2">
        <f>SUBTOTAL(3,$B$2:B158)</f>
        <v>157</v>
      </c>
      <c r="B158" s="20">
        <v>46143</v>
      </c>
      <c r="C158" s="20" t="s">
        <v>44</v>
      </c>
      <c r="D158" s="2" t="s">
        <v>37</v>
      </c>
      <c r="E158" s="2" t="s">
        <v>66</v>
      </c>
      <c r="F158" s="2" t="s">
        <v>67</v>
      </c>
      <c r="G158" s="33" t="s">
        <v>35</v>
      </c>
      <c r="H158" s="58" t="s">
        <v>56</v>
      </c>
      <c r="I158" s="57" t="s">
        <v>19</v>
      </c>
      <c r="J158" s="57"/>
      <c r="K158" s="59">
        <v>46160</v>
      </c>
      <c r="L158" s="42">
        <v>50000</v>
      </c>
      <c r="M158" s="43">
        <v>1</v>
      </c>
      <c r="N158" s="21">
        <f t="shared" si="9"/>
        <v>50000</v>
      </c>
      <c r="O158" s="22">
        <f t="shared" si="10"/>
        <v>46160</v>
      </c>
      <c r="P158" s="2"/>
    </row>
    <row r="159" spans="1:17" x14ac:dyDescent="0.25">
      <c r="A159" s="2">
        <f>SUBTOTAL(3,$B$2:B159)</f>
        <v>158</v>
      </c>
      <c r="B159" s="20">
        <v>46143</v>
      </c>
      <c r="C159" s="20" t="s">
        <v>44</v>
      </c>
      <c r="D159" s="2" t="s">
        <v>37</v>
      </c>
      <c r="E159" s="2" t="s">
        <v>66</v>
      </c>
      <c r="F159" s="2" t="s">
        <v>67</v>
      </c>
      <c r="G159" s="33" t="s">
        <v>35</v>
      </c>
      <c r="H159" s="58" t="s">
        <v>46</v>
      </c>
      <c r="I159" s="57" t="s">
        <v>19</v>
      </c>
      <c r="J159" s="57"/>
      <c r="K159" s="59">
        <v>46160</v>
      </c>
      <c r="L159" s="42">
        <v>50000</v>
      </c>
      <c r="M159" s="43">
        <v>1</v>
      </c>
      <c r="N159" s="21">
        <f t="shared" si="9"/>
        <v>50000</v>
      </c>
      <c r="O159" s="22">
        <f t="shared" si="10"/>
        <v>46160</v>
      </c>
      <c r="P159" s="2"/>
    </row>
    <row r="160" spans="1:17" x14ac:dyDescent="0.25">
      <c r="A160" s="2">
        <f>SUBTOTAL(3,$B$2:B160)</f>
        <v>159</v>
      </c>
      <c r="B160" s="20">
        <v>46143</v>
      </c>
      <c r="C160" s="20" t="s">
        <v>44</v>
      </c>
      <c r="D160" s="2" t="s">
        <v>37</v>
      </c>
      <c r="E160" s="2" t="s">
        <v>66</v>
      </c>
      <c r="F160" s="2" t="s">
        <v>67</v>
      </c>
      <c r="G160" s="33" t="s">
        <v>35</v>
      </c>
      <c r="H160" s="58" t="s">
        <v>53</v>
      </c>
      <c r="I160" s="57" t="s">
        <v>19</v>
      </c>
      <c r="J160" s="57"/>
      <c r="K160" s="59">
        <v>46160</v>
      </c>
      <c r="L160" s="42">
        <v>50000</v>
      </c>
      <c r="M160" s="43">
        <v>1</v>
      </c>
      <c r="N160" s="21">
        <f t="shared" si="9"/>
        <v>50000</v>
      </c>
      <c r="O160" s="22">
        <f t="shared" si="10"/>
        <v>46160</v>
      </c>
      <c r="P160" s="2"/>
    </row>
    <row r="161" spans="1:16" x14ac:dyDescent="0.25">
      <c r="A161" s="2">
        <f>SUBTOTAL(3,$B$2:B161)</f>
        <v>160</v>
      </c>
      <c r="B161" s="20">
        <v>46143</v>
      </c>
      <c r="C161" s="20" t="s">
        <v>44</v>
      </c>
      <c r="D161" s="2" t="s">
        <v>37</v>
      </c>
      <c r="E161" s="2" t="s">
        <v>66</v>
      </c>
      <c r="F161" s="2" t="s">
        <v>67</v>
      </c>
      <c r="G161" s="33" t="s">
        <v>35</v>
      </c>
      <c r="H161" s="58" t="s">
        <v>46</v>
      </c>
      <c r="I161" s="57" t="s">
        <v>19</v>
      </c>
      <c r="J161" s="57"/>
      <c r="K161" s="59">
        <v>46165</v>
      </c>
      <c r="L161" s="42">
        <v>50000</v>
      </c>
      <c r="M161" s="43">
        <v>1</v>
      </c>
      <c r="N161" s="21">
        <f t="shared" si="9"/>
        <v>50000</v>
      </c>
      <c r="O161" s="22">
        <f t="shared" si="10"/>
        <v>46165</v>
      </c>
      <c r="P161" s="2"/>
    </row>
    <row r="162" spans="1:16" x14ac:dyDescent="0.25">
      <c r="A162" s="2">
        <f>SUBTOTAL(3,$B$2:B162)</f>
        <v>161</v>
      </c>
      <c r="B162" s="20">
        <v>46143</v>
      </c>
      <c r="C162" s="20" t="s">
        <v>44</v>
      </c>
      <c r="D162" s="2" t="s">
        <v>37</v>
      </c>
      <c r="E162" s="2" t="s">
        <v>66</v>
      </c>
      <c r="F162" s="2" t="s">
        <v>67</v>
      </c>
      <c r="G162" s="33" t="s">
        <v>35</v>
      </c>
      <c r="H162" s="58" t="s">
        <v>49</v>
      </c>
      <c r="I162" s="57" t="s">
        <v>19</v>
      </c>
      <c r="J162" s="57"/>
      <c r="K162" s="59">
        <v>46165</v>
      </c>
      <c r="L162" s="42">
        <v>50000</v>
      </c>
      <c r="M162" s="43">
        <v>1</v>
      </c>
      <c r="N162" s="21">
        <f t="shared" si="9"/>
        <v>50000</v>
      </c>
      <c r="O162" s="22">
        <f t="shared" si="10"/>
        <v>46165</v>
      </c>
      <c r="P162" s="2"/>
    </row>
    <row r="163" spans="1:16" x14ac:dyDescent="0.25">
      <c r="A163" s="2">
        <f>SUBTOTAL(3,$B$2:B163)</f>
        <v>162</v>
      </c>
      <c r="B163" s="20">
        <v>46143</v>
      </c>
      <c r="C163" s="20" t="s">
        <v>44</v>
      </c>
      <c r="D163" s="2" t="s">
        <v>37</v>
      </c>
      <c r="E163" s="2" t="s">
        <v>66</v>
      </c>
      <c r="F163" s="2" t="s">
        <v>67</v>
      </c>
      <c r="G163" s="33" t="s">
        <v>35</v>
      </c>
      <c r="H163" s="58" t="s">
        <v>47</v>
      </c>
      <c r="I163" s="57" t="s">
        <v>19</v>
      </c>
      <c r="J163" s="57"/>
      <c r="K163" s="59">
        <v>46165</v>
      </c>
      <c r="L163" s="42">
        <v>50000</v>
      </c>
      <c r="M163" s="43">
        <v>1</v>
      </c>
      <c r="N163" s="21">
        <f t="shared" si="9"/>
        <v>50000</v>
      </c>
      <c r="O163" s="22">
        <f t="shared" si="10"/>
        <v>46165</v>
      </c>
      <c r="P163" s="2"/>
    </row>
    <row r="164" spans="1:16" x14ac:dyDescent="0.25">
      <c r="A164" s="2">
        <f>SUBTOTAL(3,$B$2:B164)</f>
        <v>163</v>
      </c>
      <c r="B164" s="20">
        <v>46143</v>
      </c>
      <c r="C164" s="20" t="s">
        <v>44</v>
      </c>
      <c r="D164" s="2" t="s">
        <v>37</v>
      </c>
      <c r="E164" s="2" t="s">
        <v>66</v>
      </c>
      <c r="F164" s="2" t="s">
        <v>67</v>
      </c>
      <c r="G164" s="33" t="s">
        <v>35</v>
      </c>
      <c r="H164" s="58" t="s">
        <v>52</v>
      </c>
      <c r="I164" s="57" t="s">
        <v>19</v>
      </c>
      <c r="J164" s="57"/>
      <c r="K164" s="59">
        <v>46165</v>
      </c>
      <c r="L164" s="42">
        <v>50000</v>
      </c>
      <c r="M164" s="43">
        <v>1</v>
      </c>
      <c r="N164" s="21">
        <f t="shared" si="9"/>
        <v>50000</v>
      </c>
      <c r="O164" s="22">
        <f t="shared" si="10"/>
        <v>46165</v>
      </c>
      <c r="P164" s="2"/>
    </row>
    <row r="165" spans="1:16" x14ac:dyDescent="0.25">
      <c r="A165" s="2">
        <f>SUBTOTAL(3,$B$2:B165)</f>
        <v>164</v>
      </c>
      <c r="B165" s="20">
        <v>46143</v>
      </c>
      <c r="C165" s="20" t="s">
        <v>44</v>
      </c>
      <c r="D165" s="2" t="s">
        <v>37</v>
      </c>
      <c r="E165" s="2" t="s">
        <v>66</v>
      </c>
      <c r="F165" s="2" t="s">
        <v>67</v>
      </c>
      <c r="G165" s="33" t="s">
        <v>35</v>
      </c>
      <c r="H165" s="58" t="s">
        <v>55</v>
      </c>
      <c r="I165" s="57" t="s">
        <v>19</v>
      </c>
      <c r="J165" s="57"/>
      <c r="K165" s="59">
        <v>46166</v>
      </c>
      <c r="L165" s="42">
        <v>50000</v>
      </c>
      <c r="M165" s="43">
        <v>1</v>
      </c>
      <c r="N165" s="21">
        <f t="shared" si="9"/>
        <v>50000</v>
      </c>
      <c r="O165" s="22">
        <f t="shared" si="10"/>
        <v>46166</v>
      </c>
      <c r="P165" s="2"/>
    </row>
    <row r="166" spans="1:16" x14ac:dyDescent="0.25">
      <c r="A166" s="2">
        <f>SUBTOTAL(3,$B$2:B166)</f>
        <v>165</v>
      </c>
      <c r="B166" s="20">
        <v>46143</v>
      </c>
      <c r="C166" s="20" t="s">
        <v>44</v>
      </c>
      <c r="D166" s="2" t="s">
        <v>37</v>
      </c>
      <c r="E166" s="2" t="s">
        <v>66</v>
      </c>
      <c r="F166" s="2" t="s">
        <v>67</v>
      </c>
      <c r="G166" s="33" t="s">
        <v>35</v>
      </c>
      <c r="H166" s="58" t="s">
        <v>54</v>
      </c>
      <c r="I166" s="57" t="s">
        <v>19</v>
      </c>
      <c r="J166" s="57"/>
      <c r="K166" s="59">
        <v>46166</v>
      </c>
      <c r="L166" s="42">
        <v>50000</v>
      </c>
      <c r="M166" s="43">
        <v>1</v>
      </c>
      <c r="N166" s="21">
        <f t="shared" si="9"/>
        <v>50000</v>
      </c>
      <c r="O166" s="22">
        <f t="shared" si="10"/>
        <v>46166</v>
      </c>
      <c r="P166" s="2"/>
    </row>
    <row r="167" spans="1:16" x14ac:dyDescent="0.25">
      <c r="A167" s="2">
        <f>SUBTOTAL(3,$B$2:B167)</f>
        <v>166</v>
      </c>
      <c r="B167" s="20">
        <v>46143</v>
      </c>
      <c r="C167" s="20" t="s">
        <v>44</v>
      </c>
      <c r="D167" s="2" t="s">
        <v>37</v>
      </c>
      <c r="E167" s="2" t="s">
        <v>66</v>
      </c>
      <c r="F167" s="2" t="s">
        <v>67</v>
      </c>
      <c r="G167" s="33" t="s">
        <v>35</v>
      </c>
      <c r="H167" s="58" t="s">
        <v>50</v>
      </c>
      <c r="I167" s="57" t="s">
        <v>19</v>
      </c>
      <c r="J167" s="57"/>
      <c r="K167" s="59">
        <v>46167</v>
      </c>
      <c r="L167" s="42">
        <v>50000</v>
      </c>
      <c r="M167" s="43">
        <v>1</v>
      </c>
      <c r="N167" s="21">
        <f t="shared" si="9"/>
        <v>50000</v>
      </c>
      <c r="O167" s="22">
        <f t="shared" si="10"/>
        <v>46167</v>
      </c>
      <c r="P167" s="2"/>
    </row>
    <row r="168" spans="1:16" x14ac:dyDescent="0.25">
      <c r="A168" s="2">
        <f>SUBTOTAL(3,$B$2:B168)</f>
        <v>167</v>
      </c>
      <c r="B168" s="20">
        <v>46143</v>
      </c>
      <c r="C168" s="20" t="s">
        <v>44</v>
      </c>
      <c r="D168" s="2" t="s">
        <v>37</v>
      </c>
      <c r="E168" s="2" t="s">
        <v>66</v>
      </c>
      <c r="F168" s="2" t="s">
        <v>67</v>
      </c>
      <c r="G168" s="33" t="s">
        <v>35</v>
      </c>
      <c r="H168" s="58" t="s">
        <v>53</v>
      </c>
      <c r="I168" s="57" t="s">
        <v>19</v>
      </c>
      <c r="J168" s="57"/>
      <c r="K168" s="59">
        <v>46168</v>
      </c>
      <c r="L168" s="42">
        <v>50000</v>
      </c>
      <c r="M168" s="43">
        <v>1</v>
      </c>
      <c r="N168" s="21">
        <f t="shared" si="9"/>
        <v>50000</v>
      </c>
      <c r="O168" s="22">
        <f t="shared" si="10"/>
        <v>46168</v>
      </c>
      <c r="P168" s="2"/>
    </row>
    <row r="169" spans="1:16" x14ac:dyDescent="0.25">
      <c r="A169" s="2">
        <f>SUBTOTAL(3,$B$2:B169)</f>
        <v>168</v>
      </c>
      <c r="B169" s="20">
        <v>46143</v>
      </c>
      <c r="C169" s="20" t="s">
        <v>44</v>
      </c>
      <c r="D169" s="2" t="s">
        <v>37</v>
      </c>
      <c r="E169" s="2" t="s">
        <v>66</v>
      </c>
      <c r="F169" s="2" t="s">
        <v>67</v>
      </c>
      <c r="G169" s="33" t="s">
        <v>35</v>
      </c>
      <c r="H169" s="58" t="s">
        <v>48</v>
      </c>
      <c r="I169" s="57" t="s">
        <v>19</v>
      </c>
      <c r="J169" s="57"/>
      <c r="K169" s="59">
        <v>46169</v>
      </c>
      <c r="L169" s="42">
        <v>50000</v>
      </c>
      <c r="M169" s="43">
        <v>1</v>
      </c>
      <c r="N169" s="21">
        <f t="shared" si="9"/>
        <v>50000</v>
      </c>
      <c r="O169" s="22">
        <f t="shared" si="10"/>
        <v>46169</v>
      </c>
      <c r="P169" s="2"/>
    </row>
    <row r="170" spans="1:16" x14ac:dyDescent="0.25">
      <c r="A170" s="2">
        <f>SUBTOTAL(3,$B$2:B170)</f>
        <v>169</v>
      </c>
      <c r="B170" s="20">
        <v>46143</v>
      </c>
      <c r="C170" s="20" t="s">
        <v>44</v>
      </c>
      <c r="D170" s="2" t="s">
        <v>37</v>
      </c>
      <c r="E170" s="2" t="s">
        <v>66</v>
      </c>
      <c r="F170" s="2" t="s">
        <v>67</v>
      </c>
      <c r="G170" s="33" t="s">
        <v>35</v>
      </c>
      <c r="H170" s="58" t="s">
        <v>51</v>
      </c>
      <c r="I170" s="57" t="s">
        <v>19</v>
      </c>
      <c r="J170" s="57"/>
      <c r="K170" s="59">
        <v>46169</v>
      </c>
      <c r="L170" s="42">
        <v>50000</v>
      </c>
      <c r="M170" s="43">
        <v>1</v>
      </c>
      <c r="N170" s="21">
        <f t="shared" si="9"/>
        <v>50000</v>
      </c>
      <c r="O170" s="22">
        <f t="shared" si="10"/>
        <v>46169</v>
      </c>
      <c r="P170" s="2"/>
    </row>
    <row r="171" spans="1:16" x14ac:dyDescent="0.25">
      <c r="A171" s="2">
        <f>SUBTOTAL(3,$B$2:B171)</f>
        <v>170</v>
      </c>
      <c r="B171" s="20">
        <v>46143</v>
      </c>
      <c r="C171" s="20" t="s">
        <v>44</v>
      </c>
      <c r="D171" s="2" t="s">
        <v>37</v>
      </c>
      <c r="E171" s="2" t="s">
        <v>66</v>
      </c>
      <c r="F171" s="2" t="s">
        <v>67</v>
      </c>
      <c r="G171" s="33" t="s">
        <v>35</v>
      </c>
      <c r="H171" s="58" t="s">
        <v>45</v>
      </c>
      <c r="I171" s="57" t="s">
        <v>19</v>
      </c>
      <c r="J171" s="57"/>
      <c r="K171" s="59">
        <v>46170</v>
      </c>
      <c r="L171" s="42">
        <v>50000</v>
      </c>
      <c r="M171" s="43">
        <v>1</v>
      </c>
      <c r="N171" s="21">
        <f t="shared" si="9"/>
        <v>50000</v>
      </c>
      <c r="O171" s="22">
        <f t="shared" si="10"/>
        <v>46170</v>
      </c>
      <c r="P171" s="2"/>
    </row>
    <row r="172" spans="1:16" x14ac:dyDescent="0.25">
      <c r="A172" s="2">
        <f>SUBTOTAL(3,$B$2:B172)</f>
        <v>171</v>
      </c>
      <c r="B172" s="20">
        <v>46143</v>
      </c>
      <c r="C172" s="20" t="s">
        <v>44</v>
      </c>
      <c r="D172" s="2" t="s">
        <v>37</v>
      </c>
      <c r="E172" s="2" t="s">
        <v>66</v>
      </c>
      <c r="F172" s="2" t="s">
        <v>67</v>
      </c>
      <c r="G172" s="33" t="s">
        <v>35</v>
      </c>
      <c r="H172" s="58" t="s">
        <v>57</v>
      </c>
      <c r="I172" s="57" t="s">
        <v>19</v>
      </c>
      <c r="J172" s="57"/>
      <c r="K172" s="59">
        <v>46170</v>
      </c>
      <c r="L172" s="42">
        <v>50000</v>
      </c>
      <c r="M172" s="43">
        <v>1</v>
      </c>
      <c r="N172" s="21">
        <f t="shared" si="9"/>
        <v>50000</v>
      </c>
      <c r="O172" s="22">
        <f t="shared" si="10"/>
        <v>46170</v>
      </c>
      <c r="P172" s="2"/>
    </row>
    <row r="173" spans="1:16" x14ac:dyDescent="0.25">
      <c r="A173" s="2">
        <f>SUBTOTAL(3,$B$2:B173)</f>
        <v>172</v>
      </c>
      <c r="B173" s="20">
        <v>46143</v>
      </c>
      <c r="C173" s="20" t="s">
        <v>44</v>
      </c>
      <c r="D173" s="2" t="s">
        <v>37</v>
      </c>
      <c r="E173" s="2" t="s">
        <v>66</v>
      </c>
      <c r="F173" s="2" t="s">
        <v>67</v>
      </c>
      <c r="G173" s="33" t="s">
        <v>35</v>
      </c>
      <c r="H173" s="58" t="s">
        <v>46</v>
      </c>
      <c r="I173" s="57" t="s">
        <v>19</v>
      </c>
      <c r="J173" s="57"/>
      <c r="K173" s="59">
        <v>46173</v>
      </c>
      <c r="L173" s="42">
        <v>50000</v>
      </c>
      <c r="M173" s="43">
        <v>1</v>
      </c>
      <c r="N173" s="21">
        <f t="shared" si="9"/>
        <v>50000</v>
      </c>
      <c r="O173" s="22">
        <f t="shared" si="10"/>
        <v>46173</v>
      </c>
      <c r="P173" s="2"/>
    </row>
    <row r="174" spans="1:16" s="36" customFormat="1" x14ac:dyDescent="0.25">
      <c r="A174" s="33">
        <f>SUBTOTAL(3,$B$2:B174)</f>
        <v>173</v>
      </c>
      <c r="B174" s="20">
        <v>46143</v>
      </c>
      <c r="C174" s="35" t="s">
        <v>44</v>
      </c>
      <c r="D174" s="33" t="s">
        <v>38</v>
      </c>
      <c r="E174" s="33" t="s">
        <v>41</v>
      </c>
      <c r="F174" s="48" t="s">
        <v>127</v>
      </c>
      <c r="G174" s="33" t="s">
        <v>35</v>
      </c>
      <c r="H174" s="57"/>
      <c r="I174" s="57"/>
      <c r="J174" s="57"/>
      <c r="K174" s="60">
        <v>46167</v>
      </c>
      <c r="L174" s="68">
        <v>3933166</v>
      </c>
      <c r="M174" s="52">
        <v>1</v>
      </c>
      <c r="N174" s="44">
        <f t="shared" ref="N174:N199" si="11">IF(B174&gt;O174,"",L174/M174)</f>
        <v>3933166</v>
      </c>
      <c r="O174" s="35">
        <f t="shared" ref="O174:O199" si="12">EDATE(K174, M174-1)</f>
        <v>46167</v>
      </c>
      <c r="P174" s="33"/>
    </row>
    <row r="175" spans="1:16" s="36" customFormat="1" x14ac:dyDescent="0.25">
      <c r="A175" s="33">
        <f>SUBTOTAL(3,$B$2:B175)</f>
        <v>174</v>
      </c>
      <c r="B175" s="20">
        <v>46143</v>
      </c>
      <c r="C175" s="35" t="s">
        <v>44</v>
      </c>
      <c r="D175" s="33" t="s">
        <v>38</v>
      </c>
      <c r="E175" s="33" t="s">
        <v>43</v>
      </c>
      <c r="F175" s="33" t="s">
        <v>110</v>
      </c>
      <c r="G175" s="33" t="s">
        <v>35</v>
      </c>
      <c r="H175" s="57"/>
      <c r="I175" s="57"/>
      <c r="J175" s="57"/>
      <c r="K175" s="61">
        <v>46147</v>
      </c>
      <c r="L175" s="53">
        <v>1549800</v>
      </c>
      <c r="M175" s="52">
        <v>1</v>
      </c>
      <c r="N175" s="44">
        <f t="shared" si="11"/>
        <v>1549800</v>
      </c>
      <c r="O175" s="35">
        <f t="shared" si="12"/>
        <v>46147</v>
      </c>
      <c r="P175" s="33"/>
    </row>
    <row r="176" spans="1:16" s="36" customFormat="1" x14ac:dyDescent="0.25">
      <c r="A176" s="33">
        <f>SUBTOTAL(3,$B$2:B176)</f>
        <v>175</v>
      </c>
      <c r="B176" s="20">
        <v>46143</v>
      </c>
      <c r="C176" s="35" t="s">
        <v>44</v>
      </c>
      <c r="D176" s="33" t="s">
        <v>38</v>
      </c>
      <c r="E176" s="33" t="s">
        <v>43</v>
      </c>
      <c r="F176" s="48" t="s">
        <v>109</v>
      </c>
      <c r="G176" s="33" t="s">
        <v>35</v>
      </c>
      <c r="H176" s="57"/>
      <c r="I176" s="57"/>
      <c r="J176" s="57"/>
      <c r="K176" s="60">
        <v>46153</v>
      </c>
      <c r="L176" s="68">
        <v>410400</v>
      </c>
      <c r="M176" s="52">
        <v>1</v>
      </c>
      <c r="N176" s="44">
        <f t="shared" si="11"/>
        <v>410400</v>
      </c>
      <c r="O176" s="35">
        <f t="shared" si="12"/>
        <v>46153</v>
      </c>
      <c r="P176" s="33"/>
    </row>
    <row r="177" spans="1:16" s="36" customFormat="1" x14ac:dyDescent="0.25">
      <c r="A177" s="33">
        <f>SUBTOTAL(3,$B$2:B177)</f>
        <v>176</v>
      </c>
      <c r="B177" s="20">
        <v>46143</v>
      </c>
      <c r="C177" s="35" t="s">
        <v>44</v>
      </c>
      <c r="D177" s="33" t="s">
        <v>38</v>
      </c>
      <c r="E177" s="33" t="s">
        <v>43</v>
      </c>
      <c r="F177" s="48" t="s">
        <v>106</v>
      </c>
      <c r="G177" s="33" t="s">
        <v>35</v>
      </c>
      <c r="H177" s="57"/>
      <c r="I177" s="57"/>
      <c r="J177" s="57"/>
      <c r="K177" s="60">
        <v>46147</v>
      </c>
      <c r="L177" s="68">
        <v>123283</v>
      </c>
      <c r="M177" s="52">
        <v>1</v>
      </c>
      <c r="N177" s="44">
        <f t="shared" ref="N177" si="13">IF(B177&gt;O177,"",L177/M177)</f>
        <v>123283</v>
      </c>
      <c r="O177" s="35">
        <f t="shared" ref="O177" si="14">EDATE(K177, M177-1)</f>
        <v>46147</v>
      </c>
      <c r="P177" s="33"/>
    </row>
    <row r="178" spans="1:16" s="36" customFormat="1" x14ac:dyDescent="0.25">
      <c r="A178" s="33">
        <f>SUBTOTAL(3,$B$2:B178)</f>
        <v>177</v>
      </c>
      <c r="B178" s="20">
        <v>46143</v>
      </c>
      <c r="C178" s="35" t="s">
        <v>44</v>
      </c>
      <c r="D178" s="33" t="s">
        <v>38</v>
      </c>
      <c r="E178" s="33" t="s">
        <v>42</v>
      </c>
      <c r="F178" s="48" t="s">
        <v>102</v>
      </c>
      <c r="G178" s="33" t="s">
        <v>35</v>
      </c>
      <c r="H178" s="57"/>
      <c r="I178" s="57"/>
      <c r="J178" s="57"/>
      <c r="K178" s="60">
        <v>46143</v>
      </c>
      <c r="L178" s="68">
        <v>490000</v>
      </c>
      <c r="M178" s="52">
        <v>1</v>
      </c>
      <c r="N178" s="44">
        <f t="shared" si="11"/>
        <v>490000</v>
      </c>
      <c r="O178" s="35">
        <f t="shared" si="12"/>
        <v>46143</v>
      </c>
      <c r="P178" s="33"/>
    </row>
    <row r="179" spans="1:16" s="36" customFormat="1" x14ac:dyDescent="0.25">
      <c r="A179" s="33">
        <f>SUBTOTAL(3,$B$2:B179)</f>
        <v>178</v>
      </c>
      <c r="B179" s="20">
        <v>46143</v>
      </c>
      <c r="C179" s="35" t="s">
        <v>44</v>
      </c>
      <c r="D179" s="33" t="s">
        <v>38</v>
      </c>
      <c r="E179" s="33" t="s">
        <v>42</v>
      </c>
      <c r="F179" s="48" t="s">
        <v>103</v>
      </c>
      <c r="G179" s="33" t="s">
        <v>35</v>
      </c>
      <c r="H179" s="57"/>
      <c r="I179" s="57"/>
      <c r="J179" s="57"/>
      <c r="K179" s="60">
        <v>46143</v>
      </c>
      <c r="L179" s="68">
        <v>200000</v>
      </c>
      <c r="M179" s="52">
        <v>1</v>
      </c>
      <c r="N179" s="44">
        <f t="shared" si="11"/>
        <v>200000</v>
      </c>
      <c r="O179" s="35">
        <f t="shared" si="12"/>
        <v>46143</v>
      </c>
      <c r="P179" s="33"/>
    </row>
    <row r="180" spans="1:16" s="36" customFormat="1" x14ac:dyDescent="0.25">
      <c r="A180" s="33">
        <f>SUBTOTAL(3,$B$2:B180)</f>
        <v>179</v>
      </c>
      <c r="B180" s="20">
        <v>46143</v>
      </c>
      <c r="C180" s="35" t="s">
        <v>44</v>
      </c>
      <c r="D180" s="33" t="s">
        <v>38</v>
      </c>
      <c r="E180" s="33" t="s">
        <v>42</v>
      </c>
      <c r="F180" s="48" t="s">
        <v>104</v>
      </c>
      <c r="G180" s="33" t="s">
        <v>35</v>
      </c>
      <c r="H180" s="57"/>
      <c r="I180" s="57"/>
      <c r="J180" s="57"/>
      <c r="K180" s="60">
        <v>46157</v>
      </c>
      <c r="L180" s="68">
        <v>714000</v>
      </c>
      <c r="M180" s="52">
        <v>1</v>
      </c>
      <c r="N180" s="44">
        <f t="shared" ref="N180:N181" si="15">IF(B180&gt;O180,"",L180/M180)</f>
        <v>714000</v>
      </c>
      <c r="O180" s="35">
        <f t="shared" ref="O180:O181" si="16">EDATE(K180, M180-1)</f>
        <v>46157</v>
      </c>
      <c r="P180" s="33"/>
    </row>
    <row r="181" spans="1:16" s="36" customFormat="1" x14ac:dyDescent="0.25">
      <c r="A181" s="33">
        <f>SUBTOTAL(3,$B$2:B181)</f>
        <v>180</v>
      </c>
      <c r="B181" s="20">
        <v>46143</v>
      </c>
      <c r="C181" s="35" t="s">
        <v>44</v>
      </c>
      <c r="D181" s="33" t="s">
        <v>38</v>
      </c>
      <c r="E181" s="33" t="s">
        <v>42</v>
      </c>
      <c r="F181" s="48" t="s">
        <v>105</v>
      </c>
      <c r="G181" s="33" t="s">
        <v>35</v>
      </c>
      <c r="H181" s="57"/>
      <c r="I181" s="57"/>
      <c r="J181" s="57"/>
      <c r="K181" s="60">
        <v>46173</v>
      </c>
      <c r="L181" s="68">
        <v>698000</v>
      </c>
      <c r="M181" s="52">
        <v>1</v>
      </c>
      <c r="N181" s="44">
        <f t="shared" si="15"/>
        <v>698000</v>
      </c>
      <c r="O181" s="35">
        <f t="shared" si="16"/>
        <v>46173</v>
      </c>
      <c r="P181" s="33"/>
    </row>
    <row r="182" spans="1:16" s="36" customFormat="1" x14ac:dyDescent="0.25">
      <c r="A182" s="33">
        <f>SUBTOTAL(3,$B$2:B182)</f>
        <v>181</v>
      </c>
      <c r="B182" s="20">
        <v>46143</v>
      </c>
      <c r="C182" s="35" t="s">
        <v>44</v>
      </c>
      <c r="D182" s="33" t="s">
        <v>38</v>
      </c>
      <c r="E182" s="33" t="s">
        <v>39</v>
      </c>
      <c r="F182" s="48" t="s">
        <v>107</v>
      </c>
      <c r="G182" s="33" t="s">
        <v>35</v>
      </c>
      <c r="H182" s="57"/>
      <c r="I182" s="57"/>
      <c r="J182" s="57"/>
      <c r="K182" s="60">
        <v>46144</v>
      </c>
      <c r="L182" s="68">
        <v>304000</v>
      </c>
      <c r="M182" s="52">
        <v>1</v>
      </c>
      <c r="N182" s="44">
        <f t="shared" si="11"/>
        <v>304000</v>
      </c>
      <c r="O182" s="35">
        <f t="shared" si="12"/>
        <v>46144</v>
      </c>
      <c r="P182" s="33"/>
    </row>
    <row r="183" spans="1:16" s="36" customFormat="1" x14ac:dyDescent="0.25">
      <c r="A183" s="33">
        <f>SUBTOTAL(3,$B$2:B183)</f>
        <v>182</v>
      </c>
      <c r="B183" s="20">
        <v>46143</v>
      </c>
      <c r="C183" s="35" t="s">
        <v>44</v>
      </c>
      <c r="D183" s="33" t="s">
        <v>38</v>
      </c>
      <c r="E183" s="33" t="s">
        <v>39</v>
      </c>
      <c r="F183" s="48" t="s">
        <v>108</v>
      </c>
      <c r="G183" s="33" t="s">
        <v>35</v>
      </c>
      <c r="H183" s="57"/>
      <c r="I183" s="57"/>
      <c r="J183" s="57"/>
      <c r="K183" s="60">
        <v>46158</v>
      </c>
      <c r="L183" s="68">
        <v>215000</v>
      </c>
      <c r="M183" s="52">
        <v>1</v>
      </c>
      <c r="N183" s="44">
        <f t="shared" si="11"/>
        <v>215000</v>
      </c>
      <c r="O183" s="35">
        <f t="shared" si="12"/>
        <v>46158</v>
      </c>
      <c r="P183" s="33"/>
    </row>
    <row r="184" spans="1:16" s="36" customFormat="1" x14ac:dyDescent="0.25">
      <c r="A184" s="33">
        <f>SUBTOTAL(3,$B$2:B184)</f>
        <v>183</v>
      </c>
      <c r="B184" s="20">
        <v>46143</v>
      </c>
      <c r="C184" s="35" t="s">
        <v>44</v>
      </c>
      <c r="D184" s="33" t="s">
        <v>38</v>
      </c>
      <c r="E184" s="33" t="s">
        <v>41</v>
      </c>
      <c r="F184" s="48" t="s">
        <v>111</v>
      </c>
      <c r="G184" s="33" t="s">
        <v>35</v>
      </c>
      <c r="H184" s="57"/>
      <c r="I184" s="57"/>
      <c r="J184" s="57"/>
      <c r="K184" s="60">
        <v>46158</v>
      </c>
      <c r="L184" s="68">
        <v>143481</v>
      </c>
      <c r="M184" s="52">
        <v>1</v>
      </c>
      <c r="N184" s="44">
        <f t="shared" si="11"/>
        <v>143481</v>
      </c>
      <c r="O184" s="35">
        <f t="shared" si="12"/>
        <v>46158</v>
      </c>
      <c r="P184" s="33"/>
    </row>
    <row r="185" spans="1:16" s="36" customFormat="1" x14ac:dyDescent="0.25">
      <c r="A185" s="33">
        <f>SUBTOTAL(3,$B$2:B185)</f>
        <v>184</v>
      </c>
      <c r="B185" s="20">
        <v>46143</v>
      </c>
      <c r="C185" s="35" t="s">
        <v>44</v>
      </c>
      <c r="D185" s="33" t="s">
        <v>38</v>
      </c>
      <c r="E185" s="33" t="s">
        <v>41</v>
      </c>
      <c r="F185" s="48" t="s">
        <v>112</v>
      </c>
      <c r="G185" s="33" t="s">
        <v>35</v>
      </c>
      <c r="H185" s="57"/>
      <c r="I185" s="57"/>
      <c r="J185" s="57"/>
      <c r="K185" s="60">
        <v>46168</v>
      </c>
      <c r="L185" s="68">
        <v>50000</v>
      </c>
      <c r="M185" s="52">
        <v>1</v>
      </c>
      <c r="N185" s="44">
        <f t="shared" si="11"/>
        <v>50000</v>
      </c>
      <c r="O185" s="35">
        <f t="shared" si="12"/>
        <v>46168</v>
      </c>
      <c r="P185" s="33"/>
    </row>
    <row r="186" spans="1:16" s="36" customFormat="1" x14ac:dyDescent="0.25">
      <c r="A186" s="33">
        <f>SUBTOTAL(3,$B$2:B186)</f>
        <v>185</v>
      </c>
      <c r="B186" s="20">
        <v>46143</v>
      </c>
      <c r="C186" s="35" t="s">
        <v>44</v>
      </c>
      <c r="D186" s="33" t="s">
        <v>38</v>
      </c>
      <c r="E186" s="33" t="s">
        <v>41</v>
      </c>
      <c r="F186" s="48" t="s">
        <v>113</v>
      </c>
      <c r="G186" s="33" t="s">
        <v>35</v>
      </c>
      <c r="H186" s="57"/>
      <c r="I186" s="57"/>
      <c r="J186" s="57"/>
      <c r="K186" s="60">
        <v>46157</v>
      </c>
      <c r="L186" s="68">
        <v>30000</v>
      </c>
      <c r="M186" s="52">
        <v>1</v>
      </c>
      <c r="N186" s="44">
        <f t="shared" si="11"/>
        <v>30000</v>
      </c>
      <c r="O186" s="35">
        <f t="shared" si="12"/>
        <v>46157</v>
      </c>
      <c r="P186" s="33"/>
    </row>
    <row r="187" spans="1:16" s="36" customFormat="1" x14ac:dyDescent="0.25">
      <c r="A187" s="33">
        <f>SUBTOTAL(3,$B$2:B187)</f>
        <v>186</v>
      </c>
      <c r="B187" s="20">
        <v>46143</v>
      </c>
      <c r="C187" s="35" t="s">
        <v>44</v>
      </c>
      <c r="D187" s="33" t="s">
        <v>38</v>
      </c>
      <c r="E187" s="33" t="s">
        <v>41</v>
      </c>
      <c r="F187" s="48" t="s">
        <v>114</v>
      </c>
      <c r="G187" s="33" t="s">
        <v>35</v>
      </c>
      <c r="H187" s="57"/>
      <c r="I187" s="57"/>
      <c r="J187" s="57"/>
      <c r="K187" s="60">
        <v>46159</v>
      </c>
      <c r="L187" s="68">
        <v>450000</v>
      </c>
      <c r="M187" s="52">
        <v>1</v>
      </c>
      <c r="N187" s="44">
        <f t="shared" ref="N187:N190" si="17">IF(B187&gt;O187,"",L187/M187)</f>
        <v>450000</v>
      </c>
      <c r="O187" s="35">
        <f t="shared" ref="O187:O190" si="18">EDATE(K187, M187-1)</f>
        <v>46159</v>
      </c>
      <c r="P187" s="33"/>
    </row>
    <row r="188" spans="1:16" s="36" customFormat="1" x14ac:dyDescent="0.25">
      <c r="A188" s="33">
        <f>SUBTOTAL(3,$B$2:B188)</f>
        <v>187</v>
      </c>
      <c r="B188" s="20">
        <v>46143</v>
      </c>
      <c r="C188" s="35" t="s">
        <v>44</v>
      </c>
      <c r="D188" s="33" t="s">
        <v>38</v>
      </c>
      <c r="E188" s="33" t="s">
        <v>41</v>
      </c>
      <c r="F188" s="48" t="s">
        <v>115</v>
      </c>
      <c r="G188" s="33" t="s">
        <v>35</v>
      </c>
      <c r="H188" s="57"/>
      <c r="I188" s="57"/>
      <c r="J188" s="57"/>
      <c r="K188" s="60">
        <v>46157</v>
      </c>
      <c r="L188" s="68">
        <v>120000</v>
      </c>
      <c r="M188" s="52">
        <v>1</v>
      </c>
      <c r="N188" s="44">
        <f t="shared" si="17"/>
        <v>120000</v>
      </c>
      <c r="O188" s="35">
        <f t="shared" si="18"/>
        <v>46157</v>
      </c>
      <c r="P188" s="33"/>
    </row>
    <row r="189" spans="1:16" s="36" customFormat="1" x14ac:dyDescent="0.25">
      <c r="A189" s="33">
        <f>SUBTOTAL(3,$B$2:B189)</f>
        <v>188</v>
      </c>
      <c r="B189" s="20">
        <v>46143</v>
      </c>
      <c r="C189" s="35" t="s">
        <v>44</v>
      </c>
      <c r="D189" s="33" t="s">
        <v>38</v>
      </c>
      <c r="E189" s="33" t="s">
        <v>41</v>
      </c>
      <c r="F189" s="48" t="s">
        <v>116</v>
      </c>
      <c r="G189" s="33" t="s">
        <v>35</v>
      </c>
      <c r="H189" s="57"/>
      <c r="I189" s="57"/>
      <c r="J189" s="57"/>
      <c r="K189" s="60">
        <v>46159</v>
      </c>
      <c r="L189" s="68">
        <v>1500000</v>
      </c>
      <c r="M189" s="52">
        <v>1</v>
      </c>
      <c r="N189" s="44">
        <f t="shared" si="17"/>
        <v>1500000</v>
      </c>
      <c r="O189" s="35">
        <f t="shared" si="18"/>
        <v>46159</v>
      </c>
      <c r="P189" s="33"/>
    </row>
    <row r="190" spans="1:16" s="36" customFormat="1" x14ac:dyDescent="0.25">
      <c r="A190" s="33">
        <f>SUBTOTAL(3,$B$2:B190)</f>
        <v>189</v>
      </c>
      <c r="B190" s="20">
        <v>46143</v>
      </c>
      <c r="C190" s="35" t="s">
        <v>44</v>
      </c>
      <c r="D190" s="33" t="s">
        <v>38</v>
      </c>
      <c r="E190" s="33" t="s">
        <v>41</v>
      </c>
      <c r="F190" s="48" t="s">
        <v>117</v>
      </c>
      <c r="G190" s="33" t="s">
        <v>35</v>
      </c>
      <c r="H190" s="57"/>
      <c r="I190" s="57"/>
      <c r="J190" s="57"/>
      <c r="K190" s="60">
        <v>46171</v>
      </c>
      <c r="L190" s="68">
        <v>380000</v>
      </c>
      <c r="M190" s="52">
        <v>1</v>
      </c>
      <c r="N190" s="44">
        <f t="shared" si="17"/>
        <v>380000</v>
      </c>
      <c r="O190" s="35">
        <f t="shared" si="18"/>
        <v>46171</v>
      </c>
      <c r="P190" s="33"/>
    </row>
    <row r="191" spans="1:16" s="36" customFormat="1" x14ac:dyDescent="0.25">
      <c r="A191" s="33">
        <f>SUBTOTAL(3,$B$2:B191)</f>
        <v>190</v>
      </c>
      <c r="B191" s="20">
        <v>46143</v>
      </c>
      <c r="C191" s="35" t="s">
        <v>44</v>
      </c>
      <c r="D191" s="33" t="s">
        <v>37</v>
      </c>
      <c r="E191" s="33" t="s">
        <v>68</v>
      </c>
      <c r="F191" s="48" t="s">
        <v>118</v>
      </c>
      <c r="G191" s="33" t="s">
        <v>35</v>
      </c>
      <c r="H191" s="57"/>
      <c r="I191" s="57"/>
      <c r="J191" s="57"/>
      <c r="K191" s="60">
        <v>46164</v>
      </c>
      <c r="L191" s="68">
        <v>200000</v>
      </c>
      <c r="M191" s="52">
        <v>1</v>
      </c>
      <c r="N191" s="44">
        <f t="shared" si="11"/>
        <v>200000</v>
      </c>
      <c r="O191" s="35">
        <f t="shared" si="12"/>
        <v>46164</v>
      </c>
      <c r="P191" s="33"/>
    </row>
    <row r="192" spans="1:16" s="36" customFormat="1" x14ac:dyDescent="0.25">
      <c r="A192" s="33">
        <f>SUBTOTAL(3,$B$2:B192)</f>
        <v>191</v>
      </c>
      <c r="B192" s="20">
        <v>46143</v>
      </c>
      <c r="C192" s="35" t="s">
        <v>44</v>
      </c>
      <c r="D192" s="33" t="s">
        <v>37</v>
      </c>
      <c r="E192" s="33" t="s">
        <v>68</v>
      </c>
      <c r="F192" s="48" t="s">
        <v>119</v>
      </c>
      <c r="G192" s="33" t="s">
        <v>35</v>
      </c>
      <c r="H192" s="57"/>
      <c r="I192" s="57"/>
      <c r="J192" s="57"/>
      <c r="K192" s="60">
        <v>46149</v>
      </c>
      <c r="L192" s="68">
        <v>50000</v>
      </c>
      <c r="M192" s="52">
        <v>1</v>
      </c>
      <c r="N192" s="44">
        <f t="shared" si="11"/>
        <v>50000</v>
      </c>
      <c r="O192" s="35">
        <f t="shared" si="12"/>
        <v>46149</v>
      </c>
      <c r="P192" s="33"/>
    </row>
    <row r="193" spans="1:16" s="36" customFormat="1" x14ac:dyDescent="0.25">
      <c r="A193" s="33">
        <f>SUBTOTAL(3,$B$2:B193)</f>
        <v>192</v>
      </c>
      <c r="B193" s="20">
        <v>46143</v>
      </c>
      <c r="C193" s="35" t="s">
        <v>44</v>
      </c>
      <c r="D193" s="33" t="s">
        <v>37</v>
      </c>
      <c r="E193" s="33" t="s">
        <v>68</v>
      </c>
      <c r="F193" s="48" t="s">
        <v>119</v>
      </c>
      <c r="G193" s="33" t="s">
        <v>35</v>
      </c>
      <c r="H193" s="57"/>
      <c r="I193" s="57"/>
      <c r="J193" s="57"/>
      <c r="K193" s="60">
        <v>46152</v>
      </c>
      <c r="L193" s="68">
        <v>50000</v>
      </c>
      <c r="M193" s="52">
        <v>1</v>
      </c>
      <c r="N193" s="44">
        <f t="shared" si="11"/>
        <v>50000</v>
      </c>
      <c r="O193" s="35">
        <f t="shared" si="12"/>
        <v>46152</v>
      </c>
      <c r="P193" s="33"/>
    </row>
    <row r="194" spans="1:16" s="36" customFormat="1" x14ac:dyDescent="0.25">
      <c r="A194" s="33">
        <f>SUBTOTAL(3,$B$2:B194)</f>
        <v>193</v>
      </c>
      <c r="B194" s="20">
        <v>46143</v>
      </c>
      <c r="C194" s="35" t="s">
        <v>44</v>
      </c>
      <c r="D194" s="33" t="s">
        <v>37</v>
      </c>
      <c r="E194" s="33" t="s">
        <v>68</v>
      </c>
      <c r="F194" s="48" t="s">
        <v>120</v>
      </c>
      <c r="G194" s="33" t="s">
        <v>35</v>
      </c>
      <c r="H194" s="57"/>
      <c r="I194" s="57"/>
      <c r="J194" s="57"/>
      <c r="K194" s="60">
        <v>46154</v>
      </c>
      <c r="L194" s="68">
        <v>70000</v>
      </c>
      <c r="M194" s="52">
        <v>1</v>
      </c>
      <c r="N194" s="44">
        <f t="shared" si="11"/>
        <v>70000</v>
      </c>
      <c r="O194" s="35">
        <f t="shared" si="12"/>
        <v>46154</v>
      </c>
      <c r="P194" s="33"/>
    </row>
    <row r="195" spans="1:16" s="36" customFormat="1" x14ac:dyDescent="0.25">
      <c r="A195" s="33">
        <f>SUBTOTAL(3,$B$2:B195)</f>
        <v>194</v>
      </c>
      <c r="B195" s="20">
        <v>46143</v>
      </c>
      <c r="C195" s="35" t="s">
        <v>44</v>
      </c>
      <c r="D195" s="33" t="s">
        <v>37</v>
      </c>
      <c r="E195" s="33" t="s">
        <v>68</v>
      </c>
      <c r="F195" s="48" t="s">
        <v>121</v>
      </c>
      <c r="G195" s="33" t="s">
        <v>35</v>
      </c>
      <c r="H195" s="57"/>
      <c r="I195" s="57"/>
      <c r="J195" s="57"/>
      <c r="K195" s="60">
        <v>46154</v>
      </c>
      <c r="L195" s="68">
        <v>50000</v>
      </c>
      <c r="M195" s="52">
        <v>1</v>
      </c>
      <c r="N195" s="44">
        <f t="shared" si="11"/>
        <v>50000</v>
      </c>
      <c r="O195" s="35">
        <f t="shared" si="12"/>
        <v>46154</v>
      </c>
      <c r="P195" s="33"/>
    </row>
    <row r="196" spans="1:16" x14ac:dyDescent="0.25">
      <c r="A196" s="33">
        <f>SUBTOTAL(3,$B$2:B196)</f>
        <v>195</v>
      </c>
      <c r="B196" s="20">
        <v>46143</v>
      </c>
      <c r="C196" s="35" t="s">
        <v>44</v>
      </c>
      <c r="D196" s="33" t="s">
        <v>37</v>
      </c>
      <c r="E196" s="33" t="s">
        <v>68</v>
      </c>
      <c r="F196" s="48" t="s">
        <v>119</v>
      </c>
      <c r="G196" s="33" t="s">
        <v>35</v>
      </c>
      <c r="H196" s="62"/>
      <c r="I196" s="62"/>
      <c r="J196" s="62"/>
      <c r="K196" s="60">
        <v>46154</v>
      </c>
      <c r="L196" s="68">
        <v>50000</v>
      </c>
      <c r="M196" s="52">
        <v>1</v>
      </c>
      <c r="N196" s="44">
        <f t="shared" si="11"/>
        <v>50000</v>
      </c>
      <c r="O196" s="35">
        <f t="shared" si="12"/>
        <v>46154</v>
      </c>
    </row>
    <row r="197" spans="1:16" x14ac:dyDescent="0.25">
      <c r="A197" s="33">
        <f>SUBTOTAL(3,$B$2:B197)</f>
        <v>196</v>
      </c>
      <c r="B197" s="20">
        <v>46143</v>
      </c>
      <c r="C197" s="35" t="s">
        <v>44</v>
      </c>
      <c r="D197" s="33" t="s">
        <v>37</v>
      </c>
      <c r="E197" s="33" t="s">
        <v>68</v>
      </c>
      <c r="F197" s="48" t="s">
        <v>122</v>
      </c>
      <c r="G197" s="33" t="s">
        <v>35</v>
      </c>
      <c r="H197" s="57"/>
      <c r="I197" s="57"/>
      <c r="J197" s="57"/>
      <c r="K197" s="60">
        <v>46157</v>
      </c>
      <c r="L197" s="68">
        <v>50000</v>
      </c>
      <c r="M197" s="52">
        <v>1</v>
      </c>
      <c r="N197" s="44">
        <f t="shared" si="11"/>
        <v>50000</v>
      </c>
      <c r="O197" s="35">
        <f t="shared" si="12"/>
        <v>46157</v>
      </c>
    </row>
    <row r="198" spans="1:16" x14ac:dyDescent="0.25">
      <c r="A198" s="33">
        <f>SUBTOTAL(3,$B$2:B198)</f>
        <v>197</v>
      </c>
      <c r="B198" s="20">
        <v>46143</v>
      </c>
      <c r="C198" s="35" t="s">
        <v>44</v>
      </c>
      <c r="D198" s="33" t="s">
        <v>37</v>
      </c>
      <c r="E198" s="33" t="s">
        <v>68</v>
      </c>
      <c r="F198" s="48" t="s">
        <v>123</v>
      </c>
      <c r="G198" s="33" t="s">
        <v>35</v>
      </c>
      <c r="H198" s="57"/>
      <c r="I198" s="57"/>
      <c r="J198" s="57"/>
      <c r="K198" s="60">
        <v>46157</v>
      </c>
      <c r="L198" s="49">
        <v>50000</v>
      </c>
      <c r="M198" s="52">
        <v>1</v>
      </c>
      <c r="N198" s="44">
        <f t="shared" si="11"/>
        <v>50000</v>
      </c>
      <c r="O198" s="35">
        <f t="shared" si="12"/>
        <v>46157</v>
      </c>
    </row>
    <row r="199" spans="1:16" x14ac:dyDescent="0.25">
      <c r="A199" s="33">
        <f>SUBTOTAL(3,$B$2:B199)</f>
        <v>198</v>
      </c>
      <c r="B199" s="20">
        <v>46143</v>
      </c>
      <c r="C199" s="35" t="s">
        <v>44</v>
      </c>
      <c r="D199" s="33" t="s">
        <v>37</v>
      </c>
      <c r="E199" s="33" t="s">
        <v>68</v>
      </c>
      <c r="F199" s="48" t="s">
        <v>121</v>
      </c>
      <c r="G199" s="33" t="s">
        <v>35</v>
      </c>
      <c r="H199" s="57"/>
      <c r="I199" s="57"/>
      <c r="J199" s="57"/>
      <c r="K199" s="60">
        <v>46169</v>
      </c>
      <c r="L199" s="49">
        <v>50000</v>
      </c>
      <c r="M199" s="52">
        <v>1</v>
      </c>
      <c r="N199" s="44">
        <f t="shared" si="11"/>
        <v>50000</v>
      </c>
      <c r="O199" s="35">
        <f t="shared" si="12"/>
        <v>46169</v>
      </c>
    </row>
    <row r="200" spans="1:16" x14ac:dyDescent="0.25">
      <c r="A200" s="33">
        <f>SUBTOTAL(3,$B$2:B200)</f>
        <v>199</v>
      </c>
      <c r="B200" s="20">
        <v>46143</v>
      </c>
      <c r="C200" s="35" t="s">
        <v>44</v>
      </c>
      <c r="D200" s="33" t="s">
        <v>37</v>
      </c>
      <c r="E200" s="33" t="s">
        <v>68</v>
      </c>
      <c r="F200" s="48" t="s">
        <v>124</v>
      </c>
      <c r="G200" s="33" t="s">
        <v>35</v>
      </c>
      <c r="H200" s="57"/>
      <c r="I200" s="57"/>
      <c r="J200" s="57"/>
      <c r="K200" s="60">
        <v>46169</v>
      </c>
      <c r="L200" s="49">
        <v>50000</v>
      </c>
      <c r="M200" s="52">
        <v>1</v>
      </c>
      <c r="N200" s="44">
        <f t="shared" ref="N200:N205" si="19">IF(B200&gt;O200,"",L200/M200)</f>
        <v>50000</v>
      </c>
      <c r="O200" s="35">
        <f t="shared" ref="O200:O204" si="20">EDATE(K200, M200-1)</f>
        <v>46169</v>
      </c>
    </row>
    <row r="201" spans="1:16" x14ac:dyDescent="0.25">
      <c r="A201" s="33">
        <f>SUBTOTAL(3,$B$2:B201)</f>
        <v>200</v>
      </c>
      <c r="B201" s="20">
        <v>46143</v>
      </c>
      <c r="C201" s="35" t="s">
        <v>44</v>
      </c>
      <c r="D201" s="33" t="s">
        <v>37</v>
      </c>
      <c r="E201" s="33" t="s">
        <v>68</v>
      </c>
      <c r="F201" s="48" t="s">
        <v>125</v>
      </c>
      <c r="G201" s="33" t="s">
        <v>35</v>
      </c>
      <c r="H201" s="57"/>
      <c r="I201" s="57"/>
      <c r="J201" s="57"/>
      <c r="K201" s="60">
        <v>46169</v>
      </c>
      <c r="L201" s="49">
        <v>50000</v>
      </c>
      <c r="M201" s="52">
        <v>1</v>
      </c>
      <c r="N201" s="44">
        <f t="shared" si="19"/>
        <v>50000</v>
      </c>
      <c r="O201" s="35">
        <f t="shared" si="20"/>
        <v>46169</v>
      </c>
    </row>
    <row r="202" spans="1:16" x14ac:dyDescent="0.25">
      <c r="A202" s="33">
        <f>SUBTOTAL(3,$B$2:B202)</f>
        <v>201</v>
      </c>
      <c r="B202" s="20">
        <v>46143</v>
      </c>
      <c r="C202" s="35" t="s">
        <v>44</v>
      </c>
      <c r="D202" s="33" t="s">
        <v>37</v>
      </c>
      <c r="E202" s="33" t="s">
        <v>68</v>
      </c>
      <c r="F202" s="48" t="s">
        <v>126</v>
      </c>
      <c r="G202" s="33" t="s">
        <v>35</v>
      </c>
      <c r="H202" s="57"/>
      <c r="I202" s="57"/>
      <c r="J202" s="57"/>
      <c r="K202" s="60">
        <v>46173</v>
      </c>
      <c r="L202" s="49">
        <v>50000</v>
      </c>
      <c r="M202" s="52">
        <v>1</v>
      </c>
      <c r="N202" s="44">
        <f t="shared" si="19"/>
        <v>50000</v>
      </c>
      <c r="O202" s="35">
        <f t="shared" si="20"/>
        <v>46173</v>
      </c>
    </row>
    <row r="203" spans="1:16" x14ac:dyDescent="0.25">
      <c r="A203" s="33"/>
      <c r="B203" s="20">
        <v>46143</v>
      </c>
      <c r="C203" s="35" t="s">
        <v>44</v>
      </c>
      <c r="D203" s="33" t="s">
        <v>38</v>
      </c>
      <c r="E203" s="33" t="s">
        <v>39</v>
      </c>
      <c r="F203" s="48" t="s">
        <v>128</v>
      </c>
      <c r="G203" s="33" t="s">
        <v>35</v>
      </c>
      <c r="H203" s="57"/>
      <c r="I203" s="57"/>
      <c r="J203" s="57"/>
      <c r="K203" s="60">
        <v>46173</v>
      </c>
      <c r="L203" s="49">
        <v>768513</v>
      </c>
      <c r="M203" s="52">
        <v>1</v>
      </c>
      <c r="N203" s="44">
        <f t="shared" si="19"/>
        <v>768513</v>
      </c>
      <c r="O203" s="35">
        <f t="shared" si="20"/>
        <v>46173</v>
      </c>
    </row>
    <row r="204" spans="1:16" x14ac:dyDescent="0.25">
      <c r="A204" s="33"/>
      <c r="B204" s="20"/>
      <c r="C204" s="35"/>
      <c r="D204" s="33"/>
      <c r="E204" s="33"/>
      <c r="F204" s="48"/>
      <c r="G204" s="33"/>
      <c r="H204" s="57"/>
      <c r="I204" s="57"/>
      <c r="J204" s="57"/>
      <c r="K204" s="60"/>
      <c r="L204" s="49"/>
      <c r="M204" s="52"/>
      <c r="N204" s="44"/>
      <c r="O204" s="35"/>
    </row>
    <row r="205" spans="1:16" x14ac:dyDescent="0.25">
      <c r="A205" s="33"/>
      <c r="B205" s="20"/>
      <c r="C205" s="35"/>
      <c r="D205" s="33"/>
      <c r="E205" s="33"/>
      <c r="F205" s="48"/>
      <c r="G205" s="33"/>
      <c r="H205" s="57"/>
      <c r="I205" s="57"/>
      <c r="J205" s="57"/>
      <c r="K205" s="60"/>
      <c r="L205" s="49"/>
      <c r="M205" s="52"/>
      <c r="N205" s="44"/>
      <c r="O205" s="35"/>
    </row>
    <row r="206" spans="1:16" x14ac:dyDescent="0.25">
      <c r="A206" s="33"/>
      <c r="B206" s="20"/>
      <c r="C206" s="35"/>
      <c r="D206" s="33"/>
      <c r="E206" s="33"/>
      <c r="F206" s="48"/>
      <c r="G206" s="33"/>
      <c r="H206" s="57"/>
      <c r="I206" s="57"/>
      <c r="J206" s="57"/>
      <c r="K206" s="60"/>
      <c r="L206" s="49"/>
      <c r="M206" s="52"/>
      <c r="N206" s="44"/>
      <c r="O206" s="35"/>
    </row>
    <row r="207" spans="1:16" ht="40.5" customHeight="1" x14ac:dyDescent="0.25">
      <c r="A207" s="45"/>
      <c r="B207" s="20"/>
      <c r="C207" s="35"/>
      <c r="D207" s="33"/>
      <c r="E207" s="33"/>
      <c r="F207" s="45"/>
      <c r="G207" s="45"/>
      <c r="H207" s="45"/>
      <c r="I207" s="45"/>
      <c r="J207" s="45"/>
      <c r="K207" s="66" t="s">
        <v>98</v>
      </c>
      <c r="L207" s="66"/>
      <c r="M207" s="66"/>
      <c r="N207" s="46">
        <f>SUBTOTAL(9,N2:N204)</f>
        <v>262058483.07108507</v>
      </c>
      <c r="O207" s="2"/>
    </row>
    <row r="208" spans="1:16" x14ac:dyDescent="0.25">
      <c r="B208" s="20"/>
      <c r="C208" s="35"/>
      <c r="D208" s="33"/>
      <c r="E208" s="33"/>
    </row>
    <row r="213" spans="12:12" x14ac:dyDescent="0.25">
      <c r="L213" s="47"/>
    </row>
  </sheetData>
  <autoFilter ref="A1:P195" xr:uid="{105D9AB5-4969-49F6-989D-5F4EC3D6EEFB}"/>
  <mergeCells count="1">
    <mergeCell ref="K207:M20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6621-A514-4C0A-9501-01B31282E874}">
  <dimension ref="A1:G17"/>
  <sheetViews>
    <sheetView workbookViewId="0">
      <selection sqref="A1:XFD1048576"/>
    </sheetView>
  </sheetViews>
  <sheetFormatPr defaultRowHeight="15" x14ac:dyDescent="0.25"/>
  <cols>
    <col min="1" max="1" width="15" customWidth="1"/>
    <col min="4" max="4" width="14.85546875" customWidth="1"/>
    <col min="5" max="5" width="17.5703125" customWidth="1"/>
  </cols>
  <sheetData>
    <row r="1" spans="1:7" ht="63" x14ac:dyDescent="0.25">
      <c r="A1" s="11" t="s">
        <v>76</v>
      </c>
      <c r="B1" s="11" t="s">
        <v>77</v>
      </c>
      <c r="C1" s="12" t="s">
        <v>78</v>
      </c>
      <c r="D1" s="12" t="s">
        <v>79</v>
      </c>
      <c r="E1" s="12" t="s">
        <v>80</v>
      </c>
      <c r="F1" s="12" t="s">
        <v>81</v>
      </c>
    </row>
    <row r="2" spans="1:7" ht="15.75" x14ac:dyDescent="0.25">
      <c r="A2" s="13" t="s">
        <v>82</v>
      </c>
      <c r="B2" s="14" t="s">
        <v>83</v>
      </c>
      <c r="C2" s="13">
        <v>9.5</v>
      </c>
      <c r="D2" s="15">
        <v>135000</v>
      </c>
      <c r="E2" s="16">
        <v>10000</v>
      </c>
      <c r="F2" s="15">
        <f>C2*D2/E2</f>
        <v>128.25</v>
      </c>
    </row>
    <row r="3" spans="1:7" ht="15.75" x14ac:dyDescent="0.25">
      <c r="A3" s="13" t="s">
        <v>82</v>
      </c>
      <c r="B3" s="14" t="s">
        <v>84</v>
      </c>
      <c r="C3" s="13">
        <v>7.5</v>
      </c>
      <c r="D3" s="15">
        <v>135000</v>
      </c>
      <c r="E3" s="16">
        <v>10000</v>
      </c>
      <c r="F3" s="15">
        <f>C3*D3/E3</f>
        <v>101.25</v>
      </c>
    </row>
    <row r="4" spans="1:7" ht="15.75" x14ac:dyDescent="0.25">
      <c r="A4" s="13" t="s">
        <v>82</v>
      </c>
      <c r="B4" s="14" t="s">
        <v>85</v>
      </c>
      <c r="C4" s="13">
        <v>4</v>
      </c>
      <c r="D4" s="15">
        <v>140000</v>
      </c>
      <c r="E4" s="16">
        <v>10000</v>
      </c>
      <c r="F4" s="15">
        <f>C4*D4/E4</f>
        <v>56</v>
      </c>
    </row>
    <row r="5" spans="1:7" ht="15.75" x14ac:dyDescent="0.25">
      <c r="A5" s="13" t="s">
        <v>82</v>
      </c>
      <c r="B5" s="14" t="s">
        <v>19</v>
      </c>
      <c r="C5" s="13">
        <v>0</v>
      </c>
      <c r="D5" s="15"/>
      <c r="E5" s="16"/>
      <c r="F5" s="15"/>
    </row>
    <row r="6" spans="1:7" ht="15.75" x14ac:dyDescent="0.25">
      <c r="A6" s="13" t="s">
        <v>31</v>
      </c>
      <c r="B6" s="14" t="s">
        <v>83</v>
      </c>
      <c r="C6" s="13">
        <v>4</v>
      </c>
      <c r="D6" s="15">
        <v>2635000</v>
      </c>
      <c r="E6" s="16">
        <v>100000</v>
      </c>
      <c r="F6" s="15">
        <f>C6*D6/E6</f>
        <v>105.4</v>
      </c>
      <c r="G6" t="s">
        <v>86</v>
      </c>
    </row>
    <row r="7" spans="1:7" ht="15.75" x14ac:dyDescent="0.25">
      <c r="A7" s="13" t="s">
        <v>31</v>
      </c>
      <c r="B7" s="14" t="s">
        <v>84</v>
      </c>
      <c r="C7" s="13">
        <v>4</v>
      </c>
      <c r="D7" s="15">
        <v>2635000</v>
      </c>
      <c r="E7" s="16">
        <v>100000</v>
      </c>
      <c r="F7" s="15">
        <f>C7*D7/E7</f>
        <v>105.4</v>
      </c>
      <c r="G7" t="s">
        <v>87</v>
      </c>
    </row>
    <row r="8" spans="1:7" ht="15.75" x14ac:dyDescent="0.25">
      <c r="A8" s="13" t="s">
        <v>31</v>
      </c>
      <c r="B8" s="14" t="s">
        <v>85</v>
      </c>
      <c r="C8" s="13">
        <v>4</v>
      </c>
      <c r="D8" s="15">
        <v>1360000</v>
      </c>
      <c r="E8" s="16">
        <v>80000</v>
      </c>
      <c r="F8" s="15">
        <f>C8*D8/E8</f>
        <v>68</v>
      </c>
    </row>
    <row r="9" spans="1:7" ht="15.75" x14ac:dyDescent="0.25">
      <c r="A9" s="13" t="s">
        <v>31</v>
      </c>
      <c r="B9" s="14" t="s">
        <v>19</v>
      </c>
      <c r="C9" s="13">
        <v>4</v>
      </c>
      <c r="D9" s="15">
        <v>3600000</v>
      </c>
      <c r="E9" s="16">
        <v>80000</v>
      </c>
      <c r="F9" s="15">
        <f>C9*D9/E9</f>
        <v>180</v>
      </c>
    </row>
    <row r="10" spans="1:7" ht="15.75" x14ac:dyDescent="0.25">
      <c r="A10" s="13" t="s">
        <v>32</v>
      </c>
      <c r="B10" s="14" t="s">
        <v>83</v>
      </c>
      <c r="C10" s="13">
        <v>1</v>
      </c>
      <c r="D10" s="15">
        <v>1850000</v>
      </c>
      <c r="E10" s="16">
        <v>100000</v>
      </c>
      <c r="F10" s="15">
        <f t="shared" ref="F10:F13" si="0">C10*D10/E10</f>
        <v>18.5</v>
      </c>
    </row>
    <row r="11" spans="1:7" ht="15.75" x14ac:dyDescent="0.25">
      <c r="A11" s="13" t="s">
        <v>32</v>
      </c>
      <c r="B11" s="14" t="s">
        <v>84</v>
      </c>
      <c r="C11" s="13">
        <v>1</v>
      </c>
      <c r="D11" s="15">
        <v>2950000</v>
      </c>
      <c r="E11" s="16">
        <v>100000</v>
      </c>
      <c r="F11" s="15">
        <f t="shared" si="0"/>
        <v>29.5</v>
      </c>
    </row>
    <row r="12" spans="1:7" ht="15.75" x14ac:dyDescent="0.25">
      <c r="A12" s="13" t="s">
        <v>32</v>
      </c>
      <c r="B12" s="14" t="s">
        <v>85</v>
      </c>
      <c r="C12" s="13">
        <v>1</v>
      </c>
      <c r="D12" s="15">
        <v>1650000</v>
      </c>
      <c r="E12" s="16">
        <v>100000</v>
      </c>
      <c r="F12" s="15">
        <f t="shared" si="0"/>
        <v>16.5</v>
      </c>
    </row>
    <row r="13" spans="1:7" ht="15.75" x14ac:dyDescent="0.25">
      <c r="A13" s="13" t="s">
        <v>32</v>
      </c>
      <c r="B13" s="14" t="s">
        <v>19</v>
      </c>
      <c r="C13" s="13">
        <v>1</v>
      </c>
      <c r="D13" s="15">
        <v>1850000</v>
      </c>
      <c r="E13" s="16">
        <v>100000</v>
      </c>
      <c r="F13" s="15">
        <f t="shared" si="0"/>
        <v>18.5</v>
      </c>
    </row>
    <row r="14" spans="1:7" ht="15.75" x14ac:dyDescent="0.25">
      <c r="A14" s="13" t="s">
        <v>33</v>
      </c>
      <c r="B14" s="14" t="s">
        <v>83</v>
      </c>
      <c r="C14" s="17">
        <v>0.1</v>
      </c>
      <c r="D14" s="18">
        <v>12930133.3333333</v>
      </c>
      <c r="E14" s="16">
        <v>5000</v>
      </c>
      <c r="F14" s="15">
        <f>D14*C14/E14</f>
        <v>258.60266666666604</v>
      </c>
    </row>
    <row r="15" spans="1:7" ht="15.75" x14ac:dyDescent="0.25">
      <c r="A15" s="13" t="s">
        <v>33</v>
      </c>
      <c r="B15" s="14" t="s">
        <v>84</v>
      </c>
      <c r="C15" s="17">
        <v>0.1</v>
      </c>
      <c r="D15" s="18">
        <v>12930133.3333333</v>
      </c>
      <c r="E15" s="16">
        <v>5000</v>
      </c>
      <c r="F15" s="15">
        <f>D15*C15/E15</f>
        <v>258.60266666666604</v>
      </c>
    </row>
    <row r="16" spans="1:7" ht="15.75" x14ac:dyDescent="0.25">
      <c r="A16" s="13" t="s">
        <v>33</v>
      </c>
      <c r="B16" s="14" t="s">
        <v>85</v>
      </c>
      <c r="C16" s="17">
        <v>0.08</v>
      </c>
      <c r="D16" s="18">
        <v>12930133.3333333</v>
      </c>
      <c r="E16" s="16">
        <v>5000</v>
      </c>
      <c r="F16" s="15">
        <f t="shared" ref="F16:F17" si="1">D16*C16/E16</f>
        <v>206.8821333333328</v>
      </c>
    </row>
    <row r="17" spans="1:6" ht="15.75" x14ac:dyDescent="0.25">
      <c r="A17" s="13" t="s">
        <v>33</v>
      </c>
      <c r="B17" s="14" t="s">
        <v>19</v>
      </c>
      <c r="C17" s="17">
        <v>0.05</v>
      </c>
      <c r="D17" s="18">
        <v>11590909.083333334</v>
      </c>
      <c r="E17" s="16">
        <v>5000</v>
      </c>
      <c r="F17" s="15">
        <f t="shared" si="1"/>
        <v>115.90909083333334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AFC2-DDD8-4E29-A82E-E09EB5C4CCC7}">
  <dimension ref="A1:F4"/>
  <sheetViews>
    <sheetView workbookViewId="0">
      <selection activeCell="E32" sqref="E32"/>
    </sheetView>
  </sheetViews>
  <sheetFormatPr defaultRowHeight="15" x14ac:dyDescent="0.25"/>
  <cols>
    <col min="1" max="1" width="13.85546875" customWidth="1"/>
    <col min="2" max="2" width="10.42578125" customWidth="1"/>
    <col min="3" max="3" width="14.28515625" customWidth="1"/>
    <col min="4" max="4" width="16.42578125" customWidth="1"/>
    <col min="5" max="5" width="22.28515625" customWidth="1"/>
    <col min="6" max="6" width="19.42578125" customWidth="1"/>
  </cols>
  <sheetData>
    <row r="1" spans="1:6" ht="15.75" x14ac:dyDescent="0.25">
      <c r="A1" s="6" t="s">
        <v>72</v>
      </c>
      <c r="B1" s="7" t="s">
        <v>73</v>
      </c>
      <c r="C1" s="67" t="s">
        <v>74</v>
      </c>
      <c r="D1" s="67"/>
      <c r="E1" s="67" t="s">
        <v>75</v>
      </c>
      <c r="F1" s="67"/>
    </row>
    <row r="2" spans="1:6" ht="15.75" x14ac:dyDescent="0.25">
      <c r="A2" s="10">
        <v>46143</v>
      </c>
      <c r="B2" s="8" t="s">
        <v>44</v>
      </c>
      <c r="C2" s="8" t="s">
        <v>93</v>
      </c>
      <c r="D2" s="9">
        <v>15450</v>
      </c>
      <c r="E2" s="9" t="s">
        <v>96</v>
      </c>
      <c r="F2" s="9">
        <v>22</v>
      </c>
    </row>
    <row r="3" spans="1:6" x14ac:dyDescent="0.25">
      <c r="C3" t="s">
        <v>94</v>
      </c>
      <c r="D3">
        <v>43</v>
      </c>
      <c r="E3" t="s">
        <v>97</v>
      </c>
      <c r="F3">
        <v>13</v>
      </c>
    </row>
    <row r="4" spans="1:6" x14ac:dyDescent="0.25">
      <c r="C4" t="s">
        <v>95</v>
      </c>
      <c r="D4">
        <v>48</v>
      </c>
    </row>
  </sheetData>
  <mergeCells count="2">
    <mergeCell ref="E1:F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Tóm tắt CP</vt:lpstr>
      <vt:lpstr>Chi tiết T4</vt:lpstr>
      <vt:lpstr>Đơn giá SCBD</vt:lpstr>
      <vt:lpstr>Doanh thu 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Do Thi Ngoc</dc:creator>
  <cp:lastModifiedBy>Administrator</cp:lastModifiedBy>
  <dcterms:created xsi:type="dcterms:W3CDTF">2026-02-06T07:11:56Z</dcterms:created>
  <dcterms:modified xsi:type="dcterms:W3CDTF">2026-06-10T08:20:30Z</dcterms:modified>
</cp:coreProperties>
</file>