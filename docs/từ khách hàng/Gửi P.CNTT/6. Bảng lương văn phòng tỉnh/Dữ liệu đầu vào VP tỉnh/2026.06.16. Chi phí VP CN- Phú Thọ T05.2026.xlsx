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&amp;B\01. Tong X.E Viet Nam\03. Du lieu luong\Năm 2026\Tháng 5\Dữ liệu lương\văn phòng tỉnh\"/>
    </mc:Choice>
  </mc:AlternateContent>
  <xr:revisionPtr revIDLastSave="0" documentId="13_ncr:1_{A6723C84-CB23-43F3-A072-C36AF421E83C}" xr6:coauthVersionLast="47" xr6:coauthVersionMax="47" xr10:uidLastSave="{00000000-0000-0000-0000-000000000000}"/>
  <bookViews>
    <workbookView xWindow="-120" yWindow="-120" windowWidth="29040" windowHeight="15840" xr2:uid="{F9FCE395-047A-4F7E-B8C1-83665A496473}"/>
  </bookViews>
  <sheets>
    <sheet name="Tóm tắt CP" sheetId="2" r:id="rId1"/>
    <sheet name="Chi tiết" sheetId="1" r:id="rId2"/>
    <sheet name="Đơn giá SCBD" sheetId="4" r:id="rId3"/>
    <sheet name="Doanh thu CN" sheetId="3" r:id="rId4"/>
  </sheets>
  <definedNames>
    <definedName name="_xlnm._FilterDatabase" localSheetId="1" hidden="1">'Chi tiết'!$A$1:$P$103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0" i="1" l="1"/>
  <c r="N100" i="1" s="1"/>
  <c r="O101" i="1"/>
  <c r="N101" i="1" s="1"/>
  <c r="C2" i="3"/>
  <c r="O84" i="1" l="1"/>
  <c r="N84" i="1" s="1"/>
  <c r="O85" i="1"/>
  <c r="N85" i="1" s="1"/>
  <c r="O86" i="1"/>
  <c r="N86" i="1" s="1"/>
  <c r="O87" i="1"/>
  <c r="N87" i="1" s="1"/>
  <c r="O88" i="1"/>
  <c r="N88" i="1" s="1"/>
  <c r="A84" i="1"/>
  <c r="A85" i="1"/>
  <c r="A86" i="1"/>
  <c r="A87" i="1"/>
  <c r="F127" i="1"/>
  <c r="A98" i="1" l="1"/>
  <c r="A99" i="1"/>
  <c r="A100" i="1"/>
  <c r="A101" i="1"/>
  <c r="A102" i="1"/>
  <c r="A103" i="1"/>
  <c r="A104" i="1"/>
  <c r="O81" i="1" l="1"/>
  <c r="N81" i="1" s="1"/>
  <c r="O82" i="1"/>
  <c r="N82" i="1" s="1"/>
  <c r="O83" i="1"/>
  <c r="N83" i="1" s="1"/>
  <c r="A81" i="1"/>
  <c r="A82" i="1"/>
  <c r="A83" i="1"/>
  <c r="A88" i="1"/>
  <c r="A89" i="1"/>
  <c r="A90" i="1"/>
  <c r="O99" i="1"/>
  <c r="N99" i="1" s="1"/>
  <c r="L34" i="1"/>
  <c r="L35" i="1"/>
  <c r="L36" i="1"/>
  <c r="L37" i="1"/>
  <c r="L38" i="1"/>
  <c r="L39" i="1"/>
  <c r="L40" i="1"/>
  <c r="L48" i="1"/>
  <c r="L47" i="1"/>
  <c r="L46" i="1"/>
  <c r="L45" i="1"/>
  <c r="L44" i="1"/>
  <c r="L43" i="1"/>
  <c r="L42" i="1"/>
  <c r="L41" i="1"/>
  <c r="L33" i="1"/>
  <c r="L32" i="1"/>
  <c r="F17" i="4"/>
  <c r="F16" i="4"/>
  <c r="F15" i="4"/>
  <c r="F14" i="4"/>
  <c r="F13" i="4"/>
  <c r="F12" i="4"/>
  <c r="F11" i="4"/>
  <c r="F10" i="4"/>
  <c r="F9" i="4"/>
  <c r="F8" i="4"/>
  <c r="F7" i="4"/>
  <c r="F6" i="4"/>
  <c r="F4" i="4"/>
  <c r="F3" i="4"/>
  <c r="F2" i="4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91" i="1"/>
  <c r="A92" i="1"/>
  <c r="A93" i="1"/>
  <c r="A94" i="1"/>
  <c r="A95" i="1"/>
  <c r="A96" i="1"/>
  <c r="A97" i="1"/>
  <c r="A2" i="1"/>
  <c r="O3" i="1"/>
  <c r="N3" i="1" s="1"/>
  <c r="O4" i="1"/>
  <c r="N4" i="1" s="1"/>
  <c r="O5" i="1"/>
  <c r="N5" i="1" s="1"/>
  <c r="O6" i="1"/>
  <c r="N6" i="1" s="1"/>
  <c r="O7" i="1"/>
  <c r="N7" i="1" s="1"/>
  <c r="O8" i="1"/>
  <c r="N8" i="1" s="1"/>
  <c r="O9" i="1"/>
  <c r="N9" i="1" s="1"/>
  <c r="O10" i="1"/>
  <c r="N10" i="1" s="1"/>
  <c r="O11" i="1"/>
  <c r="N11" i="1" s="1"/>
  <c r="O12" i="1"/>
  <c r="N12" i="1" s="1"/>
  <c r="O13" i="1"/>
  <c r="N13" i="1" s="1"/>
  <c r="O14" i="1"/>
  <c r="N14" i="1" s="1"/>
  <c r="O15" i="1"/>
  <c r="N15" i="1" s="1"/>
  <c r="O16" i="1"/>
  <c r="N16" i="1" s="1"/>
  <c r="O17" i="1"/>
  <c r="N17" i="1" s="1"/>
  <c r="O18" i="1"/>
  <c r="N18" i="1" s="1"/>
  <c r="O19" i="1"/>
  <c r="N19" i="1" s="1"/>
  <c r="O20" i="1"/>
  <c r="N20" i="1" s="1"/>
  <c r="O21" i="1"/>
  <c r="N21" i="1" s="1"/>
  <c r="O22" i="1"/>
  <c r="N22" i="1" s="1"/>
  <c r="O23" i="1"/>
  <c r="N23" i="1" s="1"/>
  <c r="O24" i="1"/>
  <c r="N24" i="1" s="1"/>
  <c r="O25" i="1"/>
  <c r="N25" i="1" s="1"/>
  <c r="O26" i="1"/>
  <c r="N26" i="1" s="1"/>
  <c r="O27" i="1"/>
  <c r="N27" i="1" s="1"/>
  <c r="O28" i="1"/>
  <c r="N28" i="1" s="1"/>
  <c r="O29" i="1"/>
  <c r="N29" i="1" s="1"/>
  <c r="O30" i="1"/>
  <c r="N30" i="1" s="1"/>
  <c r="O31" i="1"/>
  <c r="N31" i="1" s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N49" i="1" s="1"/>
  <c r="O50" i="1"/>
  <c r="N50" i="1" s="1"/>
  <c r="O51" i="1"/>
  <c r="N51" i="1" s="1"/>
  <c r="O52" i="1"/>
  <c r="N52" i="1" s="1"/>
  <c r="O53" i="1"/>
  <c r="N53" i="1" s="1"/>
  <c r="O54" i="1"/>
  <c r="N54" i="1" s="1"/>
  <c r="O55" i="1"/>
  <c r="N55" i="1" s="1"/>
  <c r="O56" i="1"/>
  <c r="N56" i="1" s="1"/>
  <c r="O57" i="1"/>
  <c r="N57" i="1" s="1"/>
  <c r="O58" i="1"/>
  <c r="N58" i="1" s="1"/>
  <c r="O59" i="1"/>
  <c r="N59" i="1" s="1"/>
  <c r="O60" i="1"/>
  <c r="N60" i="1" s="1"/>
  <c r="O61" i="1"/>
  <c r="N61" i="1" s="1"/>
  <c r="O62" i="1"/>
  <c r="N62" i="1" s="1"/>
  <c r="O63" i="1"/>
  <c r="N63" i="1" s="1"/>
  <c r="O64" i="1"/>
  <c r="N64" i="1" s="1"/>
  <c r="O65" i="1"/>
  <c r="N65" i="1" s="1"/>
  <c r="O66" i="1"/>
  <c r="N66" i="1" s="1"/>
  <c r="O67" i="1"/>
  <c r="N67" i="1" s="1"/>
  <c r="O68" i="1"/>
  <c r="N68" i="1" s="1"/>
  <c r="O69" i="1"/>
  <c r="N69" i="1" s="1"/>
  <c r="O70" i="1"/>
  <c r="N70" i="1" s="1"/>
  <c r="O71" i="1"/>
  <c r="N71" i="1" s="1"/>
  <c r="O72" i="1"/>
  <c r="N72" i="1" s="1"/>
  <c r="O73" i="1"/>
  <c r="N73" i="1" s="1"/>
  <c r="O74" i="1"/>
  <c r="N74" i="1" s="1"/>
  <c r="O75" i="1"/>
  <c r="N75" i="1" s="1"/>
  <c r="O76" i="1"/>
  <c r="N76" i="1" s="1"/>
  <c r="O77" i="1"/>
  <c r="N77" i="1" s="1"/>
  <c r="O78" i="1"/>
  <c r="N78" i="1" s="1"/>
  <c r="O79" i="1"/>
  <c r="N79" i="1" s="1"/>
  <c r="O80" i="1"/>
  <c r="N80" i="1" s="1"/>
  <c r="O89" i="1"/>
  <c r="N89" i="1" s="1"/>
  <c r="O90" i="1"/>
  <c r="N90" i="1" s="1"/>
  <c r="O91" i="1"/>
  <c r="N91" i="1" s="1"/>
  <c r="O92" i="1"/>
  <c r="N92" i="1" s="1"/>
  <c r="O93" i="1"/>
  <c r="N93" i="1" s="1"/>
  <c r="O94" i="1"/>
  <c r="N94" i="1" s="1"/>
  <c r="O95" i="1"/>
  <c r="N95" i="1" s="1"/>
  <c r="O96" i="1"/>
  <c r="N96" i="1" s="1"/>
  <c r="O97" i="1"/>
  <c r="N97" i="1" s="1"/>
  <c r="O98" i="1"/>
  <c r="N98" i="1" s="1"/>
  <c r="O2" i="1"/>
  <c r="N2" i="1" s="1"/>
  <c r="N48" i="1" l="1"/>
  <c r="N45" i="1"/>
  <c r="N35" i="1"/>
  <c r="N44" i="1"/>
  <c r="N34" i="1"/>
  <c r="N42" i="1"/>
  <c r="N37" i="1"/>
  <c r="N41" i="1"/>
  <c r="N47" i="1"/>
  <c r="N40" i="1"/>
  <c r="N43" i="1"/>
  <c r="N38" i="1"/>
  <c r="N46" i="1"/>
  <c r="N39" i="1"/>
  <c r="N36" i="1"/>
  <c r="N33" i="1"/>
  <c r="N32" i="1"/>
</calcChain>
</file>

<file path=xl/sharedStrings.xml><?xml version="1.0" encoding="utf-8"?>
<sst xmlns="http://schemas.openxmlformats.org/spreadsheetml/2006/main" count="750" uniqueCount="92">
  <si>
    <t>STT</t>
  </si>
  <si>
    <t>Tháng</t>
  </si>
  <si>
    <t>Tỉnh</t>
  </si>
  <si>
    <t>Nhóm CP</t>
  </si>
  <si>
    <t>Hạng mục chi</t>
  </si>
  <si>
    <t>Diễn giải chi tiết</t>
  </si>
  <si>
    <t>Tính chất chi phí</t>
  </si>
  <si>
    <t>Phân loại phương tiện/ Chức danh nhân sự</t>
  </si>
  <si>
    <t>KM hoạt động</t>
  </si>
  <si>
    <t>Ngày phát sinh chi phí</t>
  </si>
  <si>
    <t>Tổng số tiền (VNĐ)</t>
  </si>
  <si>
    <t>Số tháng khấu hao</t>
  </si>
  <si>
    <t>Chi phí khấu trừ quỹ lương tháng</t>
  </si>
  <si>
    <t>Tháng tính khấu hao cuối cùng</t>
  </si>
  <si>
    <t>Ghi chú</t>
  </si>
  <si>
    <t>PT</t>
  </si>
  <si>
    <t>CP liên quan đến khấu hao PT</t>
  </si>
  <si>
    <t>Mua xe trung chuyển</t>
  </si>
  <si>
    <t>CP mua xe mới</t>
  </si>
  <si>
    <t>Mua 1 lần, tính khấu hao hàng tháng</t>
  </si>
  <si>
    <t>29K23947</t>
  </si>
  <si>
    <t>Vf6</t>
  </si>
  <si>
    <t>29K23961</t>
  </si>
  <si>
    <t>29H88546</t>
  </si>
  <si>
    <t>Solati</t>
  </si>
  <si>
    <t>29H88577</t>
  </si>
  <si>
    <t>Suzu</t>
  </si>
  <si>
    <t>30L86952</t>
  </si>
  <si>
    <t>CP mua BH</t>
  </si>
  <si>
    <t>BH vật chất và BH TNDS</t>
  </si>
  <si>
    <t>CP đăng kiểm, đường bộ</t>
  </si>
  <si>
    <t>CP đăng kiểm, bảo trì đường bộ</t>
  </si>
  <si>
    <t>Mua thiết bị lắp thêm</t>
  </si>
  <si>
    <t>Mua bộ Camera GSHT tích hợp 2 trong 1 Skybox MDVR-2C</t>
  </si>
  <si>
    <t>CP dán thảm lót sàn</t>
  </si>
  <si>
    <t>Mua sim 5G</t>
  </si>
  <si>
    <t>CP mua sắm TTB VP</t>
  </si>
  <si>
    <t>Trang thiết bị VP</t>
  </si>
  <si>
    <t>Hạch toán mua cây máy tính mới cho điều hành Phú Thọ (chuyển từ VP Lê Duẩn lên)</t>
  </si>
  <si>
    <t>CP BD, SC trích trước</t>
  </si>
  <si>
    <t>BD, SC PT</t>
  </si>
  <si>
    <t>CP thay dầu, nhớt</t>
  </si>
  <si>
    <t>CP trích trước hàng tháng</t>
  </si>
  <si>
    <t>CP thay lốp</t>
  </si>
  <si>
    <t>CP thay ắc quy</t>
  </si>
  <si>
    <t>CP bảo dưỡng</t>
  </si>
  <si>
    <t>CP năng lượng/ nhiên liệu</t>
  </si>
  <si>
    <t>Tiền dầu</t>
  </si>
  <si>
    <t>CP phát sinh hàng tháng</t>
  </si>
  <si>
    <t>Tiền điện</t>
  </si>
  <si>
    <t>VF6</t>
  </si>
  <si>
    <t>CP vận hành khác</t>
  </si>
  <si>
    <t>CP rửa xe</t>
  </si>
  <si>
    <t>CP quản lý khác</t>
  </si>
  <si>
    <t>Văn phòng phẩm</t>
  </si>
  <si>
    <t>CP điện nước</t>
  </si>
  <si>
    <t>Hạch toán chi tiền đổi bình nước VPPT</t>
  </si>
  <si>
    <t>CP điện thoại</t>
  </si>
  <si>
    <t>0869224699 - Phú Thọ VTHK</t>
  </si>
  <si>
    <t>Tiền điện thoại qua app</t>
  </si>
  <si>
    <t>CP vá lốp</t>
  </si>
  <si>
    <t>Đối tượng theo dõi
(BSX)</t>
  </si>
  <si>
    <t>Row Labels</t>
  </si>
  <si>
    <t>Grand Total</t>
  </si>
  <si>
    <t>Sum of Chi phí khấu trừ quỹ lương tháng</t>
  </si>
  <si>
    <t>THÁNG</t>
  </si>
  <si>
    <t>TỈNH</t>
  </si>
  <si>
    <t>SẢN LƯỢNG HK</t>
  </si>
  <si>
    <t>SỐ LƯỢNG PHƯƠNG TIỆN QUẢN LÝ</t>
  </si>
  <si>
    <t>Stt</t>
  </si>
  <si>
    <t>Khoản mục</t>
  </si>
  <si>
    <t xml:space="preserve">Định mức thay/trích trước </t>
  </si>
  <si>
    <t>Đơn giá 
(đồng)</t>
  </si>
  <si>
    <t>Định ngạch sử dụng (km)</t>
  </si>
  <si>
    <t>Đơn giá chi phí (đ/km)</t>
  </si>
  <si>
    <t>Ford</t>
  </si>
  <si>
    <t>Lốp theo xe</t>
  </si>
  <si>
    <t>Bridgestone</t>
  </si>
  <si>
    <t>(blank)</t>
  </si>
  <si>
    <t>(All)</t>
  </si>
  <si>
    <t>CP khác</t>
  </si>
  <si>
    <t>30M36242</t>
  </si>
  <si>
    <t>Tiền đổ mực máy in</t>
  </si>
  <si>
    <t>Chi phí rửa xe TC tháng 05/2026</t>
  </si>
  <si>
    <t>Chi phí VPP tháng 05/2026</t>
  </si>
  <si>
    <t>Tiền điện tháng 5/2026</t>
  </si>
  <si>
    <t>Tiền vá lốp xe 29H88577</t>
  </si>
  <si>
    <t>Tiền vá lốp xe 29K23947</t>
  </si>
  <si>
    <t>Tiền cứu hộ thay lốp dự phòng xe 29H88546</t>
  </si>
  <si>
    <t>Tiền vá lốp xe 30L86952</t>
  </si>
  <si>
    <t>Tiền vá lốp xe 29H88546</t>
  </si>
  <si>
    <t>Tiền vá lốp xe 29K23961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</si>
</sst>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mm/yyyy"/>
    <numFmt numFmtId="166" formatCode="_(* #,##0_);_(* \(#,##0\);_(* &quot;-&quot;??_);_(@_)"/>
    <numFmt numFmtId="167" formatCode="_-* #,##0\ _₫_-;\-* #,##0\ _₫_-;_-* &quot;-&quot;??\ _₫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FFFF0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5" fontId="2" fillId="2" borderId="0" xfId="1" applyNumberFormat="1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3" fillId="0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5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166" fontId="3" fillId="0" borderId="0" xfId="1" applyNumberFormat="1" applyFont="1" applyAlignment="1">
      <alignment vertical="center" wrapText="1"/>
    </xf>
    <xf numFmtId="165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167" fontId="3" fillId="0" borderId="1" xfId="1" applyNumberFormat="1" applyFont="1" applyBorder="1" applyAlignment="1">
      <alignment vertical="center"/>
    </xf>
    <xf numFmtId="167" fontId="3" fillId="0" borderId="1" xfId="1" applyNumberFormat="1" applyFont="1" applyBorder="1" applyAlignment="1">
      <alignment horizontal="right" vertical="center"/>
    </xf>
    <xf numFmtId="9" fontId="3" fillId="0" borderId="1" xfId="2" applyFont="1" applyFill="1" applyBorder="1" applyAlignment="1">
      <alignment vertical="center"/>
    </xf>
    <xf numFmtId="166" fontId="3" fillId="0" borderId="1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2">
    <dxf>
      <numFmt numFmtId="166" formatCode="_(* #,##0_);_(* \(#,##0\);_(* &quot;-&quot;??_);_(@_)"/>
    </dxf>
    <dxf>
      <numFmt numFmtId="165" formatCode="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19.428533564816" createdVersion="8" refreshedVersion="7" minRefreshableVersion="3" recordCount="115" xr:uid="{ECA1E351-9736-43CC-A5C8-8666B67881BD}">
  <cacheSource type="worksheet">
    <worksheetSource ref="A1:P1048576" sheet="Chi tiết"/>
  </cacheSource>
  <cacheFields count="16">
    <cacheField name="STT" numFmtId="0">
      <sharedItems containsString="0" containsBlank="1" containsNumber="1" containsInteger="1" minValue="1" maxValue="113"/>
    </cacheField>
    <cacheField name="Tháng" numFmtId="0">
      <sharedItems containsNonDate="0" containsDate="1" containsString="0" containsBlank="1" minDate="2025-12-01T00:00:00" maxDate="2026-03-02T00:00:00" count="5">
        <d v="2026-03-01T00:00:00"/>
        <d v="2026-02-01T00:00:00"/>
        <m/>
        <d v="2026-01-01T00:00:00" u="1"/>
        <d v="2025-12-01T00:00:00" u="1"/>
      </sharedItems>
    </cacheField>
    <cacheField name="Tỉnh" numFmtId="0">
      <sharedItems containsBlank="1"/>
    </cacheField>
    <cacheField name="Nhóm CP" numFmtId="0">
      <sharedItems containsBlank="1" count="7">
        <s v="CP liên quan đến khấu hao PT"/>
        <s v="CP mua sắm TTB VP"/>
        <s v="CP BD, SC trích trước"/>
        <s v="CP năng lượng/ nhiên liệu"/>
        <s v="CP vận hành khác"/>
        <s v="CP quản lý khác"/>
        <m/>
      </sharedItems>
    </cacheField>
    <cacheField name="Hạng mục chi" numFmtId="0">
      <sharedItems containsBlank="1"/>
    </cacheField>
    <cacheField name="Diễn giải chi tiết" numFmtId="0">
      <sharedItems containsBlank="1"/>
    </cacheField>
    <cacheField name="Tính chất chi phí" numFmtId="0">
      <sharedItems containsBlank="1"/>
    </cacheField>
    <cacheField name="Đối tượng theo dõi_x000a_(BSX)" numFmtId="0">
      <sharedItems containsBlank="1"/>
    </cacheField>
    <cacheField name="Phân loại phương tiện/ Chức danh nhân sự" numFmtId="0">
      <sharedItems containsBlank="1"/>
    </cacheField>
    <cacheField name="KM hoạt động" numFmtId="0">
      <sharedItems containsString="0" containsBlank="1" containsNumber="1" containsInteger="1" minValue="2923" maxValue="9929"/>
    </cacheField>
    <cacheField name="Ngày phát sinh chi phí" numFmtId="0">
      <sharedItems containsNonDate="0" containsDate="1" containsString="0" containsBlank="1" minDate="2023-12-01T00:00:00" maxDate="2026-04-01T00:00:00"/>
    </cacheField>
    <cacheField name="Tổng số tiền (VNĐ)" numFmtId="0">
      <sharedItems containsString="0" containsBlank="1" containsNumber="1" minValue="48229.5" maxValue="1350000000"/>
    </cacheField>
    <cacheField name="Số tháng khấu hao" numFmtId="0">
      <sharedItems containsString="0" containsBlank="1" containsNumber="1" containsInteger="1" minValue="1" maxValue="72"/>
    </cacheField>
    <cacheField name="Chi phí khấu trừ quỹ lương tháng" numFmtId="0">
      <sharedItems containsBlank="1" containsMixedTypes="1" containsNumber="1" minValue="0" maxValue="18750000"/>
    </cacheField>
    <cacheField name="Tháng tính khấu hao cuối cùng" numFmtId="0">
      <sharedItems containsNonDate="0" containsDate="1" containsString="0" containsBlank="1" minDate="2025-11-01T00:00:00" maxDate="2030-06-21T00:00:00"/>
    </cacheField>
    <cacheField name="Ghi chú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n v="1"/>
    <x v="0"/>
    <s v="PT"/>
    <x v="0"/>
    <s v="Mua xe trung chuyển"/>
    <s v="CP mua xe mới"/>
    <s v="Mua 1 lần, tính khấu hao hàng tháng"/>
    <s v="29K23947"/>
    <s v="Vf6"/>
    <n v="5040"/>
    <d v="2025-03-13T00:00:00"/>
    <n v="785000000"/>
    <n v="60"/>
    <n v="13083333.333333334"/>
    <d v="2030-02-13T00:00:00"/>
    <m/>
  </r>
  <r>
    <n v="2"/>
    <x v="0"/>
    <s v="PT"/>
    <x v="0"/>
    <s v="Mua xe trung chuyển"/>
    <s v="CP mua xe mới"/>
    <s v="Mua 1 lần, tính khấu hao hàng tháng"/>
    <s v="29K23961"/>
    <s v="Vf6"/>
    <n v="4824"/>
    <d v="2025-03-13T00:00:00"/>
    <n v="785000000"/>
    <n v="60"/>
    <n v="13083333.333333334"/>
    <d v="2030-02-13T00:00:00"/>
    <m/>
  </r>
  <r>
    <n v="3"/>
    <x v="1"/>
    <s v="PT"/>
    <x v="0"/>
    <s v="Mua xe trung chuyển"/>
    <s v="CP mua xe mới"/>
    <s v="Mua 1 lần, tính khấu hao hàng tháng"/>
    <s v="29H88546"/>
    <s v="Solati"/>
    <n v="9176"/>
    <d v="2024-03-14T00:00:00"/>
    <n v="1350000000"/>
    <n v="72"/>
    <n v="18750000"/>
    <d v="2030-02-14T00:00:00"/>
    <m/>
  </r>
  <r>
    <n v="4"/>
    <x v="1"/>
    <s v="PT"/>
    <x v="0"/>
    <s v="Mua xe trung chuyển"/>
    <s v="CP mua xe mới"/>
    <s v="Mua 1 lần, tính khấu hao hàng tháng"/>
    <s v="29H88577"/>
    <s v="Solati"/>
    <n v="9929"/>
    <d v="2024-03-14T00:00:00"/>
    <n v="1350000000"/>
    <n v="72"/>
    <n v="18750000"/>
    <d v="2030-02-14T00:00:00"/>
    <m/>
  </r>
  <r>
    <n v="5"/>
    <x v="0"/>
    <s v="PT"/>
    <x v="0"/>
    <s v="Mua xe trung chuyển"/>
    <s v="CP mua xe mới"/>
    <s v="Mua 1 lần, tính khấu hao hàng tháng"/>
    <s v="30K82982"/>
    <s v="Suzu"/>
    <n v="2923"/>
    <d v="2024-04-22T00:00:00"/>
    <n v="528210000"/>
    <n v="60"/>
    <n v="8803500"/>
    <d v="2029-03-22T00:00:00"/>
    <m/>
  </r>
  <r>
    <n v="6"/>
    <x v="0"/>
    <s v="PT"/>
    <x v="0"/>
    <s v="Mua xe trung chuyển"/>
    <s v="CP mua xe mới"/>
    <s v="Mua 1 lần, tính khấu hao hàng tháng"/>
    <s v="30L86952"/>
    <s v="Vf6"/>
    <n v="3854"/>
    <d v="2025-07-20T00:00:00"/>
    <n v="785000000"/>
    <n v="60"/>
    <n v="13083333.333333334"/>
    <d v="2030-06-20T00:00:00"/>
    <m/>
  </r>
  <r>
    <n v="7"/>
    <x v="0"/>
    <s v="PT"/>
    <x v="0"/>
    <s v="CP mua BH"/>
    <s v="BH vật chất và BH TNDS"/>
    <s v="Mua 1 lần, tính khấu hao hàng tháng"/>
    <s v="29K23947"/>
    <s v="Vf6"/>
    <n v="5040"/>
    <d v="2026-03-13T00:00:00"/>
    <n v="7365700"/>
    <n v="12"/>
    <n v="613808.33333333337"/>
    <d v="2027-02-13T00:00:00"/>
    <m/>
  </r>
  <r>
    <n v="8"/>
    <x v="0"/>
    <s v="PT"/>
    <x v="0"/>
    <s v="CP mua BH"/>
    <s v="BH vật chất và BH TNDS"/>
    <s v="Mua 1 lần, tính khấu hao hàng tháng"/>
    <s v="29K23961"/>
    <s v="Vf6"/>
    <n v="4824"/>
    <d v="2026-03-13T00:00:00"/>
    <n v="7365700"/>
    <n v="12"/>
    <n v="613808.33333333337"/>
    <d v="2027-02-13T00:00:00"/>
    <m/>
  </r>
  <r>
    <n v="9"/>
    <x v="1"/>
    <s v="PT"/>
    <x v="0"/>
    <s v="CP mua BH"/>
    <s v="BH vật chất và BH TNDS"/>
    <s v="Mua 1 lần, tính khấu hao hàng tháng"/>
    <s v="29H88546"/>
    <s v="Solati"/>
    <n v="9176"/>
    <d v="2025-03-14T00:00:00"/>
    <n v="15084000"/>
    <n v="12"/>
    <n v="1257000"/>
    <d v="2026-02-14T00:00:00"/>
    <m/>
  </r>
  <r>
    <n v="10"/>
    <x v="1"/>
    <s v="PT"/>
    <x v="0"/>
    <s v="CP mua BH"/>
    <s v="BH vật chất và BH TNDS"/>
    <s v="Mua 1 lần, tính khấu hao hàng tháng"/>
    <s v="29H88577"/>
    <s v="Solati"/>
    <n v="9929"/>
    <d v="2025-03-14T00:00:00"/>
    <n v="15084000"/>
    <n v="12"/>
    <n v="1257000"/>
    <d v="2026-02-14T00:00:00"/>
    <m/>
  </r>
  <r>
    <n v="11"/>
    <x v="0"/>
    <s v="PT"/>
    <x v="0"/>
    <s v="CP mua BH"/>
    <s v="BH vật chất và BH TNDS"/>
    <s v="Mua 1 lần, tính khấu hao hàng tháng"/>
    <s v="30K82982"/>
    <s v="Suzu"/>
    <n v="2923"/>
    <d v="2025-04-22T00:00:00"/>
    <n v="4794000"/>
    <n v="12"/>
    <n v="399500"/>
    <d v="2026-03-22T00:00:00"/>
    <m/>
  </r>
  <r>
    <n v="12"/>
    <x v="0"/>
    <s v="PT"/>
    <x v="0"/>
    <s v="CP mua BH"/>
    <s v="BH vật chất và BH TNDS"/>
    <s v="Mua 1 lần, tính khấu hao hàng tháng"/>
    <s v="30L86952"/>
    <s v="Vf6"/>
    <n v="3854"/>
    <d v="2025-07-20T00:00:00"/>
    <n v="7365700"/>
    <n v="12"/>
    <n v="613808.33333333337"/>
    <d v="2026-06-20T00:00:00"/>
    <m/>
  </r>
  <r>
    <n v="13"/>
    <x v="0"/>
    <s v="PT"/>
    <x v="0"/>
    <s v="CP đăng kiểm, đường bộ"/>
    <s v="CP đăng kiểm, bảo trì đường bộ"/>
    <s v="Mua 1 lần, tính khấu hao hàng tháng"/>
    <s v="29K23947"/>
    <s v="Vf6"/>
    <n v="5040"/>
    <d v="2026-03-13T00:00:00"/>
    <n v="2160000"/>
    <n v="12"/>
    <n v="180000"/>
    <d v="2027-02-13T00:00:00"/>
    <m/>
  </r>
  <r>
    <n v="14"/>
    <x v="0"/>
    <s v="PT"/>
    <x v="0"/>
    <s v="CP đăng kiểm, đường bộ"/>
    <s v="CP đăng kiểm, bảo trì đường bộ"/>
    <s v="Mua 1 lần, tính khấu hao hàng tháng"/>
    <s v="29K23961"/>
    <s v="Vf6"/>
    <n v="4824"/>
    <d v="2026-03-13T00:00:00"/>
    <n v="2160000"/>
    <n v="12"/>
    <n v="180000"/>
    <d v="2027-02-13T00:00:00"/>
    <m/>
  </r>
  <r>
    <n v="15"/>
    <x v="1"/>
    <s v="PT"/>
    <x v="0"/>
    <s v="CP đăng kiểm, đường bộ"/>
    <s v="CP đăng kiểm, bảo trì đường bộ"/>
    <s v="Mua 1 lần, tính khấu hao hàng tháng"/>
    <s v="29H88546"/>
    <s v="Solati"/>
    <n v="9176"/>
    <d v="2025-03-14T00:00:00"/>
    <n v="5165000"/>
    <n v="12"/>
    <n v="430416.66666666669"/>
    <d v="2026-02-14T00:00:00"/>
    <m/>
  </r>
  <r>
    <n v="16"/>
    <x v="1"/>
    <s v="PT"/>
    <x v="0"/>
    <s v="CP đăng kiểm, đường bộ"/>
    <s v="CP đăng kiểm, bảo trì đường bộ"/>
    <s v="Mua 1 lần, tính khấu hao hàng tháng"/>
    <s v="29H88577"/>
    <s v="Solati"/>
    <n v="9929"/>
    <d v="2025-03-14T00:00:00"/>
    <n v="5165000"/>
    <n v="12"/>
    <n v="430416.66666666669"/>
    <d v="2026-02-14T00:00:00"/>
    <m/>
  </r>
  <r>
    <n v="17"/>
    <x v="0"/>
    <s v="PT"/>
    <x v="0"/>
    <s v="CP đăng kiểm, đường bộ"/>
    <s v="CP đăng kiểm, bảo trì đường bộ"/>
    <s v="Mua 1 lần, tính khấu hao hàng tháng"/>
    <s v="30K82982"/>
    <s v="Suzu"/>
    <n v="2923"/>
    <d v="2025-04-22T00:00:00"/>
    <n v="2160000"/>
    <n v="12"/>
    <n v="180000"/>
    <d v="2026-03-22T00:00:00"/>
    <m/>
  </r>
  <r>
    <n v="18"/>
    <x v="0"/>
    <s v="PT"/>
    <x v="0"/>
    <s v="CP đăng kiểm, đường bộ"/>
    <s v="CP đăng kiểm, bảo trì đường bộ"/>
    <s v="Mua 1 lần, tính khấu hao hàng tháng"/>
    <s v="30L86952"/>
    <s v="Vf6"/>
    <n v="3854"/>
    <d v="2025-07-20T00:00:00"/>
    <n v="2160000"/>
    <n v="12"/>
    <n v="180000"/>
    <d v="2026-06-20T00:00:00"/>
    <m/>
  </r>
  <r>
    <n v="19"/>
    <x v="0"/>
    <s v="PT"/>
    <x v="0"/>
    <s v="Mua thiết bị lắp thêm"/>
    <s v="Mua bộ Camera GSHT tích hợp 2 trong 1 Skybox MDVR-2C"/>
    <s v="Mua 1 lần, tính khấu hao hàng tháng"/>
    <s v="29K23947"/>
    <s v="Vf6"/>
    <n v="5040"/>
    <d v="2025-03-13T00:00:00"/>
    <n v="5200000"/>
    <n v="24"/>
    <n v="216666.66666666666"/>
    <d v="2027-02-13T00:00:00"/>
    <m/>
  </r>
  <r>
    <n v="20"/>
    <x v="0"/>
    <s v="PT"/>
    <x v="0"/>
    <s v="Mua thiết bị lắp thêm"/>
    <s v="Mua bộ Camera GSHT tích hợp 2 trong 1 Skybox MDVR-2C"/>
    <s v="Mua 1 lần, tính khấu hao hàng tháng"/>
    <s v="29K23961"/>
    <s v="Vf6"/>
    <n v="4824"/>
    <d v="2025-03-13T00:00:00"/>
    <n v="5200000"/>
    <n v="24"/>
    <n v="216666.66666666666"/>
    <d v="2027-02-13T00:00:00"/>
    <m/>
  </r>
  <r>
    <n v="21"/>
    <x v="1"/>
    <s v="PT"/>
    <x v="0"/>
    <s v="Mua thiết bị lắp thêm"/>
    <s v="Mua bộ Camera GSHT tích hợp 2 trong 1 Skybox MDVR-2C"/>
    <s v="Mua 1 lần, tính khấu hao hàng tháng"/>
    <s v="29H88546"/>
    <s v="Solati"/>
    <n v="9176"/>
    <d v="2024-03-14T00:00:00"/>
    <n v="5200000"/>
    <n v="24"/>
    <n v="216666.66666666666"/>
    <d v="2026-02-14T00:00:00"/>
    <m/>
  </r>
  <r>
    <n v="22"/>
    <x v="1"/>
    <s v="PT"/>
    <x v="0"/>
    <s v="Mua thiết bị lắp thêm"/>
    <s v="Mua bộ Camera GSHT tích hợp 2 trong 1 Skybox MDVR-2C"/>
    <s v="Mua 1 lần, tính khấu hao hàng tháng"/>
    <s v="29H88577"/>
    <s v="Solati"/>
    <n v="9929"/>
    <d v="2024-03-14T00:00:00"/>
    <n v="5200000"/>
    <n v="24"/>
    <n v="216666.66666666666"/>
    <d v="2026-02-14T00:00:00"/>
    <m/>
  </r>
  <r>
    <n v="23"/>
    <x v="0"/>
    <s v="PT"/>
    <x v="0"/>
    <s v="Mua thiết bị lắp thêm"/>
    <s v="Mua bộ Camera GSHT tích hợp 2 trong 1 Skybox MDVR-2C"/>
    <s v="Mua 1 lần, tính khấu hao hàng tháng"/>
    <s v="30K82982"/>
    <s v="Suzu"/>
    <n v="2923"/>
    <d v="2024-04-22T00:00:00"/>
    <n v="5200000"/>
    <n v="24"/>
    <n v="216666.66666666666"/>
    <d v="2026-03-22T00:00:00"/>
    <m/>
  </r>
  <r>
    <n v="24"/>
    <x v="0"/>
    <s v="PT"/>
    <x v="0"/>
    <s v="Mua thiết bị lắp thêm"/>
    <s v="Mua bộ Camera GSHT tích hợp 2 trong 1 Skybox MDVR-2C"/>
    <s v="Mua 1 lần, tính khấu hao hàng tháng"/>
    <s v="30L86952"/>
    <s v="Vf6"/>
    <n v="3854"/>
    <d v="2025-07-20T00:00:00"/>
    <n v="5200000"/>
    <n v="24"/>
    <n v="216666.66666666666"/>
    <d v="2027-06-20T00:00:00"/>
    <m/>
  </r>
  <r>
    <n v="25"/>
    <x v="0"/>
    <s v="PT"/>
    <x v="0"/>
    <s v="Mua thiết bị lắp thêm"/>
    <s v="CP dán thảm lót sàn"/>
    <s v="Mua 1 lần, tính khấu hao hàng tháng"/>
    <s v="30L86952"/>
    <s v="Vf6"/>
    <n v="3854"/>
    <d v="2025-07-20T00:00:00"/>
    <n v="1365000"/>
    <n v="12"/>
    <n v="113750"/>
    <d v="2026-06-20T00:00:00"/>
    <m/>
  </r>
  <r>
    <n v="26"/>
    <x v="0"/>
    <s v="PT"/>
    <x v="0"/>
    <s v="Mua thiết bị lắp thêm"/>
    <s v="CP dán thảm lót sàn"/>
    <s v="Mua 1 lần, tính khấu hao hàng tháng"/>
    <s v="29K23947"/>
    <s v="Vf6"/>
    <n v="5040"/>
    <d v="2026-03-13T00:00:00"/>
    <n v="1365000"/>
    <n v="12"/>
    <n v="113750"/>
    <d v="2027-02-13T00:00:00"/>
    <m/>
  </r>
  <r>
    <n v="27"/>
    <x v="0"/>
    <s v="PT"/>
    <x v="0"/>
    <s v="Mua thiết bị lắp thêm"/>
    <s v="CP dán thảm lót sàn"/>
    <s v="Mua 1 lần, tính khấu hao hàng tháng"/>
    <s v="29K23961"/>
    <s v="Vf6"/>
    <n v="4824"/>
    <d v="2026-03-13T00:00:00"/>
    <n v="1365000"/>
    <n v="12"/>
    <n v="113750"/>
    <d v="2027-02-13T00:00:00"/>
    <m/>
  </r>
  <r>
    <n v="28"/>
    <x v="0"/>
    <s v="PT"/>
    <x v="0"/>
    <s v="Mua thiết bị lắp thêm"/>
    <s v="CP dán thảm lót sàn"/>
    <s v="Mua 1 lần, tính khấu hao hàng tháng"/>
    <s v="30L86952"/>
    <s v="Vf6"/>
    <n v="3854"/>
    <d v="2025-07-20T00:00:00"/>
    <n v="1365000"/>
    <n v="12"/>
    <n v="113750"/>
    <d v="2026-06-20T00:00:00"/>
    <m/>
  </r>
  <r>
    <n v="29"/>
    <x v="0"/>
    <s v="PT"/>
    <x v="0"/>
    <s v="Mua thiết bị lắp thêm"/>
    <s v="Mua sim 5G"/>
    <s v="Mua 1 lần, tính khấu hao hàng tháng"/>
    <s v="29K23947"/>
    <s v="Vf6"/>
    <n v="5040"/>
    <d v="2026-03-13T00:00:00"/>
    <n v="700000"/>
    <n v="12"/>
    <n v="58333.333333333336"/>
    <d v="2027-02-13T00:00:00"/>
    <m/>
  </r>
  <r>
    <n v="30"/>
    <x v="0"/>
    <s v="PT"/>
    <x v="0"/>
    <s v="Mua thiết bị lắp thêm"/>
    <s v="Mua sim 5G"/>
    <s v="Mua 1 lần, tính khấu hao hàng tháng"/>
    <s v="29K23961"/>
    <s v="Vf6"/>
    <n v="4824"/>
    <d v="2026-03-13T00:00:00"/>
    <n v="700000"/>
    <n v="12"/>
    <n v="58333.333333333336"/>
    <d v="2027-02-13T00:00:00"/>
    <m/>
  </r>
  <r>
    <n v="31"/>
    <x v="1"/>
    <s v="PT"/>
    <x v="0"/>
    <s v="Mua thiết bị lắp thêm"/>
    <s v="Mua sim 5G"/>
    <s v="Mua 1 lần, tính khấu hao hàng tháng"/>
    <s v="29H88546"/>
    <s v="Solati"/>
    <n v="9176"/>
    <d v="2025-03-14T00:00:00"/>
    <n v="700000"/>
    <n v="12"/>
    <n v="58333.333333333336"/>
    <d v="2026-02-14T00:00:00"/>
    <m/>
  </r>
  <r>
    <n v="32"/>
    <x v="1"/>
    <s v="PT"/>
    <x v="0"/>
    <s v="Mua thiết bị lắp thêm"/>
    <s v="Mua sim 5G"/>
    <s v="Mua 1 lần, tính khấu hao hàng tháng"/>
    <s v="29H88577"/>
    <s v="Solati"/>
    <n v="9929"/>
    <d v="2025-03-14T00:00:00"/>
    <n v="700000"/>
    <n v="12"/>
    <n v="58333.333333333336"/>
    <d v="2026-02-14T00:00:00"/>
    <m/>
  </r>
  <r>
    <n v="33"/>
    <x v="0"/>
    <s v="PT"/>
    <x v="0"/>
    <s v="Mua thiết bị lắp thêm"/>
    <s v="Mua sim 5G"/>
    <s v="Mua 1 lần, tính khấu hao hàng tháng"/>
    <s v="30K82982"/>
    <s v="Suzu"/>
    <n v="2923"/>
    <d v="2025-04-22T00:00:00"/>
    <n v="700000"/>
    <n v="12"/>
    <n v="58333.333333333336"/>
    <d v="2026-03-22T00:00:00"/>
    <m/>
  </r>
  <r>
    <n v="34"/>
    <x v="0"/>
    <s v="PT"/>
    <x v="0"/>
    <s v="Mua thiết bị lắp thêm"/>
    <s v="Mua sim 5G"/>
    <s v="Mua 1 lần, tính khấu hao hàng tháng"/>
    <s v="30L86952"/>
    <s v="Vf6"/>
    <n v="3854"/>
    <d v="2025-07-20T00:00:00"/>
    <n v="700000"/>
    <n v="12"/>
    <n v="58333.333333333336"/>
    <d v="2026-06-20T00:00:00"/>
    <m/>
  </r>
  <r>
    <n v="35"/>
    <x v="0"/>
    <s v="PT"/>
    <x v="1"/>
    <s v="Trang thiết bị VP"/>
    <s v="Hạch toán mua cây máy tính mới cho điều hành Phú Thọ (chuyển từ VP Lê Duẩn lên)"/>
    <s v="Mua 1 lần, tính khấu hao hàng tháng"/>
    <m/>
    <m/>
    <m/>
    <d v="2023-12-01T00:00:00"/>
    <n v="5445454"/>
    <n v="24"/>
    <s v=""/>
    <d v="2025-11-01T00:00:00"/>
    <m/>
  </r>
  <r>
    <n v="36"/>
    <x v="1"/>
    <s v="PT"/>
    <x v="2"/>
    <s v="BD, SC PT"/>
    <s v="CP thay dầu, nhớt"/>
    <s v="CP trích trước hàng tháng"/>
    <s v="29H88546"/>
    <s v="Solati"/>
    <n v="9176"/>
    <d v="2026-03-01T00:00:00"/>
    <n v="929070"/>
    <n v="1"/>
    <n v="929070"/>
    <d v="2026-03-01T00:00:00"/>
    <m/>
  </r>
  <r>
    <n v="37"/>
    <x v="1"/>
    <s v="PT"/>
    <x v="2"/>
    <s v="BD, SC PT"/>
    <s v="CP thay dầu, nhớt"/>
    <s v="CP trích trước hàng tháng"/>
    <s v="29H88577"/>
    <s v="Solati"/>
    <n v="9929"/>
    <d v="2026-03-01T00:00:00"/>
    <n v="1005311.25"/>
    <n v="1"/>
    <n v="1005311.25"/>
    <d v="2026-03-01T00:00:00"/>
    <m/>
  </r>
  <r>
    <n v="38"/>
    <x v="0"/>
    <s v="PT"/>
    <x v="2"/>
    <s v="BD, SC PT"/>
    <s v="CP thay dầu, nhớt"/>
    <s v="CP trích trước hàng tháng"/>
    <s v="30K82982"/>
    <s v="Suzu"/>
    <n v="2923"/>
    <d v="2026-03-01T00:00:00"/>
    <n v="163688"/>
    <n v="1"/>
    <n v="163688"/>
    <d v="2026-03-01T00:00:00"/>
    <m/>
  </r>
  <r>
    <n v="39"/>
    <x v="0"/>
    <s v="PT"/>
    <x v="2"/>
    <s v="BD, SC PT"/>
    <s v="CP thay lốp"/>
    <s v="CP trích trước hàng tháng"/>
    <s v="29K23947"/>
    <s v="Vf6"/>
    <n v="5040"/>
    <d v="2026-03-01T00:00:00"/>
    <n v="907200"/>
    <n v="1"/>
    <n v="907200"/>
    <d v="2026-03-01T00:00:00"/>
    <m/>
  </r>
  <r>
    <n v="40"/>
    <x v="0"/>
    <s v="PT"/>
    <x v="2"/>
    <s v="BD, SC PT"/>
    <s v="CP thay lốp"/>
    <s v="CP trích trước hàng tháng"/>
    <s v="29K23961"/>
    <s v="Vf6"/>
    <n v="4824"/>
    <d v="2026-03-01T00:00:00"/>
    <n v="868320"/>
    <n v="1"/>
    <n v="868320"/>
    <d v="2026-03-01T00:00:00"/>
    <m/>
  </r>
  <r>
    <n v="41"/>
    <x v="1"/>
    <s v="PT"/>
    <x v="2"/>
    <s v="BD, SC PT"/>
    <s v="CP thay lốp"/>
    <s v="CP trích trước hàng tháng"/>
    <s v="29H88546"/>
    <s v="Solati"/>
    <n v="9176"/>
    <d v="2026-03-01T00:00:00"/>
    <n v="967150.4"/>
    <n v="1"/>
    <n v="967150.4"/>
    <d v="2026-03-01T00:00:00"/>
    <m/>
  </r>
  <r>
    <n v="42"/>
    <x v="1"/>
    <s v="PT"/>
    <x v="2"/>
    <s v="BD, SC PT"/>
    <s v="CP thay lốp"/>
    <s v="CP trích trước hàng tháng"/>
    <s v="29H88577"/>
    <s v="Solati"/>
    <n v="9929"/>
    <d v="2026-03-01T00:00:00"/>
    <n v="1046516.6000000001"/>
    <n v="1"/>
    <n v="1046516.6000000001"/>
    <d v="2026-03-01T00:00:00"/>
    <m/>
  </r>
  <r>
    <n v="43"/>
    <x v="0"/>
    <s v="PT"/>
    <x v="2"/>
    <s v="BD, SC PT"/>
    <s v="CP thay lốp"/>
    <s v="CP trích trước hàng tháng"/>
    <s v="30K82982"/>
    <s v="Suzu"/>
    <n v="2923"/>
    <d v="2026-03-01T00:00:00"/>
    <n v="198764"/>
    <n v="1"/>
    <n v="198764"/>
    <d v="2026-03-01T00:00:00"/>
    <m/>
  </r>
  <r>
    <n v="44"/>
    <x v="0"/>
    <s v="PT"/>
    <x v="2"/>
    <s v="BD, SC PT"/>
    <s v="CP thay lốp"/>
    <s v="CP trích trước hàng tháng"/>
    <s v="30L86952"/>
    <s v="Vf6"/>
    <n v="3854"/>
    <d v="2026-03-01T00:00:00"/>
    <n v="693720"/>
    <n v="1"/>
    <n v="693720"/>
    <d v="2026-03-01T00:00:00"/>
    <m/>
  </r>
  <r>
    <n v="45"/>
    <x v="0"/>
    <s v="PT"/>
    <x v="2"/>
    <s v="BD, SC PT"/>
    <s v="CP thay ắc quy"/>
    <s v="CP trích trước hàng tháng"/>
    <s v="29K23947"/>
    <s v="Vf6"/>
    <n v="5040"/>
    <d v="2026-03-01T00:00:00"/>
    <n v="93240"/>
    <n v="1"/>
    <n v="93240"/>
    <d v="2026-03-01T00:00:00"/>
    <m/>
  </r>
  <r>
    <n v="46"/>
    <x v="0"/>
    <s v="PT"/>
    <x v="2"/>
    <s v="BD, SC PT"/>
    <s v="CP thay ắc quy"/>
    <s v="CP trích trước hàng tháng"/>
    <s v="29K23961"/>
    <s v="Vf6"/>
    <n v="4824"/>
    <d v="2026-03-01T00:00:00"/>
    <n v="89244"/>
    <n v="1"/>
    <n v="89244"/>
    <d v="2026-03-01T00:00:00"/>
    <m/>
  </r>
  <r>
    <n v="47"/>
    <x v="1"/>
    <s v="PT"/>
    <x v="2"/>
    <s v="BD, SC PT"/>
    <s v="CP thay ắc quy"/>
    <s v="CP trích trước hàng tháng"/>
    <s v="29H88546"/>
    <s v="Solati"/>
    <n v="9176"/>
    <d v="2026-03-01T00:00:00"/>
    <n v="270692"/>
    <n v="1"/>
    <n v="270692"/>
    <d v="2026-03-01T00:00:00"/>
    <m/>
  </r>
  <r>
    <n v="48"/>
    <x v="1"/>
    <s v="PT"/>
    <x v="2"/>
    <s v="BD, SC PT"/>
    <s v="CP thay ắc quy"/>
    <s v="CP trích trước hàng tháng"/>
    <s v="29H88577"/>
    <s v="Solati"/>
    <n v="9929"/>
    <d v="2026-03-01T00:00:00"/>
    <n v="292905.5"/>
    <n v="1"/>
    <n v="292905.5"/>
    <d v="2026-03-01T00:00:00"/>
    <m/>
  </r>
  <r>
    <n v="49"/>
    <x v="0"/>
    <s v="PT"/>
    <x v="2"/>
    <s v="BD, SC PT"/>
    <s v="CP thay ắc quy"/>
    <s v="CP trích trước hàng tháng"/>
    <s v="30K82982"/>
    <s v="Suzu"/>
    <n v="2923"/>
    <d v="2026-03-01T00:00:00"/>
    <n v="48229.5"/>
    <n v="1"/>
    <n v="48229.5"/>
    <d v="2026-03-01T00:00:00"/>
    <m/>
  </r>
  <r>
    <n v="50"/>
    <x v="0"/>
    <s v="PT"/>
    <x v="2"/>
    <s v="BD, SC PT"/>
    <s v="CP thay ắc quy"/>
    <s v="CP trích trước hàng tháng"/>
    <s v="30L86952"/>
    <s v="Vf6"/>
    <n v="3854"/>
    <d v="2026-03-01T00:00:00"/>
    <n v="71299"/>
    <n v="1"/>
    <n v="71299"/>
    <d v="2026-03-01T00:00:00"/>
    <m/>
  </r>
  <r>
    <n v="51"/>
    <x v="0"/>
    <s v="PT"/>
    <x v="2"/>
    <s v="BD, SC PT"/>
    <s v="CP bảo dưỡng"/>
    <s v="CP trích trước hàng tháng"/>
    <s v="29K23947"/>
    <s v="Vf6"/>
    <n v="5040"/>
    <d v="2026-03-01T00:00:00"/>
    <n v="584181.81780000008"/>
    <n v="1"/>
    <n v="584181.81780000008"/>
    <d v="2026-03-01T00:00:00"/>
    <m/>
  </r>
  <r>
    <n v="52"/>
    <x v="0"/>
    <s v="PT"/>
    <x v="2"/>
    <s v="BD, SC PT"/>
    <s v="CP bảo dưỡng"/>
    <s v="CP trích trước hàng tháng"/>
    <s v="29K23961"/>
    <s v="Vf6"/>
    <n v="4824"/>
    <d v="2026-03-01T00:00:00"/>
    <n v="559145.45418"/>
    <n v="1"/>
    <n v="559145.45418"/>
    <d v="2026-03-01T00:00:00"/>
    <m/>
  </r>
  <r>
    <n v="53"/>
    <x v="1"/>
    <s v="PT"/>
    <x v="2"/>
    <s v="BD, SC PT"/>
    <s v="CP bảo dưỡng"/>
    <s v="CP trích trước hàng tháng"/>
    <s v="29H88546"/>
    <s v="Solati"/>
    <n v="9176"/>
    <d v="2026-03-01T00:00:00"/>
    <n v="2372938.0693333275"/>
    <n v="1"/>
    <n v="2372938.0693333275"/>
    <d v="2026-03-01T00:00:00"/>
    <m/>
  </r>
  <r>
    <n v="54"/>
    <x v="1"/>
    <s v="PT"/>
    <x v="2"/>
    <s v="BD, SC PT"/>
    <s v="CP bảo dưỡng"/>
    <s v="CP trích trước hàng tháng"/>
    <s v="29H88577"/>
    <s v="Solati"/>
    <n v="9929"/>
    <d v="2026-03-01T00:00:00"/>
    <n v="2567665.8773333272"/>
    <n v="1"/>
    <n v="2567665.8773333272"/>
    <d v="2026-03-01T00:00:00"/>
    <m/>
  </r>
  <r>
    <n v="55"/>
    <x v="0"/>
    <s v="PT"/>
    <x v="2"/>
    <s v="BD, SC PT"/>
    <s v="CP bảo dưỡng"/>
    <s v="CP trích trước hàng tháng"/>
    <s v="30K82982"/>
    <s v="Suzu"/>
    <n v="2923"/>
    <d v="2026-03-01T00:00:00"/>
    <n v="604716.47573333175"/>
    <n v="1"/>
    <n v="604716.47573333175"/>
    <d v="2026-03-01T00:00:00"/>
    <m/>
  </r>
  <r>
    <n v="56"/>
    <x v="0"/>
    <s v="PT"/>
    <x v="2"/>
    <s v="BD, SC PT"/>
    <s v="CP bảo dưỡng"/>
    <s v="CP trích trước hàng tháng"/>
    <s v="30L86952"/>
    <s v="Vf6"/>
    <n v="3854"/>
    <d v="2026-03-01T00:00:00"/>
    <n v="446713.63607166667"/>
    <n v="1"/>
    <n v="446713.63607166667"/>
    <d v="2026-03-01T00:00:00"/>
    <m/>
  </r>
  <r>
    <n v="57"/>
    <x v="1"/>
    <s v="PT"/>
    <x v="3"/>
    <s v="Tiền dầu"/>
    <s v="Tiền dầu"/>
    <s v="CP phát sinh hàng tháng"/>
    <s v="29H88577"/>
    <s v="Solati"/>
    <n v="9929"/>
    <d v="2026-03-01T00:00:00"/>
    <n v="1170000"/>
    <n v="1"/>
    <n v="1170000"/>
    <d v="2026-03-01T00:00:00"/>
    <m/>
  </r>
  <r>
    <n v="58"/>
    <x v="1"/>
    <s v="PT"/>
    <x v="3"/>
    <s v="Tiền dầu"/>
    <s v="Tiền dầu"/>
    <s v="CP phát sinh hàng tháng"/>
    <s v="29H88546"/>
    <s v="Solati"/>
    <n v="9176"/>
    <d v="2026-03-01T00:00:00"/>
    <n v="1326000"/>
    <n v="1"/>
    <n v="1326000"/>
    <d v="2026-03-01T00:00:00"/>
    <m/>
  </r>
  <r>
    <n v="59"/>
    <x v="1"/>
    <s v="PT"/>
    <x v="3"/>
    <s v="Tiền dầu"/>
    <s v="Tiền dầu"/>
    <s v="CP phát sinh hàng tháng"/>
    <s v="29H88577"/>
    <s v="Solati"/>
    <n v="9929"/>
    <d v="2026-03-02T00:00:00"/>
    <n v="1170000"/>
    <n v="1"/>
    <n v="1170000"/>
    <d v="2026-03-02T00:00:00"/>
    <m/>
  </r>
  <r>
    <n v="60"/>
    <x v="1"/>
    <s v="PT"/>
    <x v="3"/>
    <s v="Tiền dầu"/>
    <s v="Tiền dầu"/>
    <s v="CP phát sinh hàng tháng"/>
    <s v="29H88546"/>
    <s v="Solati"/>
    <n v="9176"/>
    <d v="2026-03-02T00:00:00"/>
    <n v="1267500"/>
    <n v="1"/>
    <n v="1267500"/>
    <d v="2026-03-02T00:00:00"/>
    <m/>
  </r>
  <r>
    <n v="61"/>
    <x v="1"/>
    <s v="PT"/>
    <x v="3"/>
    <s v="Tiền dầu"/>
    <s v="Tiền dầu"/>
    <s v="CP phát sinh hàng tháng"/>
    <s v="29H88546"/>
    <s v="Solati"/>
    <n v="9176"/>
    <d v="2026-03-04T00:00:00"/>
    <n v="1287059"/>
    <n v="1"/>
    <n v="1287059"/>
    <d v="2026-03-04T00:00:00"/>
    <m/>
  </r>
  <r>
    <n v="62"/>
    <x v="0"/>
    <s v="PT"/>
    <x v="3"/>
    <s v="Tiền dầu"/>
    <s v="Tiền dầu"/>
    <s v="CP phát sinh hàng tháng"/>
    <s v="29H88577"/>
    <s v="Solati"/>
    <n v="9929"/>
    <d v="2026-03-05T00:00:00"/>
    <n v="1228500"/>
    <n v="1"/>
    <n v="1228500"/>
    <d v="2026-03-05T00:00:00"/>
    <m/>
  </r>
  <r>
    <n v="63"/>
    <x v="1"/>
    <s v="PT"/>
    <x v="3"/>
    <s v="Tiền dầu"/>
    <s v="Tiền dầu"/>
    <s v="CP phát sinh hàng tháng"/>
    <s v="29H88577"/>
    <s v="Solati"/>
    <n v="9929"/>
    <d v="2026-03-06T00:00:00"/>
    <n v="1167000"/>
    <n v="1"/>
    <n v="1167000"/>
    <d v="2026-03-06T00:00:00"/>
    <m/>
  </r>
  <r>
    <n v="64"/>
    <x v="1"/>
    <s v="PT"/>
    <x v="3"/>
    <s v="Tiền dầu"/>
    <s v="Tiền dầu"/>
    <s v="CP phát sinh hàng tháng"/>
    <s v="29H88546"/>
    <s v="Solati"/>
    <n v="9176"/>
    <d v="2026-03-07T00:00:00"/>
    <n v="1400400"/>
    <n v="1"/>
    <n v="1400400"/>
    <d v="2026-03-07T00:00:00"/>
    <m/>
  </r>
  <r>
    <n v="65"/>
    <x v="0"/>
    <s v="PT"/>
    <x v="3"/>
    <s v="Tiền dầu"/>
    <s v="Tiền dầu"/>
    <s v="CP phát sinh hàng tháng"/>
    <s v="29H88577"/>
    <s v="Solati"/>
    <n v="9929"/>
    <d v="2026-03-08T00:00:00"/>
    <n v="1840800"/>
    <n v="1"/>
    <n v="1840800"/>
    <d v="2026-03-08T00:00:00"/>
    <m/>
  </r>
  <r>
    <n v="66"/>
    <x v="1"/>
    <s v="PT"/>
    <x v="3"/>
    <s v="Tiền dầu"/>
    <s v="Tiền dầu"/>
    <s v="CP phát sinh hàng tháng"/>
    <s v="29H88546"/>
    <s v="Solati"/>
    <n v="9176"/>
    <d v="2026-03-08T00:00:00"/>
    <n v="2086332"/>
    <n v="1"/>
    <n v="2086332"/>
    <d v="2026-03-08T00:00:00"/>
    <m/>
  </r>
  <r>
    <n v="67"/>
    <x v="1"/>
    <s v="PT"/>
    <x v="3"/>
    <s v="Tiền dầu"/>
    <s v="Tiền dầu"/>
    <s v="CP phát sinh hàng tháng"/>
    <s v="29H88577"/>
    <s v="Solati"/>
    <n v="9929"/>
    <d v="2026-03-09T00:00:00"/>
    <n v="1840800"/>
    <n v="1"/>
    <n v="1840800"/>
    <d v="2026-03-09T00:00:00"/>
    <m/>
  </r>
  <r>
    <n v="68"/>
    <x v="1"/>
    <s v="PT"/>
    <x v="3"/>
    <s v="Tiền dầu"/>
    <s v="Tiền dầu"/>
    <s v="CP phát sinh hàng tháng"/>
    <s v="29H88546"/>
    <s v="Solati"/>
    <n v="9176"/>
    <d v="2026-03-09T00:00:00"/>
    <n v="1748760"/>
    <n v="1"/>
    <n v="1748760"/>
    <d v="2026-03-09T00:00:00"/>
    <m/>
  </r>
  <r>
    <n v="69"/>
    <x v="1"/>
    <s v="PT"/>
    <x v="3"/>
    <s v="Tiền dầu"/>
    <s v="Tiền dầu"/>
    <s v="CP phát sinh hàng tháng"/>
    <s v="29H88577"/>
    <s v="Solati"/>
    <n v="9929"/>
    <d v="2026-03-10T00:00:00"/>
    <n v="1073892"/>
    <n v="1"/>
    <n v="1073892"/>
    <d v="2026-03-10T00:00:00"/>
    <m/>
  </r>
  <r>
    <n v="70"/>
    <x v="0"/>
    <s v="PT"/>
    <x v="3"/>
    <s v="Tiền dầu"/>
    <s v="Tiền dầu"/>
    <s v="CP phát sinh hàng tháng"/>
    <s v="29H88577"/>
    <s v="Solati"/>
    <n v="9929"/>
    <d v="2026-03-12T00:00:00"/>
    <n v="1610400"/>
    <n v="1"/>
    <n v="1610400"/>
    <d v="2026-03-12T00:00:00"/>
    <m/>
  </r>
  <r>
    <n v="71"/>
    <x v="1"/>
    <s v="PT"/>
    <x v="3"/>
    <s v="Tiền dầu"/>
    <s v="Tiền dầu"/>
    <s v="CP phát sinh hàng tháng"/>
    <s v="29H88546"/>
    <s v="Solati"/>
    <n v="9176"/>
    <d v="2026-03-13T00:00:00"/>
    <n v="1918700"/>
    <n v="1"/>
    <n v="1918700"/>
    <d v="2026-03-13T00:00:00"/>
    <m/>
  </r>
  <r>
    <n v="72"/>
    <x v="1"/>
    <s v="PT"/>
    <x v="3"/>
    <s v="Tiền dầu"/>
    <s v="Tiền dầu"/>
    <s v="CP phát sinh hàng tháng"/>
    <s v="29H88577"/>
    <s v="Solati"/>
    <n v="9929"/>
    <d v="2026-03-13T00:00:00"/>
    <n v="1754404"/>
    <n v="1"/>
    <n v="1754404"/>
    <d v="2026-03-13T00:00:00"/>
    <m/>
  </r>
  <r>
    <n v="73"/>
    <x v="1"/>
    <s v="PT"/>
    <x v="3"/>
    <s v="Tiền dầu"/>
    <s v="Tiền dầu"/>
    <s v="CP phát sinh hàng tháng"/>
    <s v="29H88577"/>
    <s v="Solati"/>
    <n v="9929"/>
    <d v="2026-03-15T00:00:00"/>
    <n v="1836470"/>
    <n v="1"/>
    <n v="1836470"/>
    <d v="2026-03-15T00:00:00"/>
    <m/>
  </r>
  <r>
    <n v="74"/>
    <x v="1"/>
    <s v="PT"/>
    <x v="3"/>
    <s v="Tiền dầu"/>
    <s v="Tiền dầu"/>
    <s v="CP phát sinh hàng tháng"/>
    <s v="29H88546"/>
    <s v="Solati"/>
    <n v="9176"/>
    <d v="2026-03-15T00:00:00"/>
    <n v="1781650"/>
    <n v="1"/>
    <n v="1781650"/>
    <d v="2026-03-15T00:00:00"/>
    <m/>
  </r>
  <r>
    <n v="75"/>
    <x v="1"/>
    <s v="PT"/>
    <x v="3"/>
    <s v="Tiền dầu"/>
    <s v="Tiền dầu"/>
    <s v="CP phát sinh hàng tháng"/>
    <s v="30K82982"/>
    <s v="Suzu"/>
    <n v="2923"/>
    <d v="2026-03-16T00:00:00"/>
    <n v="889700"/>
    <n v="1"/>
    <n v="889700"/>
    <d v="2026-03-16T00:00:00"/>
    <m/>
  </r>
  <r>
    <n v="76"/>
    <x v="1"/>
    <s v="PT"/>
    <x v="3"/>
    <s v="Tiền dầu"/>
    <s v="Tiền dầu"/>
    <s v="CP phát sinh hàng tháng"/>
    <s v="29H88577"/>
    <s v="Solati"/>
    <n v="9929"/>
    <d v="2026-03-17T00:00:00"/>
    <n v="1644600"/>
    <n v="1"/>
    <n v="1644600"/>
    <d v="2026-03-17T00:00:00"/>
    <m/>
  </r>
  <r>
    <n v="77"/>
    <x v="1"/>
    <s v="PT"/>
    <x v="3"/>
    <s v="Tiền dầu"/>
    <s v="Tiền dầu"/>
    <s v="CP phát sinh hàng tháng"/>
    <s v="29H88546"/>
    <s v="Solati"/>
    <n v="9176"/>
    <d v="2026-03-18T00:00:00"/>
    <n v="1781650"/>
    <n v="1"/>
    <n v="1781650"/>
    <d v="2026-03-18T00:00:00"/>
    <m/>
  </r>
  <r>
    <n v="78"/>
    <x v="1"/>
    <s v="PT"/>
    <x v="3"/>
    <s v="Tiền dầu"/>
    <s v="Tiền dầu"/>
    <s v="CP phát sinh hàng tháng"/>
    <s v="30K82982"/>
    <s v="Suzu"/>
    <n v="2923"/>
    <d v="2026-03-18T00:00:00"/>
    <n v="777900"/>
    <n v="1"/>
    <n v="777900"/>
    <d v="2026-03-18T00:00:00"/>
    <m/>
  </r>
  <r>
    <n v="79"/>
    <x v="1"/>
    <s v="PT"/>
    <x v="3"/>
    <s v="Tiền dầu"/>
    <s v="Tiền dầu"/>
    <s v="CP phát sinh hàng tháng"/>
    <s v="29H88577"/>
    <s v="Solati"/>
    <n v="9929"/>
    <d v="2026-03-19T00:00:00"/>
    <n v="1636130"/>
    <n v="1"/>
    <n v="1636130"/>
    <d v="2026-03-19T00:00:00"/>
    <m/>
  </r>
  <r>
    <n v="80"/>
    <x v="1"/>
    <s v="PT"/>
    <x v="3"/>
    <s v="Tiền dầu"/>
    <s v="Tiền dầu"/>
    <s v="CP phát sinh hàng tháng"/>
    <s v="29H88546"/>
    <s v="Solati"/>
    <n v="9176"/>
    <d v="2026-03-19T00:00:00"/>
    <n v="935010"/>
    <n v="1"/>
    <n v="935010"/>
    <d v="2026-03-19T00:00:00"/>
    <m/>
  </r>
  <r>
    <n v="81"/>
    <x v="1"/>
    <s v="PT"/>
    <x v="3"/>
    <s v="Tiền dầu"/>
    <s v="Tiền dầu"/>
    <s v="CP phát sinh hàng tháng"/>
    <s v="29H88546"/>
    <s v="Solati"/>
    <n v="9176"/>
    <d v="2026-03-20T00:00:00"/>
    <n v="2205450"/>
    <n v="1"/>
    <n v="2205450"/>
    <d v="2026-03-20T00:00:00"/>
    <m/>
  </r>
  <r>
    <n v="82"/>
    <x v="1"/>
    <s v="PT"/>
    <x v="3"/>
    <s v="Tiền dầu"/>
    <s v="Tiền dầu"/>
    <s v="CP phát sinh hàng tháng"/>
    <s v="30K82982"/>
    <s v="Suzu"/>
    <n v="2923"/>
    <d v="2026-03-21T00:00:00"/>
    <n v="934500"/>
    <n v="1"/>
    <n v="934500"/>
    <d v="2026-03-21T00:00:00"/>
    <m/>
  </r>
  <r>
    <n v="83"/>
    <x v="1"/>
    <s v="PT"/>
    <x v="3"/>
    <s v="Tiền dầu"/>
    <s v="Tiền dầu"/>
    <s v="CP phát sinh hàng tháng"/>
    <s v="29H88577"/>
    <s v="Solati"/>
    <n v="9929"/>
    <d v="2026-03-21T00:00:00"/>
    <n v="2035800"/>
    <n v="1"/>
    <n v="2035800"/>
    <d v="2026-03-21T00:00:00"/>
    <m/>
  </r>
  <r>
    <n v="84"/>
    <x v="1"/>
    <s v="PT"/>
    <x v="3"/>
    <s v="Tiền dầu"/>
    <s v="Tiền dầu"/>
    <s v="CP phát sinh hàng tháng"/>
    <s v="29H88546"/>
    <s v="Solati"/>
    <n v="9176"/>
    <d v="2026-03-22T00:00:00"/>
    <n v="2158152"/>
    <n v="1"/>
    <n v="2158152"/>
    <d v="2026-03-22T00:00:00"/>
    <m/>
  </r>
  <r>
    <n v="85"/>
    <x v="1"/>
    <s v="PT"/>
    <x v="3"/>
    <s v="Tiền dầu"/>
    <s v="Tiền dầu"/>
    <s v="CP phát sinh hàng tháng"/>
    <s v="29H88577"/>
    <s v="Solati"/>
    <n v="9929"/>
    <d v="2026-03-22T00:00:00"/>
    <n v="2375100"/>
    <n v="1"/>
    <n v="2375100"/>
    <d v="2026-03-22T00:00:00"/>
    <m/>
  </r>
  <r>
    <n v="86"/>
    <x v="1"/>
    <s v="PT"/>
    <x v="3"/>
    <s v="Tiền dầu"/>
    <s v="Tiền dầu"/>
    <s v="CP phát sinh hàng tháng"/>
    <s v="29H88546"/>
    <s v="Solati"/>
    <n v="9176"/>
    <d v="2026-03-23T00:00:00"/>
    <n v="2375100"/>
    <n v="1"/>
    <n v="2375100"/>
    <d v="2026-03-23T00:00:00"/>
    <m/>
  </r>
  <r>
    <n v="87"/>
    <x v="1"/>
    <s v="PT"/>
    <x v="3"/>
    <s v="Tiền dầu"/>
    <s v="Tiền dầu"/>
    <s v="CP phát sinh hàng tháng"/>
    <s v="30K82982"/>
    <s v="Suzu"/>
    <n v="2923"/>
    <d v="2026-03-23T00:00:00"/>
    <n v="1121400"/>
    <n v="1"/>
    <n v="1121400"/>
    <d v="2026-03-23T00:00:00"/>
    <m/>
  </r>
  <r>
    <n v="88"/>
    <x v="1"/>
    <s v="PT"/>
    <x v="3"/>
    <s v="Tiền dầu"/>
    <s v="Tiền dầu"/>
    <s v="CP phát sinh hàng tháng"/>
    <s v="29H88577"/>
    <s v="Solati"/>
    <n v="9929"/>
    <d v="2026-03-24T00:00:00"/>
    <n v="2205450"/>
    <n v="1"/>
    <n v="2205450"/>
    <d v="2026-03-24T00:00:00"/>
    <m/>
  </r>
  <r>
    <n v="89"/>
    <x v="1"/>
    <s v="PT"/>
    <x v="3"/>
    <s v="Tiền dầu"/>
    <s v="Tiền dầu"/>
    <s v="CP phát sinh hàng tháng"/>
    <s v="29H88546"/>
    <s v="Solati"/>
    <n v="9176"/>
    <d v="2026-03-25T00:00:00"/>
    <n v="2631774"/>
    <n v="1"/>
    <n v="2631774"/>
    <d v="2026-03-25T00:00:00"/>
    <m/>
  </r>
  <r>
    <n v="90"/>
    <x v="1"/>
    <s v="PT"/>
    <x v="3"/>
    <s v="Tiền dầu"/>
    <s v="Tiền dầu"/>
    <s v="CP phát sinh hàng tháng"/>
    <s v="29H88577"/>
    <s v="Solati"/>
    <n v="9929"/>
    <d v="2026-03-26T00:00:00"/>
    <n v="2479100"/>
    <n v="1"/>
    <n v="2479100"/>
    <d v="2026-03-26T00:00:00"/>
    <m/>
  </r>
  <r>
    <n v="91"/>
    <x v="1"/>
    <s v="PT"/>
    <x v="3"/>
    <s v="Tiền dầu"/>
    <s v="Tiền dầu"/>
    <s v="CP phát sinh hàng tháng"/>
    <s v="30K82982"/>
    <s v="Suzu"/>
    <n v="2923"/>
    <d v="2026-03-27T00:00:00"/>
    <n v="737400"/>
    <n v="1"/>
    <n v="737400"/>
    <d v="2026-03-27T00:00:00"/>
    <m/>
  </r>
  <r>
    <n v="92"/>
    <x v="1"/>
    <s v="PT"/>
    <x v="3"/>
    <s v="Tiền dầu"/>
    <s v="Tiền dầu"/>
    <s v="CP phát sinh hàng tháng"/>
    <s v="29H88546"/>
    <s v="Solati"/>
    <n v="9176"/>
    <d v="2026-03-28T00:00:00"/>
    <n v="2141400"/>
    <n v="1"/>
    <n v="2141400"/>
    <d v="2026-03-28T00:00:00"/>
    <m/>
  </r>
  <r>
    <n v="93"/>
    <x v="0"/>
    <s v="PT"/>
    <x v="3"/>
    <s v="Tiền dầu"/>
    <s v="Tiền dầu"/>
    <s v="CP phát sinh hàng tháng"/>
    <s v="29H88577"/>
    <s v="Solati"/>
    <n v="9929"/>
    <d v="2026-03-28T00:00:00"/>
    <n v="2141400"/>
    <n v="1"/>
    <n v="2141400"/>
    <d v="2026-03-28T00:00:00"/>
    <m/>
  </r>
  <r>
    <n v="94"/>
    <x v="0"/>
    <s v="PT"/>
    <x v="3"/>
    <s v="Tiền dầu"/>
    <s v="Tiền dầu"/>
    <s v="CP phát sinh hàng tháng"/>
    <s v="30K82982"/>
    <s v="Suzu"/>
    <n v="2923"/>
    <d v="2026-03-29T00:00:00"/>
    <n v="860300"/>
    <n v="1"/>
    <n v="860300"/>
    <d v="2026-03-29T00:00:00"/>
    <m/>
  </r>
  <r>
    <n v="95"/>
    <x v="0"/>
    <s v="PT"/>
    <x v="3"/>
    <s v="Tiền dầu"/>
    <s v="Tiền dầu"/>
    <s v="CP phát sinh hàng tháng"/>
    <s v="29H88546"/>
    <s v="Solati"/>
    <n v="9176"/>
    <d v="2026-03-29T00:00:00"/>
    <n v="2319957"/>
    <n v="1"/>
    <n v="2319957"/>
    <d v="2026-03-29T00:00:00"/>
    <m/>
  </r>
  <r>
    <n v="96"/>
    <x v="0"/>
    <s v="PT"/>
    <x v="3"/>
    <s v="Tiền dầu"/>
    <s v="Tiền dầu"/>
    <s v="CP phát sinh hàng tháng"/>
    <s v="29H88546"/>
    <s v="Solati"/>
    <n v="9176"/>
    <d v="2026-03-30T00:00:00"/>
    <n v="2141400"/>
    <n v="1"/>
    <n v="2141400"/>
    <d v="2026-03-30T00:00:00"/>
    <m/>
  </r>
  <r>
    <n v="97"/>
    <x v="0"/>
    <s v="PT"/>
    <x v="3"/>
    <s v="Tiền dầu"/>
    <s v="Tiền dầu"/>
    <s v="CP phát sinh hàng tháng"/>
    <s v="30K82982"/>
    <s v="Suzu"/>
    <n v="2923"/>
    <d v="2026-03-31T00:00:00"/>
    <n v="860300"/>
    <n v="1"/>
    <n v="860300"/>
    <d v="2026-03-31T00:00:00"/>
    <m/>
  </r>
  <r>
    <n v="98"/>
    <x v="0"/>
    <s v="PT"/>
    <x v="3"/>
    <s v="Tiền dầu"/>
    <s v="Tiền dầu"/>
    <s v="CP phát sinh hàng tháng"/>
    <s v="29H88577"/>
    <s v="Solati"/>
    <n v="9929"/>
    <d v="2026-03-31T00:00:00"/>
    <n v="2141400"/>
    <n v="1"/>
    <n v="2141400"/>
    <d v="2026-03-31T00:00:00"/>
    <m/>
  </r>
  <r>
    <n v="99"/>
    <x v="0"/>
    <s v="PT"/>
    <x v="3"/>
    <s v="Tiền điện"/>
    <s v="Tiền điện"/>
    <s v="CP phát sinh hàng tháng"/>
    <s v="29K23947"/>
    <s v="Vf6"/>
    <n v="5040"/>
    <d v="2026-03-31T00:00:00"/>
    <n v="4589477"/>
    <n v="1"/>
    <n v="4589477"/>
    <d v="2026-03-31T00:00:00"/>
    <m/>
  </r>
  <r>
    <n v="100"/>
    <x v="0"/>
    <s v="PT"/>
    <x v="3"/>
    <s v="Tiền điện"/>
    <s v="Tiền điện"/>
    <s v="CP phát sinh hàng tháng"/>
    <s v="29K23961"/>
    <s v="Vf6"/>
    <n v="4824"/>
    <d v="2026-03-31T00:00:00"/>
    <n v="3829451"/>
    <n v="1"/>
    <n v="3829451"/>
    <d v="2026-03-31T00:00:00"/>
    <m/>
  </r>
  <r>
    <n v="101"/>
    <x v="0"/>
    <s v="PT"/>
    <x v="3"/>
    <s v="Tiền điện"/>
    <s v="Tiền điện"/>
    <s v="CP phát sinh hàng tháng"/>
    <s v="30L86952"/>
    <s v="Vf6"/>
    <n v="3854"/>
    <d v="2026-03-31T00:00:00"/>
    <n v="3539329"/>
    <n v="1"/>
    <n v="3539329"/>
    <d v="2026-03-31T00:00:00"/>
    <m/>
  </r>
  <r>
    <n v="102"/>
    <x v="0"/>
    <s v="PT"/>
    <x v="3"/>
    <s v="Tiền điện"/>
    <s v="Tiền điện"/>
    <s v="CP phát sinh hàng tháng"/>
    <s v="30M36242"/>
    <s v="Vf6"/>
    <n v="4696"/>
    <d v="2026-03-31T00:00:00"/>
    <n v="4095583"/>
    <n v="1"/>
    <n v="4095583"/>
    <d v="2026-03-31T00:00:00"/>
    <m/>
  </r>
  <r>
    <n v="103"/>
    <x v="0"/>
    <s v="PT"/>
    <x v="4"/>
    <s v="CP rửa xe"/>
    <s v="Chi phí rửa xe TC tháng 03/2026"/>
    <s v="CP phát sinh hàng tháng"/>
    <m/>
    <m/>
    <m/>
    <d v="2026-03-31T00:00:00"/>
    <n v="3000000"/>
    <n v="1"/>
    <n v="3000000"/>
    <d v="2026-03-31T00:00:00"/>
    <m/>
  </r>
  <r>
    <n v="104"/>
    <x v="0"/>
    <s v="PT"/>
    <x v="5"/>
    <s v="Văn phòng phẩm"/>
    <s v="Chi phí VPP tháng 03/2026"/>
    <s v="CP phát sinh hàng tháng"/>
    <m/>
    <m/>
    <m/>
    <d v="2026-03-31T00:00:00"/>
    <m/>
    <n v="1"/>
    <n v="0"/>
    <d v="2026-03-31T00:00:00"/>
    <m/>
  </r>
  <r>
    <n v="105"/>
    <x v="0"/>
    <s v="PT"/>
    <x v="5"/>
    <s v="CP điện nước"/>
    <s v="Tiền điện tháng 3/2026"/>
    <s v="CP phát sinh hàng tháng"/>
    <m/>
    <m/>
    <m/>
    <d v="2026-03-31T00:00:00"/>
    <m/>
    <n v="1"/>
    <n v="0"/>
    <d v="2026-03-31T00:00:00"/>
    <m/>
  </r>
  <r>
    <n v="106"/>
    <x v="0"/>
    <s v="PT"/>
    <x v="5"/>
    <s v="CP điện nước"/>
    <s v="Hạch toán chi tiền đổi bình nước VPPT"/>
    <s v="CP phát sinh hàng tháng"/>
    <m/>
    <m/>
    <m/>
    <d v="2026-03-31T00:00:00"/>
    <n v="180000"/>
    <n v="1"/>
    <n v="180000"/>
    <d v="2026-03-31T00:00:00"/>
    <m/>
  </r>
  <r>
    <n v="107"/>
    <x v="0"/>
    <s v="PT"/>
    <x v="5"/>
    <s v="CP điện thoại"/>
    <s v="0869224699 - Phú Thọ VTHK"/>
    <s v="CP phát sinh hàng tháng"/>
    <m/>
    <m/>
    <m/>
    <d v="2026-03-31T00:00:00"/>
    <m/>
    <n v="1"/>
    <n v="0"/>
    <d v="2026-03-31T00:00:00"/>
    <m/>
  </r>
  <r>
    <n v="108"/>
    <x v="0"/>
    <s v="PT"/>
    <x v="5"/>
    <s v="CP điện thoại"/>
    <s v="Tiền điện thoại qua app"/>
    <s v="CP phát sinh hàng tháng"/>
    <m/>
    <m/>
    <m/>
    <d v="2026-03-31T00:00:00"/>
    <m/>
    <n v="1"/>
    <n v="0"/>
    <d v="2026-03-31T00:00:00"/>
    <m/>
  </r>
  <r>
    <n v="109"/>
    <x v="0"/>
    <s v="PT"/>
    <x v="5"/>
    <s v="CP vá lốp"/>
    <s v="Tiền sửa chữa vá lốp xe TCTX 29H88546"/>
    <s v="CP phát sinh hàng tháng"/>
    <s v="29H88546"/>
    <s v="Solati"/>
    <n v="9176"/>
    <d v="2026-03-31T00:00:00"/>
    <n v="970000"/>
    <n v="1"/>
    <n v="970000"/>
    <d v="2026-03-31T00:00:00"/>
    <m/>
  </r>
  <r>
    <n v="110"/>
    <x v="1"/>
    <s v="PT"/>
    <x v="4"/>
    <s v="CP vá lốp"/>
    <s v="Tiền sửa chữa vá lốp xe TCTX 29H88577"/>
    <s v="CP phát sinh hàng tháng"/>
    <s v="29H88577"/>
    <s v="Solati"/>
    <n v="9929"/>
    <d v="2026-03-31T00:00:00"/>
    <n v="110000"/>
    <n v="1"/>
    <n v="110000"/>
    <d v="2026-03-31T00:00:00"/>
    <m/>
  </r>
  <r>
    <n v="111"/>
    <x v="0"/>
    <s v="PT"/>
    <x v="4"/>
    <s v="CP vá lốp"/>
    <s v="Tiền vá lốp xe TCTX 30L86952"/>
    <s v="CP phát sinh hàng tháng"/>
    <s v="30L86952"/>
    <s v="Vf6"/>
    <n v="3854"/>
    <d v="2026-03-31T00:00:00"/>
    <n v="150000"/>
    <n v="1"/>
    <n v="150000"/>
    <d v="2026-03-31T00:00:00"/>
    <m/>
  </r>
  <r>
    <n v="112"/>
    <x v="0"/>
    <s v="PT"/>
    <x v="4"/>
    <s v="CP vá lốp"/>
    <s v="Tiền vá lốp, dảo lốp xe TCTX 29K23961"/>
    <s v="CP phát sinh hàng tháng"/>
    <s v="29K23961"/>
    <s v="Vf6"/>
    <n v="4824"/>
    <d v="2026-03-31T00:00:00"/>
    <n v="230000"/>
    <n v="1"/>
    <n v="230000"/>
    <d v="2026-03-31T00:00:00"/>
    <m/>
  </r>
  <r>
    <n v="113"/>
    <x v="0"/>
    <s v="PT"/>
    <x v="4"/>
    <s v="CP vá lốp"/>
    <s v="Tiền vá lốp xe TCTX 30M36242"/>
    <s v="CP phát sinh hàng tháng"/>
    <s v="30M36242"/>
    <s v="Vf6"/>
    <n v="4696"/>
    <d v="2026-03-31T00:00:00"/>
    <n v="50000"/>
    <n v="1"/>
    <n v="50000"/>
    <d v="2026-03-31T00:00:00"/>
    <m/>
  </r>
  <r>
    <m/>
    <x v="0"/>
    <s v="PT"/>
    <x v="4"/>
    <s v="CP khác"/>
    <m/>
    <m/>
    <m/>
    <m/>
    <m/>
    <d v="2026-03-31T00:00:00"/>
    <m/>
    <n v="1"/>
    <n v="0"/>
    <d v="2026-03-31T00:00:00"/>
    <m/>
  </r>
  <r>
    <m/>
    <x v="2"/>
    <m/>
    <x v="6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E92E8-CD1B-4BE1-B486-78AE26C64F14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16">
    <pivotField showAll="0"/>
    <pivotField axis="axisPage" multipleItemSelectionAllowed="1" showAll="0">
      <items count="6">
        <item m="1" x="4"/>
        <item x="2"/>
        <item m="1" x="3"/>
        <item x="1"/>
        <item x="0"/>
        <item t="default"/>
      </items>
    </pivotField>
    <pivotField showAll="0"/>
    <pivotField axis="axisRow" showAll="0">
      <items count="8">
        <item x="2"/>
        <item x="0"/>
        <item x="1"/>
        <item x="3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" hier="-1"/>
  </pageFields>
  <dataFields count="1">
    <dataField name="Sum of Chi phí khấu trừ quỹ lương tháng" fld="13" baseField="3" baseItem="0" numFmtId="166"/>
  </dataFields>
  <formats count="2">
    <format dxfId="1">
      <pivotArea dataOnly="0" labelOnly="1" outline="0" fieldPosition="0">
        <references count="1">
          <reference field="1" count="1">
            <x v="0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BAD0-8188-4D43-8866-26899F405E53}">
  <dimension ref="A1:B11"/>
  <sheetViews>
    <sheetView tabSelected="1" workbookViewId="0">
      <selection activeCell="F27" sqref="F27"/>
    </sheetView>
  </sheetViews>
  <sheetFormatPr defaultRowHeight="15" x14ac:dyDescent="0.25"/>
  <cols>
    <col min="1" max="1" width="26" bestFit="1" customWidth="1"/>
    <col min="2" max="2" width="37.7109375" bestFit="1" customWidth="1"/>
  </cols>
  <sheetData>
    <row r="1" spans="1:2" x14ac:dyDescent="0.25">
      <c r="A1" s="14" t="s">
        <v>1</v>
      </c>
      <c r="B1" t="s">
        <v>79</v>
      </c>
    </row>
    <row r="3" spans="1:2" x14ac:dyDescent="0.25">
      <c r="A3" s="14" t="s">
        <v>62</v>
      </c>
      <c r="B3" t="s">
        <v>64</v>
      </c>
    </row>
    <row r="4" spans="1:2" x14ac:dyDescent="0.25">
      <c r="A4" s="15" t="s">
        <v>39</v>
      </c>
      <c r="B4" s="16">
        <v>14780711.580451656</v>
      </c>
    </row>
    <row r="5" spans="1:2" x14ac:dyDescent="0.25">
      <c r="A5" s="15" t="s">
        <v>16</v>
      </c>
      <c r="B5" s="16">
        <v>93994258.333333328</v>
      </c>
    </row>
    <row r="6" spans="1:2" x14ac:dyDescent="0.25">
      <c r="A6" s="15" t="s">
        <v>36</v>
      </c>
      <c r="B6" s="16">
        <v>0</v>
      </c>
    </row>
    <row r="7" spans="1:2" x14ac:dyDescent="0.25">
      <c r="A7" s="15" t="s">
        <v>46</v>
      </c>
      <c r="B7" s="16">
        <v>85092880</v>
      </c>
    </row>
    <row r="8" spans="1:2" x14ac:dyDescent="0.25">
      <c r="A8" s="15" t="s">
        <v>53</v>
      </c>
      <c r="B8" s="16">
        <v>1150000</v>
      </c>
    </row>
    <row r="9" spans="1:2" x14ac:dyDescent="0.25">
      <c r="A9" s="15" t="s">
        <v>51</v>
      </c>
      <c r="B9" s="16">
        <v>3540000</v>
      </c>
    </row>
    <row r="10" spans="1:2" x14ac:dyDescent="0.25">
      <c r="A10" s="15" t="s">
        <v>78</v>
      </c>
      <c r="B10" s="16"/>
    </row>
    <row r="11" spans="1:2" x14ac:dyDescent="0.25">
      <c r="A11" s="15" t="s">
        <v>63</v>
      </c>
      <c r="B11" s="16">
        <v>198557849.91378498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9AB5-4969-49F6-989D-5F4EC3D6EEFB}">
  <dimension ref="A1:P127"/>
  <sheetViews>
    <sheetView zoomScale="85" zoomScaleNormal="85" workbookViewId="0">
      <pane ySplit="1" topLeftCell="A75" activePane="bottomLeft" state="frozen"/>
      <selection pane="bottomLeft" activeCell="A90" sqref="A90:XFD90"/>
    </sheetView>
  </sheetViews>
  <sheetFormatPr defaultRowHeight="15" x14ac:dyDescent="0.25"/>
  <cols>
    <col min="1" max="1" width="5.28515625" customWidth="1"/>
    <col min="4" max="4" width="28.5703125" customWidth="1"/>
    <col min="5" max="5" width="24.7109375" customWidth="1"/>
    <col min="6" max="6" width="29.7109375" customWidth="1"/>
    <col min="7" max="7" width="35.5703125" customWidth="1"/>
    <col min="8" max="8" width="12.42578125" customWidth="1"/>
    <col min="9" max="9" width="15.42578125" customWidth="1"/>
    <col min="11" max="11" width="15.5703125" customWidth="1"/>
    <col min="12" max="12" width="15.85546875" customWidth="1"/>
    <col min="14" max="14" width="16" customWidth="1"/>
    <col min="15" max="15" width="15.28515625" customWidth="1"/>
  </cols>
  <sheetData>
    <row r="1" spans="1:16" ht="63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4" t="s">
        <v>13</v>
      </c>
      <c r="P1" s="1" t="s">
        <v>14</v>
      </c>
    </row>
    <row r="2" spans="1:16" ht="15.75" x14ac:dyDescent="0.25">
      <c r="A2" s="5">
        <f>SUBTOTAL(3,$B$2:B2)</f>
        <v>1</v>
      </c>
      <c r="B2" s="6">
        <v>46143</v>
      </c>
      <c r="C2" s="6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7" t="s">
        <v>20</v>
      </c>
      <c r="I2" s="7" t="s">
        <v>21</v>
      </c>
      <c r="J2" s="7">
        <v>4873</v>
      </c>
      <c r="K2" s="8">
        <v>45729</v>
      </c>
      <c r="L2" s="9">
        <v>785000000</v>
      </c>
      <c r="M2" s="10">
        <v>60</v>
      </c>
      <c r="N2" s="9">
        <f t="shared" ref="N2" si="0">IF(B2&gt;O2,"",L2/M2)</f>
        <v>13083333.333333334</v>
      </c>
      <c r="O2" s="11">
        <f t="shared" ref="O2" si="1">EDATE(K2, M2-1)</f>
        <v>47527</v>
      </c>
      <c r="P2" s="5"/>
    </row>
    <row r="3" spans="1:16" ht="15.75" x14ac:dyDescent="0.25">
      <c r="A3" s="5">
        <f>SUBTOTAL(3,$B$2:B3)</f>
        <v>2</v>
      </c>
      <c r="B3" s="6">
        <v>46143</v>
      </c>
      <c r="C3" s="6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7" t="s">
        <v>22</v>
      </c>
      <c r="I3" s="7" t="s">
        <v>21</v>
      </c>
      <c r="J3" s="7">
        <v>5345</v>
      </c>
      <c r="K3" s="8">
        <v>45729</v>
      </c>
      <c r="L3" s="9">
        <v>785000000</v>
      </c>
      <c r="M3" s="10">
        <v>60</v>
      </c>
      <c r="N3" s="9">
        <f t="shared" ref="N3:N57" si="2">IF(B3&gt;O3,"",L3/M3)</f>
        <v>13083333.333333334</v>
      </c>
      <c r="O3" s="11">
        <f t="shared" ref="O3:O57" si="3">EDATE(K3, M3-1)</f>
        <v>47527</v>
      </c>
      <c r="P3" s="5"/>
    </row>
    <row r="4" spans="1:16" ht="15.75" x14ac:dyDescent="0.25">
      <c r="A4" s="5">
        <f>SUBTOTAL(3,$B$2:B4)</f>
        <v>3</v>
      </c>
      <c r="B4" s="6">
        <v>46143</v>
      </c>
      <c r="C4" s="6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7" t="s">
        <v>23</v>
      </c>
      <c r="I4" s="7" t="s">
        <v>24</v>
      </c>
      <c r="J4" s="7">
        <v>8718</v>
      </c>
      <c r="K4" s="8">
        <v>45365</v>
      </c>
      <c r="L4" s="9">
        <v>1350000000</v>
      </c>
      <c r="M4" s="10">
        <v>72</v>
      </c>
      <c r="N4" s="9">
        <f t="shared" si="2"/>
        <v>18750000</v>
      </c>
      <c r="O4" s="11">
        <f t="shared" si="3"/>
        <v>47528</v>
      </c>
      <c r="P4" s="5"/>
    </row>
    <row r="5" spans="1:16" ht="15.75" x14ac:dyDescent="0.25">
      <c r="A5" s="5">
        <f>SUBTOTAL(3,$B$2:B5)</f>
        <v>4</v>
      </c>
      <c r="B5" s="6">
        <v>46143</v>
      </c>
      <c r="C5" s="6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7" t="s">
        <v>25</v>
      </c>
      <c r="I5" s="7" t="s">
        <v>24</v>
      </c>
      <c r="J5" s="7">
        <v>10100</v>
      </c>
      <c r="K5" s="8">
        <v>45365</v>
      </c>
      <c r="L5" s="9">
        <v>1350000000</v>
      </c>
      <c r="M5" s="10">
        <v>72</v>
      </c>
      <c r="N5" s="9">
        <f t="shared" si="2"/>
        <v>18750000</v>
      </c>
      <c r="O5" s="11">
        <f t="shared" si="3"/>
        <v>47528</v>
      </c>
      <c r="P5" s="5"/>
    </row>
    <row r="6" spans="1:16" ht="15.75" x14ac:dyDescent="0.25">
      <c r="A6" s="5">
        <f>SUBTOTAL(3,$B$2:B6)</f>
        <v>5</v>
      </c>
      <c r="B6" s="6">
        <v>46143</v>
      </c>
      <c r="C6" s="6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7" t="s">
        <v>27</v>
      </c>
      <c r="I6" s="7" t="s">
        <v>21</v>
      </c>
      <c r="J6" s="7">
        <v>5053</v>
      </c>
      <c r="K6" s="8">
        <v>45858</v>
      </c>
      <c r="L6" s="9">
        <v>785000000</v>
      </c>
      <c r="M6" s="10">
        <v>60</v>
      </c>
      <c r="N6" s="9">
        <f t="shared" si="2"/>
        <v>13083333.333333334</v>
      </c>
      <c r="O6" s="11">
        <f t="shared" si="3"/>
        <v>47654</v>
      </c>
      <c r="P6" s="5"/>
    </row>
    <row r="7" spans="1:16" ht="15.75" x14ac:dyDescent="0.25">
      <c r="A7" s="5">
        <f>SUBTOTAL(3,$B$2:B7)</f>
        <v>6</v>
      </c>
      <c r="B7" s="6">
        <v>46143</v>
      </c>
      <c r="C7" s="6" t="s">
        <v>15</v>
      </c>
      <c r="D7" s="5" t="s">
        <v>16</v>
      </c>
      <c r="E7" s="5" t="s">
        <v>28</v>
      </c>
      <c r="F7" s="5" t="s">
        <v>29</v>
      </c>
      <c r="G7" s="5" t="s">
        <v>19</v>
      </c>
      <c r="H7" s="7" t="s">
        <v>20</v>
      </c>
      <c r="I7" s="7" t="s">
        <v>21</v>
      </c>
      <c r="J7" s="7">
        <v>4873</v>
      </c>
      <c r="K7" s="8">
        <v>46094</v>
      </c>
      <c r="L7" s="9">
        <v>7365700</v>
      </c>
      <c r="M7" s="10">
        <v>12</v>
      </c>
      <c r="N7" s="9">
        <f t="shared" si="2"/>
        <v>613808.33333333337</v>
      </c>
      <c r="O7" s="11">
        <f t="shared" si="3"/>
        <v>46431</v>
      </c>
      <c r="P7" s="5"/>
    </row>
    <row r="8" spans="1:16" ht="15.75" x14ac:dyDescent="0.25">
      <c r="A8" s="5">
        <f>SUBTOTAL(3,$B$2:B8)</f>
        <v>7</v>
      </c>
      <c r="B8" s="6">
        <v>46143</v>
      </c>
      <c r="C8" s="6" t="s">
        <v>15</v>
      </c>
      <c r="D8" s="5" t="s">
        <v>16</v>
      </c>
      <c r="E8" s="5" t="s">
        <v>28</v>
      </c>
      <c r="F8" s="5" t="s">
        <v>29</v>
      </c>
      <c r="G8" s="5" t="s">
        <v>19</v>
      </c>
      <c r="H8" s="7" t="s">
        <v>22</v>
      </c>
      <c r="I8" s="7" t="s">
        <v>21</v>
      </c>
      <c r="J8" s="7">
        <v>5345</v>
      </c>
      <c r="K8" s="8">
        <v>46094</v>
      </c>
      <c r="L8" s="9">
        <v>7365700</v>
      </c>
      <c r="M8" s="10">
        <v>12</v>
      </c>
      <c r="N8" s="9">
        <f t="shared" si="2"/>
        <v>613808.33333333337</v>
      </c>
      <c r="O8" s="11">
        <f t="shared" si="3"/>
        <v>46431</v>
      </c>
      <c r="P8" s="5"/>
    </row>
    <row r="9" spans="1:16" ht="15.75" x14ac:dyDescent="0.25">
      <c r="A9" s="5">
        <f>SUBTOTAL(3,$B$2:B9)</f>
        <v>8</v>
      </c>
      <c r="B9" s="6">
        <v>46143</v>
      </c>
      <c r="C9" s="6" t="s">
        <v>15</v>
      </c>
      <c r="D9" s="5" t="s">
        <v>16</v>
      </c>
      <c r="E9" s="5" t="s">
        <v>28</v>
      </c>
      <c r="F9" s="5" t="s">
        <v>29</v>
      </c>
      <c r="G9" s="5" t="s">
        <v>19</v>
      </c>
      <c r="H9" s="7" t="s">
        <v>23</v>
      </c>
      <c r="I9" s="7" t="s">
        <v>24</v>
      </c>
      <c r="J9" s="7">
        <v>8718</v>
      </c>
      <c r="K9" s="8">
        <v>46095</v>
      </c>
      <c r="L9" s="9">
        <v>15084000</v>
      </c>
      <c r="M9" s="10">
        <v>12</v>
      </c>
      <c r="N9" s="9">
        <f t="shared" si="2"/>
        <v>1257000</v>
      </c>
      <c r="O9" s="11">
        <f t="shared" si="3"/>
        <v>46432</v>
      </c>
      <c r="P9" s="5"/>
    </row>
    <row r="10" spans="1:16" ht="15.75" x14ac:dyDescent="0.25">
      <c r="A10" s="5">
        <f>SUBTOTAL(3,$B$2:B10)</f>
        <v>9</v>
      </c>
      <c r="B10" s="6">
        <v>46143</v>
      </c>
      <c r="C10" s="6" t="s">
        <v>15</v>
      </c>
      <c r="D10" s="5" t="s">
        <v>16</v>
      </c>
      <c r="E10" s="5" t="s">
        <v>28</v>
      </c>
      <c r="F10" s="5" t="s">
        <v>29</v>
      </c>
      <c r="G10" s="5" t="s">
        <v>19</v>
      </c>
      <c r="H10" s="7" t="s">
        <v>25</v>
      </c>
      <c r="I10" s="7" t="s">
        <v>24</v>
      </c>
      <c r="J10" s="7">
        <v>10100</v>
      </c>
      <c r="K10" s="8">
        <v>46095</v>
      </c>
      <c r="L10" s="9">
        <v>15084000</v>
      </c>
      <c r="M10" s="10">
        <v>12</v>
      </c>
      <c r="N10" s="9">
        <f t="shared" si="2"/>
        <v>1257000</v>
      </c>
      <c r="O10" s="11">
        <f t="shared" si="3"/>
        <v>46432</v>
      </c>
      <c r="P10" s="5"/>
    </row>
    <row r="11" spans="1:16" ht="15.75" x14ac:dyDescent="0.25">
      <c r="A11" s="5">
        <f>SUBTOTAL(3,$B$2:B11)</f>
        <v>10</v>
      </c>
      <c r="B11" s="6">
        <v>46143</v>
      </c>
      <c r="C11" s="6" t="s">
        <v>15</v>
      </c>
      <c r="D11" s="5" t="s">
        <v>16</v>
      </c>
      <c r="E11" s="5" t="s">
        <v>28</v>
      </c>
      <c r="F11" s="5" t="s">
        <v>29</v>
      </c>
      <c r="G11" s="5" t="s">
        <v>19</v>
      </c>
      <c r="H11" s="7" t="s">
        <v>27</v>
      </c>
      <c r="I11" s="7" t="s">
        <v>21</v>
      </c>
      <c r="J11" s="7">
        <v>5053</v>
      </c>
      <c r="K11" s="8">
        <v>45858</v>
      </c>
      <c r="L11" s="9">
        <v>7365700</v>
      </c>
      <c r="M11" s="10">
        <v>12</v>
      </c>
      <c r="N11" s="9">
        <f t="shared" si="2"/>
        <v>613808.33333333337</v>
      </c>
      <c r="O11" s="11">
        <f t="shared" si="3"/>
        <v>46193</v>
      </c>
      <c r="P11" s="5"/>
    </row>
    <row r="12" spans="1:16" ht="15.75" x14ac:dyDescent="0.25">
      <c r="A12" s="5">
        <f>SUBTOTAL(3,$B$2:B12)</f>
        <v>11</v>
      </c>
      <c r="B12" s="6">
        <v>46143</v>
      </c>
      <c r="C12" s="6" t="s">
        <v>15</v>
      </c>
      <c r="D12" s="5" t="s">
        <v>16</v>
      </c>
      <c r="E12" s="5" t="s">
        <v>30</v>
      </c>
      <c r="F12" s="5" t="s">
        <v>31</v>
      </c>
      <c r="G12" s="5" t="s">
        <v>19</v>
      </c>
      <c r="H12" s="7" t="s">
        <v>20</v>
      </c>
      <c r="I12" s="7" t="s">
        <v>21</v>
      </c>
      <c r="J12" s="7">
        <v>4873</v>
      </c>
      <c r="K12" s="8">
        <v>46094</v>
      </c>
      <c r="L12" s="9">
        <v>2160000</v>
      </c>
      <c r="M12" s="10">
        <v>12</v>
      </c>
      <c r="N12" s="9">
        <f t="shared" si="2"/>
        <v>180000</v>
      </c>
      <c r="O12" s="11">
        <f t="shared" si="3"/>
        <v>46431</v>
      </c>
      <c r="P12" s="5"/>
    </row>
    <row r="13" spans="1:16" ht="15.75" x14ac:dyDescent="0.25">
      <c r="A13" s="5">
        <f>SUBTOTAL(3,$B$2:B13)</f>
        <v>12</v>
      </c>
      <c r="B13" s="6">
        <v>46143</v>
      </c>
      <c r="C13" s="6" t="s">
        <v>15</v>
      </c>
      <c r="D13" s="5" t="s">
        <v>16</v>
      </c>
      <c r="E13" s="5" t="s">
        <v>30</v>
      </c>
      <c r="F13" s="5" t="s">
        <v>31</v>
      </c>
      <c r="G13" s="5" t="s">
        <v>19</v>
      </c>
      <c r="H13" s="7" t="s">
        <v>22</v>
      </c>
      <c r="I13" s="7" t="s">
        <v>21</v>
      </c>
      <c r="J13" s="7">
        <v>5345</v>
      </c>
      <c r="K13" s="8">
        <v>46094</v>
      </c>
      <c r="L13" s="9">
        <v>2160000</v>
      </c>
      <c r="M13" s="10">
        <v>12</v>
      </c>
      <c r="N13" s="9">
        <f t="shared" si="2"/>
        <v>180000</v>
      </c>
      <c r="O13" s="11">
        <f t="shared" si="3"/>
        <v>46431</v>
      </c>
      <c r="P13" s="5"/>
    </row>
    <row r="14" spans="1:16" ht="15.75" x14ac:dyDescent="0.25">
      <c r="A14" s="5">
        <f>SUBTOTAL(3,$B$2:B14)</f>
        <v>13</v>
      </c>
      <c r="B14" s="6">
        <v>46143</v>
      </c>
      <c r="C14" s="6" t="s">
        <v>15</v>
      </c>
      <c r="D14" s="5" t="s">
        <v>16</v>
      </c>
      <c r="E14" s="5" t="s">
        <v>30</v>
      </c>
      <c r="F14" s="5" t="s">
        <v>31</v>
      </c>
      <c r="G14" s="5" t="s">
        <v>19</v>
      </c>
      <c r="H14" s="7" t="s">
        <v>23</v>
      </c>
      <c r="I14" s="7" t="s">
        <v>24</v>
      </c>
      <c r="J14" s="7">
        <v>8718</v>
      </c>
      <c r="K14" s="8">
        <v>46095</v>
      </c>
      <c r="L14" s="9">
        <v>5165000</v>
      </c>
      <c r="M14" s="10">
        <v>12</v>
      </c>
      <c r="N14" s="9">
        <f t="shared" si="2"/>
        <v>430416.66666666669</v>
      </c>
      <c r="O14" s="11">
        <f t="shared" si="3"/>
        <v>46432</v>
      </c>
      <c r="P14" s="5"/>
    </row>
    <row r="15" spans="1:16" ht="15.75" x14ac:dyDescent="0.25">
      <c r="A15" s="5">
        <f>SUBTOTAL(3,$B$2:B15)</f>
        <v>14</v>
      </c>
      <c r="B15" s="6">
        <v>46143</v>
      </c>
      <c r="C15" s="6" t="s">
        <v>15</v>
      </c>
      <c r="D15" s="5" t="s">
        <v>16</v>
      </c>
      <c r="E15" s="5" t="s">
        <v>30</v>
      </c>
      <c r="F15" s="5" t="s">
        <v>31</v>
      </c>
      <c r="G15" s="5" t="s">
        <v>19</v>
      </c>
      <c r="H15" s="7" t="s">
        <v>25</v>
      </c>
      <c r="I15" s="7" t="s">
        <v>24</v>
      </c>
      <c r="J15" s="7">
        <v>10100</v>
      </c>
      <c r="K15" s="8">
        <v>46095</v>
      </c>
      <c r="L15" s="9">
        <v>5165000</v>
      </c>
      <c r="M15" s="10">
        <v>12</v>
      </c>
      <c r="N15" s="9">
        <f t="shared" si="2"/>
        <v>430416.66666666669</v>
      </c>
      <c r="O15" s="11">
        <f t="shared" si="3"/>
        <v>46432</v>
      </c>
      <c r="P15" s="5"/>
    </row>
    <row r="16" spans="1:16" ht="15.75" x14ac:dyDescent="0.25">
      <c r="A16" s="5">
        <f>SUBTOTAL(3,$B$2:B16)</f>
        <v>15</v>
      </c>
      <c r="B16" s="6">
        <v>46143</v>
      </c>
      <c r="C16" s="6" t="s">
        <v>15</v>
      </c>
      <c r="D16" s="5" t="s">
        <v>16</v>
      </c>
      <c r="E16" s="5" t="s">
        <v>30</v>
      </c>
      <c r="F16" s="5" t="s">
        <v>31</v>
      </c>
      <c r="G16" s="5" t="s">
        <v>19</v>
      </c>
      <c r="H16" s="7" t="s">
        <v>27</v>
      </c>
      <c r="I16" s="7" t="s">
        <v>21</v>
      </c>
      <c r="J16" s="7">
        <v>5053</v>
      </c>
      <c r="K16" s="8">
        <v>45858</v>
      </c>
      <c r="L16" s="9">
        <v>2160000</v>
      </c>
      <c r="M16" s="10">
        <v>12</v>
      </c>
      <c r="N16" s="9">
        <f t="shared" si="2"/>
        <v>180000</v>
      </c>
      <c r="O16" s="11">
        <f t="shared" si="3"/>
        <v>46193</v>
      </c>
      <c r="P16" s="5"/>
    </row>
    <row r="17" spans="1:16" ht="15.75" x14ac:dyDescent="0.25">
      <c r="A17" s="5">
        <f>SUBTOTAL(3,$B$2:B17)</f>
        <v>16</v>
      </c>
      <c r="B17" s="6">
        <v>46143</v>
      </c>
      <c r="C17" s="6" t="s">
        <v>15</v>
      </c>
      <c r="D17" s="5" t="s">
        <v>16</v>
      </c>
      <c r="E17" s="5" t="s">
        <v>32</v>
      </c>
      <c r="F17" s="5" t="s">
        <v>33</v>
      </c>
      <c r="G17" s="5" t="s">
        <v>19</v>
      </c>
      <c r="H17" s="7" t="s">
        <v>20</v>
      </c>
      <c r="I17" s="7" t="s">
        <v>21</v>
      </c>
      <c r="J17" s="7">
        <v>4873</v>
      </c>
      <c r="K17" s="8">
        <v>45729</v>
      </c>
      <c r="L17" s="9">
        <v>5200000</v>
      </c>
      <c r="M17" s="10">
        <v>24</v>
      </c>
      <c r="N17" s="9">
        <f t="shared" si="2"/>
        <v>216666.66666666666</v>
      </c>
      <c r="O17" s="11">
        <f t="shared" si="3"/>
        <v>46431</v>
      </c>
      <c r="P17" s="5"/>
    </row>
    <row r="18" spans="1:16" ht="15.75" x14ac:dyDescent="0.25">
      <c r="A18" s="5">
        <f>SUBTOTAL(3,$B$2:B18)</f>
        <v>17</v>
      </c>
      <c r="B18" s="6">
        <v>46143</v>
      </c>
      <c r="C18" s="6" t="s">
        <v>15</v>
      </c>
      <c r="D18" s="5" t="s">
        <v>16</v>
      </c>
      <c r="E18" s="5" t="s">
        <v>32</v>
      </c>
      <c r="F18" s="5" t="s">
        <v>33</v>
      </c>
      <c r="G18" s="5" t="s">
        <v>19</v>
      </c>
      <c r="H18" s="7" t="s">
        <v>22</v>
      </c>
      <c r="I18" s="7" t="s">
        <v>21</v>
      </c>
      <c r="J18" s="7">
        <v>5345</v>
      </c>
      <c r="K18" s="8">
        <v>45729</v>
      </c>
      <c r="L18" s="9">
        <v>5200000</v>
      </c>
      <c r="M18" s="10">
        <v>24</v>
      </c>
      <c r="N18" s="9">
        <f t="shared" si="2"/>
        <v>216666.66666666666</v>
      </c>
      <c r="O18" s="11">
        <f t="shared" si="3"/>
        <v>46431</v>
      </c>
      <c r="P18" s="5"/>
    </row>
    <row r="19" spans="1:16" ht="15.75" x14ac:dyDescent="0.25">
      <c r="A19" s="5">
        <f>SUBTOTAL(3,$B$2:B19)</f>
        <v>18</v>
      </c>
      <c r="B19" s="6">
        <v>46143</v>
      </c>
      <c r="C19" s="6" t="s">
        <v>15</v>
      </c>
      <c r="D19" s="5" t="s">
        <v>16</v>
      </c>
      <c r="E19" s="5" t="s">
        <v>32</v>
      </c>
      <c r="F19" s="5" t="s">
        <v>33</v>
      </c>
      <c r="G19" s="5" t="s">
        <v>19</v>
      </c>
      <c r="H19" s="7" t="s">
        <v>23</v>
      </c>
      <c r="I19" s="7" t="s">
        <v>24</v>
      </c>
      <c r="J19" s="7">
        <v>8718</v>
      </c>
      <c r="K19" s="8">
        <v>46095</v>
      </c>
      <c r="L19" s="9">
        <v>5200000</v>
      </c>
      <c r="M19" s="10">
        <v>24</v>
      </c>
      <c r="N19" s="9">
        <f t="shared" si="2"/>
        <v>216666.66666666666</v>
      </c>
      <c r="O19" s="11">
        <f t="shared" si="3"/>
        <v>46797</v>
      </c>
      <c r="P19" s="5"/>
    </row>
    <row r="20" spans="1:16" ht="15.75" x14ac:dyDescent="0.25">
      <c r="A20" s="5">
        <f>SUBTOTAL(3,$B$2:B20)</f>
        <v>19</v>
      </c>
      <c r="B20" s="6">
        <v>46143</v>
      </c>
      <c r="C20" s="6" t="s">
        <v>15</v>
      </c>
      <c r="D20" s="5" t="s">
        <v>16</v>
      </c>
      <c r="E20" s="5" t="s">
        <v>32</v>
      </c>
      <c r="F20" s="5" t="s">
        <v>33</v>
      </c>
      <c r="G20" s="5" t="s">
        <v>19</v>
      </c>
      <c r="H20" s="7" t="s">
        <v>25</v>
      </c>
      <c r="I20" s="7" t="s">
        <v>24</v>
      </c>
      <c r="J20" s="7">
        <v>10100</v>
      </c>
      <c r="K20" s="8">
        <v>46095</v>
      </c>
      <c r="L20" s="9">
        <v>5200000</v>
      </c>
      <c r="M20" s="10">
        <v>24</v>
      </c>
      <c r="N20" s="9">
        <f t="shared" si="2"/>
        <v>216666.66666666666</v>
      </c>
      <c r="O20" s="11">
        <f t="shared" si="3"/>
        <v>46797</v>
      </c>
      <c r="P20" s="5"/>
    </row>
    <row r="21" spans="1:16" ht="15.75" x14ac:dyDescent="0.25">
      <c r="A21" s="5">
        <f>SUBTOTAL(3,$B$2:B21)</f>
        <v>20</v>
      </c>
      <c r="B21" s="6">
        <v>46143</v>
      </c>
      <c r="C21" s="6" t="s">
        <v>15</v>
      </c>
      <c r="D21" s="5" t="s">
        <v>16</v>
      </c>
      <c r="E21" s="5" t="s">
        <v>32</v>
      </c>
      <c r="F21" s="5" t="s">
        <v>33</v>
      </c>
      <c r="G21" s="5" t="s">
        <v>19</v>
      </c>
      <c r="H21" s="7" t="s">
        <v>27</v>
      </c>
      <c r="I21" s="7" t="s">
        <v>21</v>
      </c>
      <c r="J21" s="7">
        <v>5053</v>
      </c>
      <c r="K21" s="8">
        <v>45858</v>
      </c>
      <c r="L21" s="9">
        <v>5200000</v>
      </c>
      <c r="M21" s="10">
        <v>24</v>
      </c>
      <c r="N21" s="9">
        <f t="shared" si="2"/>
        <v>216666.66666666666</v>
      </c>
      <c r="O21" s="11">
        <f t="shared" si="3"/>
        <v>46558</v>
      </c>
      <c r="P21" s="5"/>
    </row>
    <row r="22" spans="1:16" ht="15.75" x14ac:dyDescent="0.25">
      <c r="A22" s="5">
        <f>SUBTOTAL(3,$B$2:B22)</f>
        <v>21</v>
      </c>
      <c r="B22" s="6">
        <v>46143</v>
      </c>
      <c r="C22" s="6" t="s">
        <v>15</v>
      </c>
      <c r="D22" s="5" t="s">
        <v>16</v>
      </c>
      <c r="E22" s="5" t="s">
        <v>32</v>
      </c>
      <c r="F22" s="5" t="s">
        <v>34</v>
      </c>
      <c r="G22" s="5" t="s">
        <v>19</v>
      </c>
      <c r="H22" s="7" t="s">
        <v>27</v>
      </c>
      <c r="I22" s="7" t="s">
        <v>21</v>
      </c>
      <c r="J22" s="7">
        <v>5053</v>
      </c>
      <c r="K22" s="8">
        <v>45858</v>
      </c>
      <c r="L22" s="9">
        <v>1365000</v>
      </c>
      <c r="M22" s="10">
        <v>12</v>
      </c>
      <c r="N22" s="9">
        <f t="shared" si="2"/>
        <v>113750</v>
      </c>
      <c r="O22" s="11">
        <f t="shared" si="3"/>
        <v>46193</v>
      </c>
      <c r="P22" s="5"/>
    </row>
    <row r="23" spans="1:16" ht="15.75" x14ac:dyDescent="0.25">
      <c r="A23" s="5">
        <f>SUBTOTAL(3,$B$2:B23)</f>
        <v>22</v>
      </c>
      <c r="B23" s="6">
        <v>46143</v>
      </c>
      <c r="C23" s="6" t="s">
        <v>15</v>
      </c>
      <c r="D23" s="5" t="s">
        <v>16</v>
      </c>
      <c r="E23" s="5" t="s">
        <v>32</v>
      </c>
      <c r="F23" s="5" t="s">
        <v>34</v>
      </c>
      <c r="G23" s="5" t="s">
        <v>19</v>
      </c>
      <c r="H23" s="7" t="s">
        <v>20</v>
      </c>
      <c r="I23" s="7" t="s">
        <v>21</v>
      </c>
      <c r="J23" s="7">
        <v>4873</v>
      </c>
      <c r="K23" s="8">
        <v>46094</v>
      </c>
      <c r="L23" s="9">
        <v>1365000</v>
      </c>
      <c r="M23" s="10">
        <v>12</v>
      </c>
      <c r="N23" s="9">
        <f t="shared" si="2"/>
        <v>113750</v>
      </c>
      <c r="O23" s="11">
        <f t="shared" si="3"/>
        <v>46431</v>
      </c>
      <c r="P23" s="5"/>
    </row>
    <row r="24" spans="1:16" ht="15.75" x14ac:dyDescent="0.25">
      <c r="A24" s="5">
        <f>SUBTOTAL(3,$B$2:B24)</f>
        <v>23</v>
      </c>
      <c r="B24" s="6">
        <v>46143</v>
      </c>
      <c r="C24" s="6" t="s">
        <v>15</v>
      </c>
      <c r="D24" s="5" t="s">
        <v>16</v>
      </c>
      <c r="E24" s="5" t="s">
        <v>32</v>
      </c>
      <c r="F24" s="5" t="s">
        <v>34</v>
      </c>
      <c r="G24" s="5" t="s">
        <v>19</v>
      </c>
      <c r="H24" s="7" t="s">
        <v>22</v>
      </c>
      <c r="I24" s="7" t="s">
        <v>21</v>
      </c>
      <c r="J24" s="7">
        <v>5345</v>
      </c>
      <c r="K24" s="8">
        <v>46094</v>
      </c>
      <c r="L24" s="9">
        <v>1365000</v>
      </c>
      <c r="M24" s="10">
        <v>12</v>
      </c>
      <c r="N24" s="9">
        <f t="shared" si="2"/>
        <v>113750</v>
      </c>
      <c r="O24" s="11">
        <f t="shared" si="3"/>
        <v>46431</v>
      </c>
      <c r="P24" s="5"/>
    </row>
    <row r="25" spans="1:16" ht="15.75" x14ac:dyDescent="0.25">
      <c r="A25" s="5">
        <f>SUBTOTAL(3,$B$2:B25)</f>
        <v>24</v>
      </c>
      <c r="B25" s="6">
        <v>46143</v>
      </c>
      <c r="C25" s="6" t="s">
        <v>15</v>
      </c>
      <c r="D25" s="5" t="s">
        <v>16</v>
      </c>
      <c r="E25" s="5" t="s">
        <v>32</v>
      </c>
      <c r="F25" s="5" t="s">
        <v>34</v>
      </c>
      <c r="G25" s="5" t="s">
        <v>19</v>
      </c>
      <c r="H25" s="7" t="s">
        <v>27</v>
      </c>
      <c r="I25" s="7" t="s">
        <v>21</v>
      </c>
      <c r="J25" s="7">
        <v>5053</v>
      </c>
      <c r="K25" s="8">
        <v>45858</v>
      </c>
      <c r="L25" s="9">
        <v>1365000</v>
      </c>
      <c r="M25" s="10">
        <v>12</v>
      </c>
      <c r="N25" s="9">
        <f t="shared" si="2"/>
        <v>113750</v>
      </c>
      <c r="O25" s="11">
        <f t="shared" si="3"/>
        <v>46193</v>
      </c>
      <c r="P25" s="5"/>
    </row>
    <row r="26" spans="1:16" ht="15.75" x14ac:dyDescent="0.25">
      <c r="A26" s="5">
        <f>SUBTOTAL(3,$B$2:B26)</f>
        <v>25</v>
      </c>
      <c r="B26" s="6">
        <v>46143</v>
      </c>
      <c r="C26" s="6" t="s">
        <v>15</v>
      </c>
      <c r="D26" s="5" t="s">
        <v>16</v>
      </c>
      <c r="E26" s="5" t="s">
        <v>32</v>
      </c>
      <c r="F26" s="5" t="s">
        <v>35</v>
      </c>
      <c r="G26" s="5" t="s">
        <v>19</v>
      </c>
      <c r="H26" s="7" t="s">
        <v>20</v>
      </c>
      <c r="I26" s="7" t="s">
        <v>21</v>
      </c>
      <c r="J26" s="7">
        <v>4873</v>
      </c>
      <c r="K26" s="8">
        <v>46094</v>
      </c>
      <c r="L26" s="9">
        <v>700000</v>
      </c>
      <c r="M26" s="10">
        <v>12</v>
      </c>
      <c r="N26" s="9">
        <f t="shared" si="2"/>
        <v>58333.333333333336</v>
      </c>
      <c r="O26" s="11">
        <f t="shared" si="3"/>
        <v>46431</v>
      </c>
      <c r="P26" s="5"/>
    </row>
    <row r="27" spans="1:16" ht="15.75" x14ac:dyDescent="0.25">
      <c r="A27" s="5">
        <f>SUBTOTAL(3,$B$2:B27)</f>
        <v>26</v>
      </c>
      <c r="B27" s="6">
        <v>46143</v>
      </c>
      <c r="C27" s="6" t="s">
        <v>15</v>
      </c>
      <c r="D27" s="5" t="s">
        <v>16</v>
      </c>
      <c r="E27" s="5" t="s">
        <v>32</v>
      </c>
      <c r="F27" s="5" t="s">
        <v>35</v>
      </c>
      <c r="G27" s="5" t="s">
        <v>19</v>
      </c>
      <c r="H27" s="7" t="s">
        <v>22</v>
      </c>
      <c r="I27" s="7" t="s">
        <v>21</v>
      </c>
      <c r="J27" s="7">
        <v>5345</v>
      </c>
      <c r="K27" s="8">
        <v>46094</v>
      </c>
      <c r="L27" s="9">
        <v>700000</v>
      </c>
      <c r="M27" s="10">
        <v>12</v>
      </c>
      <c r="N27" s="9">
        <f t="shared" si="2"/>
        <v>58333.333333333336</v>
      </c>
      <c r="O27" s="11">
        <f t="shared" si="3"/>
        <v>46431</v>
      </c>
      <c r="P27" s="5"/>
    </row>
    <row r="28" spans="1:16" ht="15.75" x14ac:dyDescent="0.25">
      <c r="A28" s="5">
        <f>SUBTOTAL(3,$B$2:B28)</f>
        <v>27</v>
      </c>
      <c r="B28" s="6">
        <v>46143</v>
      </c>
      <c r="C28" s="6" t="s">
        <v>15</v>
      </c>
      <c r="D28" s="5" t="s">
        <v>16</v>
      </c>
      <c r="E28" s="5" t="s">
        <v>32</v>
      </c>
      <c r="F28" s="5" t="s">
        <v>35</v>
      </c>
      <c r="G28" s="5" t="s">
        <v>19</v>
      </c>
      <c r="H28" s="7" t="s">
        <v>23</v>
      </c>
      <c r="I28" s="7" t="s">
        <v>24</v>
      </c>
      <c r="J28" s="7">
        <v>8718</v>
      </c>
      <c r="K28" s="8">
        <v>46095</v>
      </c>
      <c r="L28" s="9">
        <v>700000</v>
      </c>
      <c r="M28" s="10">
        <v>12</v>
      </c>
      <c r="N28" s="9">
        <f t="shared" si="2"/>
        <v>58333.333333333336</v>
      </c>
      <c r="O28" s="11">
        <f t="shared" si="3"/>
        <v>46432</v>
      </c>
      <c r="P28" s="5"/>
    </row>
    <row r="29" spans="1:16" ht="15.75" x14ac:dyDescent="0.25">
      <c r="A29" s="5">
        <f>SUBTOTAL(3,$B$2:B29)</f>
        <v>28</v>
      </c>
      <c r="B29" s="6">
        <v>46143</v>
      </c>
      <c r="C29" s="6" t="s">
        <v>15</v>
      </c>
      <c r="D29" s="5" t="s">
        <v>16</v>
      </c>
      <c r="E29" s="5" t="s">
        <v>32</v>
      </c>
      <c r="F29" s="5" t="s">
        <v>35</v>
      </c>
      <c r="G29" s="5" t="s">
        <v>19</v>
      </c>
      <c r="H29" s="7" t="s">
        <v>25</v>
      </c>
      <c r="I29" s="7" t="s">
        <v>24</v>
      </c>
      <c r="J29" s="7">
        <v>10100</v>
      </c>
      <c r="K29" s="8">
        <v>46095</v>
      </c>
      <c r="L29" s="9">
        <v>700000</v>
      </c>
      <c r="M29" s="10">
        <v>12</v>
      </c>
      <c r="N29" s="9">
        <f t="shared" si="2"/>
        <v>58333.333333333336</v>
      </c>
      <c r="O29" s="11">
        <f t="shared" si="3"/>
        <v>46432</v>
      </c>
      <c r="P29" s="5"/>
    </row>
    <row r="30" spans="1:16" ht="15.75" x14ac:dyDescent="0.25">
      <c r="A30" s="5">
        <f>SUBTOTAL(3,$B$2:B30)</f>
        <v>29</v>
      </c>
      <c r="B30" s="6">
        <v>46143</v>
      </c>
      <c r="C30" s="6" t="s">
        <v>15</v>
      </c>
      <c r="D30" s="5" t="s">
        <v>16</v>
      </c>
      <c r="E30" s="5" t="s">
        <v>32</v>
      </c>
      <c r="F30" s="5" t="s">
        <v>35</v>
      </c>
      <c r="G30" s="5" t="s">
        <v>19</v>
      </c>
      <c r="H30" s="7" t="s">
        <v>27</v>
      </c>
      <c r="I30" s="7" t="s">
        <v>21</v>
      </c>
      <c r="J30" s="7">
        <v>5053</v>
      </c>
      <c r="K30" s="8">
        <v>46223</v>
      </c>
      <c r="L30" s="9">
        <v>700000</v>
      </c>
      <c r="M30" s="10">
        <v>12</v>
      </c>
      <c r="N30" s="9">
        <f t="shared" si="2"/>
        <v>58333.333333333336</v>
      </c>
      <c r="O30" s="11">
        <f t="shared" si="3"/>
        <v>46558</v>
      </c>
      <c r="P30" s="5"/>
    </row>
    <row r="31" spans="1:16" ht="15.75" x14ac:dyDescent="0.25">
      <c r="A31" s="5">
        <f>SUBTOTAL(3,$B$2:B31)</f>
        <v>30</v>
      </c>
      <c r="B31" s="6">
        <v>46143</v>
      </c>
      <c r="C31" s="6" t="s">
        <v>15</v>
      </c>
      <c r="D31" s="5" t="s">
        <v>36</v>
      </c>
      <c r="E31" s="5" t="s">
        <v>37</v>
      </c>
      <c r="F31" s="5" t="s">
        <v>38</v>
      </c>
      <c r="G31" s="5" t="s">
        <v>19</v>
      </c>
      <c r="H31" s="7"/>
      <c r="I31" s="7"/>
      <c r="J31" s="7"/>
      <c r="K31" s="8">
        <v>45261</v>
      </c>
      <c r="L31" s="9">
        <v>5445454</v>
      </c>
      <c r="M31" s="10">
        <v>24</v>
      </c>
      <c r="N31" s="9" t="str">
        <f t="shared" si="2"/>
        <v/>
      </c>
      <c r="O31" s="11">
        <f t="shared" si="3"/>
        <v>45962</v>
      </c>
      <c r="P31" s="5"/>
    </row>
    <row r="32" spans="1:16" ht="15.75" x14ac:dyDescent="0.25">
      <c r="A32" s="5">
        <f>SUBTOTAL(3,$B$2:B32)</f>
        <v>31</v>
      </c>
      <c r="B32" s="6">
        <v>46143</v>
      </c>
      <c r="C32" s="6" t="s">
        <v>15</v>
      </c>
      <c r="D32" s="5" t="s">
        <v>39</v>
      </c>
      <c r="E32" s="5" t="s">
        <v>40</v>
      </c>
      <c r="F32" s="5" t="s">
        <v>41</v>
      </c>
      <c r="G32" s="5" t="s">
        <v>42</v>
      </c>
      <c r="H32" s="7" t="s">
        <v>23</v>
      </c>
      <c r="I32" s="7" t="s">
        <v>24</v>
      </c>
      <c r="J32" s="7">
        <v>8718</v>
      </c>
      <c r="K32" s="8">
        <v>46143</v>
      </c>
      <c r="L32" s="9">
        <f>J32*SUMIFS('Đơn giá SCBD'!F:F,'Đơn giá SCBD'!A:A,'Chi tiết'!F32,'Đơn giá SCBD'!B:B,'Chi tiết'!I32)</f>
        <v>882697.5</v>
      </c>
      <c r="M32" s="10">
        <v>1</v>
      </c>
      <c r="N32" s="9">
        <f t="shared" si="2"/>
        <v>882697.5</v>
      </c>
      <c r="O32" s="11">
        <f t="shared" si="3"/>
        <v>46143</v>
      </c>
      <c r="P32" s="5"/>
    </row>
    <row r="33" spans="1:16" ht="15.75" x14ac:dyDescent="0.25">
      <c r="A33" s="5">
        <f>SUBTOTAL(3,$B$2:B33)</f>
        <v>32</v>
      </c>
      <c r="B33" s="6">
        <v>46143</v>
      </c>
      <c r="C33" s="6" t="s">
        <v>15</v>
      </c>
      <c r="D33" s="5" t="s">
        <v>39</v>
      </c>
      <c r="E33" s="5" t="s">
        <v>40</v>
      </c>
      <c r="F33" s="5" t="s">
        <v>41</v>
      </c>
      <c r="G33" s="5" t="s">
        <v>42</v>
      </c>
      <c r="H33" s="7" t="s">
        <v>25</v>
      </c>
      <c r="I33" s="7" t="s">
        <v>24</v>
      </c>
      <c r="J33" s="7">
        <v>10100</v>
      </c>
      <c r="K33" s="8">
        <v>46143</v>
      </c>
      <c r="L33" s="9">
        <f>J33*SUMIFS('Đơn giá SCBD'!F:F,'Đơn giá SCBD'!A:A,'Chi tiết'!F33,'Đơn giá SCBD'!B:B,'Chi tiết'!I33)</f>
        <v>1022625</v>
      </c>
      <c r="M33" s="10">
        <v>1</v>
      </c>
      <c r="N33" s="9">
        <f t="shared" si="2"/>
        <v>1022625</v>
      </c>
      <c r="O33" s="11">
        <f t="shared" si="3"/>
        <v>46143</v>
      </c>
      <c r="P33" s="5"/>
    </row>
    <row r="34" spans="1:16" ht="15.75" x14ac:dyDescent="0.25">
      <c r="A34" s="5">
        <f>SUBTOTAL(3,$B$2:B34)</f>
        <v>33</v>
      </c>
      <c r="B34" s="6">
        <v>46143</v>
      </c>
      <c r="C34" s="6" t="s">
        <v>15</v>
      </c>
      <c r="D34" s="5" t="s">
        <v>39</v>
      </c>
      <c r="E34" s="5" t="s">
        <v>40</v>
      </c>
      <c r="F34" s="5" t="s">
        <v>43</v>
      </c>
      <c r="G34" s="5" t="s">
        <v>42</v>
      </c>
      <c r="H34" s="7" t="s">
        <v>20</v>
      </c>
      <c r="I34" s="7" t="s">
        <v>21</v>
      </c>
      <c r="J34" s="7">
        <v>4873</v>
      </c>
      <c r="K34" s="8">
        <v>46143</v>
      </c>
      <c r="L34" s="9">
        <f>J34*SUMIFS('Đơn giá SCBD'!F:F,'Đơn giá SCBD'!A:A,'Chi tiết'!F34,'Đơn giá SCBD'!B:B,'Chi tiết'!I34)</f>
        <v>877140</v>
      </c>
      <c r="M34" s="10">
        <v>1</v>
      </c>
      <c r="N34" s="9">
        <f t="shared" si="2"/>
        <v>877140</v>
      </c>
      <c r="O34" s="11">
        <f t="shared" si="3"/>
        <v>46143</v>
      </c>
      <c r="P34" s="12"/>
    </row>
    <row r="35" spans="1:16" ht="15.75" x14ac:dyDescent="0.25">
      <c r="A35" s="5">
        <f>SUBTOTAL(3,$B$2:B35)</f>
        <v>34</v>
      </c>
      <c r="B35" s="6">
        <v>46143</v>
      </c>
      <c r="C35" s="6" t="s">
        <v>15</v>
      </c>
      <c r="D35" s="5" t="s">
        <v>39</v>
      </c>
      <c r="E35" s="5" t="s">
        <v>40</v>
      </c>
      <c r="F35" s="5" t="s">
        <v>43</v>
      </c>
      <c r="G35" s="5" t="s">
        <v>42</v>
      </c>
      <c r="H35" s="7" t="s">
        <v>22</v>
      </c>
      <c r="I35" s="7" t="s">
        <v>21</v>
      </c>
      <c r="J35" s="7">
        <v>5345</v>
      </c>
      <c r="K35" s="8">
        <v>46143</v>
      </c>
      <c r="L35" s="9">
        <f>J35*SUMIFS('Đơn giá SCBD'!F:F,'Đơn giá SCBD'!A:A,'Chi tiết'!F35,'Đơn giá SCBD'!B:B,'Chi tiết'!I35)</f>
        <v>962100</v>
      </c>
      <c r="M35" s="10">
        <v>1</v>
      </c>
      <c r="N35" s="9">
        <f t="shared" si="2"/>
        <v>962100</v>
      </c>
      <c r="O35" s="11">
        <f t="shared" si="3"/>
        <v>46143</v>
      </c>
      <c r="P35" s="12"/>
    </row>
    <row r="36" spans="1:16" ht="15.75" x14ac:dyDescent="0.25">
      <c r="A36" s="5">
        <f>SUBTOTAL(3,$B$2:B36)</f>
        <v>35</v>
      </c>
      <c r="B36" s="6">
        <v>46143</v>
      </c>
      <c r="C36" s="6" t="s">
        <v>15</v>
      </c>
      <c r="D36" s="5" t="s">
        <v>39</v>
      </c>
      <c r="E36" s="5" t="s">
        <v>40</v>
      </c>
      <c r="F36" s="5" t="s">
        <v>43</v>
      </c>
      <c r="G36" s="5" t="s">
        <v>42</v>
      </c>
      <c r="H36" s="7" t="s">
        <v>23</v>
      </c>
      <c r="I36" s="7" t="s">
        <v>24</v>
      </c>
      <c r="J36" s="7">
        <v>8718</v>
      </c>
      <c r="K36" s="8">
        <v>46143</v>
      </c>
      <c r="L36" s="9">
        <f>J36*SUMIFS('Đơn giá SCBD'!F:F,'Đơn giá SCBD'!A:A,'Chi tiết'!F36,'Đơn giá SCBD'!B:B,'Chi tiết'!I36)</f>
        <v>918877.20000000007</v>
      </c>
      <c r="M36" s="10">
        <v>1</v>
      </c>
      <c r="N36" s="9">
        <f t="shared" si="2"/>
        <v>918877.20000000007</v>
      </c>
      <c r="O36" s="11">
        <f t="shared" si="3"/>
        <v>46143</v>
      </c>
      <c r="P36" s="12"/>
    </row>
    <row r="37" spans="1:16" ht="15.75" x14ac:dyDescent="0.25">
      <c r="A37" s="5">
        <f>SUBTOTAL(3,$B$2:B37)</f>
        <v>36</v>
      </c>
      <c r="B37" s="6">
        <v>46143</v>
      </c>
      <c r="C37" s="6" t="s">
        <v>15</v>
      </c>
      <c r="D37" s="5" t="s">
        <v>39</v>
      </c>
      <c r="E37" s="5" t="s">
        <v>40</v>
      </c>
      <c r="F37" s="5" t="s">
        <v>43</v>
      </c>
      <c r="G37" s="5" t="s">
        <v>42</v>
      </c>
      <c r="H37" s="7" t="s">
        <v>25</v>
      </c>
      <c r="I37" s="7" t="s">
        <v>24</v>
      </c>
      <c r="J37" s="7">
        <v>10100</v>
      </c>
      <c r="K37" s="8">
        <v>46143</v>
      </c>
      <c r="L37" s="9">
        <f>J37*SUMIFS('Đơn giá SCBD'!F:F,'Đơn giá SCBD'!A:A,'Chi tiết'!F37,'Đơn giá SCBD'!B:B,'Chi tiết'!I37)</f>
        <v>1064540</v>
      </c>
      <c r="M37" s="10">
        <v>1</v>
      </c>
      <c r="N37" s="9">
        <f t="shared" si="2"/>
        <v>1064540</v>
      </c>
      <c r="O37" s="11">
        <f t="shared" si="3"/>
        <v>46143</v>
      </c>
      <c r="P37" s="12"/>
    </row>
    <row r="38" spans="1:16" ht="15.75" x14ac:dyDescent="0.25">
      <c r="A38" s="5">
        <f>SUBTOTAL(3,$B$2:B38)</f>
        <v>37</v>
      </c>
      <c r="B38" s="6">
        <v>46143</v>
      </c>
      <c r="C38" s="6" t="s">
        <v>15</v>
      </c>
      <c r="D38" s="5" t="s">
        <v>39</v>
      </c>
      <c r="E38" s="5" t="s">
        <v>40</v>
      </c>
      <c r="F38" s="5" t="s">
        <v>43</v>
      </c>
      <c r="G38" s="5" t="s">
        <v>42</v>
      </c>
      <c r="H38" s="7" t="s">
        <v>27</v>
      </c>
      <c r="I38" s="7" t="s">
        <v>21</v>
      </c>
      <c r="J38" s="7">
        <v>5053</v>
      </c>
      <c r="K38" s="8">
        <v>46143</v>
      </c>
      <c r="L38" s="9">
        <f>J38*SUMIFS('Đơn giá SCBD'!F:F,'Đơn giá SCBD'!A:A,'Chi tiết'!F38,'Đơn giá SCBD'!B:B,'Chi tiết'!I38)</f>
        <v>909540</v>
      </c>
      <c r="M38" s="10">
        <v>1</v>
      </c>
      <c r="N38" s="9">
        <f t="shared" si="2"/>
        <v>909540</v>
      </c>
      <c r="O38" s="11">
        <f t="shared" si="3"/>
        <v>46143</v>
      </c>
      <c r="P38" s="12"/>
    </row>
    <row r="39" spans="1:16" ht="15.75" x14ac:dyDescent="0.25">
      <c r="A39" s="5">
        <f>SUBTOTAL(3,$B$2:B39)</f>
        <v>38</v>
      </c>
      <c r="B39" s="6">
        <v>46143</v>
      </c>
      <c r="C39" s="6" t="s">
        <v>15</v>
      </c>
      <c r="D39" s="5" t="s">
        <v>39</v>
      </c>
      <c r="E39" s="5" t="s">
        <v>40</v>
      </c>
      <c r="F39" s="5" t="s">
        <v>44</v>
      </c>
      <c r="G39" s="5" t="s">
        <v>42</v>
      </c>
      <c r="H39" s="7" t="s">
        <v>20</v>
      </c>
      <c r="I39" s="7" t="s">
        <v>21</v>
      </c>
      <c r="J39" s="7">
        <v>4873</v>
      </c>
      <c r="K39" s="8">
        <v>46143</v>
      </c>
      <c r="L39" s="9">
        <f>J39*SUMIFS('Đơn giá SCBD'!F:F,'Đơn giá SCBD'!A:A,'Chi tiết'!F39,'Đơn giá SCBD'!B:B,'Chi tiết'!I39)</f>
        <v>90150.5</v>
      </c>
      <c r="M39" s="10">
        <v>1</v>
      </c>
      <c r="N39" s="9">
        <f t="shared" si="2"/>
        <v>90150.5</v>
      </c>
      <c r="O39" s="11">
        <f t="shared" si="3"/>
        <v>46143</v>
      </c>
      <c r="P39" s="12"/>
    </row>
    <row r="40" spans="1:16" ht="15.75" x14ac:dyDescent="0.25">
      <c r="A40" s="5">
        <f>SUBTOTAL(3,$B$2:B40)</f>
        <v>39</v>
      </c>
      <c r="B40" s="6">
        <v>46143</v>
      </c>
      <c r="C40" s="6" t="s">
        <v>15</v>
      </c>
      <c r="D40" s="5" t="s">
        <v>39</v>
      </c>
      <c r="E40" s="5" t="s">
        <v>40</v>
      </c>
      <c r="F40" s="5" t="s">
        <v>44</v>
      </c>
      <c r="G40" s="5" t="s">
        <v>42</v>
      </c>
      <c r="H40" s="7" t="s">
        <v>22</v>
      </c>
      <c r="I40" s="7" t="s">
        <v>21</v>
      </c>
      <c r="J40" s="7">
        <v>5345</v>
      </c>
      <c r="K40" s="8">
        <v>46143</v>
      </c>
      <c r="L40" s="9">
        <f>J40*SUMIFS('Đơn giá SCBD'!F:F,'Đơn giá SCBD'!A:A,'Chi tiết'!F40,'Đơn giá SCBD'!B:B,'Chi tiết'!I40)</f>
        <v>98882.5</v>
      </c>
      <c r="M40" s="10">
        <v>1</v>
      </c>
      <c r="N40" s="9">
        <f t="shared" si="2"/>
        <v>98882.5</v>
      </c>
      <c r="O40" s="11">
        <f t="shared" si="3"/>
        <v>46143</v>
      </c>
      <c r="P40" s="12"/>
    </row>
    <row r="41" spans="1:16" ht="15.75" x14ac:dyDescent="0.25">
      <c r="A41" s="5">
        <f>SUBTOTAL(3,$B$2:B41)</f>
        <v>40</v>
      </c>
      <c r="B41" s="6">
        <v>46143</v>
      </c>
      <c r="C41" s="6" t="s">
        <v>15</v>
      </c>
      <c r="D41" s="5" t="s">
        <v>39</v>
      </c>
      <c r="E41" s="5" t="s">
        <v>40</v>
      </c>
      <c r="F41" s="5" t="s">
        <v>44</v>
      </c>
      <c r="G41" s="5" t="s">
        <v>42</v>
      </c>
      <c r="H41" s="7" t="s">
        <v>23</v>
      </c>
      <c r="I41" s="7" t="s">
        <v>24</v>
      </c>
      <c r="J41" s="7">
        <v>8718</v>
      </c>
      <c r="K41" s="8">
        <v>46143</v>
      </c>
      <c r="L41" s="9">
        <f>J41*SUMIFS('Đơn giá SCBD'!F:F,'Đơn giá SCBD'!A:A,'Chi tiết'!F41,'Đơn giá SCBD'!B:B,'Chi tiết'!I41)</f>
        <v>257181</v>
      </c>
      <c r="M41" s="10">
        <v>1</v>
      </c>
      <c r="N41" s="9">
        <f t="shared" si="2"/>
        <v>257181</v>
      </c>
      <c r="O41" s="11">
        <f t="shared" si="3"/>
        <v>46143</v>
      </c>
      <c r="P41" s="12"/>
    </row>
    <row r="42" spans="1:16" ht="15.75" x14ac:dyDescent="0.25">
      <c r="A42" s="5">
        <f>SUBTOTAL(3,$B$2:B42)</f>
        <v>41</v>
      </c>
      <c r="B42" s="6">
        <v>46143</v>
      </c>
      <c r="C42" s="6" t="s">
        <v>15</v>
      </c>
      <c r="D42" s="5" t="s">
        <v>39</v>
      </c>
      <c r="E42" s="5" t="s">
        <v>40</v>
      </c>
      <c r="F42" s="5" t="s">
        <v>44</v>
      </c>
      <c r="G42" s="5" t="s">
        <v>42</v>
      </c>
      <c r="H42" s="7" t="s">
        <v>25</v>
      </c>
      <c r="I42" s="7" t="s">
        <v>24</v>
      </c>
      <c r="J42" s="7">
        <v>10100</v>
      </c>
      <c r="K42" s="8">
        <v>46143</v>
      </c>
      <c r="L42" s="9">
        <f>J42*SUMIFS('Đơn giá SCBD'!F:F,'Đơn giá SCBD'!A:A,'Chi tiết'!F42,'Đơn giá SCBD'!B:B,'Chi tiết'!I42)</f>
        <v>297950</v>
      </c>
      <c r="M42" s="10">
        <v>1</v>
      </c>
      <c r="N42" s="9">
        <f t="shared" si="2"/>
        <v>297950</v>
      </c>
      <c r="O42" s="11">
        <f t="shared" si="3"/>
        <v>46143</v>
      </c>
      <c r="P42" s="12"/>
    </row>
    <row r="43" spans="1:16" ht="15.75" x14ac:dyDescent="0.25">
      <c r="A43" s="5">
        <f>SUBTOTAL(3,$B$2:B43)</f>
        <v>42</v>
      </c>
      <c r="B43" s="6">
        <v>46143</v>
      </c>
      <c r="C43" s="6" t="s">
        <v>15</v>
      </c>
      <c r="D43" s="5" t="s">
        <v>39</v>
      </c>
      <c r="E43" s="5" t="s">
        <v>40</v>
      </c>
      <c r="F43" s="5" t="s">
        <v>44</v>
      </c>
      <c r="G43" s="5" t="s">
        <v>42</v>
      </c>
      <c r="H43" s="7" t="s">
        <v>27</v>
      </c>
      <c r="I43" s="7" t="s">
        <v>21</v>
      </c>
      <c r="J43" s="7">
        <v>5053</v>
      </c>
      <c r="K43" s="8">
        <v>46143</v>
      </c>
      <c r="L43" s="9">
        <f>J43*SUMIFS('Đơn giá SCBD'!F:F,'Đơn giá SCBD'!A:A,'Chi tiết'!F43,'Đơn giá SCBD'!B:B,'Chi tiết'!I43)</f>
        <v>93480.5</v>
      </c>
      <c r="M43" s="10">
        <v>1</v>
      </c>
      <c r="N43" s="9">
        <f t="shared" si="2"/>
        <v>93480.5</v>
      </c>
      <c r="O43" s="11">
        <f t="shared" si="3"/>
        <v>46143</v>
      </c>
      <c r="P43" s="12"/>
    </row>
    <row r="44" spans="1:16" ht="15.75" x14ac:dyDescent="0.25">
      <c r="A44" s="5">
        <f>SUBTOTAL(3,$B$2:B44)</f>
        <v>43</v>
      </c>
      <c r="B44" s="6">
        <v>46143</v>
      </c>
      <c r="C44" s="6" t="s">
        <v>15</v>
      </c>
      <c r="D44" s="5" t="s">
        <v>39</v>
      </c>
      <c r="E44" s="5" t="s">
        <v>40</v>
      </c>
      <c r="F44" s="5" t="s">
        <v>45</v>
      </c>
      <c r="G44" s="5" t="s">
        <v>42</v>
      </c>
      <c r="H44" s="7" t="s">
        <v>20</v>
      </c>
      <c r="I44" s="7" t="s">
        <v>21</v>
      </c>
      <c r="J44" s="7">
        <v>4873</v>
      </c>
      <c r="K44" s="8">
        <v>46143</v>
      </c>
      <c r="L44" s="9">
        <f>J44*SUMIFS('Đơn giá SCBD'!F:F,'Đơn giá SCBD'!A:A,'Chi tiết'!F44,'Đơn giá SCBD'!B:B,'Chi tiết'!I44)</f>
        <v>564824.99963083339</v>
      </c>
      <c r="M44" s="10">
        <v>1</v>
      </c>
      <c r="N44" s="9">
        <f t="shared" si="2"/>
        <v>564824.99963083339</v>
      </c>
      <c r="O44" s="11">
        <f t="shared" si="3"/>
        <v>46143</v>
      </c>
      <c r="P44" s="12"/>
    </row>
    <row r="45" spans="1:16" ht="15.75" x14ac:dyDescent="0.25">
      <c r="A45" s="5">
        <f>SUBTOTAL(3,$B$2:B45)</f>
        <v>44</v>
      </c>
      <c r="B45" s="6">
        <v>46143</v>
      </c>
      <c r="C45" s="6" t="s">
        <v>15</v>
      </c>
      <c r="D45" s="5" t="s">
        <v>39</v>
      </c>
      <c r="E45" s="5" t="s">
        <v>40</v>
      </c>
      <c r="F45" s="5" t="s">
        <v>45</v>
      </c>
      <c r="G45" s="5" t="s">
        <v>42</v>
      </c>
      <c r="H45" s="7" t="s">
        <v>22</v>
      </c>
      <c r="I45" s="7" t="s">
        <v>21</v>
      </c>
      <c r="J45" s="7">
        <v>5345</v>
      </c>
      <c r="K45" s="8">
        <v>46143</v>
      </c>
      <c r="L45" s="9">
        <f>J45*SUMIFS('Đơn giá SCBD'!F:F,'Đơn giá SCBD'!A:A,'Chi tiết'!F45,'Đơn giá SCBD'!B:B,'Chi tiết'!I45)</f>
        <v>619534.09050416667</v>
      </c>
      <c r="M45" s="10">
        <v>1</v>
      </c>
      <c r="N45" s="9">
        <f t="shared" si="2"/>
        <v>619534.09050416667</v>
      </c>
      <c r="O45" s="11">
        <f t="shared" si="3"/>
        <v>46143</v>
      </c>
      <c r="P45" s="12"/>
    </row>
    <row r="46" spans="1:16" ht="15.75" x14ac:dyDescent="0.25">
      <c r="A46" s="5">
        <f>SUBTOTAL(3,$B$2:B46)</f>
        <v>45</v>
      </c>
      <c r="B46" s="6">
        <v>46143</v>
      </c>
      <c r="C46" s="6" t="s">
        <v>15</v>
      </c>
      <c r="D46" s="5" t="s">
        <v>39</v>
      </c>
      <c r="E46" s="5" t="s">
        <v>40</v>
      </c>
      <c r="F46" s="5" t="s">
        <v>45</v>
      </c>
      <c r="G46" s="5" t="s">
        <v>42</v>
      </c>
      <c r="H46" s="7" t="s">
        <v>23</v>
      </c>
      <c r="I46" s="7" t="s">
        <v>24</v>
      </c>
      <c r="J46" s="7">
        <v>8718</v>
      </c>
      <c r="K46" s="8">
        <v>46143</v>
      </c>
      <c r="L46" s="9">
        <f>J46*SUMIFS('Đơn giá SCBD'!F:F,'Đơn giá SCBD'!A:A,'Chi tiết'!F46,'Đơn giá SCBD'!B:B,'Chi tiết'!I46)</f>
        <v>2254498.0479999944</v>
      </c>
      <c r="M46" s="10">
        <v>1</v>
      </c>
      <c r="N46" s="9">
        <f t="shared" si="2"/>
        <v>2254498.0479999944</v>
      </c>
      <c r="O46" s="11">
        <f t="shared" si="3"/>
        <v>46143</v>
      </c>
      <c r="P46" s="12"/>
    </row>
    <row r="47" spans="1:16" ht="15.75" x14ac:dyDescent="0.25">
      <c r="A47" s="5">
        <f>SUBTOTAL(3,$B$2:B47)</f>
        <v>46</v>
      </c>
      <c r="B47" s="6">
        <v>46143</v>
      </c>
      <c r="C47" s="6" t="s">
        <v>15</v>
      </c>
      <c r="D47" s="5" t="s">
        <v>39</v>
      </c>
      <c r="E47" s="5" t="s">
        <v>40</v>
      </c>
      <c r="F47" s="5" t="s">
        <v>45</v>
      </c>
      <c r="G47" s="5" t="s">
        <v>42</v>
      </c>
      <c r="H47" s="7" t="s">
        <v>25</v>
      </c>
      <c r="I47" s="7" t="s">
        <v>24</v>
      </c>
      <c r="J47" s="7">
        <v>10100</v>
      </c>
      <c r="K47" s="8">
        <v>46143</v>
      </c>
      <c r="L47" s="9">
        <f>J47*SUMIFS('Đơn giá SCBD'!F:F,'Đơn giá SCBD'!A:A,'Chi tiết'!F47,'Đơn giá SCBD'!B:B,'Chi tiết'!I47)</f>
        <v>2611886.9333333271</v>
      </c>
      <c r="M47" s="10">
        <v>1</v>
      </c>
      <c r="N47" s="9">
        <f t="shared" si="2"/>
        <v>2611886.9333333271</v>
      </c>
      <c r="O47" s="11">
        <f t="shared" si="3"/>
        <v>46143</v>
      </c>
      <c r="P47" s="5"/>
    </row>
    <row r="48" spans="1:16" ht="15.75" x14ac:dyDescent="0.25">
      <c r="A48" s="5">
        <f>SUBTOTAL(3,$B$2:B48)</f>
        <v>47</v>
      </c>
      <c r="B48" s="6">
        <v>46143</v>
      </c>
      <c r="C48" s="6" t="s">
        <v>15</v>
      </c>
      <c r="D48" s="5" t="s">
        <v>39</v>
      </c>
      <c r="E48" s="5" t="s">
        <v>40</v>
      </c>
      <c r="F48" s="5" t="s">
        <v>45</v>
      </c>
      <c r="G48" s="5" t="s">
        <v>42</v>
      </c>
      <c r="H48" s="7" t="s">
        <v>27</v>
      </c>
      <c r="I48" s="7" t="s">
        <v>21</v>
      </c>
      <c r="J48" s="7">
        <v>5053</v>
      </c>
      <c r="K48" s="8">
        <v>46143</v>
      </c>
      <c r="L48" s="9">
        <f>J48*SUMIFS('Đơn giá SCBD'!F:F,'Đơn giá SCBD'!A:A,'Chi tiết'!F48,'Đơn giá SCBD'!B:B,'Chi tiết'!I48)</f>
        <v>585688.63598083332</v>
      </c>
      <c r="M48" s="10">
        <v>1</v>
      </c>
      <c r="N48" s="9">
        <f t="shared" si="2"/>
        <v>585688.63598083332</v>
      </c>
      <c r="O48" s="11">
        <f t="shared" si="3"/>
        <v>46143</v>
      </c>
      <c r="P48" s="5"/>
    </row>
    <row r="49" spans="1:16" ht="15.75" x14ac:dyDescent="0.25">
      <c r="A49" s="5">
        <f>SUBTOTAL(3,$B$2:B49)</f>
        <v>48</v>
      </c>
      <c r="B49" s="6">
        <v>46143</v>
      </c>
      <c r="C49" s="6" t="s">
        <v>15</v>
      </c>
      <c r="D49" s="5" t="s">
        <v>46</v>
      </c>
      <c r="E49" s="5" t="s">
        <v>47</v>
      </c>
      <c r="F49" s="5" t="s">
        <v>47</v>
      </c>
      <c r="G49" s="5" t="s">
        <v>48</v>
      </c>
      <c r="H49" s="7" t="s">
        <v>23</v>
      </c>
      <c r="I49" s="7" t="s">
        <v>24</v>
      </c>
      <c r="J49" s="7">
        <v>8718</v>
      </c>
      <c r="K49" s="8">
        <v>46143</v>
      </c>
      <c r="L49" s="9">
        <v>1857700</v>
      </c>
      <c r="M49" s="10">
        <v>1</v>
      </c>
      <c r="N49" s="9">
        <f t="shared" si="2"/>
        <v>1857700</v>
      </c>
      <c r="O49" s="11">
        <f t="shared" si="3"/>
        <v>46143</v>
      </c>
      <c r="P49" s="5"/>
    </row>
    <row r="50" spans="1:16" ht="15.75" x14ac:dyDescent="0.25">
      <c r="A50" s="5">
        <f>SUBTOTAL(3,$B$2:B50)</f>
        <v>49</v>
      </c>
      <c r="B50" s="6">
        <v>46143</v>
      </c>
      <c r="C50" s="6" t="s">
        <v>15</v>
      </c>
      <c r="D50" s="5" t="s">
        <v>46</v>
      </c>
      <c r="E50" s="5" t="s">
        <v>47</v>
      </c>
      <c r="F50" s="5" t="s">
        <v>47</v>
      </c>
      <c r="G50" s="5" t="s">
        <v>48</v>
      </c>
      <c r="H50" s="7" t="s">
        <v>25</v>
      </c>
      <c r="I50" s="7" t="s">
        <v>24</v>
      </c>
      <c r="J50" s="7">
        <v>10100</v>
      </c>
      <c r="K50" s="8">
        <v>46143</v>
      </c>
      <c r="L50" s="9">
        <v>1714800</v>
      </c>
      <c r="M50" s="10">
        <v>1</v>
      </c>
      <c r="N50" s="9">
        <f t="shared" si="2"/>
        <v>1714800</v>
      </c>
      <c r="O50" s="11">
        <f t="shared" si="3"/>
        <v>46143</v>
      </c>
      <c r="P50" s="5"/>
    </row>
    <row r="51" spans="1:16" ht="15.75" x14ac:dyDescent="0.25">
      <c r="A51" s="5">
        <f>SUBTOTAL(3,$B$2:B51)</f>
        <v>50</v>
      </c>
      <c r="B51" s="6">
        <v>46143</v>
      </c>
      <c r="C51" s="6" t="s">
        <v>15</v>
      </c>
      <c r="D51" s="5" t="s">
        <v>46</v>
      </c>
      <c r="E51" s="5" t="s">
        <v>47</v>
      </c>
      <c r="F51" s="5" t="s">
        <v>47</v>
      </c>
      <c r="G51" s="5" t="s">
        <v>48</v>
      </c>
      <c r="H51" s="7" t="s">
        <v>23</v>
      </c>
      <c r="I51" s="7" t="s">
        <v>24</v>
      </c>
      <c r="J51" s="7">
        <v>8718</v>
      </c>
      <c r="K51" s="8">
        <v>46144</v>
      </c>
      <c r="L51" s="9">
        <v>1829120</v>
      </c>
      <c r="M51" s="10">
        <v>1</v>
      </c>
      <c r="N51" s="9">
        <f t="shared" si="2"/>
        <v>1829120</v>
      </c>
      <c r="O51" s="11">
        <f t="shared" si="3"/>
        <v>46144</v>
      </c>
      <c r="P51" s="5"/>
    </row>
    <row r="52" spans="1:16" ht="15.75" x14ac:dyDescent="0.25">
      <c r="A52" s="5">
        <f>SUBTOTAL(3,$B$2:B52)</f>
        <v>51</v>
      </c>
      <c r="B52" s="6">
        <v>46143</v>
      </c>
      <c r="C52" s="6" t="s">
        <v>15</v>
      </c>
      <c r="D52" s="5" t="s">
        <v>46</v>
      </c>
      <c r="E52" s="5" t="s">
        <v>47</v>
      </c>
      <c r="F52" s="5" t="s">
        <v>47</v>
      </c>
      <c r="G52" s="5" t="s">
        <v>48</v>
      </c>
      <c r="H52" s="7" t="s">
        <v>25</v>
      </c>
      <c r="I52" s="7" t="s">
        <v>24</v>
      </c>
      <c r="J52" s="7">
        <v>10100</v>
      </c>
      <c r="K52" s="8">
        <v>46144</v>
      </c>
      <c r="L52" s="9">
        <v>1714800</v>
      </c>
      <c r="M52" s="10">
        <v>1</v>
      </c>
      <c r="N52" s="9">
        <f t="shared" si="2"/>
        <v>1714800</v>
      </c>
      <c r="O52" s="11">
        <f t="shared" si="3"/>
        <v>46144</v>
      </c>
      <c r="P52" s="5"/>
    </row>
    <row r="53" spans="1:16" ht="15.75" x14ac:dyDescent="0.25">
      <c r="A53" s="5">
        <f>SUBTOTAL(3,$B$2:B53)</f>
        <v>52</v>
      </c>
      <c r="B53" s="6">
        <v>46143</v>
      </c>
      <c r="C53" s="6" t="s">
        <v>15</v>
      </c>
      <c r="D53" s="5" t="s">
        <v>46</v>
      </c>
      <c r="E53" s="5" t="s">
        <v>47</v>
      </c>
      <c r="F53" s="5" t="s">
        <v>47</v>
      </c>
      <c r="G53" s="5" t="s">
        <v>48</v>
      </c>
      <c r="H53" s="7" t="s">
        <v>23</v>
      </c>
      <c r="I53" s="7" t="s">
        <v>24</v>
      </c>
      <c r="J53" s="7">
        <v>8718</v>
      </c>
      <c r="K53" s="8">
        <v>46145</v>
      </c>
      <c r="L53" s="9">
        <v>1714800</v>
      </c>
      <c r="M53" s="10">
        <v>1</v>
      </c>
      <c r="N53" s="9">
        <f t="shared" si="2"/>
        <v>1714800</v>
      </c>
      <c r="O53" s="11">
        <f t="shared" si="3"/>
        <v>46145</v>
      </c>
      <c r="P53" s="5"/>
    </row>
    <row r="54" spans="1:16" ht="15.75" x14ac:dyDescent="0.25">
      <c r="A54" s="5">
        <f>SUBTOTAL(3,$B$2:B54)</f>
        <v>53</v>
      </c>
      <c r="B54" s="6">
        <v>46143</v>
      </c>
      <c r="C54" s="6" t="s">
        <v>15</v>
      </c>
      <c r="D54" s="5" t="s">
        <v>46</v>
      </c>
      <c r="E54" s="5" t="s">
        <v>47</v>
      </c>
      <c r="F54" s="5" t="s">
        <v>47</v>
      </c>
      <c r="G54" s="5" t="s">
        <v>48</v>
      </c>
      <c r="H54" s="7" t="s">
        <v>25</v>
      </c>
      <c r="I54" s="7" t="s">
        <v>24</v>
      </c>
      <c r="J54" s="7">
        <v>10100</v>
      </c>
      <c r="K54" s="8">
        <v>46145</v>
      </c>
      <c r="L54" s="9">
        <v>1714800</v>
      </c>
      <c r="M54" s="10">
        <v>1</v>
      </c>
      <c r="N54" s="9">
        <f t="shared" si="2"/>
        <v>1714800</v>
      </c>
      <c r="O54" s="11">
        <f t="shared" si="3"/>
        <v>46145</v>
      </c>
      <c r="P54" s="5"/>
    </row>
    <row r="55" spans="1:16" ht="15.75" x14ac:dyDescent="0.25">
      <c r="A55" s="5">
        <f>SUBTOTAL(3,$B$2:B55)</f>
        <v>54</v>
      </c>
      <c r="B55" s="6">
        <v>46143</v>
      </c>
      <c r="C55" s="6" t="s">
        <v>15</v>
      </c>
      <c r="D55" s="5" t="s">
        <v>46</v>
      </c>
      <c r="E55" s="5" t="s">
        <v>47</v>
      </c>
      <c r="F55" s="5" t="s">
        <v>47</v>
      </c>
      <c r="G55" s="5" t="s">
        <v>48</v>
      </c>
      <c r="H55" s="7" t="s">
        <v>25</v>
      </c>
      <c r="I55" s="7" t="s">
        <v>24</v>
      </c>
      <c r="J55" s="7">
        <v>10100</v>
      </c>
      <c r="K55" s="8">
        <v>46147</v>
      </c>
      <c r="L55" s="9">
        <v>1714800</v>
      </c>
      <c r="M55" s="10">
        <v>1</v>
      </c>
      <c r="N55" s="9">
        <f t="shared" si="2"/>
        <v>1714800</v>
      </c>
      <c r="O55" s="11">
        <f t="shared" si="3"/>
        <v>46147</v>
      </c>
      <c r="P55" s="5"/>
    </row>
    <row r="56" spans="1:16" ht="15.75" x14ac:dyDescent="0.25">
      <c r="A56" s="5">
        <f>SUBTOTAL(3,$B$2:B56)</f>
        <v>55</v>
      </c>
      <c r="B56" s="6">
        <v>46143</v>
      </c>
      <c r="C56" s="6" t="s">
        <v>15</v>
      </c>
      <c r="D56" s="5" t="s">
        <v>46</v>
      </c>
      <c r="E56" s="5" t="s">
        <v>47</v>
      </c>
      <c r="F56" s="5" t="s">
        <v>47</v>
      </c>
      <c r="G56" s="5" t="s">
        <v>48</v>
      </c>
      <c r="H56" s="7" t="s">
        <v>23</v>
      </c>
      <c r="I56" s="7" t="s">
        <v>24</v>
      </c>
      <c r="J56" s="7">
        <v>8718</v>
      </c>
      <c r="K56" s="8">
        <v>46147</v>
      </c>
      <c r="L56" s="9">
        <v>1947298</v>
      </c>
      <c r="M56" s="10">
        <v>1</v>
      </c>
      <c r="N56" s="9">
        <f t="shared" si="2"/>
        <v>1947298</v>
      </c>
      <c r="O56" s="11">
        <f t="shared" si="3"/>
        <v>46147</v>
      </c>
      <c r="P56" s="5"/>
    </row>
    <row r="57" spans="1:16" ht="15.75" x14ac:dyDescent="0.25">
      <c r="A57" s="5">
        <f>SUBTOTAL(3,$B$2:B57)</f>
        <v>56</v>
      </c>
      <c r="B57" s="6">
        <v>46143</v>
      </c>
      <c r="C57" s="6" t="s">
        <v>15</v>
      </c>
      <c r="D57" s="5" t="s">
        <v>46</v>
      </c>
      <c r="E57" s="5" t="s">
        <v>47</v>
      </c>
      <c r="F57" s="5" t="s">
        <v>47</v>
      </c>
      <c r="G57" s="5" t="s">
        <v>48</v>
      </c>
      <c r="H57" s="7" t="s">
        <v>25</v>
      </c>
      <c r="I57" s="7" t="s">
        <v>24</v>
      </c>
      <c r="J57" s="7">
        <v>10100</v>
      </c>
      <c r="K57" s="8">
        <v>46149</v>
      </c>
      <c r="L57" s="9">
        <v>1714800</v>
      </c>
      <c r="M57" s="10">
        <v>1</v>
      </c>
      <c r="N57" s="9">
        <f t="shared" si="2"/>
        <v>1714800</v>
      </c>
      <c r="O57" s="11">
        <f t="shared" si="3"/>
        <v>46149</v>
      </c>
      <c r="P57" s="5"/>
    </row>
    <row r="58" spans="1:16" ht="15.75" x14ac:dyDescent="0.25">
      <c r="A58" s="5">
        <f>SUBTOTAL(3,$B$2:B58)</f>
        <v>57</v>
      </c>
      <c r="B58" s="6">
        <v>46143</v>
      </c>
      <c r="C58" s="6" t="s">
        <v>15</v>
      </c>
      <c r="D58" s="5" t="s">
        <v>46</v>
      </c>
      <c r="E58" s="5" t="s">
        <v>47</v>
      </c>
      <c r="F58" s="5" t="s">
        <v>47</v>
      </c>
      <c r="G58" s="5" t="s">
        <v>48</v>
      </c>
      <c r="H58" s="7" t="s">
        <v>23</v>
      </c>
      <c r="I58" s="7" t="s">
        <v>24</v>
      </c>
      <c r="J58" s="7">
        <v>8718</v>
      </c>
      <c r="K58" s="8">
        <v>46150</v>
      </c>
      <c r="L58" s="9">
        <v>1672800</v>
      </c>
      <c r="M58" s="10">
        <v>1</v>
      </c>
      <c r="N58" s="9">
        <f t="shared" ref="N58:N101" si="4">IF(B58&gt;O58,"",L58/M58)</f>
        <v>1672800</v>
      </c>
      <c r="O58" s="11">
        <f t="shared" ref="O58:O101" si="5">EDATE(K58, M58-1)</f>
        <v>46150</v>
      </c>
      <c r="P58" s="5"/>
    </row>
    <row r="59" spans="1:16" ht="15.75" x14ac:dyDescent="0.25">
      <c r="A59" s="5">
        <f>SUBTOTAL(3,$B$2:B59)</f>
        <v>58</v>
      </c>
      <c r="B59" s="6">
        <v>46143</v>
      </c>
      <c r="C59" s="6" t="s">
        <v>15</v>
      </c>
      <c r="D59" s="5" t="s">
        <v>46</v>
      </c>
      <c r="E59" s="5" t="s">
        <v>47</v>
      </c>
      <c r="F59" s="5" t="s">
        <v>47</v>
      </c>
      <c r="G59" s="5" t="s">
        <v>48</v>
      </c>
      <c r="H59" s="7" t="s">
        <v>25</v>
      </c>
      <c r="I59" s="7" t="s">
        <v>24</v>
      </c>
      <c r="J59" s="7">
        <v>10100</v>
      </c>
      <c r="K59" s="8">
        <v>46150</v>
      </c>
      <c r="L59" s="9">
        <v>1672800</v>
      </c>
      <c r="M59" s="10">
        <v>1</v>
      </c>
      <c r="N59" s="9">
        <f t="shared" si="4"/>
        <v>1672800</v>
      </c>
      <c r="O59" s="11">
        <f t="shared" si="5"/>
        <v>46150</v>
      </c>
      <c r="P59" s="5"/>
    </row>
    <row r="60" spans="1:16" ht="15.75" x14ac:dyDescent="0.25">
      <c r="A60" s="5">
        <f>SUBTOTAL(3,$B$2:B60)</f>
        <v>59</v>
      </c>
      <c r="B60" s="6">
        <v>46143</v>
      </c>
      <c r="C60" s="6" t="s">
        <v>15</v>
      </c>
      <c r="D60" s="5" t="s">
        <v>46</v>
      </c>
      <c r="E60" s="5" t="s">
        <v>47</v>
      </c>
      <c r="F60" s="5" t="s">
        <v>47</v>
      </c>
      <c r="G60" s="5" t="s">
        <v>48</v>
      </c>
      <c r="H60" s="7" t="s">
        <v>23</v>
      </c>
      <c r="I60" s="7" t="s">
        <v>24</v>
      </c>
      <c r="J60" s="7">
        <v>8718</v>
      </c>
      <c r="K60" s="8">
        <v>46151</v>
      </c>
      <c r="L60" s="9">
        <v>1812200</v>
      </c>
      <c r="M60" s="10">
        <v>1</v>
      </c>
      <c r="N60" s="9">
        <f t="shared" si="4"/>
        <v>1812200</v>
      </c>
      <c r="O60" s="11">
        <f t="shared" si="5"/>
        <v>46151</v>
      </c>
      <c r="P60" s="5"/>
    </row>
    <row r="61" spans="1:16" ht="15.75" x14ac:dyDescent="0.25">
      <c r="A61" s="5">
        <f>SUBTOTAL(3,$B$2:B61)</f>
        <v>60</v>
      </c>
      <c r="B61" s="6">
        <v>46143</v>
      </c>
      <c r="C61" s="6" t="s">
        <v>15</v>
      </c>
      <c r="D61" s="5" t="s">
        <v>46</v>
      </c>
      <c r="E61" s="5" t="s">
        <v>47</v>
      </c>
      <c r="F61" s="5" t="s">
        <v>47</v>
      </c>
      <c r="G61" s="5" t="s">
        <v>48</v>
      </c>
      <c r="H61" s="7" t="s">
        <v>25</v>
      </c>
      <c r="I61" s="7" t="s">
        <v>24</v>
      </c>
      <c r="J61" s="7">
        <v>10100</v>
      </c>
      <c r="K61" s="8">
        <v>46152</v>
      </c>
      <c r="L61" s="9">
        <v>1672800</v>
      </c>
      <c r="M61" s="10">
        <v>1</v>
      </c>
      <c r="N61" s="9">
        <f t="shared" si="4"/>
        <v>1672800</v>
      </c>
      <c r="O61" s="11">
        <f t="shared" si="5"/>
        <v>46152</v>
      </c>
      <c r="P61" s="5"/>
    </row>
    <row r="62" spans="1:16" ht="15.75" x14ac:dyDescent="0.25">
      <c r="A62" s="5">
        <f>SUBTOTAL(3,$B$2:B62)</f>
        <v>61</v>
      </c>
      <c r="B62" s="6">
        <v>46143</v>
      </c>
      <c r="C62" s="6" t="s">
        <v>15</v>
      </c>
      <c r="D62" s="5" t="s">
        <v>46</v>
      </c>
      <c r="E62" s="5" t="s">
        <v>47</v>
      </c>
      <c r="F62" s="5" t="s">
        <v>47</v>
      </c>
      <c r="G62" s="5" t="s">
        <v>48</v>
      </c>
      <c r="H62" s="7" t="s">
        <v>23</v>
      </c>
      <c r="I62" s="7" t="s">
        <v>24</v>
      </c>
      <c r="J62" s="7">
        <v>8718</v>
      </c>
      <c r="K62" s="8">
        <v>46153</v>
      </c>
      <c r="L62" s="9">
        <v>1951600</v>
      </c>
      <c r="M62" s="10">
        <v>1</v>
      </c>
      <c r="N62" s="9">
        <f t="shared" si="4"/>
        <v>1951600</v>
      </c>
      <c r="O62" s="11">
        <f t="shared" si="5"/>
        <v>46153</v>
      </c>
      <c r="P62" s="5"/>
    </row>
    <row r="63" spans="1:16" ht="15.75" x14ac:dyDescent="0.25">
      <c r="A63" s="5">
        <f>SUBTOTAL(3,$B$2:B63)</f>
        <v>62</v>
      </c>
      <c r="B63" s="6">
        <v>46143</v>
      </c>
      <c r="C63" s="6" t="s">
        <v>15</v>
      </c>
      <c r="D63" s="5" t="s">
        <v>46</v>
      </c>
      <c r="E63" s="5" t="s">
        <v>47</v>
      </c>
      <c r="F63" s="5" t="s">
        <v>47</v>
      </c>
      <c r="G63" s="5" t="s">
        <v>48</v>
      </c>
      <c r="H63" s="7" t="s">
        <v>25</v>
      </c>
      <c r="I63" s="7" t="s">
        <v>24</v>
      </c>
      <c r="J63" s="7">
        <v>10100</v>
      </c>
      <c r="K63" s="8">
        <v>46154</v>
      </c>
      <c r="L63" s="9">
        <v>1672800</v>
      </c>
      <c r="M63" s="10">
        <v>1</v>
      </c>
      <c r="N63" s="9">
        <f t="shared" si="4"/>
        <v>1672800</v>
      </c>
      <c r="O63" s="11">
        <f t="shared" si="5"/>
        <v>46154</v>
      </c>
      <c r="P63" s="5"/>
    </row>
    <row r="64" spans="1:16" ht="15.75" x14ac:dyDescent="0.25">
      <c r="A64" s="5">
        <f>SUBTOTAL(3,$B$2:B64)</f>
        <v>63</v>
      </c>
      <c r="B64" s="6">
        <v>46143</v>
      </c>
      <c r="C64" s="6" t="s">
        <v>15</v>
      </c>
      <c r="D64" s="5" t="s">
        <v>46</v>
      </c>
      <c r="E64" s="5" t="s">
        <v>47</v>
      </c>
      <c r="F64" s="5" t="s">
        <v>47</v>
      </c>
      <c r="G64" s="5" t="s">
        <v>48</v>
      </c>
      <c r="H64" s="7" t="s">
        <v>25</v>
      </c>
      <c r="I64" s="7" t="s">
        <v>24</v>
      </c>
      <c r="J64" s="7">
        <v>10100</v>
      </c>
      <c r="K64" s="8">
        <v>46156</v>
      </c>
      <c r="L64" s="9">
        <v>1672800</v>
      </c>
      <c r="M64" s="10">
        <v>1</v>
      </c>
      <c r="N64" s="9">
        <f t="shared" si="4"/>
        <v>1672800</v>
      </c>
      <c r="O64" s="11">
        <f t="shared" si="5"/>
        <v>46156</v>
      </c>
      <c r="P64" s="5"/>
    </row>
    <row r="65" spans="1:16" ht="15.75" x14ac:dyDescent="0.25">
      <c r="A65" s="5">
        <f>SUBTOTAL(3,$B$2:B65)</f>
        <v>64</v>
      </c>
      <c r="B65" s="6">
        <v>46143</v>
      </c>
      <c r="C65" s="6" t="s">
        <v>15</v>
      </c>
      <c r="D65" s="5" t="s">
        <v>46</v>
      </c>
      <c r="E65" s="5" t="s">
        <v>47</v>
      </c>
      <c r="F65" s="5" t="s">
        <v>47</v>
      </c>
      <c r="G65" s="5" t="s">
        <v>48</v>
      </c>
      <c r="H65" s="7" t="s">
        <v>23</v>
      </c>
      <c r="I65" s="7" t="s">
        <v>24</v>
      </c>
      <c r="J65" s="7">
        <v>8718</v>
      </c>
      <c r="K65" s="8">
        <v>46156</v>
      </c>
      <c r="L65" s="9">
        <v>1794650</v>
      </c>
      <c r="M65" s="10">
        <v>1</v>
      </c>
      <c r="N65" s="9">
        <f t="shared" si="4"/>
        <v>1794650</v>
      </c>
      <c r="O65" s="11">
        <f t="shared" si="5"/>
        <v>46156</v>
      </c>
      <c r="P65" s="5"/>
    </row>
    <row r="66" spans="1:16" ht="15.75" x14ac:dyDescent="0.25">
      <c r="A66" s="5">
        <f>SUBTOTAL(3,$B$2:B66)</f>
        <v>65</v>
      </c>
      <c r="B66" s="6">
        <v>46143</v>
      </c>
      <c r="C66" s="6" t="s">
        <v>15</v>
      </c>
      <c r="D66" s="5" t="s">
        <v>46</v>
      </c>
      <c r="E66" s="5" t="s">
        <v>47</v>
      </c>
      <c r="F66" s="5" t="s">
        <v>47</v>
      </c>
      <c r="G66" s="5" t="s">
        <v>48</v>
      </c>
      <c r="H66" s="7" t="s">
        <v>25</v>
      </c>
      <c r="I66" s="7" t="s">
        <v>24</v>
      </c>
      <c r="J66" s="7">
        <v>10100</v>
      </c>
      <c r="K66" s="8">
        <v>46158</v>
      </c>
      <c r="L66" s="9">
        <v>1656600</v>
      </c>
      <c r="M66" s="10">
        <v>1</v>
      </c>
      <c r="N66" s="9">
        <f t="shared" si="4"/>
        <v>1656600</v>
      </c>
      <c r="O66" s="11">
        <f t="shared" si="5"/>
        <v>46158</v>
      </c>
      <c r="P66" s="5"/>
    </row>
    <row r="67" spans="1:16" ht="15.75" x14ac:dyDescent="0.25">
      <c r="A67" s="5">
        <f>SUBTOTAL(3,$B$2:B67)</f>
        <v>66</v>
      </c>
      <c r="B67" s="6">
        <v>46143</v>
      </c>
      <c r="C67" s="6" t="s">
        <v>15</v>
      </c>
      <c r="D67" s="5" t="s">
        <v>46</v>
      </c>
      <c r="E67" s="5" t="s">
        <v>47</v>
      </c>
      <c r="F67" s="5" t="s">
        <v>47</v>
      </c>
      <c r="G67" s="5" t="s">
        <v>48</v>
      </c>
      <c r="H67" s="7" t="s">
        <v>23</v>
      </c>
      <c r="I67" s="7" t="s">
        <v>26</v>
      </c>
      <c r="J67" s="7">
        <v>8718</v>
      </c>
      <c r="K67" s="8">
        <v>46158</v>
      </c>
      <c r="L67" s="9">
        <v>1794650</v>
      </c>
      <c r="M67" s="10">
        <v>1</v>
      </c>
      <c r="N67" s="9">
        <f t="shared" si="4"/>
        <v>1794650</v>
      </c>
      <c r="O67" s="11">
        <f t="shared" si="5"/>
        <v>46158</v>
      </c>
      <c r="P67" s="5"/>
    </row>
    <row r="68" spans="1:16" ht="15.75" x14ac:dyDescent="0.25">
      <c r="A68" s="5">
        <f>SUBTOTAL(3,$B$2:B68)</f>
        <v>67</v>
      </c>
      <c r="B68" s="6">
        <v>46143</v>
      </c>
      <c r="C68" s="6" t="s">
        <v>15</v>
      </c>
      <c r="D68" s="5" t="s">
        <v>46</v>
      </c>
      <c r="E68" s="5" t="s">
        <v>47</v>
      </c>
      <c r="F68" s="5" t="s">
        <v>47</v>
      </c>
      <c r="G68" s="5" t="s">
        <v>48</v>
      </c>
      <c r="H68" s="7" t="s">
        <v>25</v>
      </c>
      <c r="I68" s="7" t="s">
        <v>24</v>
      </c>
      <c r="J68" s="7">
        <v>10100</v>
      </c>
      <c r="K68" s="8">
        <v>46159</v>
      </c>
      <c r="L68" s="9">
        <v>1656600</v>
      </c>
      <c r="M68" s="10">
        <v>1</v>
      </c>
      <c r="N68" s="9">
        <f t="shared" si="4"/>
        <v>1656600</v>
      </c>
      <c r="O68" s="11">
        <f t="shared" si="5"/>
        <v>46159</v>
      </c>
      <c r="P68" s="5"/>
    </row>
    <row r="69" spans="1:16" ht="15.75" x14ac:dyDescent="0.25">
      <c r="A69" s="5">
        <f>SUBTOTAL(3,$B$2:B69)</f>
        <v>68</v>
      </c>
      <c r="B69" s="6">
        <v>46143</v>
      </c>
      <c r="C69" s="6" t="s">
        <v>15</v>
      </c>
      <c r="D69" s="5" t="s">
        <v>46</v>
      </c>
      <c r="E69" s="5" t="s">
        <v>47</v>
      </c>
      <c r="F69" s="5" t="s">
        <v>47</v>
      </c>
      <c r="G69" s="5" t="s">
        <v>48</v>
      </c>
      <c r="H69" s="7" t="s">
        <v>23</v>
      </c>
      <c r="I69" s="7" t="s">
        <v>24</v>
      </c>
      <c r="J69" s="7">
        <v>8718</v>
      </c>
      <c r="K69" s="8">
        <v>46159</v>
      </c>
      <c r="L69" s="9">
        <v>1932700</v>
      </c>
      <c r="M69" s="10">
        <v>1</v>
      </c>
      <c r="N69" s="9">
        <f t="shared" si="4"/>
        <v>1932700</v>
      </c>
      <c r="O69" s="11">
        <f t="shared" si="5"/>
        <v>46159</v>
      </c>
      <c r="P69" s="5"/>
    </row>
    <row r="70" spans="1:16" ht="15.75" x14ac:dyDescent="0.25">
      <c r="A70" s="5">
        <f>SUBTOTAL(3,$B$2:B70)</f>
        <v>69</v>
      </c>
      <c r="B70" s="6">
        <v>46143</v>
      </c>
      <c r="C70" s="6" t="s">
        <v>15</v>
      </c>
      <c r="D70" s="5" t="s">
        <v>46</v>
      </c>
      <c r="E70" s="5" t="s">
        <v>47</v>
      </c>
      <c r="F70" s="5" t="s">
        <v>47</v>
      </c>
      <c r="G70" s="5" t="s">
        <v>48</v>
      </c>
      <c r="H70" s="7" t="s">
        <v>25</v>
      </c>
      <c r="I70" s="7" t="s">
        <v>24</v>
      </c>
      <c r="J70" s="7">
        <v>10100</v>
      </c>
      <c r="K70" s="8">
        <v>46161</v>
      </c>
      <c r="L70" s="9">
        <v>1849870</v>
      </c>
      <c r="M70" s="10">
        <v>1</v>
      </c>
      <c r="N70" s="9">
        <f t="shared" si="4"/>
        <v>1849870</v>
      </c>
      <c r="O70" s="11">
        <f t="shared" si="5"/>
        <v>46161</v>
      </c>
      <c r="P70" s="5"/>
    </row>
    <row r="71" spans="1:16" ht="15.75" x14ac:dyDescent="0.25">
      <c r="A71" s="5">
        <f>SUBTOTAL(3,$B$2:B71)</f>
        <v>70</v>
      </c>
      <c r="B71" s="6">
        <v>46143</v>
      </c>
      <c r="C71" s="6" t="s">
        <v>15</v>
      </c>
      <c r="D71" s="5" t="s">
        <v>46</v>
      </c>
      <c r="E71" s="5" t="s">
        <v>47</v>
      </c>
      <c r="F71" s="5" t="s">
        <v>47</v>
      </c>
      <c r="G71" s="5" t="s">
        <v>48</v>
      </c>
      <c r="H71" s="7" t="s">
        <v>23</v>
      </c>
      <c r="I71" s="7" t="s">
        <v>24</v>
      </c>
      <c r="J71" s="7">
        <v>8718</v>
      </c>
      <c r="K71" s="8">
        <v>46162</v>
      </c>
      <c r="L71" s="9">
        <v>1656600</v>
      </c>
      <c r="M71" s="10">
        <v>1</v>
      </c>
      <c r="N71" s="9">
        <f t="shared" si="4"/>
        <v>1656600</v>
      </c>
      <c r="O71" s="11">
        <f t="shared" si="5"/>
        <v>46162</v>
      </c>
      <c r="P71" s="5"/>
    </row>
    <row r="72" spans="1:16" ht="15.75" x14ac:dyDescent="0.25">
      <c r="A72" s="5">
        <f>SUBTOTAL(3,$B$2:B72)</f>
        <v>71</v>
      </c>
      <c r="B72" s="6">
        <v>46143</v>
      </c>
      <c r="C72" s="6" t="s">
        <v>15</v>
      </c>
      <c r="D72" s="5" t="s">
        <v>46</v>
      </c>
      <c r="E72" s="5" t="s">
        <v>47</v>
      </c>
      <c r="F72" s="5" t="s">
        <v>47</v>
      </c>
      <c r="G72" s="5" t="s">
        <v>48</v>
      </c>
      <c r="H72" s="7" t="s">
        <v>25</v>
      </c>
      <c r="I72" s="7" t="s">
        <v>24</v>
      </c>
      <c r="J72" s="7">
        <v>10100</v>
      </c>
      <c r="K72" s="8">
        <v>46163</v>
      </c>
      <c r="L72" s="9">
        <v>1750800</v>
      </c>
      <c r="M72" s="10">
        <v>1</v>
      </c>
      <c r="N72" s="9">
        <f t="shared" si="4"/>
        <v>1750800</v>
      </c>
      <c r="O72" s="11">
        <f t="shared" si="5"/>
        <v>46163</v>
      </c>
      <c r="P72" s="5"/>
    </row>
    <row r="73" spans="1:16" ht="15.75" x14ac:dyDescent="0.25">
      <c r="A73" s="5">
        <f>SUBTOTAL(3,$B$2:B73)</f>
        <v>72</v>
      </c>
      <c r="B73" s="6">
        <v>46143</v>
      </c>
      <c r="C73" s="6" t="s">
        <v>15</v>
      </c>
      <c r="D73" s="5" t="s">
        <v>46</v>
      </c>
      <c r="E73" s="5" t="s">
        <v>47</v>
      </c>
      <c r="F73" s="5" t="s">
        <v>47</v>
      </c>
      <c r="G73" s="5" t="s">
        <v>48</v>
      </c>
      <c r="H73" s="7" t="s">
        <v>25</v>
      </c>
      <c r="I73" s="7" t="s">
        <v>24</v>
      </c>
      <c r="J73" s="7">
        <v>10100</v>
      </c>
      <c r="K73" s="8">
        <v>46165</v>
      </c>
      <c r="L73" s="9">
        <v>1750800</v>
      </c>
      <c r="M73" s="10">
        <v>1</v>
      </c>
      <c r="N73" s="9">
        <f t="shared" si="4"/>
        <v>1750800</v>
      </c>
      <c r="O73" s="11">
        <f t="shared" si="5"/>
        <v>46165</v>
      </c>
      <c r="P73" s="5"/>
    </row>
    <row r="74" spans="1:16" ht="15.75" x14ac:dyDescent="0.25">
      <c r="A74" s="5">
        <f>SUBTOTAL(3,$B$2:B74)</f>
        <v>73</v>
      </c>
      <c r="B74" s="6">
        <v>46143</v>
      </c>
      <c r="C74" s="6" t="s">
        <v>15</v>
      </c>
      <c r="D74" s="5" t="s">
        <v>46</v>
      </c>
      <c r="E74" s="5" t="s">
        <v>47</v>
      </c>
      <c r="F74" s="5" t="s">
        <v>47</v>
      </c>
      <c r="G74" s="5" t="s">
        <v>48</v>
      </c>
      <c r="H74" s="7" t="s">
        <v>23</v>
      </c>
      <c r="I74" s="7" t="s">
        <v>24</v>
      </c>
      <c r="J74" s="7">
        <v>8718</v>
      </c>
      <c r="K74" s="8">
        <v>46165</v>
      </c>
      <c r="L74" s="9">
        <v>1867608</v>
      </c>
      <c r="M74" s="10">
        <v>1</v>
      </c>
      <c r="N74" s="9">
        <f t="shared" si="4"/>
        <v>1867608</v>
      </c>
      <c r="O74" s="11">
        <f t="shared" si="5"/>
        <v>46165</v>
      </c>
      <c r="P74" s="5"/>
    </row>
    <row r="75" spans="1:16" ht="15.75" x14ac:dyDescent="0.25">
      <c r="A75" s="5">
        <f>SUBTOTAL(3,$B$2:B75)</f>
        <v>74</v>
      </c>
      <c r="B75" s="6">
        <v>46143</v>
      </c>
      <c r="C75" s="6" t="s">
        <v>15</v>
      </c>
      <c r="D75" s="5" t="s">
        <v>46</v>
      </c>
      <c r="E75" s="5" t="s">
        <v>47</v>
      </c>
      <c r="F75" s="5" t="s">
        <v>47</v>
      </c>
      <c r="G75" s="5" t="s">
        <v>48</v>
      </c>
      <c r="H75" s="7" t="s">
        <v>23</v>
      </c>
      <c r="I75" s="7" t="s">
        <v>24</v>
      </c>
      <c r="J75" s="7">
        <v>8718</v>
      </c>
      <c r="K75" s="8">
        <v>46166</v>
      </c>
      <c r="L75" s="9">
        <v>1750800</v>
      </c>
      <c r="M75" s="10">
        <v>1</v>
      </c>
      <c r="N75" s="9">
        <f t="shared" si="4"/>
        <v>1750800</v>
      </c>
      <c r="O75" s="11">
        <f t="shared" si="5"/>
        <v>46166</v>
      </c>
      <c r="P75" s="5"/>
    </row>
    <row r="76" spans="1:16" ht="15.75" x14ac:dyDescent="0.25">
      <c r="A76" s="5">
        <f>SUBTOTAL(3,$B$2:B76)</f>
        <v>75</v>
      </c>
      <c r="B76" s="6">
        <v>46143</v>
      </c>
      <c r="C76" s="6" t="s">
        <v>15</v>
      </c>
      <c r="D76" s="5" t="s">
        <v>46</v>
      </c>
      <c r="E76" s="5" t="s">
        <v>47</v>
      </c>
      <c r="F76" s="5" t="s">
        <v>47</v>
      </c>
      <c r="G76" s="5" t="s">
        <v>48</v>
      </c>
      <c r="H76" s="7" t="s">
        <v>25</v>
      </c>
      <c r="I76" s="7" t="s">
        <v>24</v>
      </c>
      <c r="J76" s="7">
        <v>10100</v>
      </c>
      <c r="K76" s="8">
        <v>46166</v>
      </c>
      <c r="L76" s="9">
        <v>1896700</v>
      </c>
      <c r="M76" s="10">
        <v>1</v>
      </c>
      <c r="N76" s="9">
        <f t="shared" si="4"/>
        <v>1896700</v>
      </c>
      <c r="O76" s="11">
        <f t="shared" si="5"/>
        <v>46166</v>
      </c>
      <c r="P76" s="5"/>
    </row>
    <row r="77" spans="1:16" ht="15.75" x14ac:dyDescent="0.25">
      <c r="A77" s="5">
        <f>SUBTOTAL(3,$B$2:B77)</f>
        <v>76</v>
      </c>
      <c r="B77" s="6">
        <v>46143</v>
      </c>
      <c r="C77" s="6" t="s">
        <v>15</v>
      </c>
      <c r="D77" s="5" t="s">
        <v>46</v>
      </c>
      <c r="E77" s="5" t="s">
        <v>47</v>
      </c>
      <c r="F77" s="5" t="s">
        <v>47</v>
      </c>
      <c r="G77" s="5" t="s">
        <v>48</v>
      </c>
      <c r="H77" s="7" t="s">
        <v>25</v>
      </c>
      <c r="I77" s="7" t="s">
        <v>24</v>
      </c>
      <c r="J77" s="7">
        <v>10100</v>
      </c>
      <c r="K77" s="8">
        <v>46168</v>
      </c>
      <c r="L77" s="9">
        <v>1750800</v>
      </c>
      <c r="M77" s="10">
        <v>1</v>
      </c>
      <c r="N77" s="9">
        <f t="shared" si="4"/>
        <v>1750800</v>
      </c>
      <c r="O77" s="11">
        <f t="shared" si="5"/>
        <v>46168</v>
      </c>
      <c r="P77" s="13"/>
    </row>
    <row r="78" spans="1:16" ht="15.75" x14ac:dyDescent="0.25">
      <c r="A78" s="5">
        <f>SUBTOTAL(3,$B$2:B78)</f>
        <v>77</v>
      </c>
      <c r="B78" s="6">
        <v>46143</v>
      </c>
      <c r="C78" s="6" t="s">
        <v>15</v>
      </c>
      <c r="D78" s="5" t="s">
        <v>46</v>
      </c>
      <c r="E78" s="5" t="s">
        <v>47</v>
      </c>
      <c r="F78" s="5" t="s">
        <v>47</v>
      </c>
      <c r="G78" s="5" t="s">
        <v>48</v>
      </c>
      <c r="H78" s="7" t="s">
        <v>23</v>
      </c>
      <c r="I78" s="7" t="s">
        <v>24</v>
      </c>
      <c r="J78" s="7">
        <v>8718</v>
      </c>
      <c r="K78" s="8">
        <v>46168</v>
      </c>
      <c r="L78" s="9">
        <v>1896700</v>
      </c>
      <c r="M78" s="10">
        <v>1</v>
      </c>
      <c r="N78" s="9">
        <f t="shared" si="4"/>
        <v>1896700</v>
      </c>
      <c r="O78" s="11">
        <f t="shared" si="5"/>
        <v>46168</v>
      </c>
      <c r="P78" s="5"/>
    </row>
    <row r="79" spans="1:16" ht="15.75" x14ac:dyDescent="0.25">
      <c r="A79" s="5">
        <f>SUBTOTAL(3,$B$2:B79)</f>
        <v>78</v>
      </c>
      <c r="B79" s="6">
        <v>46143</v>
      </c>
      <c r="C79" s="6" t="s">
        <v>15</v>
      </c>
      <c r="D79" s="5" t="s">
        <v>46</v>
      </c>
      <c r="E79" s="5" t="s">
        <v>47</v>
      </c>
      <c r="F79" s="5" t="s">
        <v>47</v>
      </c>
      <c r="G79" s="5" t="s">
        <v>48</v>
      </c>
      <c r="H79" s="7" t="s">
        <v>25</v>
      </c>
      <c r="I79" s="7" t="s">
        <v>24</v>
      </c>
      <c r="J79" s="7">
        <v>10100</v>
      </c>
      <c r="K79" s="8">
        <v>46170</v>
      </c>
      <c r="L79" s="9">
        <v>1683000</v>
      </c>
      <c r="M79" s="10">
        <v>1</v>
      </c>
      <c r="N79" s="9">
        <f t="shared" si="4"/>
        <v>1683000</v>
      </c>
      <c r="O79" s="11">
        <f t="shared" si="5"/>
        <v>46170</v>
      </c>
      <c r="P79" s="5"/>
    </row>
    <row r="80" spans="1:16" ht="15.75" x14ac:dyDescent="0.25">
      <c r="A80" s="5">
        <f>SUBTOTAL(3,$B$2:B80)</f>
        <v>79</v>
      </c>
      <c r="B80" s="6">
        <v>46143</v>
      </c>
      <c r="C80" s="6" t="s">
        <v>15</v>
      </c>
      <c r="D80" s="5" t="s">
        <v>46</v>
      </c>
      <c r="E80" s="5" t="s">
        <v>47</v>
      </c>
      <c r="F80" s="5" t="s">
        <v>47</v>
      </c>
      <c r="G80" s="5" t="s">
        <v>48</v>
      </c>
      <c r="H80" s="7" t="s">
        <v>23</v>
      </c>
      <c r="I80" s="7" t="s">
        <v>24</v>
      </c>
      <c r="J80" s="7">
        <v>8718</v>
      </c>
      <c r="K80" s="8">
        <v>46171</v>
      </c>
      <c r="L80" s="9">
        <v>1823250</v>
      </c>
      <c r="M80" s="10">
        <v>1</v>
      </c>
      <c r="N80" s="9">
        <f t="shared" si="4"/>
        <v>1823250</v>
      </c>
      <c r="O80" s="11">
        <f t="shared" si="5"/>
        <v>46171</v>
      </c>
      <c r="P80" s="5"/>
    </row>
    <row r="81" spans="1:16" ht="15.75" x14ac:dyDescent="0.25">
      <c r="A81" s="5">
        <f>SUBTOTAL(3,$B$2:B81)</f>
        <v>80</v>
      </c>
      <c r="B81" s="6">
        <v>46143</v>
      </c>
      <c r="C81" s="6" t="s">
        <v>15</v>
      </c>
      <c r="D81" s="5" t="s">
        <v>46</v>
      </c>
      <c r="E81" s="5" t="s">
        <v>47</v>
      </c>
      <c r="F81" s="5" t="s">
        <v>47</v>
      </c>
      <c r="G81" s="5" t="s">
        <v>48</v>
      </c>
      <c r="H81" s="7" t="s">
        <v>25</v>
      </c>
      <c r="I81" s="7" t="s">
        <v>24</v>
      </c>
      <c r="J81" s="7">
        <v>10100</v>
      </c>
      <c r="K81" s="8">
        <v>46172</v>
      </c>
      <c r="L81" s="9">
        <v>1683000</v>
      </c>
      <c r="M81" s="10">
        <v>1</v>
      </c>
      <c r="N81" s="9">
        <f t="shared" ref="N81:N88" si="6">IF(B81&gt;O81,"",L81/M81)</f>
        <v>1683000</v>
      </c>
      <c r="O81" s="11">
        <f t="shared" ref="O81:O88" si="7">EDATE(K81, M81-1)</f>
        <v>46172</v>
      </c>
      <c r="P81" s="5"/>
    </row>
    <row r="82" spans="1:16" ht="15.75" x14ac:dyDescent="0.25">
      <c r="A82" s="5">
        <f>SUBTOTAL(3,$B$2:B82)</f>
        <v>81</v>
      </c>
      <c r="B82" s="6">
        <v>46143</v>
      </c>
      <c r="C82" s="6" t="s">
        <v>15</v>
      </c>
      <c r="D82" s="5" t="s">
        <v>46</v>
      </c>
      <c r="E82" s="5" t="s">
        <v>47</v>
      </c>
      <c r="F82" s="5" t="s">
        <v>47</v>
      </c>
      <c r="G82" s="5" t="s">
        <v>48</v>
      </c>
      <c r="H82" s="7" t="s">
        <v>23</v>
      </c>
      <c r="I82" s="7" t="s">
        <v>24</v>
      </c>
      <c r="J82" s="7">
        <v>8718</v>
      </c>
      <c r="K82" s="8">
        <v>46173</v>
      </c>
      <c r="L82" s="9">
        <v>1683000</v>
      </c>
      <c r="M82" s="10">
        <v>1</v>
      </c>
      <c r="N82" s="9">
        <f t="shared" si="6"/>
        <v>1683000</v>
      </c>
      <c r="O82" s="11">
        <f t="shared" si="7"/>
        <v>46173</v>
      </c>
      <c r="P82" s="5"/>
    </row>
    <row r="83" spans="1:16" ht="15.75" x14ac:dyDescent="0.25">
      <c r="A83" s="5">
        <f>SUBTOTAL(3,$B$2:B83)</f>
        <v>82</v>
      </c>
      <c r="B83" s="6">
        <v>46143</v>
      </c>
      <c r="C83" s="6" t="s">
        <v>15</v>
      </c>
      <c r="D83" s="5" t="s">
        <v>46</v>
      </c>
      <c r="E83" s="5" t="s">
        <v>47</v>
      </c>
      <c r="F83" s="5" t="s">
        <v>47</v>
      </c>
      <c r="G83" s="5" t="s">
        <v>48</v>
      </c>
      <c r="H83" s="7" t="s">
        <v>25</v>
      </c>
      <c r="I83" s="7" t="s">
        <v>24</v>
      </c>
      <c r="J83" s="7">
        <v>10100</v>
      </c>
      <c r="K83" s="8">
        <v>46173</v>
      </c>
      <c r="L83" s="9">
        <v>1683000</v>
      </c>
      <c r="M83" s="10">
        <v>1</v>
      </c>
      <c r="N83" s="9">
        <f t="shared" si="6"/>
        <v>1683000</v>
      </c>
      <c r="O83" s="11">
        <f t="shared" si="7"/>
        <v>46173</v>
      </c>
      <c r="P83" s="5"/>
    </row>
    <row r="84" spans="1:16" ht="15.75" x14ac:dyDescent="0.25">
      <c r="A84" s="5">
        <f>SUBTOTAL(3,$B$2:B84)</f>
        <v>83</v>
      </c>
      <c r="B84" s="6">
        <v>46143</v>
      </c>
      <c r="C84" s="6" t="s">
        <v>15</v>
      </c>
      <c r="D84" s="5" t="s">
        <v>46</v>
      </c>
      <c r="E84" s="5" t="s">
        <v>49</v>
      </c>
      <c r="F84" s="5" t="s">
        <v>49</v>
      </c>
      <c r="G84" s="5" t="s">
        <v>48</v>
      </c>
      <c r="H84" s="7" t="s">
        <v>20</v>
      </c>
      <c r="I84" s="7" t="s">
        <v>50</v>
      </c>
      <c r="J84" s="7">
        <v>4873</v>
      </c>
      <c r="K84" s="8">
        <v>46173</v>
      </c>
      <c r="L84" s="9">
        <v>5735303</v>
      </c>
      <c r="M84" s="10">
        <v>1</v>
      </c>
      <c r="N84" s="9">
        <f t="shared" si="6"/>
        <v>5735303</v>
      </c>
      <c r="O84" s="11">
        <f t="shared" si="7"/>
        <v>46173</v>
      </c>
      <c r="P84" s="5"/>
    </row>
    <row r="85" spans="1:16" ht="15.75" x14ac:dyDescent="0.25">
      <c r="A85" s="5">
        <f>SUBTOTAL(3,$B$2:B85)</f>
        <v>84</v>
      </c>
      <c r="B85" s="6">
        <v>46143</v>
      </c>
      <c r="C85" s="6" t="s">
        <v>15</v>
      </c>
      <c r="D85" s="5" t="s">
        <v>46</v>
      </c>
      <c r="E85" s="5" t="s">
        <v>49</v>
      </c>
      <c r="F85" s="5" t="s">
        <v>49</v>
      </c>
      <c r="G85" s="5" t="s">
        <v>48</v>
      </c>
      <c r="H85" s="7" t="s">
        <v>22</v>
      </c>
      <c r="I85" s="7" t="s">
        <v>50</v>
      </c>
      <c r="J85" s="7">
        <v>5345</v>
      </c>
      <c r="K85" s="8">
        <v>46173</v>
      </c>
      <c r="L85" s="9">
        <v>4955215</v>
      </c>
      <c r="M85" s="10">
        <v>1</v>
      </c>
      <c r="N85" s="9">
        <f t="shared" si="6"/>
        <v>4955215</v>
      </c>
      <c r="O85" s="11">
        <f t="shared" si="7"/>
        <v>46173</v>
      </c>
      <c r="P85" s="5"/>
    </row>
    <row r="86" spans="1:16" ht="15.75" x14ac:dyDescent="0.25">
      <c r="A86" s="5">
        <f>SUBTOTAL(3,$B$2:B86)</f>
        <v>85</v>
      </c>
      <c r="B86" s="6">
        <v>46143</v>
      </c>
      <c r="C86" s="6" t="s">
        <v>15</v>
      </c>
      <c r="D86" s="5" t="s">
        <v>46</v>
      </c>
      <c r="E86" s="5" t="s">
        <v>49</v>
      </c>
      <c r="F86" s="5" t="s">
        <v>49</v>
      </c>
      <c r="G86" s="5" t="s">
        <v>48</v>
      </c>
      <c r="H86" s="7" t="s">
        <v>27</v>
      </c>
      <c r="I86" s="7" t="s">
        <v>50</v>
      </c>
      <c r="J86" s="7">
        <v>5053</v>
      </c>
      <c r="K86" s="8">
        <v>46173</v>
      </c>
      <c r="L86" s="9">
        <v>5787386</v>
      </c>
      <c r="M86" s="10">
        <v>1</v>
      </c>
      <c r="N86" s="9">
        <f t="shared" si="6"/>
        <v>5787386</v>
      </c>
      <c r="O86" s="11">
        <f t="shared" si="7"/>
        <v>46173</v>
      </c>
      <c r="P86" s="5"/>
    </row>
    <row r="87" spans="1:16" ht="15.75" x14ac:dyDescent="0.25">
      <c r="A87" s="5">
        <f>SUBTOTAL(3,$B$2:B87)</f>
        <v>86</v>
      </c>
      <c r="B87" s="6">
        <v>46143</v>
      </c>
      <c r="C87" s="6" t="s">
        <v>15</v>
      </c>
      <c r="D87" s="5" t="s">
        <v>46</v>
      </c>
      <c r="E87" s="5" t="s">
        <v>49</v>
      </c>
      <c r="F87" s="5" t="s">
        <v>49</v>
      </c>
      <c r="G87" s="5" t="s">
        <v>48</v>
      </c>
      <c r="H87" s="7" t="s">
        <v>81</v>
      </c>
      <c r="I87" s="7" t="s">
        <v>50</v>
      </c>
      <c r="J87" s="7">
        <v>4667</v>
      </c>
      <c r="K87" s="8">
        <v>46173</v>
      </c>
      <c r="L87" s="9">
        <v>4460311</v>
      </c>
      <c r="M87" s="10">
        <v>1</v>
      </c>
      <c r="N87" s="9">
        <f t="shared" si="6"/>
        <v>4460311</v>
      </c>
      <c r="O87" s="11">
        <f t="shared" si="7"/>
        <v>46173</v>
      </c>
      <c r="P87" s="5"/>
    </row>
    <row r="88" spans="1:16" ht="15.75" x14ac:dyDescent="0.25">
      <c r="A88" s="5">
        <f>SUBTOTAL(3,$B$2:B88)</f>
        <v>87</v>
      </c>
      <c r="B88" s="6">
        <v>46143</v>
      </c>
      <c r="C88" s="6" t="s">
        <v>15</v>
      </c>
      <c r="D88" s="5" t="s">
        <v>51</v>
      </c>
      <c r="E88" s="5" t="s">
        <v>52</v>
      </c>
      <c r="F88" s="5" t="s">
        <v>83</v>
      </c>
      <c r="G88" s="5" t="s">
        <v>48</v>
      </c>
      <c r="H88" s="7"/>
      <c r="I88" s="7"/>
      <c r="J88" s="7"/>
      <c r="K88" s="8">
        <v>46173</v>
      </c>
      <c r="L88" s="9">
        <v>2940000</v>
      </c>
      <c r="M88" s="10">
        <v>1</v>
      </c>
      <c r="N88" s="9">
        <f t="shared" si="6"/>
        <v>2940000</v>
      </c>
      <c r="O88" s="11">
        <f t="shared" si="7"/>
        <v>46173</v>
      </c>
      <c r="P88" s="5"/>
    </row>
    <row r="89" spans="1:16" ht="15.75" x14ac:dyDescent="0.25">
      <c r="A89" s="5">
        <f>SUBTOTAL(3,$B$2:B89)</f>
        <v>88</v>
      </c>
      <c r="B89" s="6">
        <v>46143</v>
      </c>
      <c r="C89" s="6" t="s">
        <v>15</v>
      </c>
      <c r="D89" s="5" t="s">
        <v>53</v>
      </c>
      <c r="E89" s="5" t="s">
        <v>54</v>
      </c>
      <c r="F89" s="5" t="s">
        <v>84</v>
      </c>
      <c r="G89" s="5" t="s">
        <v>48</v>
      </c>
      <c r="H89" s="7"/>
      <c r="I89" s="7"/>
      <c r="J89" s="7"/>
      <c r="K89" s="8">
        <v>46173</v>
      </c>
      <c r="L89" s="9">
        <v>0</v>
      </c>
      <c r="M89" s="10">
        <v>1</v>
      </c>
      <c r="N89" s="9">
        <f t="shared" si="4"/>
        <v>0</v>
      </c>
      <c r="O89" s="11">
        <f t="shared" si="5"/>
        <v>46173</v>
      </c>
      <c r="P89" s="5"/>
    </row>
    <row r="90" spans="1:16" ht="15.75" x14ac:dyDescent="0.25">
      <c r="A90" s="5">
        <f>SUBTOTAL(3,$B$2:B90)</f>
        <v>89</v>
      </c>
      <c r="B90" s="6">
        <v>46143</v>
      </c>
      <c r="C90" s="6" t="s">
        <v>15</v>
      </c>
      <c r="D90" s="5" t="s">
        <v>53</v>
      </c>
      <c r="E90" s="5" t="s">
        <v>55</v>
      </c>
      <c r="F90" s="5" t="s">
        <v>85</v>
      </c>
      <c r="G90" s="5" t="s">
        <v>48</v>
      </c>
      <c r="H90" s="7"/>
      <c r="I90" s="7"/>
      <c r="J90" s="7"/>
      <c r="K90" s="8">
        <v>46173</v>
      </c>
      <c r="L90" s="9">
        <v>1963246</v>
      </c>
      <c r="M90" s="10">
        <v>1</v>
      </c>
      <c r="N90" s="9">
        <f t="shared" si="4"/>
        <v>1963246</v>
      </c>
      <c r="O90" s="11">
        <f t="shared" si="5"/>
        <v>46173</v>
      </c>
      <c r="P90" s="5"/>
    </row>
    <row r="91" spans="1:16" ht="15.75" x14ac:dyDescent="0.25">
      <c r="A91" s="5">
        <f>SUBTOTAL(3,$B$2:B91)</f>
        <v>90</v>
      </c>
      <c r="B91" s="6">
        <v>46143</v>
      </c>
      <c r="C91" s="6" t="s">
        <v>15</v>
      </c>
      <c r="D91" s="5" t="s">
        <v>53</v>
      </c>
      <c r="E91" s="5" t="s">
        <v>55</v>
      </c>
      <c r="F91" s="5" t="s">
        <v>56</v>
      </c>
      <c r="G91" s="5" t="s">
        <v>48</v>
      </c>
      <c r="H91" s="7"/>
      <c r="I91" s="7"/>
      <c r="J91" s="7"/>
      <c r="K91" s="8">
        <v>46173</v>
      </c>
      <c r="L91" s="9">
        <v>120000</v>
      </c>
      <c r="M91" s="10">
        <v>1</v>
      </c>
      <c r="N91" s="9">
        <f t="shared" si="4"/>
        <v>120000</v>
      </c>
      <c r="O91" s="11">
        <f t="shared" si="5"/>
        <v>46173</v>
      </c>
      <c r="P91" s="5"/>
    </row>
    <row r="92" spans="1:16" ht="15.75" x14ac:dyDescent="0.25">
      <c r="A92" s="5">
        <f>SUBTOTAL(3,$B$2:B92)</f>
        <v>91</v>
      </c>
      <c r="B92" s="6">
        <v>46143</v>
      </c>
      <c r="C92" s="6" t="s">
        <v>15</v>
      </c>
      <c r="D92" s="5" t="s">
        <v>53</v>
      </c>
      <c r="E92" s="5" t="s">
        <v>57</v>
      </c>
      <c r="F92" s="5" t="s">
        <v>58</v>
      </c>
      <c r="G92" s="5" t="s">
        <v>48</v>
      </c>
      <c r="H92" s="7"/>
      <c r="I92" s="7"/>
      <c r="J92" s="7"/>
      <c r="K92" s="8">
        <v>46173</v>
      </c>
      <c r="L92" s="9">
        <v>200000</v>
      </c>
      <c r="M92" s="10">
        <v>1</v>
      </c>
      <c r="N92" s="9">
        <f t="shared" si="4"/>
        <v>200000</v>
      </c>
      <c r="O92" s="11">
        <f t="shared" si="5"/>
        <v>46173</v>
      </c>
      <c r="P92" s="5"/>
    </row>
    <row r="93" spans="1:16" ht="15.75" x14ac:dyDescent="0.25">
      <c r="A93" s="5">
        <f>SUBTOTAL(3,$B$2:B93)</f>
        <v>92</v>
      </c>
      <c r="B93" s="6">
        <v>46143</v>
      </c>
      <c r="C93" s="6" t="s">
        <v>15</v>
      </c>
      <c r="D93" s="5" t="s">
        <v>53</v>
      </c>
      <c r="E93" s="5" t="s">
        <v>57</v>
      </c>
      <c r="F93" s="5" t="s">
        <v>59</v>
      </c>
      <c r="G93" s="5" t="s">
        <v>48</v>
      </c>
      <c r="H93" s="7"/>
      <c r="I93" s="7"/>
      <c r="J93" s="7"/>
      <c r="K93" s="8">
        <v>46173</v>
      </c>
      <c r="L93" s="9">
        <v>0</v>
      </c>
      <c r="M93" s="10">
        <v>1</v>
      </c>
      <c r="N93" s="9">
        <f t="shared" si="4"/>
        <v>0</v>
      </c>
      <c r="O93" s="11">
        <f t="shared" si="5"/>
        <v>46173</v>
      </c>
      <c r="P93" s="5"/>
    </row>
    <row r="94" spans="1:16" ht="15.75" x14ac:dyDescent="0.25">
      <c r="A94" s="5">
        <f>SUBTOTAL(3,$B$2:B94)</f>
        <v>93</v>
      </c>
      <c r="B94" s="6">
        <v>46143</v>
      </c>
      <c r="C94" s="6" t="s">
        <v>15</v>
      </c>
      <c r="D94" s="5" t="s">
        <v>53</v>
      </c>
      <c r="E94" s="5" t="s">
        <v>60</v>
      </c>
      <c r="F94" s="5" t="s">
        <v>82</v>
      </c>
      <c r="G94" s="5" t="s">
        <v>48</v>
      </c>
      <c r="H94" s="7"/>
      <c r="I94" s="7"/>
      <c r="J94" s="7"/>
      <c r="K94" s="8">
        <v>46173</v>
      </c>
      <c r="L94" s="9">
        <v>100000</v>
      </c>
      <c r="M94" s="10">
        <v>1</v>
      </c>
      <c r="N94" s="9">
        <f t="shared" si="4"/>
        <v>100000</v>
      </c>
      <c r="O94" s="11">
        <f t="shared" si="5"/>
        <v>46173</v>
      </c>
      <c r="P94" s="5"/>
    </row>
    <row r="95" spans="1:16" ht="15.75" x14ac:dyDescent="0.25">
      <c r="A95" s="5">
        <f>SUBTOTAL(3,$B$2:B95)</f>
        <v>94</v>
      </c>
      <c r="B95" s="6">
        <v>46143</v>
      </c>
      <c r="C95" s="6" t="s">
        <v>15</v>
      </c>
      <c r="D95" s="5" t="s">
        <v>51</v>
      </c>
      <c r="E95" s="5" t="s">
        <v>60</v>
      </c>
      <c r="F95" s="5" t="s">
        <v>86</v>
      </c>
      <c r="G95" s="5" t="s">
        <v>48</v>
      </c>
      <c r="H95" s="7"/>
      <c r="I95" s="7" t="s">
        <v>24</v>
      </c>
      <c r="J95" s="7"/>
      <c r="K95" s="8">
        <v>46173</v>
      </c>
      <c r="L95" s="9">
        <v>50000</v>
      </c>
      <c r="M95" s="10">
        <v>1</v>
      </c>
      <c r="N95" s="9">
        <f t="shared" si="4"/>
        <v>50000</v>
      </c>
      <c r="O95" s="11">
        <f t="shared" si="5"/>
        <v>46173</v>
      </c>
      <c r="P95" s="5"/>
    </row>
    <row r="96" spans="1:16" ht="15.75" x14ac:dyDescent="0.25">
      <c r="A96" s="5">
        <f>SUBTOTAL(3,$B$2:B96)</f>
        <v>95</v>
      </c>
      <c r="B96" s="6">
        <v>46143</v>
      </c>
      <c r="C96" s="6" t="s">
        <v>15</v>
      </c>
      <c r="D96" s="5" t="s">
        <v>51</v>
      </c>
      <c r="E96" s="5" t="s">
        <v>60</v>
      </c>
      <c r="F96" s="5" t="s">
        <v>87</v>
      </c>
      <c r="G96" s="5" t="s">
        <v>48</v>
      </c>
      <c r="H96" s="7"/>
      <c r="I96" s="7" t="s">
        <v>50</v>
      </c>
      <c r="J96" s="7"/>
      <c r="K96" s="8">
        <v>46173</v>
      </c>
      <c r="L96" s="9">
        <v>100000</v>
      </c>
      <c r="M96" s="10">
        <v>1</v>
      </c>
      <c r="N96" s="9">
        <f t="shared" si="4"/>
        <v>100000</v>
      </c>
      <c r="O96" s="11">
        <f t="shared" si="5"/>
        <v>46173</v>
      </c>
      <c r="P96" s="5"/>
    </row>
    <row r="97" spans="1:16" ht="15.75" x14ac:dyDescent="0.25">
      <c r="A97" s="5">
        <f>SUBTOTAL(3,$B$2:B97)</f>
        <v>96</v>
      </c>
      <c r="B97" s="6">
        <v>46143</v>
      </c>
      <c r="C97" s="6" t="s">
        <v>15</v>
      </c>
      <c r="D97" s="5" t="s">
        <v>51</v>
      </c>
      <c r="E97" s="5" t="s">
        <v>60</v>
      </c>
      <c r="F97" s="5" t="s">
        <v>88</v>
      </c>
      <c r="G97" s="5" t="s">
        <v>48</v>
      </c>
      <c r="H97" s="7"/>
      <c r="I97" s="7" t="s">
        <v>24</v>
      </c>
      <c r="J97" s="7"/>
      <c r="K97" s="8">
        <v>46173</v>
      </c>
      <c r="L97" s="9">
        <v>80000</v>
      </c>
      <c r="M97" s="10">
        <v>1</v>
      </c>
      <c r="N97" s="9">
        <f t="shared" si="4"/>
        <v>80000</v>
      </c>
      <c r="O97" s="11">
        <f t="shared" si="5"/>
        <v>46173</v>
      </c>
      <c r="P97" s="5"/>
    </row>
    <row r="98" spans="1:16" ht="15.75" x14ac:dyDescent="0.25">
      <c r="A98" s="5">
        <f>SUBTOTAL(3,$B$2:B98)</f>
        <v>97</v>
      </c>
      <c r="B98" s="6">
        <v>46143</v>
      </c>
      <c r="C98" s="6" t="s">
        <v>15</v>
      </c>
      <c r="D98" s="5" t="s">
        <v>51</v>
      </c>
      <c r="E98" s="5" t="s">
        <v>60</v>
      </c>
      <c r="F98" s="5" t="s">
        <v>86</v>
      </c>
      <c r="G98" s="5" t="s">
        <v>48</v>
      </c>
      <c r="H98" s="7"/>
      <c r="I98" s="7" t="s">
        <v>24</v>
      </c>
      <c r="J98" s="7"/>
      <c r="K98" s="8">
        <v>46173</v>
      </c>
      <c r="L98" s="9">
        <v>160000</v>
      </c>
      <c r="M98" s="10">
        <v>1</v>
      </c>
      <c r="N98" s="9">
        <f t="shared" si="4"/>
        <v>160000</v>
      </c>
      <c r="O98" s="11">
        <f t="shared" si="5"/>
        <v>46173</v>
      </c>
      <c r="P98" s="5"/>
    </row>
    <row r="99" spans="1:16" ht="15.75" x14ac:dyDescent="0.25">
      <c r="A99" s="5">
        <f>SUBTOTAL(3,$B$2:B99)</f>
        <v>98</v>
      </c>
      <c r="B99" s="6">
        <v>46143</v>
      </c>
      <c r="C99" s="6" t="s">
        <v>15</v>
      </c>
      <c r="D99" s="5" t="s">
        <v>51</v>
      </c>
      <c r="E99" s="5" t="s">
        <v>80</v>
      </c>
      <c r="F99" s="5" t="s">
        <v>89</v>
      </c>
      <c r="G99" s="5" t="s">
        <v>48</v>
      </c>
      <c r="I99" s="7" t="s">
        <v>50</v>
      </c>
      <c r="K99" s="8">
        <v>46173</v>
      </c>
      <c r="L99" s="9">
        <v>100000</v>
      </c>
      <c r="M99" s="10">
        <v>1</v>
      </c>
      <c r="N99" s="9">
        <f t="shared" si="4"/>
        <v>100000</v>
      </c>
      <c r="O99" s="11">
        <f t="shared" si="5"/>
        <v>46173</v>
      </c>
    </row>
    <row r="100" spans="1:16" ht="15.75" x14ac:dyDescent="0.25">
      <c r="A100" s="5">
        <f>SUBTOTAL(3,$B$2:B100)</f>
        <v>99</v>
      </c>
      <c r="B100" s="6">
        <v>46143</v>
      </c>
      <c r="C100" s="6" t="s">
        <v>15</v>
      </c>
      <c r="D100" s="5" t="s">
        <v>51</v>
      </c>
      <c r="E100" s="5" t="s">
        <v>80</v>
      </c>
      <c r="F100" s="5" t="s">
        <v>90</v>
      </c>
      <c r="G100" s="5" t="s">
        <v>48</v>
      </c>
      <c r="I100" s="7" t="s">
        <v>24</v>
      </c>
      <c r="K100" s="8">
        <v>46173</v>
      </c>
      <c r="L100" s="9">
        <v>170000</v>
      </c>
      <c r="M100" s="10">
        <v>1</v>
      </c>
      <c r="N100" s="9">
        <f t="shared" si="4"/>
        <v>170000</v>
      </c>
      <c r="O100" s="11">
        <f t="shared" si="5"/>
        <v>46173</v>
      </c>
    </row>
    <row r="101" spans="1:16" ht="15.75" x14ac:dyDescent="0.25">
      <c r="A101" s="5">
        <f>SUBTOTAL(3,$B$2:B101)</f>
        <v>100</v>
      </c>
      <c r="B101" s="6">
        <v>46143</v>
      </c>
      <c r="C101" s="6" t="s">
        <v>15</v>
      </c>
      <c r="D101" s="5" t="s">
        <v>51</v>
      </c>
      <c r="E101" s="5" t="s">
        <v>80</v>
      </c>
      <c r="F101" s="5" t="s">
        <v>91</v>
      </c>
      <c r="G101" s="5" t="s">
        <v>48</v>
      </c>
      <c r="I101" s="7" t="s">
        <v>50</v>
      </c>
      <c r="K101" s="8">
        <v>46173</v>
      </c>
      <c r="L101" s="9">
        <v>50000</v>
      </c>
      <c r="M101" s="10">
        <v>1</v>
      </c>
      <c r="N101" s="9">
        <f t="shared" si="4"/>
        <v>50000</v>
      </c>
      <c r="O101" s="11">
        <f t="shared" si="5"/>
        <v>46173</v>
      </c>
    </row>
    <row r="102" spans="1:16" ht="15.75" x14ac:dyDescent="0.25">
      <c r="A102" s="5">
        <f>SUBTOTAL(3,$B$2:B102)</f>
        <v>100</v>
      </c>
      <c r="K102" s="8"/>
    </row>
    <row r="103" spans="1:16" ht="15.75" x14ac:dyDescent="0.25">
      <c r="A103" s="5">
        <f>SUBTOTAL(3,$B$2:B103)</f>
        <v>100</v>
      </c>
    </row>
    <row r="104" spans="1:16" ht="15.75" x14ac:dyDescent="0.25">
      <c r="A104" s="5">
        <f>SUBTOTAL(3,$B$2:B104)</f>
        <v>100</v>
      </c>
    </row>
    <row r="127" spans="6:6" x14ac:dyDescent="0.25">
      <c r="F127">
        <f>113388-111645</f>
        <v>1743</v>
      </c>
    </row>
  </sheetData>
  <autoFilter ref="A1:P103" xr:uid="{105D9AB5-4969-49F6-989D-5F4EC3D6EEFB}"/>
  <phoneticPr fontId="7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2204-13FD-4126-875D-49E2CD701624}">
  <dimension ref="A1:G17"/>
  <sheetViews>
    <sheetView workbookViewId="0">
      <selection activeCell="K19" sqref="K19"/>
    </sheetView>
  </sheetViews>
  <sheetFormatPr defaultRowHeight="15" x14ac:dyDescent="0.25"/>
  <cols>
    <col min="1" max="1" width="15" customWidth="1"/>
    <col min="4" max="4" width="14.85546875" customWidth="1"/>
    <col min="5" max="5" width="17.5703125" customWidth="1"/>
  </cols>
  <sheetData>
    <row r="1" spans="1:7" ht="63" x14ac:dyDescent="0.25">
      <c r="A1" s="22" t="s">
        <v>69</v>
      </c>
      <c r="B1" s="22" t="s">
        <v>70</v>
      </c>
      <c r="C1" s="23" t="s">
        <v>71</v>
      </c>
      <c r="D1" s="23" t="s">
        <v>72</v>
      </c>
      <c r="E1" s="23" t="s">
        <v>73</v>
      </c>
      <c r="F1" s="23" t="s">
        <v>74</v>
      </c>
    </row>
    <row r="2" spans="1:7" ht="15.75" x14ac:dyDescent="0.25">
      <c r="A2" s="24" t="s">
        <v>41</v>
      </c>
      <c r="B2" s="25" t="s">
        <v>75</v>
      </c>
      <c r="C2" s="24">
        <v>9.5</v>
      </c>
      <c r="D2" s="26">
        <v>135000</v>
      </c>
      <c r="E2" s="27">
        <v>10000</v>
      </c>
      <c r="F2" s="26">
        <f>C2*D2/E2</f>
        <v>128.25</v>
      </c>
    </row>
    <row r="3" spans="1:7" ht="15.75" x14ac:dyDescent="0.25">
      <c r="A3" s="24" t="s">
        <v>41</v>
      </c>
      <c r="B3" s="25" t="s">
        <v>24</v>
      </c>
      <c r="C3" s="24">
        <v>7.5</v>
      </c>
      <c r="D3" s="26">
        <v>135000</v>
      </c>
      <c r="E3" s="27">
        <v>10000</v>
      </c>
      <c r="F3" s="26">
        <f>C3*D3/E3</f>
        <v>101.25</v>
      </c>
    </row>
    <row r="4" spans="1:7" ht="15.75" x14ac:dyDescent="0.25">
      <c r="A4" s="24" t="s">
        <v>41</v>
      </c>
      <c r="B4" s="25" t="s">
        <v>26</v>
      </c>
      <c r="C4" s="24">
        <v>4</v>
      </c>
      <c r="D4" s="26">
        <v>140000</v>
      </c>
      <c r="E4" s="27">
        <v>10000</v>
      </c>
      <c r="F4" s="26">
        <f>C4*D4/E4</f>
        <v>56</v>
      </c>
    </row>
    <row r="5" spans="1:7" ht="15.75" x14ac:dyDescent="0.25">
      <c r="A5" s="24" t="s">
        <v>41</v>
      </c>
      <c r="B5" s="25" t="s">
        <v>21</v>
      </c>
      <c r="C5" s="24">
        <v>0</v>
      </c>
      <c r="D5" s="26"/>
      <c r="E5" s="27"/>
      <c r="F5" s="26"/>
    </row>
    <row r="6" spans="1:7" ht="15.75" x14ac:dyDescent="0.25">
      <c r="A6" s="24" t="s">
        <v>43</v>
      </c>
      <c r="B6" s="25" t="s">
        <v>75</v>
      </c>
      <c r="C6" s="24">
        <v>4</v>
      </c>
      <c r="D6" s="26">
        <v>2635000</v>
      </c>
      <c r="E6" s="27">
        <v>100000</v>
      </c>
      <c r="F6" s="26">
        <f>C6*D6/E6</f>
        <v>105.4</v>
      </c>
      <c r="G6" t="s">
        <v>76</v>
      </c>
    </row>
    <row r="7" spans="1:7" ht="15.75" x14ac:dyDescent="0.25">
      <c r="A7" s="24" t="s">
        <v>43</v>
      </c>
      <c r="B7" s="25" t="s">
        <v>24</v>
      </c>
      <c r="C7" s="24">
        <v>4</v>
      </c>
      <c r="D7" s="26">
        <v>2635000</v>
      </c>
      <c r="E7" s="27">
        <v>100000</v>
      </c>
      <c r="F7" s="26">
        <f>C7*D7/E7</f>
        <v>105.4</v>
      </c>
      <c r="G7" t="s">
        <v>77</v>
      </c>
    </row>
    <row r="8" spans="1:7" ht="15.75" x14ac:dyDescent="0.25">
      <c r="A8" s="24" t="s">
        <v>43</v>
      </c>
      <c r="B8" s="25" t="s">
        <v>26</v>
      </c>
      <c r="C8" s="24">
        <v>4</v>
      </c>
      <c r="D8" s="26">
        <v>1360000</v>
      </c>
      <c r="E8" s="27">
        <v>80000</v>
      </c>
      <c r="F8" s="26">
        <f>C8*D8/E8</f>
        <v>68</v>
      </c>
    </row>
    <row r="9" spans="1:7" ht="15.75" x14ac:dyDescent="0.25">
      <c r="A9" s="24" t="s">
        <v>43</v>
      </c>
      <c r="B9" s="25" t="s">
        <v>21</v>
      </c>
      <c r="C9" s="24">
        <v>4</v>
      </c>
      <c r="D9" s="26">
        <v>3600000</v>
      </c>
      <c r="E9" s="27">
        <v>80000</v>
      </c>
      <c r="F9" s="26">
        <f>C9*D9/E9</f>
        <v>180</v>
      </c>
    </row>
    <row r="10" spans="1:7" ht="15.75" x14ac:dyDescent="0.25">
      <c r="A10" s="24" t="s">
        <v>44</v>
      </c>
      <c r="B10" s="25" t="s">
        <v>75</v>
      </c>
      <c r="C10" s="24">
        <v>1</v>
      </c>
      <c r="D10" s="26">
        <v>1850000</v>
      </c>
      <c r="E10" s="27">
        <v>100000</v>
      </c>
      <c r="F10" s="26">
        <f t="shared" ref="F10:F13" si="0">C10*D10/E10</f>
        <v>18.5</v>
      </c>
    </row>
    <row r="11" spans="1:7" ht="15.75" x14ac:dyDescent="0.25">
      <c r="A11" s="24" t="s">
        <v>44</v>
      </c>
      <c r="B11" s="25" t="s">
        <v>24</v>
      </c>
      <c r="C11" s="24">
        <v>1</v>
      </c>
      <c r="D11" s="26">
        <v>2950000</v>
      </c>
      <c r="E11" s="27">
        <v>100000</v>
      </c>
      <c r="F11" s="26">
        <f t="shared" si="0"/>
        <v>29.5</v>
      </c>
    </row>
    <row r="12" spans="1:7" ht="15.75" x14ac:dyDescent="0.25">
      <c r="A12" s="24" t="s">
        <v>44</v>
      </c>
      <c r="B12" s="25" t="s">
        <v>26</v>
      </c>
      <c r="C12" s="24">
        <v>1</v>
      </c>
      <c r="D12" s="26">
        <v>1650000</v>
      </c>
      <c r="E12" s="27">
        <v>100000</v>
      </c>
      <c r="F12" s="26">
        <f t="shared" si="0"/>
        <v>16.5</v>
      </c>
    </row>
    <row r="13" spans="1:7" ht="15.75" x14ac:dyDescent="0.25">
      <c r="A13" s="24" t="s">
        <v>44</v>
      </c>
      <c r="B13" s="25" t="s">
        <v>21</v>
      </c>
      <c r="C13" s="24">
        <v>1</v>
      </c>
      <c r="D13" s="26">
        <v>1850000</v>
      </c>
      <c r="E13" s="27">
        <v>100000</v>
      </c>
      <c r="F13" s="26">
        <f t="shared" si="0"/>
        <v>18.5</v>
      </c>
    </row>
    <row r="14" spans="1:7" ht="15.75" x14ac:dyDescent="0.25">
      <c r="A14" s="24" t="s">
        <v>45</v>
      </c>
      <c r="B14" s="25" t="s">
        <v>75</v>
      </c>
      <c r="C14" s="28">
        <v>0.1</v>
      </c>
      <c r="D14" s="29">
        <v>12930133.3333333</v>
      </c>
      <c r="E14" s="27">
        <v>5000</v>
      </c>
      <c r="F14" s="26">
        <f>D14*C14/E14</f>
        <v>258.60266666666604</v>
      </c>
    </row>
    <row r="15" spans="1:7" ht="15.75" x14ac:dyDescent="0.25">
      <c r="A15" s="24" t="s">
        <v>45</v>
      </c>
      <c r="B15" s="25" t="s">
        <v>24</v>
      </c>
      <c r="C15" s="28">
        <v>0.1</v>
      </c>
      <c r="D15" s="29">
        <v>12930133.3333333</v>
      </c>
      <c r="E15" s="27">
        <v>5000</v>
      </c>
      <c r="F15" s="26">
        <f>D15*C15/E15</f>
        <v>258.60266666666604</v>
      </c>
    </row>
    <row r="16" spans="1:7" ht="15.75" x14ac:dyDescent="0.25">
      <c r="A16" s="24" t="s">
        <v>45</v>
      </c>
      <c r="B16" s="25" t="s">
        <v>26</v>
      </c>
      <c r="C16" s="28">
        <v>0.08</v>
      </c>
      <c r="D16" s="29">
        <v>12930133.3333333</v>
      </c>
      <c r="E16" s="27">
        <v>5000</v>
      </c>
      <c r="F16" s="26">
        <f t="shared" ref="F16:F17" si="1">D16*C16/E16</f>
        <v>206.8821333333328</v>
      </c>
    </row>
    <row r="17" spans="1:6" ht="15.75" x14ac:dyDescent="0.25">
      <c r="A17" s="24" t="s">
        <v>45</v>
      </c>
      <c r="B17" s="25" t="s">
        <v>21</v>
      </c>
      <c r="C17" s="28">
        <v>0.05</v>
      </c>
      <c r="D17" s="29">
        <v>11590909.083333334</v>
      </c>
      <c r="E17" s="27">
        <v>5000</v>
      </c>
      <c r="F17" s="26">
        <f t="shared" si="1"/>
        <v>115.90909083333334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D887-C8B9-4C71-901C-3E241E637B08}">
  <dimension ref="A1:D2"/>
  <sheetViews>
    <sheetView workbookViewId="0">
      <selection activeCell="C2" sqref="C2"/>
    </sheetView>
  </sheetViews>
  <sheetFormatPr defaultRowHeight="15" x14ac:dyDescent="0.25"/>
  <cols>
    <col min="3" max="3" width="24.5703125" customWidth="1"/>
    <col min="4" max="4" width="58.28515625" customWidth="1"/>
  </cols>
  <sheetData>
    <row r="1" spans="1:4" ht="15.75" x14ac:dyDescent="0.25">
      <c r="A1" s="17" t="s">
        <v>65</v>
      </c>
      <c r="B1" s="18" t="s">
        <v>66</v>
      </c>
      <c r="C1" s="18" t="s">
        <v>67</v>
      </c>
      <c r="D1" s="18" t="s">
        <v>68</v>
      </c>
    </row>
    <row r="2" spans="1:4" ht="15.75" x14ac:dyDescent="0.25">
      <c r="A2" s="21">
        <v>46143</v>
      </c>
      <c r="B2" s="19" t="s">
        <v>15</v>
      </c>
      <c r="C2" s="20">
        <f>14393-1072-987</f>
        <v>12334</v>
      </c>
      <c r="D2" s="20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Tóm tắt CP</vt:lpstr>
      <vt:lpstr>Chi tiết</vt:lpstr>
      <vt:lpstr>Đơn giá SCBD</vt:lpstr>
      <vt:lpstr>Doanh thu 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Diep Do Thi Ngoc</dc:creator>
  <cp:lastModifiedBy>Phạm Lý</cp:lastModifiedBy>
  <dcterms:created xsi:type="dcterms:W3CDTF">2026-02-06T07:11:56Z</dcterms:created>
  <dcterms:modified xsi:type="dcterms:W3CDTF">2026-07-01T03:52:39Z</dcterms:modified>
</cp:coreProperties>
</file>