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HƯƠNG ANH 2024\PHƯƠNG ANH 2024\DỮ LIỆU LƯƠNG 2024\DỮ LIỆU LƯƠNG 2025\DỮ LIỆU LƯƠNG NĂM 2026\DỮ LIỆU TÍNH LƯƠNG 2026\THÁNG 5.2026\"/>
    </mc:Choice>
  </mc:AlternateContent>
  <xr:revisionPtr revIDLastSave="0" documentId="13_ncr:1_{30D24350-02FC-45BA-881A-8462B7275773}" xr6:coauthVersionLast="47" xr6:coauthVersionMax="47" xr10:uidLastSave="{00000000-0000-0000-0000-000000000000}"/>
  <bookViews>
    <workbookView xWindow="-120" yWindow="-120" windowWidth="29040" windowHeight="15840" activeTab="1" xr2:uid="{F9FCE395-047A-4F7E-B8C1-83665A496473}"/>
  </bookViews>
  <sheets>
    <sheet name="Tóm tắt CP" sheetId="2" r:id="rId1"/>
    <sheet name="Chi tiết" sheetId="1" r:id="rId2"/>
    <sheet name="Đơn giá SCBD" sheetId="4" r:id="rId3"/>
    <sheet name="Doanh thu CN" sheetId="3" r:id="rId4"/>
  </sheets>
  <definedNames>
    <definedName name="_xlnm._FilterDatabase" localSheetId="1" hidden="1">'Chi tiết'!$A$1:$P$118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A111" i="1" l="1"/>
  <c r="A112" i="1"/>
  <c r="A113" i="1"/>
  <c r="A114" i="1"/>
  <c r="A115" i="1"/>
  <c r="A116" i="1"/>
  <c r="A117" i="1"/>
  <c r="A118" i="1"/>
  <c r="A119" i="1"/>
  <c r="N116" i="1"/>
  <c r="N117" i="1"/>
  <c r="N118" i="1"/>
  <c r="N119" i="1"/>
  <c r="N110" i="1"/>
  <c r="N111" i="1"/>
  <c r="N112" i="1"/>
  <c r="N113" i="1"/>
  <c r="N114" i="1"/>
  <c r="N115" i="1"/>
  <c r="A2" i="3" l="1"/>
  <c r="A94" i="1" l="1"/>
  <c r="A95" i="1"/>
  <c r="N93" i="1"/>
  <c r="N94" i="1"/>
  <c r="N95" i="1"/>
  <c r="N102" i="1"/>
  <c r="N103" i="1"/>
  <c r="A102" i="1"/>
  <c r="L69" i="1" l="1"/>
  <c r="L68" i="1"/>
  <c r="N68" i="1" s="1"/>
  <c r="L67" i="1"/>
  <c r="L66" i="1"/>
  <c r="L65" i="1"/>
  <c r="L60" i="1"/>
  <c r="L57" i="1"/>
  <c r="L55" i="1"/>
  <c r="F17" i="4"/>
  <c r="L78" i="1" s="1"/>
  <c r="F16" i="4"/>
  <c r="F15" i="4"/>
  <c r="F14" i="4"/>
  <c r="L80" i="1" s="1"/>
  <c r="F13" i="4"/>
  <c r="L70" i="1" s="1"/>
  <c r="F12" i="4"/>
  <c r="F11" i="4"/>
  <c r="F10" i="4"/>
  <c r="L72" i="1" s="1"/>
  <c r="N72" i="1" s="1"/>
  <c r="F9" i="4"/>
  <c r="L62" i="1" s="1"/>
  <c r="F8" i="4"/>
  <c r="F7" i="4"/>
  <c r="F6" i="4"/>
  <c r="L64" i="1" s="1"/>
  <c r="N64" i="1" s="1"/>
  <c r="F4" i="4"/>
  <c r="F3" i="4"/>
  <c r="F2" i="4"/>
  <c r="L56" i="1" s="1"/>
  <c r="N56" i="1" s="1"/>
  <c r="A110" i="1"/>
  <c r="N109" i="1"/>
  <c r="A109" i="1"/>
  <c r="N108" i="1"/>
  <c r="A108" i="1"/>
  <c r="N107" i="1"/>
  <c r="A107" i="1"/>
  <c r="N106" i="1"/>
  <c r="A106" i="1"/>
  <c r="N105" i="1"/>
  <c r="A105" i="1"/>
  <c r="N104" i="1"/>
  <c r="A104" i="1"/>
  <c r="A103" i="1"/>
  <c r="N101" i="1"/>
  <c r="A101" i="1"/>
  <c r="N100" i="1"/>
  <c r="A100" i="1"/>
  <c r="N99" i="1"/>
  <c r="A99" i="1"/>
  <c r="N98" i="1"/>
  <c r="A98" i="1"/>
  <c r="N97" i="1"/>
  <c r="A97" i="1"/>
  <c r="N96" i="1"/>
  <c r="A96" i="1"/>
  <c r="A93" i="1"/>
  <c r="N92" i="1"/>
  <c r="A92" i="1"/>
  <c r="N91" i="1"/>
  <c r="A91" i="1"/>
  <c r="N90" i="1"/>
  <c r="A90" i="1"/>
  <c r="N89" i="1"/>
  <c r="A89" i="1"/>
  <c r="N88" i="1"/>
  <c r="A88" i="1"/>
  <c r="N87" i="1"/>
  <c r="A87" i="1"/>
  <c r="N86" i="1"/>
  <c r="A86" i="1"/>
  <c r="N85" i="1"/>
  <c r="A85" i="1"/>
  <c r="N84" i="1"/>
  <c r="A84" i="1"/>
  <c r="N83" i="1"/>
  <c r="A83" i="1"/>
  <c r="N82" i="1"/>
  <c r="A82" i="1"/>
  <c r="N81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O54" i="1"/>
  <c r="N54" i="1" s="1"/>
  <c r="A54" i="1"/>
  <c r="O53" i="1"/>
  <c r="N53" i="1" s="1"/>
  <c r="A53" i="1"/>
  <c r="O52" i="1"/>
  <c r="N52" i="1" s="1"/>
  <c r="A52" i="1"/>
  <c r="O51" i="1"/>
  <c r="N51" i="1" s="1"/>
  <c r="A51" i="1"/>
  <c r="O50" i="1"/>
  <c r="N50" i="1" s="1"/>
  <c r="A50" i="1"/>
  <c r="O49" i="1"/>
  <c r="N49" i="1" s="1"/>
  <c r="A49" i="1"/>
  <c r="O48" i="1"/>
  <c r="N48" i="1" s="1"/>
  <c r="A48" i="1"/>
  <c r="O47" i="1"/>
  <c r="N47" i="1" s="1"/>
  <c r="A47" i="1"/>
  <c r="O46" i="1"/>
  <c r="N46" i="1" s="1"/>
  <c r="A46" i="1"/>
  <c r="O45" i="1"/>
  <c r="N45" i="1" s="1"/>
  <c r="A45" i="1"/>
  <c r="O44" i="1"/>
  <c r="N44" i="1" s="1"/>
  <c r="A44" i="1"/>
  <c r="O43" i="1"/>
  <c r="N43" i="1" s="1"/>
  <c r="A43" i="1"/>
  <c r="O42" i="1"/>
  <c r="N42" i="1" s="1"/>
  <c r="A42" i="1"/>
  <c r="O41" i="1"/>
  <c r="N41" i="1" s="1"/>
  <c r="A41" i="1"/>
  <c r="O40" i="1"/>
  <c r="N40" i="1" s="1"/>
  <c r="A40" i="1"/>
  <c r="O39" i="1"/>
  <c r="N39" i="1" s="1"/>
  <c r="A39" i="1"/>
  <c r="O38" i="1"/>
  <c r="N38" i="1" s="1"/>
  <c r="A38" i="1"/>
  <c r="O37" i="1"/>
  <c r="N37" i="1" s="1"/>
  <c r="A37" i="1"/>
  <c r="O36" i="1"/>
  <c r="N36" i="1" s="1"/>
  <c r="A36" i="1"/>
  <c r="O35" i="1"/>
  <c r="N35" i="1" s="1"/>
  <c r="A35" i="1"/>
  <c r="O34" i="1"/>
  <c r="N34" i="1" s="1"/>
  <c r="A34" i="1"/>
  <c r="O33" i="1"/>
  <c r="N33" i="1" s="1"/>
  <c r="A33" i="1"/>
  <c r="O32" i="1"/>
  <c r="N32" i="1" s="1"/>
  <c r="A32" i="1"/>
  <c r="O31" i="1"/>
  <c r="N31" i="1" s="1"/>
  <c r="A31" i="1"/>
  <c r="O30" i="1"/>
  <c r="N30" i="1" s="1"/>
  <c r="A30" i="1"/>
  <c r="O29" i="1"/>
  <c r="N29" i="1" s="1"/>
  <c r="A29" i="1"/>
  <c r="O28" i="1"/>
  <c r="N28" i="1" s="1"/>
  <c r="A28" i="1"/>
  <c r="O27" i="1"/>
  <c r="N27" i="1" s="1"/>
  <c r="A27" i="1"/>
  <c r="O26" i="1"/>
  <c r="N26" i="1" s="1"/>
  <c r="A26" i="1"/>
  <c r="O25" i="1"/>
  <c r="N25" i="1" s="1"/>
  <c r="A25" i="1"/>
  <c r="O24" i="1"/>
  <c r="N24" i="1" s="1"/>
  <c r="A24" i="1"/>
  <c r="O23" i="1"/>
  <c r="N23" i="1" s="1"/>
  <c r="A23" i="1"/>
  <c r="O22" i="1"/>
  <c r="N22" i="1" s="1"/>
  <c r="A22" i="1"/>
  <c r="O21" i="1"/>
  <c r="N21" i="1" s="1"/>
  <c r="A21" i="1"/>
  <c r="O20" i="1"/>
  <c r="N20" i="1" s="1"/>
  <c r="A20" i="1"/>
  <c r="O19" i="1"/>
  <c r="N19" i="1" s="1"/>
  <c r="A19" i="1"/>
  <c r="O18" i="1"/>
  <c r="N18" i="1" s="1"/>
  <c r="A18" i="1"/>
  <c r="O17" i="1"/>
  <c r="N17" i="1" s="1"/>
  <c r="A17" i="1"/>
  <c r="O16" i="1"/>
  <c r="N16" i="1" s="1"/>
  <c r="A16" i="1"/>
  <c r="O15" i="1"/>
  <c r="N15" i="1" s="1"/>
  <c r="A15" i="1"/>
  <c r="O14" i="1"/>
  <c r="N14" i="1" s="1"/>
  <c r="A14" i="1"/>
  <c r="O13" i="1"/>
  <c r="N13" i="1" s="1"/>
  <c r="A13" i="1"/>
  <c r="O12" i="1"/>
  <c r="N12" i="1" s="1"/>
  <c r="A12" i="1"/>
  <c r="O11" i="1"/>
  <c r="N11" i="1" s="1"/>
  <c r="A11" i="1"/>
  <c r="O10" i="1"/>
  <c r="N10" i="1" s="1"/>
  <c r="A10" i="1"/>
  <c r="O9" i="1"/>
  <c r="N9" i="1" s="1"/>
  <c r="A9" i="1"/>
  <c r="O8" i="1"/>
  <c r="N8" i="1" s="1"/>
  <c r="A8" i="1"/>
  <c r="O7" i="1"/>
  <c r="N7" i="1" s="1"/>
  <c r="A7" i="1"/>
  <c r="O6" i="1"/>
  <c r="N6" i="1" s="1"/>
  <c r="A6" i="1"/>
  <c r="O5" i="1"/>
  <c r="N5" i="1" s="1"/>
  <c r="A5" i="1"/>
  <c r="O4" i="1"/>
  <c r="N4" i="1" s="1"/>
  <c r="A4" i="1"/>
  <c r="O3" i="1"/>
  <c r="N3" i="1" s="1"/>
  <c r="A3" i="1"/>
  <c r="O2" i="1"/>
  <c r="N2" i="1" s="1"/>
  <c r="A2" i="1"/>
  <c r="L58" i="1" l="1"/>
  <c r="L71" i="1"/>
  <c r="L59" i="1"/>
  <c r="L73" i="1"/>
  <c r="N73" i="1" s="1"/>
  <c r="L61" i="1"/>
  <c r="N61" i="1" s="1"/>
  <c r="L74" i="1"/>
  <c r="N74" i="1" s="1"/>
  <c r="L63" i="1"/>
  <c r="N63" i="1" s="1"/>
  <c r="L75" i="1"/>
  <c r="N75" i="1" s="1"/>
  <c r="L76" i="1"/>
  <c r="N76" i="1" s="1"/>
  <c r="L77" i="1"/>
  <c r="N77" i="1" s="1"/>
  <c r="L79" i="1"/>
  <c r="N79" i="1" s="1"/>
  <c r="N57" i="1"/>
  <c r="N65" i="1"/>
  <c r="N60" i="1"/>
  <c r="N69" i="1"/>
  <c r="N55" i="1"/>
  <c r="N59" i="1"/>
  <c r="N67" i="1"/>
  <c r="N71" i="1"/>
  <c r="N80" i="1"/>
  <c r="N58" i="1"/>
  <c r="N62" i="1"/>
  <c r="N66" i="1"/>
  <c r="N70" i="1"/>
  <c r="N78" i="1"/>
</calcChain>
</file>

<file path=xl/sharedStrings.xml><?xml version="1.0" encoding="utf-8"?>
<sst xmlns="http://schemas.openxmlformats.org/spreadsheetml/2006/main" count="856" uniqueCount="98">
  <si>
    <t>STT</t>
  </si>
  <si>
    <t>Tháng</t>
  </si>
  <si>
    <t>Tỉnh</t>
  </si>
  <si>
    <t>Nhóm CP</t>
  </si>
  <si>
    <t>Hạng mục chi</t>
  </si>
  <si>
    <t>Diễn giải chi tiết</t>
  </si>
  <si>
    <t>Tính chất chi phí</t>
  </si>
  <si>
    <t>Phân loại phương tiện/ Chức danh nhân sự</t>
  </si>
  <si>
    <t>KM hoạt động</t>
  </si>
  <si>
    <t>Ngày phát sinh chi phí</t>
  </si>
  <si>
    <t>Tổng số tiền (VNĐ)</t>
  </si>
  <si>
    <t>Số tháng khấu hao</t>
  </si>
  <si>
    <t>Chi phí khấu trừ quỹ lương tháng</t>
  </si>
  <si>
    <t>Tháng tính khấu hao cuối cùng</t>
  </si>
  <si>
    <t>Ghi chú</t>
  </si>
  <si>
    <t>CP liên quan đến khấu hao PT</t>
  </si>
  <si>
    <t>Mua xe trung chuyển</t>
  </si>
  <si>
    <t>CP mua xe mới</t>
  </si>
  <si>
    <t>Mua 1 lần, tính khấu hao hàng tháng</t>
  </si>
  <si>
    <t>Vf6</t>
  </si>
  <si>
    <t>CP mua BH</t>
  </si>
  <si>
    <t>BH vật chất và BH TNDS</t>
  </si>
  <si>
    <t>CP đăng kiểm, đường bộ</t>
  </si>
  <si>
    <t>CP đăng kiểm, bảo trì đường bộ</t>
  </si>
  <si>
    <t>Mua thiết bị lắp thêm</t>
  </si>
  <si>
    <t>Mua bộ Camera GSHT tích hợp 2 trong 1 Skybox MDVR-2C</t>
  </si>
  <si>
    <t>CP dán thảm lót sàn</t>
  </si>
  <si>
    <t>Mua sim 5G</t>
  </si>
  <si>
    <t>CP mua sắm TTB VP</t>
  </si>
  <si>
    <t>Trang thiết bị VP</t>
  </si>
  <si>
    <t>CP BD, SC trích trước</t>
  </si>
  <si>
    <t>BD, SC PT</t>
  </si>
  <si>
    <t>CP thay dầu, nhớt</t>
  </si>
  <si>
    <t>CP trích trước hàng tháng</t>
  </si>
  <si>
    <t>CP thay lốp</t>
  </si>
  <si>
    <t>CP thay ắc quy</t>
  </si>
  <si>
    <t>CP bảo dưỡng</t>
  </si>
  <si>
    <t>CP năng lượng/ nhiên liệu</t>
  </si>
  <si>
    <t>Tiền dầu</t>
  </si>
  <si>
    <t>CP phát sinh hàng tháng</t>
  </si>
  <si>
    <t>Tiền điện</t>
  </si>
  <si>
    <t>CP rửa xe</t>
  </si>
  <si>
    <t>CP quản lý khác</t>
  </si>
  <si>
    <t>CP quản lý khác</t>
  </si>
  <si>
    <t>CP điện thoại</t>
  </si>
  <si>
    <t>Đối tượng theo dõi
(BSX)</t>
  </si>
  <si>
    <t>VT</t>
  </si>
  <si>
    <t>29B19481</t>
  </si>
  <si>
    <t>29B30465</t>
  </si>
  <si>
    <t>29H02773</t>
  </si>
  <si>
    <t>30M36244</t>
  </si>
  <si>
    <t>30M36207</t>
  </si>
  <si>
    <t>30M36240</t>
  </si>
  <si>
    <t>29K01796</t>
  </si>
  <si>
    <t>Ford</t>
  </si>
  <si>
    <t>29K00192</t>
  </si>
  <si>
    <t>Mua cửa lùa</t>
  </si>
  <si>
    <t>Màn hình và camera lù</t>
  </si>
  <si>
    <t>CP độ xe Minh Tâm (bọc ghế da, quây da chân ghế, nâng cốp hàng cuối, trải sàn, dán phim cách nhiệt, rèm lọt khung ô kính)</t>
  </si>
  <si>
    <t>Chi phí cước mạng internet VP Việt trì 13 tháng từ 01/7/2025-31/7/2026</t>
  </si>
  <si>
    <t>CP điện nước</t>
  </si>
  <si>
    <t>CP thờ cúng</t>
  </si>
  <si>
    <t>0976820086 - VP Việt Trì VTHK</t>
  </si>
  <si>
    <t>Văn phòng phẩm</t>
  </si>
  <si>
    <t>Row Labels</t>
  </si>
  <si>
    <t>Grand Total</t>
  </si>
  <si>
    <t>Sum of Chi phí khấu trừ quỹ lương tháng</t>
  </si>
  <si>
    <t>THÁNG</t>
  </si>
  <si>
    <t>TỈNH</t>
  </si>
  <si>
    <t>SẢN LƯỢNG HK</t>
  </si>
  <si>
    <t>SỐ LƯỢNG PHƯƠNG TIỆN QUẢN LÝ</t>
  </si>
  <si>
    <t>Stt</t>
  </si>
  <si>
    <t>Khoản mục</t>
  </si>
  <si>
    <t xml:space="preserve">Định mức thay/trích trước </t>
  </si>
  <si>
    <t>Đơn giá 
(đồng)</t>
  </si>
  <si>
    <t>Định ngạch sử dụng (km)</t>
  </si>
  <si>
    <t>Đơn giá chi phí (đ/km)</t>
  </si>
  <si>
    <t>Solati</t>
  </si>
  <si>
    <t>Suzu</t>
  </si>
  <si>
    <t>Lốp theo xe</t>
  </si>
  <si>
    <t>Bridgestone</t>
  </si>
  <si>
    <t>Chi phí VPP</t>
  </si>
  <si>
    <t>Chi tiền mua đồ thắp hương 15/03 ÂL</t>
  </si>
  <si>
    <t>Chi tiền mua bóng đen chiếu sáng ngoài sân VP</t>
  </si>
  <si>
    <t>Chi tiền đảo lốp xe 29H02773</t>
  </si>
  <si>
    <t>Chi tiền sửa xe 29B30465</t>
  </si>
  <si>
    <t>Chi tiền mua đồ thắp hương 01/04 ÂL</t>
  </si>
  <si>
    <t>Chi tiền  vá lốp xe 30M36244</t>
  </si>
  <si>
    <t xml:space="preserve">Chi tiền mua pin lắp máy thổi nồng độ cồn, điều khiển điều hoà </t>
  </si>
  <si>
    <t>Chi tiền mua xăng đổ máy phát ngày 23/5 do mất điện</t>
  </si>
  <si>
    <t>Chi tiền nước VPVT tháng 5</t>
  </si>
  <si>
    <t>Chi tiền đổi bình nước vp</t>
  </si>
  <si>
    <t>Chi tiền thắp hương 15/04</t>
  </si>
  <si>
    <t>Chi phí rửa xe TC tháng 05/2026</t>
  </si>
  <si>
    <t>SỐ KHÁCH NỘI BỘ</t>
  </si>
  <si>
    <t>SỐ KHÁCH HUỶ</t>
  </si>
  <si>
    <t>SẢN LƯỢNG HK THỰC TẾ</t>
  </si>
  <si>
    <t>SỐ KHÁCH HĐ NGUYÊN CHUYẾN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</si>
</sst>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/yyyy"/>
    <numFmt numFmtId="165" formatCode="_(* #,##0_);_(* \(#,##0\);_(* &quot;-&quot;??_);_(@_)"/>
    <numFmt numFmtId="166" formatCode="_-* #,##0\ _₫_-;\-* #,##0\ _₫_-;_-* &quot;-&quot;??\ _₫_-;_-@_-"/>
    <numFmt numFmtId="167" formatCode="#,##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3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vertical="center"/>
    </xf>
    <xf numFmtId="165" fontId="3" fillId="0" borderId="0" xfId="1" applyNumberFormat="1" applyFont="1" applyAlignment="1">
      <alignment vertical="center" wrapText="1"/>
    </xf>
    <xf numFmtId="164" fontId="4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6" fontId="3" fillId="0" borderId="1" xfId="1" applyNumberFormat="1" applyFont="1" applyBorder="1" applyAlignment="1">
      <alignment vertical="center"/>
    </xf>
    <xf numFmtId="166" fontId="3" fillId="0" borderId="1" xfId="1" applyNumberFormat="1" applyFont="1" applyBorder="1" applyAlignment="1">
      <alignment horizontal="right" vertical="center"/>
    </xf>
    <xf numFmtId="9" fontId="3" fillId="0" borderId="1" xfId="2" applyFont="1" applyFill="1" applyBorder="1" applyAlignment="1">
      <alignment vertical="center"/>
    </xf>
    <xf numFmtId="165" fontId="3" fillId="0" borderId="1" xfId="1" applyNumberFormat="1" applyFont="1" applyBorder="1"/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4" fontId="8" fillId="0" borderId="0" xfId="0" applyNumberFormat="1" applyFont="1" applyAlignment="1">
      <alignment vertical="center"/>
    </xf>
    <xf numFmtId="167" fontId="3" fillId="0" borderId="0" xfId="0" applyNumberFormat="1" applyFont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">
    <dxf>
      <numFmt numFmtId="164" formatCode="mm/yyyy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83.575133101855" createdVersion="8" refreshedVersion="8" minRefreshableVersion="3" recordCount="121" xr:uid="{7B8368FA-085F-425C-AE1D-F089A18F8C5A}">
  <cacheSource type="worksheet">
    <worksheetSource ref="A1:P1048576" sheet="Chi tiết"/>
  </cacheSource>
  <cacheFields count="16">
    <cacheField name="STT" numFmtId="0">
      <sharedItems containsString="0" containsBlank="1" containsNumber="1" containsInteger="1" minValue="1" maxValue="118"/>
    </cacheField>
    <cacheField name="Tháng" numFmtId="0">
      <sharedItems containsNonDate="0" containsDate="1" containsString="0" containsBlank="1" minDate="2025-12-01T00:00:00" maxDate="2026-05-02T00:00:00" count="7">
        <d v="2026-05-01T00:00:00"/>
        <m/>
        <d v="2026-04-01T00:00:00" u="1"/>
        <d v="2026-03-01T00:00:00" u="1"/>
        <d v="2026-02-01T00:00:00" u="1"/>
        <d v="2026-01-01T00:00:00" u="1"/>
        <d v="2025-12-01T00:00:00" u="1"/>
      </sharedItems>
    </cacheField>
    <cacheField name="Tỉnh" numFmtId="0">
      <sharedItems containsBlank="1"/>
    </cacheField>
    <cacheField name="Nhóm CP" numFmtId="0">
      <sharedItems containsBlank="1" count="7">
        <s v="CP liên quan đến khấu hao PT"/>
        <s v="CP mua sắm TTB VP"/>
        <s v="CP BD, SC trích trước"/>
        <s v="CP năng lượng/ nhiên liệu"/>
        <s v="CP quản lý khác"/>
        <m/>
        <s v="CP vận hành khác" u="1"/>
      </sharedItems>
    </cacheField>
    <cacheField name="Hạng mục chi" numFmtId="0">
      <sharedItems containsBlank="1"/>
    </cacheField>
    <cacheField name="Diễn giải chi tiết" numFmtId="0">
      <sharedItems containsBlank="1"/>
    </cacheField>
    <cacheField name="Tính chất chi phí" numFmtId="0">
      <sharedItems containsBlank="1"/>
    </cacheField>
    <cacheField name="Đối tượng theo dõi_x000a_(BSX)" numFmtId="0">
      <sharedItems containsBlank="1"/>
    </cacheField>
    <cacheField name="Phân loại phương tiện/ Chức danh nhân sự" numFmtId="0">
      <sharedItems containsBlank="1"/>
    </cacheField>
    <cacheField name="KM hoạt động" numFmtId="0">
      <sharedItems containsString="0" containsBlank="1" containsNumber="1" minValue="750.02000000000044" maxValue="5511"/>
    </cacheField>
    <cacheField name="Ngày phát sinh chi phí" numFmtId="0">
      <sharedItems containsNonDate="0" containsDate="1" containsString="0" containsBlank="1" minDate="2024-04-26T00:00:00" maxDate="2026-06-01T00:00:00"/>
    </cacheField>
    <cacheField name="Tổng số tiền (VNĐ)" numFmtId="0">
      <sharedItems containsString="0" containsBlank="1" containsNumber="1" minValue="13875.370000000008" maxValue="785000000"/>
    </cacheField>
    <cacheField name="Số tháng khấu hao" numFmtId="0">
      <sharedItems containsString="0" containsBlank="1" containsNumber="1" containsInteger="1" minValue="1" maxValue="60"/>
    </cacheField>
    <cacheField name="Chi phí khấu trừ quỹ lương tháng" numFmtId="0">
      <sharedItems containsBlank="1" containsMixedTypes="1" containsNumber="1" minValue="0" maxValue="13083333.333333334"/>
    </cacheField>
    <cacheField name="Tháng tính khấu hao cuối cùng" numFmtId="0">
      <sharedItems containsNonDate="0" containsDate="1" containsString="0" containsBlank="1" minDate="2026-02-13T00:00:00" maxDate="2030-06-17T00:00:00"/>
    </cacheField>
    <cacheField name="Ghi chú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1"/>
    <x v="0"/>
    <s v="VT"/>
    <x v="0"/>
    <s v="Mua xe trung chuyển"/>
    <s v="CP mua xe mới"/>
    <s v="Mua 1 lần, tính khấu hao hàng tháng"/>
    <s v="29B19481"/>
    <s v="Vf6"/>
    <m/>
    <d v="2025-03-06T00:00:00"/>
    <n v="785000000"/>
    <n v="60"/>
    <n v="13083333.333333334"/>
    <d v="2030-02-06T00:00:00"/>
    <m/>
  </r>
  <r>
    <n v="2"/>
    <x v="0"/>
    <s v="VT"/>
    <x v="0"/>
    <s v="Mua xe trung chuyển"/>
    <s v="CP mua xe mới"/>
    <s v="Mua 1 lần, tính khấu hao hàng tháng"/>
    <s v="29B30465"/>
    <s v="Vf6"/>
    <m/>
    <d v="2025-03-06T00:00:00"/>
    <n v="785000000"/>
    <n v="60"/>
    <n v="13083333.333333334"/>
    <d v="2030-02-06T00:00:00"/>
    <m/>
  </r>
  <r>
    <n v="3"/>
    <x v="0"/>
    <s v="VT"/>
    <x v="0"/>
    <s v="Mua xe trung chuyển"/>
    <s v="CP mua xe mới"/>
    <s v="Mua 1 lần, tính khấu hao hàng tháng"/>
    <s v="29H02773"/>
    <s v="Vf6"/>
    <m/>
    <d v="2025-03-06T00:00:00"/>
    <n v="785000000"/>
    <n v="60"/>
    <n v="13083333.333333334"/>
    <d v="2030-02-06T00:00:00"/>
    <m/>
  </r>
  <r>
    <n v="4"/>
    <x v="0"/>
    <s v="VT"/>
    <x v="0"/>
    <s v="Mua xe trung chuyển"/>
    <s v="CP mua xe mới"/>
    <s v="Mua 1 lần, tính khấu hao hàng tháng"/>
    <s v="30M36244"/>
    <s v="Vf6"/>
    <m/>
    <d v="2025-07-16T00:00:00"/>
    <n v="681240000"/>
    <n v="60"/>
    <n v="11354000"/>
    <d v="2030-06-16T00:00:00"/>
    <m/>
  </r>
  <r>
    <n v="5"/>
    <x v="0"/>
    <s v="VT"/>
    <x v="0"/>
    <s v="Mua xe trung chuyển"/>
    <s v="CP mua xe mới"/>
    <s v="Mua 1 lần, tính khấu hao hàng tháng"/>
    <s v="30M36207"/>
    <s v="Vf6"/>
    <m/>
    <d v="2025-07-16T00:00:00"/>
    <n v="681240000"/>
    <n v="60"/>
    <n v="11354000"/>
    <d v="2030-06-16T00:00:00"/>
    <m/>
  </r>
  <r>
    <n v="6"/>
    <x v="0"/>
    <s v="VT"/>
    <x v="0"/>
    <s v="Mua xe trung chuyển"/>
    <s v="CP mua xe mới"/>
    <s v="Mua 1 lần, tính khấu hao hàng tháng"/>
    <s v="30M36240"/>
    <s v="Vf6"/>
    <m/>
    <d v="2025-07-16T00:00:00"/>
    <n v="681240000"/>
    <n v="60"/>
    <n v="11354000"/>
    <d v="2030-06-16T00:00:00"/>
    <m/>
  </r>
  <r>
    <n v="7"/>
    <x v="0"/>
    <s v="VT"/>
    <x v="0"/>
    <s v="Mua xe trung chuyển"/>
    <s v="CP mua xe mới"/>
    <s v="Mua 1 lần, tính khấu hao hàng tháng"/>
    <s v="29K01796"/>
    <s v="Ford"/>
    <m/>
    <d v="2024-06-20T00:00:00"/>
    <n v="775807999.99999797"/>
    <n v="60"/>
    <n v="12930133.3333333"/>
    <d v="2029-05-20T00:00:00"/>
    <m/>
  </r>
  <r>
    <n v="8"/>
    <x v="0"/>
    <s v="VT"/>
    <x v="0"/>
    <s v="Mua xe trung chuyển"/>
    <s v="CP mua xe mới"/>
    <s v="Mua 1 lần, tính khấu hao hàng tháng"/>
    <s v="29K00192"/>
    <s v="Ford"/>
    <m/>
    <d v="2024-04-26T00:00:00"/>
    <n v="775807999.99999797"/>
    <n v="60"/>
    <n v="12930133.3333333"/>
    <d v="2029-03-26T00:00:00"/>
    <m/>
  </r>
  <r>
    <n v="9"/>
    <x v="0"/>
    <s v="VT"/>
    <x v="0"/>
    <s v="CP mua BH"/>
    <s v="BH vật chất và BH TNDS"/>
    <s v="Mua 1 lần, tính khấu hao hàng tháng"/>
    <s v="29B19481"/>
    <s v="Vf6"/>
    <m/>
    <d v="2026-02-28T00:00:00"/>
    <n v="7365700"/>
    <n v="12"/>
    <n v="613808.33333333337"/>
    <d v="2027-01-28T00:00:00"/>
    <m/>
  </r>
  <r>
    <n v="10"/>
    <x v="0"/>
    <s v="VT"/>
    <x v="0"/>
    <s v="CP mua BH"/>
    <s v="BH vật chất và BH TNDS"/>
    <s v="Mua 1 lần, tính khấu hao hàng tháng"/>
    <s v="29B30465"/>
    <s v="Vf6"/>
    <m/>
    <d v="2026-03-01T00:00:00"/>
    <n v="7365700"/>
    <n v="12"/>
    <n v="613808.33333333337"/>
    <d v="2027-02-01T00:00:00"/>
    <m/>
  </r>
  <r>
    <n v="11"/>
    <x v="0"/>
    <s v="VT"/>
    <x v="0"/>
    <s v="CP mua BH"/>
    <s v="BH vật chất và BH TNDS"/>
    <s v="Mua 1 lần, tính khấu hao hàng tháng"/>
    <s v="29H02773"/>
    <s v="Vf6"/>
    <m/>
    <d v="2026-02-28T00:00:00"/>
    <n v="7365700"/>
    <n v="12"/>
    <n v="613808.33333333337"/>
    <d v="2027-01-28T00:00:00"/>
    <m/>
  </r>
  <r>
    <n v="12"/>
    <x v="0"/>
    <s v="VT"/>
    <x v="0"/>
    <s v="CP mua BH"/>
    <s v="BH vật chất và BH TNDS"/>
    <s v="Mua 1 lần, tính khấu hao hàng tháng"/>
    <s v="30M36244"/>
    <s v="Vf6"/>
    <m/>
    <d v="2025-08-01T00:00:00"/>
    <n v="7365700"/>
    <n v="12"/>
    <n v="613808.33333333337"/>
    <d v="2026-07-01T00:00:00"/>
    <m/>
  </r>
  <r>
    <n v="13"/>
    <x v="0"/>
    <s v="VT"/>
    <x v="0"/>
    <s v="CP mua BH"/>
    <s v="BH vật chất và BH TNDS"/>
    <s v="Mua 1 lần, tính khấu hao hàng tháng"/>
    <s v="30M36207"/>
    <s v="Vf6"/>
    <m/>
    <d v="2025-08-01T00:00:00"/>
    <n v="7365700"/>
    <n v="12"/>
    <n v="613808.33333333337"/>
    <d v="2026-07-01T00:00:00"/>
    <m/>
  </r>
  <r>
    <n v="14"/>
    <x v="0"/>
    <s v="VT"/>
    <x v="0"/>
    <s v="CP mua BH"/>
    <s v="BH vật chất và BH TNDS"/>
    <s v="Mua 1 lần, tính khấu hao hàng tháng"/>
    <s v="30M36240"/>
    <s v="Vf6"/>
    <m/>
    <d v="2025-08-01T00:00:00"/>
    <n v="7365700"/>
    <n v="12"/>
    <n v="613808.33333333337"/>
    <d v="2026-07-01T00:00:00"/>
    <m/>
  </r>
  <r>
    <n v="15"/>
    <x v="0"/>
    <s v="VT"/>
    <x v="0"/>
    <s v="CP mua BH"/>
    <s v="BH vật chất và BH TNDS"/>
    <s v="Mua 1 lần, tính khấu hao hàng tháng"/>
    <s v="29K01796"/>
    <s v="Ford"/>
    <m/>
    <d v="2025-06-21T00:00:00"/>
    <n v="5372500"/>
    <n v="12"/>
    <n v="447708.33333333331"/>
    <d v="2026-05-21T00:00:00"/>
    <m/>
  </r>
  <r>
    <n v="16"/>
    <x v="0"/>
    <s v="VT"/>
    <x v="0"/>
    <s v="CP mua BH"/>
    <s v="BH vật chất và BH TNDS"/>
    <s v="Mua 1 lần, tính khấu hao hàng tháng"/>
    <s v="29K00192"/>
    <s v="Ford"/>
    <m/>
    <d v="2025-04-25T00:00:00"/>
    <n v="5372500"/>
    <n v="12"/>
    <s v=""/>
    <d v="2026-03-25T00:00:00"/>
    <m/>
  </r>
  <r>
    <n v="17"/>
    <x v="0"/>
    <s v="VT"/>
    <x v="0"/>
    <s v="CP đăng kiểm, đường bộ"/>
    <s v="CP đăng kiểm, bảo trì đường bộ"/>
    <s v="Mua 1 lần, tính khấu hao hàng tháng"/>
    <s v="29B19481"/>
    <s v="Vf6"/>
    <m/>
    <d v="2026-02-28T00:00:00"/>
    <n v="2160000"/>
    <n v="12"/>
    <n v="180000"/>
    <d v="2027-01-28T00:00:00"/>
    <m/>
  </r>
  <r>
    <n v="18"/>
    <x v="0"/>
    <s v="VT"/>
    <x v="0"/>
    <s v="CP đăng kiểm, đường bộ"/>
    <s v="CP đăng kiểm, bảo trì đường bộ"/>
    <s v="Mua 1 lần, tính khấu hao hàng tháng"/>
    <s v="29B30465"/>
    <s v="Vf6"/>
    <m/>
    <d v="2026-03-01T00:00:00"/>
    <n v="2160000"/>
    <n v="12"/>
    <n v="180000"/>
    <d v="2027-02-01T00:00:00"/>
    <m/>
  </r>
  <r>
    <n v="19"/>
    <x v="0"/>
    <s v="VT"/>
    <x v="0"/>
    <s v="CP đăng kiểm, đường bộ"/>
    <s v="CP đăng kiểm, bảo trì đường bộ"/>
    <s v="Mua 1 lần, tính khấu hao hàng tháng"/>
    <s v="29H02773"/>
    <s v="Vf6"/>
    <m/>
    <d v="2026-02-28T00:00:00"/>
    <n v="2160000"/>
    <n v="12"/>
    <n v="180000"/>
    <d v="2027-01-28T00:00:00"/>
    <m/>
  </r>
  <r>
    <n v="20"/>
    <x v="0"/>
    <s v="VT"/>
    <x v="0"/>
    <s v="CP đăng kiểm, đường bộ"/>
    <s v="CP đăng kiểm, bảo trì đường bộ"/>
    <s v="Mua 1 lần, tính khấu hao hàng tháng"/>
    <s v="30M36244"/>
    <s v="Vf6"/>
    <m/>
    <d v="2025-08-01T00:00:00"/>
    <n v="2160000"/>
    <n v="12"/>
    <n v="180000"/>
    <d v="2026-07-01T00:00:00"/>
    <m/>
  </r>
  <r>
    <n v="21"/>
    <x v="0"/>
    <s v="VT"/>
    <x v="0"/>
    <s v="CP đăng kiểm, đường bộ"/>
    <s v="CP đăng kiểm, bảo trì đường bộ"/>
    <s v="Mua 1 lần, tính khấu hao hàng tháng"/>
    <s v="30M36207"/>
    <s v="Vf6"/>
    <m/>
    <d v="2025-08-01T00:00:00"/>
    <n v="2160000"/>
    <n v="12"/>
    <n v="180000"/>
    <d v="2026-07-01T00:00:00"/>
    <m/>
  </r>
  <r>
    <n v="22"/>
    <x v="0"/>
    <s v="VT"/>
    <x v="0"/>
    <s v="CP đăng kiểm, đường bộ"/>
    <s v="CP đăng kiểm, bảo trì đường bộ"/>
    <s v="Mua 1 lần, tính khấu hao hàng tháng"/>
    <s v="30M36240"/>
    <s v="Vf6"/>
    <m/>
    <d v="2025-08-01T00:00:00"/>
    <n v="2160000"/>
    <n v="12"/>
    <n v="180000"/>
    <d v="2026-07-01T00:00:00"/>
    <m/>
  </r>
  <r>
    <n v="23"/>
    <x v="0"/>
    <s v="VT"/>
    <x v="0"/>
    <s v="CP đăng kiểm, đường bộ"/>
    <s v="CP đăng kiểm, bảo trì đường bộ"/>
    <s v="Mua 1 lần, tính khấu hao hàng tháng"/>
    <s v="29K01796"/>
    <s v="Ford"/>
    <m/>
    <d v="2025-06-21T00:00:00"/>
    <n v="4330000"/>
    <n v="12"/>
    <n v="360833.33333333331"/>
    <d v="2026-05-21T00:00:00"/>
    <m/>
  </r>
  <r>
    <n v="24"/>
    <x v="0"/>
    <s v="VT"/>
    <x v="0"/>
    <s v="CP đăng kiểm, đường bộ"/>
    <s v="CP đăng kiểm, bảo trì đường bộ"/>
    <s v="Mua 1 lần, tính khấu hao hàng tháng"/>
    <s v="29K00192"/>
    <s v="Ford"/>
    <m/>
    <d v="2025-04-25T00:00:00"/>
    <n v="4330000"/>
    <n v="12"/>
    <s v=""/>
    <d v="2026-03-25T00:00:00"/>
    <m/>
  </r>
  <r>
    <n v="25"/>
    <x v="0"/>
    <s v="VT"/>
    <x v="0"/>
    <s v="Mua thiết bị lắp thêm"/>
    <s v="Mua cửa lùa"/>
    <s v="Mua 1 lần, tính khấu hao hàng tháng"/>
    <s v="29K01796"/>
    <s v="Ford"/>
    <m/>
    <d v="2024-06-28T00:00:00"/>
    <n v="12800000"/>
    <n v="24"/>
    <n v="533333.33333333337"/>
    <d v="2026-05-28T00:00:00"/>
    <m/>
  </r>
  <r>
    <n v="26"/>
    <x v="0"/>
    <s v="VT"/>
    <x v="0"/>
    <s v="Mua thiết bị lắp thêm"/>
    <s v="Mua cửa lùa"/>
    <s v="Mua 1 lần, tính khấu hao hàng tháng"/>
    <s v="29K00192"/>
    <s v="Ford"/>
    <m/>
    <d v="2024-06-28T00:00:00"/>
    <n v="12800000"/>
    <n v="24"/>
    <n v="533333.33333333337"/>
    <d v="2026-05-28T00:00:00"/>
    <m/>
  </r>
  <r>
    <n v="27"/>
    <x v="0"/>
    <s v="VT"/>
    <x v="0"/>
    <s v="Mua thiết bị lắp thêm"/>
    <s v="Màn hình và camera lù"/>
    <s v="Mua 1 lần, tính khấu hao hàng tháng"/>
    <s v="29K01796"/>
    <s v="Ford"/>
    <m/>
    <d v="2024-06-28T00:00:00"/>
    <n v="4350000"/>
    <n v="24"/>
    <n v="181250"/>
    <d v="2026-05-28T00:00:00"/>
    <m/>
  </r>
  <r>
    <n v="28"/>
    <x v="0"/>
    <s v="VT"/>
    <x v="0"/>
    <s v="Mua thiết bị lắp thêm"/>
    <s v="Màn hình và camera lù"/>
    <s v="Mua 1 lần, tính khấu hao hàng tháng"/>
    <s v="29K00192"/>
    <s v="Ford"/>
    <m/>
    <d v="2024-06-28T00:00:00"/>
    <n v="4350000"/>
    <n v="24"/>
    <n v="181250"/>
    <d v="2026-05-28T00:00:00"/>
    <m/>
  </r>
  <r>
    <n v="29"/>
    <x v="0"/>
    <s v="VT"/>
    <x v="0"/>
    <s v="Mua thiết bị lắp thêm"/>
    <s v="CP độ xe Minh Tâm (bọc ghế da, quây da chân ghế, nâng cốp hàng cuối, trải sàn, dán phim cách nhiệt, rèm lọt khung ô kính)"/>
    <s v="Mua 1 lần, tính khấu hao hàng tháng"/>
    <s v="29K01796"/>
    <s v="Ford"/>
    <m/>
    <d v="2024-08-26T00:00:00"/>
    <n v="27000000"/>
    <n v="24"/>
    <n v="1125000"/>
    <d v="2026-07-26T00:00:00"/>
    <m/>
  </r>
  <r>
    <n v="30"/>
    <x v="0"/>
    <s v="VT"/>
    <x v="0"/>
    <s v="Mua thiết bị lắp thêm"/>
    <s v="CP độ xe Minh Tâm (bọc ghế da, quây da chân ghế, nâng cốp hàng cuối, trải sàn, dán phim cách nhiệt, rèm lọt khung ô kính)"/>
    <s v="Mua 1 lần, tính khấu hao hàng tháng"/>
    <s v="29K00192"/>
    <s v="Ford"/>
    <m/>
    <d v="2024-08-26T00:00:00"/>
    <n v="27000000"/>
    <n v="24"/>
    <n v="1125000"/>
    <d v="2026-07-26T00:00:00"/>
    <m/>
  </r>
  <r>
    <n v="31"/>
    <x v="0"/>
    <s v="VT"/>
    <x v="0"/>
    <s v="Mua thiết bị lắp thêm"/>
    <s v="Mua bộ Camera GSHT tích hợp 2 trong 1 Skybox MDVR-2C"/>
    <s v="Mua 1 lần, tính khấu hao hàng tháng"/>
    <s v="29B19481"/>
    <s v="Vf6"/>
    <m/>
    <d v="2024-12-27T00:00:00"/>
    <n v="5200000"/>
    <n v="24"/>
    <n v="216666.66666666666"/>
    <d v="2026-11-27T00:00:00"/>
    <m/>
  </r>
  <r>
    <n v="32"/>
    <x v="0"/>
    <s v="VT"/>
    <x v="0"/>
    <s v="Mua thiết bị lắp thêm"/>
    <s v="Mua bộ Camera GSHT tích hợp 2 trong 1 Skybox MDVR-2C"/>
    <s v="Mua 1 lần, tính khấu hao hàng tháng"/>
    <s v="29B30465"/>
    <s v="Vf6"/>
    <m/>
    <d v="2024-12-27T00:00:00"/>
    <n v="5200000"/>
    <n v="24"/>
    <n v="216666.66666666666"/>
    <d v="2026-11-27T00:00:00"/>
    <m/>
  </r>
  <r>
    <n v="33"/>
    <x v="0"/>
    <s v="VT"/>
    <x v="0"/>
    <s v="Mua thiết bị lắp thêm"/>
    <s v="Mua bộ Camera GSHT tích hợp 2 trong 1 Skybox MDVR-2C"/>
    <s v="Mua 1 lần, tính khấu hao hàng tháng"/>
    <s v="29H02773"/>
    <s v="Vf6"/>
    <m/>
    <d v="2024-12-27T00:00:00"/>
    <n v="5200000"/>
    <n v="24"/>
    <n v="216666.66666666666"/>
    <d v="2026-11-27T00:00:00"/>
    <m/>
  </r>
  <r>
    <n v="34"/>
    <x v="0"/>
    <s v="VT"/>
    <x v="0"/>
    <s v="Mua thiết bị lắp thêm"/>
    <s v="Mua bộ Camera GSHT tích hợp 2 trong 1 Skybox MDVR-2C"/>
    <s v="Mua 1 lần, tính khấu hao hàng tháng"/>
    <s v="30M36244"/>
    <s v="Vf6"/>
    <m/>
    <d v="2025-07-16T00:00:00"/>
    <n v="5200000"/>
    <n v="24"/>
    <n v="216666.66666666666"/>
    <d v="2027-06-16T00:00:00"/>
    <m/>
  </r>
  <r>
    <n v="35"/>
    <x v="0"/>
    <s v="VT"/>
    <x v="0"/>
    <s v="Mua thiết bị lắp thêm"/>
    <s v="Mua bộ Camera GSHT tích hợp 2 trong 1 Skybox MDVR-2C"/>
    <s v="Mua 1 lần, tính khấu hao hàng tháng"/>
    <s v="30M36207"/>
    <s v="Vf6"/>
    <m/>
    <d v="2025-07-16T00:00:00"/>
    <n v="5200000"/>
    <n v="24"/>
    <n v="216666.66666666666"/>
    <d v="2027-06-16T00:00:00"/>
    <m/>
  </r>
  <r>
    <n v="36"/>
    <x v="0"/>
    <s v="VT"/>
    <x v="0"/>
    <s v="Mua thiết bị lắp thêm"/>
    <s v="Mua bộ Camera GSHT tích hợp 2 trong 1 Skybox MDVR-2C"/>
    <s v="Mua 1 lần, tính khấu hao hàng tháng"/>
    <s v="30M36240"/>
    <s v="Vf6"/>
    <m/>
    <d v="2025-07-16T00:00:00"/>
    <n v="5200000"/>
    <n v="24"/>
    <n v="216666.66666666666"/>
    <d v="2027-06-16T00:00:00"/>
    <m/>
  </r>
  <r>
    <n v="37"/>
    <x v="0"/>
    <s v="VT"/>
    <x v="0"/>
    <s v="Mua thiết bị lắp thêm"/>
    <s v="Mua bộ Camera GSHT tích hợp 2 trong 1 Skybox MDVR-2C"/>
    <s v="Mua 1 lần, tính khấu hao hàng tháng"/>
    <s v="29K01796"/>
    <s v="Ford"/>
    <m/>
    <d v="2024-08-26T00:00:00"/>
    <n v="5200000"/>
    <n v="24"/>
    <n v="216666.66666666666"/>
    <d v="2026-07-26T00:00:00"/>
    <m/>
  </r>
  <r>
    <n v="38"/>
    <x v="0"/>
    <s v="VT"/>
    <x v="0"/>
    <s v="Mua thiết bị lắp thêm"/>
    <s v="Mua bộ Camera GSHT tích hợp 2 trong 1 Skybox MDVR-2C"/>
    <s v="Mua 1 lần, tính khấu hao hàng tháng"/>
    <s v="29K00192"/>
    <s v="Ford"/>
    <m/>
    <d v="2024-04-26T00:00:00"/>
    <n v="5200000"/>
    <n v="24"/>
    <s v=""/>
    <d v="2026-03-26T00:00:00"/>
    <m/>
  </r>
  <r>
    <n v="39"/>
    <x v="0"/>
    <s v="VT"/>
    <x v="0"/>
    <s v="Mua thiết bị lắp thêm"/>
    <s v="CP dán thảm lót sàn"/>
    <s v="Mua 1 lần, tính khấu hao hàng tháng"/>
    <s v="29B19481"/>
    <s v="Vf6"/>
    <m/>
    <d v="2025-03-13T00:00:00"/>
    <n v="1365000"/>
    <n v="12"/>
    <s v=""/>
    <d v="2026-02-13T00:00:00"/>
    <m/>
  </r>
  <r>
    <n v="40"/>
    <x v="0"/>
    <s v="VT"/>
    <x v="0"/>
    <s v="Mua thiết bị lắp thêm"/>
    <s v="CP dán thảm lót sàn"/>
    <s v="Mua 1 lần, tính khấu hao hàng tháng"/>
    <s v="29B30465"/>
    <s v="Vf6"/>
    <m/>
    <d v="2025-03-13T00:00:00"/>
    <n v="1365000"/>
    <n v="12"/>
    <s v=""/>
    <d v="2026-02-13T00:00:00"/>
    <m/>
  </r>
  <r>
    <n v="41"/>
    <x v="0"/>
    <s v="VT"/>
    <x v="0"/>
    <s v="Mua thiết bị lắp thêm"/>
    <s v="CP dán thảm lót sàn"/>
    <s v="Mua 1 lần, tính khấu hao hàng tháng"/>
    <s v="29H02773"/>
    <s v="Vf6"/>
    <m/>
    <d v="2025-03-13T00:00:00"/>
    <n v="1365000"/>
    <n v="12"/>
    <s v=""/>
    <d v="2026-02-13T00:00:00"/>
    <m/>
  </r>
  <r>
    <n v="42"/>
    <x v="0"/>
    <s v="VT"/>
    <x v="0"/>
    <s v="Mua thiết bị lắp thêm"/>
    <s v="CP dán thảm lót sàn"/>
    <s v="Mua 1 lần, tính khấu hao hàng tháng"/>
    <s v="30M36244"/>
    <s v="Vf6"/>
    <m/>
    <d v="2025-08-01T00:00:00"/>
    <n v="1365000"/>
    <n v="12"/>
    <n v="113750"/>
    <d v="2026-07-01T00:00:00"/>
    <m/>
  </r>
  <r>
    <n v="43"/>
    <x v="0"/>
    <s v="VT"/>
    <x v="0"/>
    <s v="Mua thiết bị lắp thêm"/>
    <s v="CP dán thảm lót sàn"/>
    <s v="Mua 1 lần, tính khấu hao hàng tháng"/>
    <s v="30M36207"/>
    <s v="Vf6"/>
    <m/>
    <d v="2025-08-01T00:00:00"/>
    <n v="1365000"/>
    <n v="12"/>
    <n v="113750"/>
    <d v="2026-07-01T00:00:00"/>
    <m/>
  </r>
  <r>
    <n v="44"/>
    <x v="0"/>
    <s v="VT"/>
    <x v="0"/>
    <s v="Mua thiết bị lắp thêm"/>
    <s v="CP dán thảm lót sàn"/>
    <s v="Mua 1 lần, tính khấu hao hàng tháng"/>
    <s v="30M36240"/>
    <s v="Vf6"/>
    <m/>
    <d v="2025-08-01T00:00:00"/>
    <n v="1365000"/>
    <n v="12"/>
    <n v="113750"/>
    <d v="2026-07-01T00:00:00"/>
    <m/>
  </r>
  <r>
    <n v="45"/>
    <x v="0"/>
    <s v="VT"/>
    <x v="0"/>
    <s v="Mua thiết bị lắp thêm"/>
    <s v="Mua sim 5G"/>
    <s v="Mua 1 lần, tính khấu hao hàng tháng"/>
    <s v="29B19481"/>
    <s v="Vf6"/>
    <m/>
    <d v="2025-12-27T00:00:00"/>
    <n v="700000"/>
    <n v="12"/>
    <n v="58333.333333333336"/>
    <d v="2026-11-27T00:00:00"/>
    <m/>
  </r>
  <r>
    <n v="46"/>
    <x v="0"/>
    <s v="VT"/>
    <x v="0"/>
    <s v="Mua thiết bị lắp thêm"/>
    <s v="Mua sim 5G"/>
    <s v="Mua 1 lần, tính khấu hao hàng tháng"/>
    <s v="29B30465"/>
    <s v="Vf6"/>
    <m/>
    <d v="2025-12-27T00:00:00"/>
    <n v="700000"/>
    <n v="12"/>
    <n v="58333.333333333336"/>
    <d v="2026-11-27T00:00:00"/>
    <m/>
  </r>
  <r>
    <n v="47"/>
    <x v="0"/>
    <s v="VT"/>
    <x v="0"/>
    <s v="Mua thiết bị lắp thêm"/>
    <s v="Mua sim 5G"/>
    <s v="Mua 1 lần, tính khấu hao hàng tháng"/>
    <s v="29H02773"/>
    <s v="Vf6"/>
    <m/>
    <d v="2025-12-27T00:00:00"/>
    <n v="700000"/>
    <n v="12"/>
    <n v="58333.333333333336"/>
    <d v="2026-11-27T00:00:00"/>
    <m/>
  </r>
  <r>
    <n v="48"/>
    <x v="0"/>
    <s v="VT"/>
    <x v="0"/>
    <s v="Mua thiết bị lắp thêm"/>
    <s v="Mua sim 5G"/>
    <s v="Mua 1 lần, tính khấu hao hàng tháng"/>
    <s v="30M36244"/>
    <s v="Vf6"/>
    <m/>
    <d v="2025-07-16T00:00:00"/>
    <n v="700000"/>
    <n v="12"/>
    <n v="58333.333333333336"/>
    <d v="2026-06-16T00:00:00"/>
    <m/>
  </r>
  <r>
    <n v="49"/>
    <x v="0"/>
    <s v="VT"/>
    <x v="0"/>
    <s v="Mua thiết bị lắp thêm"/>
    <s v="Mua sim 5G"/>
    <s v="Mua 1 lần, tính khấu hao hàng tháng"/>
    <s v="30M36207"/>
    <s v="Vf6"/>
    <m/>
    <d v="2025-07-16T00:00:00"/>
    <n v="700000"/>
    <n v="12"/>
    <n v="58333.333333333336"/>
    <d v="2026-06-16T00:00:00"/>
    <m/>
  </r>
  <r>
    <n v="50"/>
    <x v="0"/>
    <s v="VT"/>
    <x v="0"/>
    <s v="Mua thiết bị lắp thêm"/>
    <s v="Mua sim 5G"/>
    <s v="Mua 1 lần, tính khấu hao hàng tháng"/>
    <s v="30M36240"/>
    <s v="Vf6"/>
    <m/>
    <d v="2025-07-16T00:00:00"/>
    <n v="700000"/>
    <n v="12"/>
    <n v="58333.333333333336"/>
    <d v="2026-06-16T00:00:00"/>
    <m/>
  </r>
  <r>
    <n v="51"/>
    <x v="0"/>
    <s v="VT"/>
    <x v="0"/>
    <s v="Mua thiết bị lắp thêm"/>
    <s v="Mua sim 5G"/>
    <s v="Mua 1 lần, tính khấu hao hàng tháng"/>
    <s v="29K01796"/>
    <s v="Ford"/>
    <m/>
    <d v="2025-08-26T00:00:00"/>
    <n v="700000"/>
    <n v="12"/>
    <n v="58333.333333333336"/>
    <d v="2026-07-26T00:00:00"/>
    <m/>
  </r>
  <r>
    <n v="52"/>
    <x v="0"/>
    <s v="VT"/>
    <x v="0"/>
    <s v="Mua thiết bị lắp thêm"/>
    <s v="Mua sim 5G"/>
    <s v="Mua 1 lần, tính khấu hao hàng tháng"/>
    <s v="29K00192"/>
    <s v="Ford"/>
    <m/>
    <d v="2025-04-26T00:00:00"/>
    <n v="700000"/>
    <n v="12"/>
    <s v=""/>
    <d v="2026-03-26T00:00:00"/>
    <m/>
  </r>
  <r>
    <n v="53"/>
    <x v="0"/>
    <s v="VT"/>
    <x v="1"/>
    <s v="Trang thiết bị VP"/>
    <s v="Chi phí cước mạng internet VP Việt trì 13 tháng từ 01/7/2025-31/7/2026"/>
    <s v="Mua 1 lần, tính khấu hao hàng tháng"/>
    <m/>
    <m/>
    <m/>
    <d v="2025-07-01T00:00:00"/>
    <n v="276923.07692307694"/>
    <n v="13"/>
    <n v="21301.775147928995"/>
    <d v="2026-07-01T00:00:00"/>
    <m/>
  </r>
  <r>
    <n v="54"/>
    <x v="0"/>
    <s v="VT"/>
    <x v="2"/>
    <s v="BD, SC PT"/>
    <s v="CP thay dầu, nhớt"/>
    <s v="CP trích trước hàng tháng"/>
    <s v="29K01796"/>
    <s v="Ford"/>
    <n v="3036"/>
    <d v="2026-05-01T00:00:00"/>
    <n v="389367"/>
    <n v="1"/>
    <n v="389367"/>
    <d v="2026-05-01T00:00:00"/>
    <m/>
  </r>
  <r>
    <n v="55"/>
    <x v="0"/>
    <s v="VT"/>
    <x v="2"/>
    <s v="BD, SC PT"/>
    <s v="CP thay dầu, nhớt"/>
    <s v="CP trích trước hàng tháng"/>
    <s v="29K00192"/>
    <s v="Ford"/>
    <n v="2528"/>
    <d v="2026-05-01T00:00:00"/>
    <n v="324216"/>
    <n v="1"/>
    <n v="324216"/>
    <d v="2026-05-01T00:00:00"/>
    <m/>
  </r>
  <r>
    <n v="56"/>
    <x v="0"/>
    <s v="VT"/>
    <x v="2"/>
    <s v="BD, SC PT"/>
    <s v="CP thay lốp"/>
    <s v="CP trích trước hàng tháng"/>
    <s v="29B19481"/>
    <s v="Vf6"/>
    <n v="4312"/>
    <d v="2026-05-01T00:00:00"/>
    <n v="776160"/>
    <n v="1"/>
    <n v="776160"/>
    <d v="2026-05-01T00:00:00"/>
    <m/>
  </r>
  <r>
    <n v="57"/>
    <x v="0"/>
    <s v="VT"/>
    <x v="2"/>
    <s v="BD, SC PT"/>
    <s v="CP thay lốp"/>
    <s v="CP trích trước hàng tháng"/>
    <s v="29B30465"/>
    <s v="Vf6"/>
    <n v="5142"/>
    <d v="2026-05-01T00:00:00"/>
    <n v="925560"/>
    <n v="1"/>
    <n v="925560"/>
    <d v="2026-05-01T00:00:00"/>
    <m/>
  </r>
  <r>
    <n v="58"/>
    <x v="0"/>
    <s v="VT"/>
    <x v="2"/>
    <s v="BD, SC PT"/>
    <s v="CP thay lốp"/>
    <s v="CP trích trước hàng tháng"/>
    <s v="29H02773"/>
    <s v="Vf6"/>
    <n v="4990"/>
    <d v="2026-05-01T00:00:00"/>
    <n v="898200"/>
    <n v="1"/>
    <n v="898200"/>
    <d v="2026-05-01T00:00:00"/>
    <m/>
  </r>
  <r>
    <n v="59"/>
    <x v="0"/>
    <s v="VT"/>
    <x v="2"/>
    <s v="BD, SC PT"/>
    <s v="CP thay lốp"/>
    <s v="CP trích trước hàng tháng"/>
    <s v="30M36244"/>
    <s v="Vf6"/>
    <n v="5511"/>
    <d v="2026-05-01T00:00:00"/>
    <n v="991980"/>
    <n v="1"/>
    <n v="991980"/>
    <d v="2026-05-01T00:00:00"/>
    <m/>
  </r>
  <r>
    <n v="60"/>
    <x v="0"/>
    <s v="VT"/>
    <x v="2"/>
    <s v="BD, SC PT"/>
    <s v="CP thay lốp"/>
    <s v="CP trích trước hàng tháng"/>
    <s v="30M36207"/>
    <s v="Vf6"/>
    <n v="750.02000000000044"/>
    <d v="2026-05-01T00:00:00"/>
    <n v="135003.60000000009"/>
    <n v="1"/>
    <n v="135003.60000000009"/>
    <d v="2026-05-01T00:00:00"/>
    <m/>
  </r>
  <r>
    <n v="61"/>
    <x v="0"/>
    <s v="VT"/>
    <x v="2"/>
    <s v="BD, SC PT"/>
    <s v="CP thay lốp"/>
    <s v="CP trích trước hàng tháng"/>
    <s v="30M36240"/>
    <s v="Vf6"/>
    <n v="5356"/>
    <d v="2026-05-01T00:00:00"/>
    <n v="964080"/>
    <n v="1"/>
    <n v="964080"/>
    <d v="2026-05-01T00:00:00"/>
    <m/>
  </r>
  <r>
    <n v="62"/>
    <x v="0"/>
    <s v="VT"/>
    <x v="2"/>
    <s v="BD, SC PT"/>
    <s v="CP thay lốp"/>
    <s v="CP trích trước hàng tháng"/>
    <s v="29K01796"/>
    <s v="Ford"/>
    <n v="3036"/>
    <d v="2026-05-01T00:00:00"/>
    <n v="319994.40000000002"/>
    <n v="1"/>
    <n v="319994.40000000002"/>
    <d v="2026-05-01T00:00:00"/>
    <m/>
  </r>
  <r>
    <n v="63"/>
    <x v="0"/>
    <s v="VT"/>
    <x v="2"/>
    <s v="BD, SC PT"/>
    <s v="CP thay lốp"/>
    <s v="CP trích trước hàng tháng"/>
    <s v="29K00192"/>
    <s v="Ford"/>
    <n v="2528"/>
    <d v="2026-05-01T00:00:00"/>
    <n v="266451.20000000001"/>
    <n v="1"/>
    <n v="266451.20000000001"/>
    <d v="2026-05-01T00:00:00"/>
    <m/>
  </r>
  <r>
    <n v="64"/>
    <x v="0"/>
    <s v="VT"/>
    <x v="2"/>
    <s v="BD, SC PT"/>
    <s v="CP thay ắc quy"/>
    <s v="CP trích trước hàng tháng"/>
    <s v="29B19481"/>
    <s v="Vf6"/>
    <n v="4312"/>
    <d v="2026-05-01T00:00:00"/>
    <n v="79772"/>
    <n v="1"/>
    <n v="79772"/>
    <d v="2026-05-01T00:00:00"/>
    <m/>
  </r>
  <r>
    <n v="65"/>
    <x v="0"/>
    <s v="VT"/>
    <x v="2"/>
    <s v="BD, SC PT"/>
    <s v="CP thay ắc quy"/>
    <s v="CP trích trước hàng tháng"/>
    <s v="29B30465"/>
    <s v="Vf6"/>
    <n v="5142"/>
    <d v="2026-05-01T00:00:00"/>
    <n v="95127"/>
    <n v="1"/>
    <n v="95127"/>
    <d v="2026-05-01T00:00:00"/>
    <m/>
  </r>
  <r>
    <n v="66"/>
    <x v="0"/>
    <s v="VT"/>
    <x v="2"/>
    <s v="BD, SC PT"/>
    <s v="CP thay ắc quy"/>
    <s v="CP trích trước hàng tháng"/>
    <s v="29H02773"/>
    <s v="Vf6"/>
    <n v="4990"/>
    <d v="2026-05-01T00:00:00"/>
    <n v="92315"/>
    <n v="1"/>
    <n v="92315"/>
    <d v="2026-05-01T00:00:00"/>
    <m/>
  </r>
  <r>
    <n v="67"/>
    <x v="0"/>
    <s v="VT"/>
    <x v="2"/>
    <s v="BD, SC PT"/>
    <s v="CP thay ắc quy"/>
    <s v="CP trích trước hàng tháng"/>
    <s v="30M36244"/>
    <s v="Vf6"/>
    <n v="5511"/>
    <d v="2026-05-01T00:00:00"/>
    <n v="101953.5"/>
    <n v="1"/>
    <n v="101953.5"/>
    <d v="2026-05-01T00:00:00"/>
    <m/>
  </r>
  <r>
    <n v="68"/>
    <x v="0"/>
    <s v="VT"/>
    <x v="2"/>
    <s v="BD, SC PT"/>
    <s v="CP thay ắc quy"/>
    <s v="CP trích trước hàng tháng"/>
    <s v="30M36207"/>
    <s v="Vf6"/>
    <n v="750.02000000000044"/>
    <d v="2026-05-01T00:00:00"/>
    <n v="13875.370000000008"/>
    <n v="1"/>
    <n v="13875.370000000008"/>
    <d v="2026-05-01T00:00:00"/>
    <m/>
  </r>
  <r>
    <n v="69"/>
    <x v="0"/>
    <s v="VT"/>
    <x v="2"/>
    <s v="BD, SC PT"/>
    <s v="CP thay ắc quy"/>
    <s v="CP trích trước hàng tháng"/>
    <s v="30M36240"/>
    <s v="Vf6"/>
    <n v="5356"/>
    <d v="2026-05-01T00:00:00"/>
    <n v="99086"/>
    <n v="1"/>
    <n v="99086"/>
    <d v="2026-05-01T00:00:00"/>
    <m/>
  </r>
  <r>
    <n v="70"/>
    <x v="0"/>
    <s v="VT"/>
    <x v="2"/>
    <s v="BD, SC PT"/>
    <s v="CP thay ắc quy"/>
    <s v="CP trích trước hàng tháng"/>
    <s v="29K01796"/>
    <s v="Ford"/>
    <n v="3036"/>
    <d v="2026-05-01T00:00:00"/>
    <n v="56166"/>
    <n v="1"/>
    <n v="56166"/>
    <d v="2026-05-01T00:00:00"/>
    <m/>
  </r>
  <r>
    <n v="71"/>
    <x v="0"/>
    <s v="VT"/>
    <x v="2"/>
    <s v="BD, SC PT"/>
    <s v="CP thay ắc quy"/>
    <s v="CP trích trước hàng tháng"/>
    <s v="29K00192"/>
    <s v="Ford"/>
    <n v="2528"/>
    <d v="2026-05-01T00:00:00"/>
    <n v="46768"/>
    <n v="1"/>
    <n v="46768"/>
    <d v="2026-05-01T00:00:00"/>
    <m/>
  </r>
  <r>
    <n v="72"/>
    <x v="0"/>
    <s v="VT"/>
    <x v="2"/>
    <s v="BD, SC PT"/>
    <s v="CP bảo dưỡng"/>
    <s v="CP trích trước hàng tháng"/>
    <s v="29B19481"/>
    <s v="Vf6"/>
    <n v="4312"/>
    <d v="2026-05-01T00:00:00"/>
    <n v="499799.99967333337"/>
    <n v="1"/>
    <n v="499799.99967333337"/>
    <d v="2026-05-01T00:00:00"/>
    <m/>
  </r>
  <r>
    <n v="73"/>
    <x v="0"/>
    <s v="VT"/>
    <x v="2"/>
    <s v="BD, SC PT"/>
    <s v="CP bảo dưỡng"/>
    <s v="CP trích trước hàng tháng"/>
    <s v="29B30465"/>
    <s v="Vf6"/>
    <n v="5142"/>
    <d v="2026-05-01T00:00:00"/>
    <n v="596004.54506500007"/>
    <n v="1"/>
    <n v="596004.54506500007"/>
    <d v="2026-05-01T00:00:00"/>
    <m/>
  </r>
  <r>
    <n v="74"/>
    <x v="0"/>
    <s v="VT"/>
    <x v="2"/>
    <s v="BD, SC PT"/>
    <s v="CP bảo dưỡng"/>
    <s v="CP trích trước hàng tháng"/>
    <s v="29H02773"/>
    <s v="Vf6"/>
    <n v="4990"/>
    <d v="2026-05-01T00:00:00"/>
    <n v="578386.36325833341"/>
    <n v="1"/>
    <n v="578386.36325833341"/>
    <d v="2026-05-01T00:00:00"/>
    <m/>
  </r>
  <r>
    <n v="75"/>
    <x v="0"/>
    <s v="VT"/>
    <x v="2"/>
    <s v="BD, SC PT"/>
    <s v="CP bảo dưỡng"/>
    <s v="CP trích trước hàng tháng"/>
    <s v="30M36244"/>
    <s v="Vf6"/>
    <n v="5511"/>
    <d v="2026-05-01T00:00:00"/>
    <n v="638774.99958250008"/>
    <n v="1"/>
    <n v="638774.99958250008"/>
    <d v="2026-05-01T00:00:00"/>
    <m/>
  </r>
  <r>
    <n v="76"/>
    <x v="0"/>
    <s v="VT"/>
    <x v="2"/>
    <s v="BD, SC PT"/>
    <s v="CP bảo dưỡng"/>
    <s v="CP trích trước hàng tháng"/>
    <s v="30M36207"/>
    <s v="Vf6"/>
    <n v="750.02000000000044"/>
    <d v="2026-05-01T00:00:00"/>
    <n v="86934.136306816727"/>
    <n v="1"/>
    <n v="86934.136306816727"/>
    <d v="2026-05-01T00:00:00"/>
    <m/>
  </r>
  <r>
    <n v="77"/>
    <x v="0"/>
    <s v="VT"/>
    <x v="2"/>
    <s v="BD, SC PT"/>
    <s v="CP bảo dưỡng"/>
    <s v="CP trích trước hàng tháng"/>
    <s v="30M36240"/>
    <s v="Vf6"/>
    <n v="5356"/>
    <d v="2026-05-01T00:00:00"/>
    <n v="620809.09050333337"/>
    <n v="1"/>
    <n v="620809.09050333337"/>
    <d v="2026-05-01T00:00:00"/>
    <m/>
  </r>
  <r>
    <n v="78"/>
    <x v="0"/>
    <s v="VT"/>
    <x v="2"/>
    <s v="BD, SC PT"/>
    <s v="CP bảo dưỡng"/>
    <s v="CP trích trước hàng tháng"/>
    <s v="29K01796"/>
    <s v="Ford"/>
    <n v="3036"/>
    <d v="2026-05-01T00:00:00"/>
    <n v="785117.69599999813"/>
    <n v="1"/>
    <n v="785117.69599999813"/>
    <d v="2026-05-01T00:00:00"/>
    <m/>
  </r>
  <r>
    <n v="79"/>
    <x v="0"/>
    <s v="VT"/>
    <x v="2"/>
    <s v="BD, SC PT"/>
    <s v="CP bảo dưỡng"/>
    <s v="CP trích trước hàng tháng"/>
    <s v="29K00192"/>
    <s v="Ford"/>
    <n v="2528"/>
    <d v="2026-05-01T00:00:00"/>
    <n v="653747.54133333173"/>
    <n v="1"/>
    <n v="653747.54133333173"/>
    <d v="2026-05-01T00:00:00"/>
    <m/>
  </r>
  <r>
    <n v="80"/>
    <x v="0"/>
    <s v="VT"/>
    <x v="3"/>
    <s v="Tiền dầu"/>
    <s v="Tiền dầu"/>
    <s v="CP phát sinh hàng tháng"/>
    <s v="29K01796"/>
    <s v="Ford"/>
    <m/>
    <d v="2026-05-01T00:00:00"/>
    <n v="1702020"/>
    <n v="1"/>
    <n v="1702020"/>
    <d v="2026-05-01T00:00:00"/>
    <m/>
  </r>
  <r>
    <n v="81"/>
    <x v="0"/>
    <s v="VT"/>
    <x v="3"/>
    <s v="Tiền dầu"/>
    <s v="Tiền dầu"/>
    <s v="CP phát sinh hàng tháng"/>
    <s v="29K01796"/>
    <s v="Ford"/>
    <m/>
    <d v="2026-05-03T00:00:00"/>
    <n v="1612768"/>
    <n v="1"/>
    <n v="1612768"/>
    <d v="2026-05-01T00:00:00"/>
    <m/>
  </r>
  <r>
    <n v="82"/>
    <x v="0"/>
    <s v="VT"/>
    <x v="3"/>
    <s v="Tiền dầu"/>
    <s v="Tiền dầu"/>
    <s v="CP phát sinh hàng tháng"/>
    <s v="29K00192"/>
    <s v="Ford"/>
    <m/>
    <d v="2026-05-08T00:00:00"/>
    <n v="1516928"/>
    <n v="1"/>
    <n v="1516928"/>
    <d v="2026-05-01T00:00:00"/>
    <m/>
  </r>
  <r>
    <n v="83"/>
    <x v="0"/>
    <s v="VT"/>
    <x v="3"/>
    <s v="Tiền dầu"/>
    <s v="Tiền dầu"/>
    <s v="CP phát sinh hàng tháng"/>
    <s v="29K01796"/>
    <s v="Ford"/>
    <m/>
    <d v="2026-05-11T00:00:00"/>
    <n v="1925395"/>
    <n v="1"/>
    <n v="1925395"/>
    <d v="2026-05-01T00:00:00"/>
    <m/>
  </r>
  <r>
    <n v="84"/>
    <x v="0"/>
    <s v="VT"/>
    <x v="3"/>
    <s v="Tiền dầu"/>
    <s v="Tiền dầu"/>
    <s v="CP phát sinh hàng tháng"/>
    <s v="29K00192"/>
    <s v="Ford"/>
    <m/>
    <d v="2026-05-12T00:00:00"/>
    <n v="1605954"/>
    <n v="1"/>
    <n v="1605954"/>
    <d v="2026-05-01T00:00:00"/>
    <m/>
  </r>
  <r>
    <n v="85"/>
    <x v="0"/>
    <s v="VT"/>
    <x v="3"/>
    <s v="Tiền dầu"/>
    <s v="Tiền dầu"/>
    <s v="CP phát sinh hàng tháng"/>
    <s v="29K00192"/>
    <s v="Ford"/>
    <m/>
    <d v="2026-05-18T00:00:00"/>
    <n v="1733487"/>
    <n v="1"/>
    <n v="1733487"/>
    <d v="2026-05-01T00:00:00"/>
    <m/>
  </r>
  <r>
    <n v="86"/>
    <x v="0"/>
    <s v="VT"/>
    <x v="3"/>
    <s v="Tiền dầu"/>
    <s v="Tiền dầu"/>
    <s v="CP phát sinh hàng tháng"/>
    <s v="29K01796"/>
    <s v="Ford"/>
    <m/>
    <d v="2026-05-18T00:00:00"/>
    <n v="1849047"/>
    <n v="1"/>
    <n v="1849047"/>
    <d v="2026-05-01T00:00:00"/>
    <m/>
  </r>
  <r>
    <n v="87"/>
    <x v="0"/>
    <s v="VT"/>
    <x v="3"/>
    <s v="Tiền dầu"/>
    <s v="Tiền dầu"/>
    <s v="CP phát sinh hàng tháng"/>
    <s v="29K00192"/>
    <s v="Ford"/>
    <m/>
    <d v="2026-05-23T00:00:00"/>
    <n v="1767351"/>
    <n v="1"/>
    <n v="1767351"/>
    <d v="2026-05-01T00:00:00"/>
    <m/>
  </r>
  <r>
    <n v="88"/>
    <x v="0"/>
    <s v="VT"/>
    <x v="3"/>
    <s v="Tiền dầu"/>
    <s v="Tiền dầu"/>
    <s v="CP phát sinh hàng tháng"/>
    <s v="29K01796"/>
    <s v="Ford"/>
    <m/>
    <d v="2026-05-23T00:00:00"/>
    <n v="1767656"/>
    <n v="1"/>
    <n v="1767656"/>
    <d v="2026-05-01T00:00:00"/>
    <m/>
  </r>
  <r>
    <n v="89"/>
    <x v="0"/>
    <s v="VT"/>
    <x v="3"/>
    <s v="Tiền dầu"/>
    <s v="Tiền dầu"/>
    <s v="CP phát sinh hàng tháng"/>
    <s v="29K00192"/>
    <s v="Ford"/>
    <m/>
    <d v="2026-05-25T00:00:00"/>
    <n v="1706929"/>
    <n v="1"/>
    <n v="1706929"/>
    <d v="2026-05-01T00:00:00"/>
    <m/>
  </r>
  <r>
    <n v="90"/>
    <x v="0"/>
    <s v="VT"/>
    <x v="3"/>
    <s v="Tiền dầu"/>
    <s v="Tiền dầu"/>
    <s v="CP phát sinh hàng tháng"/>
    <s v="29K01796"/>
    <s v="Ford"/>
    <m/>
    <d v="2026-05-29T00:00:00"/>
    <n v="1818460"/>
    <n v="1"/>
    <n v="1818460"/>
    <d v="2026-05-01T00:00:00"/>
    <m/>
  </r>
  <r>
    <n v="91"/>
    <x v="0"/>
    <s v="VT"/>
    <x v="3"/>
    <s v="Tiền dầu"/>
    <s v="Tiền dầu"/>
    <s v="CP phát sinh hàng tháng"/>
    <s v="29K00192"/>
    <s v="Ford"/>
    <m/>
    <d v="2026-05-30T00:00:00"/>
    <n v="1495830"/>
    <n v="1"/>
    <n v="1495830"/>
    <d v="2026-05-01T00:00:00"/>
    <m/>
  </r>
  <r>
    <n v="92"/>
    <x v="0"/>
    <s v="VT"/>
    <x v="3"/>
    <s v="Tiền dầu"/>
    <s v="Tiền dầu"/>
    <s v="CP phát sinh hàng tháng"/>
    <m/>
    <s v="Ford"/>
    <m/>
    <m/>
    <m/>
    <n v="1"/>
    <n v="0"/>
    <d v="2026-05-01T00:00:00"/>
    <m/>
  </r>
  <r>
    <n v="93"/>
    <x v="0"/>
    <s v="VT"/>
    <x v="3"/>
    <s v="Tiền dầu"/>
    <s v="Tiền dầu"/>
    <s v="CP phát sinh hàng tháng"/>
    <m/>
    <s v="Ford"/>
    <m/>
    <m/>
    <m/>
    <n v="1"/>
    <n v="0"/>
    <d v="2026-05-01T00:00:00"/>
    <m/>
  </r>
  <r>
    <n v="94"/>
    <x v="0"/>
    <s v="VT"/>
    <x v="3"/>
    <s v="Tiền dầu"/>
    <s v="Tiền dầu"/>
    <s v="CP phát sinh hàng tháng"/>
    <m/>
    <s v="Ford"/>
    <m/>
    <m/>
    <m/>
    <n v="1"/>
    <n v="0"/>
    <d v="2026-05-01T00:00:00"/>
    <m/>
  </r>
  <r>
    <n v="95"/>
    <x v="0"/>
    <s v="VT"/>
    <x v="3"/>
    <s v="Tiền điện"/>
    <s v="Tiền điện"/>
    <s v="CP phát sinh hàng tháng"/>
    <s v="29B19481"/>
    <s v="Vf6"/>
    <m/>
    <d v="2026-05-31T00:00:00"/>
    <n v="3628140.3599999994"/>
    <n v="1"/>
    <n v="3628140.3599999994"/>
    <d v="2026-05-01T00:00:00"/>
    <m/>
  </r>
  <r>
    <n v="96"/>
    <x v="0"/>
    <s v="VT"/>
    <x v="3"/>
    <s v="Tiền điện"/>
    <s v="Tiền điện"/>
    <s v="CP phát sinh hàng tháng"/>
    <s v="29B30465"/>
    <s v="Vf6"/>
    <m/>
    <d v="2026-05-31T00:00:00"/>
    <n v="4037474.16"/>
    <n v="1"/>
    <n v="4037474.16"/>
    <d v="2026-05-01T00:00:00"/>
    <m/>
  </r>
  <r>
    <n v="97"/>
    <x v="0"/>
    <s v="VT"/>
    <x v="3"/>
    <s v="Tiền điện"/>
    <s v="Tiền điện"/>
    <s v="CP phát sinh hàng tháng"/>
    <s v="29H02773"/>
    <s v="Vf6"/>
    <m/>
    <d v="2026-05-31T00:00:00"/>
    <n v="4145613.8999999994"/>
    <n v="1"/>
    <n v="4145613.8999999994"/>
    <d v="2026-05-01T00:00:00"/>
    <m/>
  </r>
  <r>
    <n v="98"/>
    <x v="0"/>
    <s v="VT"/>
    <x v="3"/>
    <s v="Tiền điện"/>
    <s v="Tiền điện"/>
    <s v="CP phát sinh hàng tháng"/>
    <s v="30M36207"/>
    <s v="Vf6"/>
    <m/>
    <d v="2026-05-31T00:00:00"/>
    <n v="2483548.9199999995"/>
    <n v="1"/>
    <n v="2483548.9199999995"/>
    <d v="2026-05-01T00:00:00"/>
    <m/>
  </r>
  <r>
    <n v="99"/>
    <x v="0"/>
    <s v="VT"/>
    <x v="3"/>
    <s v="Tiền điện"/>
    <s v="Tiền điện"/>
    <s v="CP phát sinh hàng tháng"/>
    <s v="30M36240"/>
    <s v="Vf6"/>
    <m/>
    <d v="2026-05-31T00:00:00"/>
    <n v="3911201.8199999994"/>
    <n v="1"/>
    <n v="3911201.8199999994"/>
    <d v="2026-05-01T00:00:00"/>
    <m/>
  </r>
  <r>
    <n v="100"/>
    <x v="0"/>
    <s v="VT"/>
    <x v="3"/>
    <s v="Tiền điện"/>
    <s v="Tiền điện"/>
    <s v="CP phát sinh hàng tháng"/>
    <s v="30M36244"/>
    <s v="Vf6"/>
    <m/>
    <d v="2026-05-31T00:00:00"/>
    <n v="4777708.62"/>
    <n v="1"/>
    <n v="4777708.62"/>
    <d v="2026-05-01T00:00:00"/>
    <m/>
  </r>
  <r>
    <n v="101"/>
    <x v="0"/>
    <s v="VT"/>
    <x v="4"/>
    <s v="CP thờ cúng"/>
    <s v="Chi tiền mua đồ thắp hương 15/03 ÂL"/>
    <s v="CP phát sinh hàng tháng"/>
    <m/>
    <m/>
    <m/>
    <m/>
    <n v="200000"/>
    <n v="1"/>
    <n v="200000"/>
    <d v="2026-05-01T00:00:00"/>
    <m/>
  </r>
  <r>
    <n v="102"/>
    <x v="0"/>
    <s v="VT"/>
    <x v="4"/>
    <s v="CP quản lý khác"/>
    <s v="Chi tiền mua bóng đen chiếu sáng ngoài sân VP"/>
    <s v="CP phát sinh hàng tháng"/>
    <m/>
    <m/>
    <m/>
    <m/>
    <n v="205000"/>
    <n v="1"/>
    <n v="205000"/>
    <d v="2026-05-01T00:00:00"/>
    <m/>
  </r>
  <r>
    <n v="103"/>
    <x v="0"/>
    <s v="VT"/>
    <x v="4"/>
    <s v="CP quản lý khác"/>
    <s v="Chi tiền đảo lốp xe 29H02773"/>
    <s v="CP phát sinh hàng tháng"/>
    <m/>
    <m/>
    <m/>
    <m/>
    <n v="150000"/>
    <n v="1"/>
    <n v="150000"/>
    <d v="2026-05-01T00:00:00"/>
    <m/>
  </r>
  <r>
    <n v="104"/>
    <x v="0"/>
    <s v="VT"/>
    <x v="4"/>
    <s v="CP quản lý khác"/>
    <s v="Chi tiền sửa xe 29B30465"/>
    <s v="CP phát sinh hàng tháng"/>
    <m/>
    <m/>
    <m/>
    <m/>
    <n v="420000"/>
    <n v="1"/>
    <n v="420000"/>
    <d v="2026-05-01T00:00:00"/>
    <m/>
  </r>
  <r>
    <n v="105"/>
    <x v="0"/>
    <s v="VT"/>
    <x v="4"/>
    <s v="CP thờ cúng"/>
    <s v="Chi tiền mua đồ thắp hương 01/04 ÂL"/>
    <s v="CP phát sinh hàng tháng"/>
    <m/>
    <m/>
    <m/>
    <m/>
    <n v="200000"/>
    <n v="1"/>
    <n v="200000"/>
    <d v="2026-05-01T00:00:00"/>
    <m/>
  </r>
  <r>
    <n v="106"/>
    <x v="0"/>
    <s v="VT"/>
    <x v="4"/>
    <s v="CP quản lý khác"/>
    <s v="Chi tiền  vá lốp xe 30M36244"/>
    <s v="CP phát sinh hàng tháng"/>
    <m/>
    <m/>
    <m/>
    <m/>
    <n v="100000"/>
    <n v="1"/>
    <n v="100000"/>
    <d v="2026-05-01T00:00:00"/>
    <m/>
  </r>
  <r>
    <n v="107"/>
    <x v="0"/>
    <s v="VT"/>
    <x v="4"/>
    <s v="CP quản lý khác"/>
    <s v="Chi tiền mua pin lắp máy thổi nồng độ cồn, điều khiển điều hoà "/>
    <s v="CP phát sinh hàng tháng"/>
    <m/>
    <m/>
    <m/>
    <m/>
    <n v="380000"/>
    <n v="1"/>
    <n v="380000"/>
    <d v="2026-05-01T00:00:00"/>
    <m/>
  </r>
  <r>
    <n v="108"/>
    <x v="0"/>
    <s v="VT"/>
    <x v="4"/>
    <s v="CP quản lý khác"/>
    <s v="Chi tiền mua xăng đổ máy phát ngày 23/5 do mất điện"/>
    <s v="CP phát sinh hàng tháng"/>
    <m/>
    <m/>
    <m/>
    <m/>
    <n v="255500"/>
    <n v="1"/>
    <n v="255500"/>
    <d v="2026-05-01T00:00:00"/>
    <m/>
  </r>
  <r>
    <n v="109"/>
    <x v="0"/>
    <s v="VT"/>
    <x v="4"/>
    <s v="CP quản lý khác"/>
    <s v="Chi tiền mua xăng đổ máy phát ngày 23/5 do mất điện"/>
    <s v="CP phát sinh hàng tháng"/>
    <m/>
    <m/>
    <m/>
    <m/>
    <n v="255500"/>
    <n v="1"/>
    <n v="255500"/>
    <d v="2026-05-01T00:00:00"/>
    <m/>
  </r>
  <r>
    <n v="110"/>
    <x v="0"/>
    <s v="VT"/>
    <x v="4"/>
    <s v="CP điện nước"/>
    <s v="Chi tiền nước VPVT tháng 5"/>
    <s v="CP phát sinh hàng tháng"/>
    <m/>
    <m/>
    <m/>
    <m/>
    <n v="344452"/>
    <n v="1"/>
    <n v="344452"/>
    <d v="2026-05-01T00:00:00"/>
    <m/>
  </r>
  <r>
    <n v="111"/>
    <x v="0"/>
    <s v="VT"/>
    <x v="4"/>
    <s v="CP quản lý khác"/>
    <s v="Chi tiền  vá lốp xe 30M36244"/>
    <s v="CP phát sinh hàng tháng"/>
    <m/>
    <m/>
    <m/>
    <m/>
    <n v="50000"/>
    <n v="1"/>
    <n v="50000"/>
    <d v="2026-05-01T00:00:00"/>
    <m/>
  </r>
  <r>
    <n v="112"/>
    <x v="0"/>
    <s v="VT"/>
    <x v="4"/>
    <s v="CP điện nước"/>
    <s v="Chi tiền đổi bình nước vp"/>
    <s v="CP phát sinh hàng tháng"/>
    <m/>
    <m/>
    <m/>
    <m/>
    <n v="300000"/>
    <n v="1"/>
    <n v="300000"/>
    <d v="2026-05-01T00:00:00"/>
    <m/>
  </r>
  <r>
    <n v="113"/>
    <x v="0"/>
    <s v="VT"/>
    <x v="4"/>
    <s v="CP thờ cúng"/>
    <s v="Chi tiền thắp hương 15/04"/>
    <s v="CP phát sinh hàng tháng"/>
    <m/>
    <m/>
    <m/>
    <m/>
    <n v="200000"/>
    <n v="1"/>
    <n v="200000"/>
    <d v="2026-05-01T00:00:00"/>
    <m/>
  </r>
  <r>
    <n v="114"/>
    <x v="0"/>
    <s v="VT"/>
    <x v="4"/>
    <s v="CP quản lý khác"/>
    <s v="Chi tiền  vá lốp xe 30M36244"/>
    <s v="CP phát sinh hàng tháng"/>
    <m/>
    <m/>
    <m/>
    <m/>
    <n v="50000"/>
    <n v="1"/>
    <n v="50000"/>
    <d v="2026-05-01T00:00:00"/>
    <m/>
  </r>
  <r>
    <n v="115"/>
    <x v="0"/>
    <s v="VT"/>
    <x v="4"/>
    <s v="CP rửa xe"/>
    <s v="Chi phí rửa xe TC tháng 05/2026"/>
    <s v="CP phát sinh hàng tháng"/>
    <m/>
    <m/>
    <m/>
    <m/>
    <n v="660000"/>
    <n v="1"/>
    <n v="660000"/>
    <d v="2026-05-01T00:00:00"/>
    <m/>
  </r>
  <r>
    <n v="116"/>
    <x v="0"/>
    <s v="VT"/>
    <x v="4"/>
    <s v="Văn phòng phẩm"/>
    <s v="Chi phí VPP"/>
    <s v="CP phát sinh hàng tháng"/>
    <m/>
    <m/>
    <m/>
    <m/>
    <n v="550960"/>
    <n v="1"/>
    <n v="550960"/>
    <d v="2026-05-01T00:00:00"/>
    <m/>
  </r>
  <r>
    <n v="117"/>
    <x v="0"/>
    <s v="VT"/>
    <x v="4"/>
    <s v="CP điện thoại"/>
    <s v="0976820086 - VP Việt Trì VTHK"/>
    <s v="CP phát sinh hàng tháng"/>
    <m/>
    <m/>
    <m/>
    <m/>
    <n v="201350"/>
    <n v="1"/>
    <n v="201350"/>
    <d v="2026-05-01T00:00:00"/>
    <m/>
  </r>
  <r>
    <n v="118"/>
    <x v="0"/>
    <s v="VT"/>
    <x v="4"/>
    <m/>
    <m/>
    <m/>
    <m/>
    <m/>
    <m/>
    <m/>
    <m/>
    <n v="1"/>
    <n v="0"/>
    <d v="2026-05-01T00:00:00"/>
    <m/>
  </r>
  <r>
    <m/>
    <x v="1"/>
    <m/>
    <x v="5"/>
    <m/>
    <m/>
    <m/>
    <m/>
    <m/>
    <m/>
    <m/>
    <m/>
    <m/>
    <m/>
    <m/>
    <m/>
  </r>
  <r>
    <m/>
    <x v="1"/>
    <m/>
    <x v="5"/>
    <m/>
    <m/>
    <m/>
    <m/>
    <m/>
    <m/>
    <m/>
    <m/>
    <m/>
    <m/>
    <m/>
    <m/>
  </r>
  <r>
    <m/>
    <x v="1"/>
    <m/>
    <x v="5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E54B1-2C1E-4BAE-AE5F-B631D439705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6">
    <pivotField showAll="0"/>
    <pivotField axis="axisPage" showAll="0">
      <items count="8">
        <item n="01/01/2026" m="1" x="6"/>
        <item x="1"/>
        <item m="1" x="5"/>
        <item m="1" x="4"/>
        <item n="01/04/2026" m="1" x="3"/>
        <item n="01/05/2026" m="1" x="2"/>
        <item x="0"/>
        <item t="default"/>
      </items>
    </pivotField>
    <pivotField showAll="0"/>
    <pivotField axis="axisRow" showAll="0">
      <items count="8">
        <item x="2"/>
        <item x="0"/>
        <item x="1"/>
        <item x="3"/>
        <item x="4"/>
        <item m="1"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item="6" hier="-1"/>
  </pageFields>
  <dataFields count="1">
    <dataField name="Sum of Chi phí khấu trừ quỹ lương tháng" fld="13" baseField="3" baseItem="0" numFmtId="165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0B79-85D0-4D0F-9F15-C6DF8C0F8111}">
  <dimension ref="A1:B9"/>
  <sheetViews>
    <sheetView workbookViewId="0">
      <selection activeCell="A4" sqref="A4"/>
    </sheetView>
  </sheetViews>
  <sheetFormatPr defaultRowHeight="15" x14ac:dyDescent="0.25"/>
  <cols>
    <col min="1" max="1" width="27.5703125" bestFit="1" customWidth="1"/>
    <col min="2" max="2" width="37.5703125" bestFit="1" customWidth="1"/>
  </cols>
  <sheetData>
    <row r="1" spans="1:2" x14ac:dyDescent="0.25">
      <c r="A1" s="12" t="s">
        <v>1</v>
      </c>
      <c r="B1" s="35">
        <v>46143</v>
      </c>
    </row>
    <row r="3" spans="1:2" x14ac:dyDescent="0.25">
      <c r="A3" s="12" t="s">
        <v>64</v>
      </c>
      <c r="B3" t="s">
        <v>66</v>
      </c>
    </row>
    <row r="4" spans="1:2" x14ac:dyDescent="0.25">
      <c r="A4" s="13" t="s">
        <v>30</v>
      </c>
      <c r="B4" s="14">
        <v>11035649.441722646</v>
      </c>
    </row>
    <row r="5" spans="1:2" x14ac:dyDescent="0.25">
      <c r="A5" s="13" t="s">
        <v>15</v>
      </c>
      <c r="B5" s="14">
        <v>110689074.99999988</v>
      </c>
    </row>
    <row r="6" spans="1:2" x14ac:dyDescent="0.25">
      <c r="A6" s="13" t="s">
        <v>28</v>
      </c>
      <c r="B6" s="14">
        <v>21301.775147928995</v>
      </c>
    </row>
    <row r="7" spans="1:2" x14ac:dyDescent="0.25">
      <c r="A7" s="13" t="s">
        <v>37</v>
      </c>
      <c r="B7" s="14">
        <v>43485512.779999994</v>
      </c>
    </row>
    <row r="8" spans="1:2" x14ac:dyDescent="0.25">
      <c r="A8" s="13" t="s">
        <v>42</v>
      </c>
      <c r="B8" s="14">
        <v>4522762</v>
      </c>
    </row>
    <row r="9" spans="1:2" x14ac:dyDescent="0.25">
      <c r="A9" s="13" t="s">
        <v>65</v>
      </c>
      <c r="B9" s="14">
        <v>169754300.99687046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9AB5-4969-49F6-989D-5F4EC3D6EEFB}">
  <dimension ref="A1:P121"/>
  <sheetViews>
    <sheetView tabSelected="1" zoomScale="85" zoomScaleNormal="85" workbookViewId="0">
      <pane ySplit="1" topLeftCell="A2" activePane="bottomLeft" state="frozen"/>
      <selection pane="bottomLeft" activeCell="A39" sqref="A39:XFD42"/>
    </sheetView>
  </sheetViews>
  <sheetFormatPr defaultRowHeight="15" x14ac:dyDescent="0.25"/>
  <cols>
    <col min="1" max="1" width="5.28515625" customWidth="1"/>
    <col min="4" max="4" width="28.5703125" customWidth="1"/>
    <col min="5" max="5" width="24.7109375" customWidth="1"/>
    <col min="6" max="6" width="47.140625" customWidth="1"/>
    <col min="7" max="7" width="35.5703125" customWidth="1"/>
    <col min="8" max="8" width="12.42578125" customWidth="1"/>
    <col min="9" max="9" width="15.42578125" customWidth="1"/>
    <col min="10" max="10" width="10.7109375" style="33" bestFit="1" customWidth="1"/>
    <col min="11" max="11" width="15.5703125" customWidth="1"/>
    <col min="12" max="12" width="15.85546875" customWidth="1"/>
    <col min="14" max="14" width="16" customWidth="1"/>
    <col min="15" max="15" width="15.28515625" customWidth="1"/>
  </cols>
  <sheetData>
    <row r="1" spans="1:16" ht="63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1" t="s">
        <v>14</v>
      </c>
    </row>
    <row r="2" spans="1:16" ht="15.75" x14ac:dyDescent="0.25">
      <c r="A2" s="5">
        <f>SUBTOTAL(3,$B$2:B2)</f>
        <v>1</v>
      </c>
      <c r="B2" s="6">
        <v>46143</v>
      </c>
      <c r="C2" s="6" t="s">
        <v>46</v>
      </c>
      <c r="D2" s="5" t="s">
        <v>15</v>
      </c>
      <c r="E2" s="5" t="s">
        <v>16</v>
      </c>
      <c r="F2" s="5" t="s">
        <v>17</v>
      </c>
      <c r="G2" s="5" t="s">
        <v>18</v>
      </c>
      <c r="H2" s="7" t="s">
        <v>47</v>
      </c>
      <c r="I2" s="7" t="s">
        <v>19</v>
      </c>
      <c r="J2" s="7"/>
      <c r="K2" s="8">
        <v>45722</v>
      </c>
      <c r="L2" s="9">
        <v>785000000</v>
      </c>
      <c r="M2" s="10">
        <v>60</v>
      </c>
      <c r="N2" s="28">
        <f>IF(B2&gt;O2,"",L2/M2)</f>
        <v>13083333.333333334</v>
      </c>
      <c r="O2" s="11">
        <f>EDATE(K2, M2-1)</f>
        <v>47520</v>
      </c>
      <c r="P2" s="5"/>
    </row>
    <row r="3" spans="1:16" ht="15.75" x14ac:dyDescent="0.25">
      <c r="A3" s="5">
        <f>SUBTOTAL(3,$B$2:B3)</f>
        <v>2</v>
      </c>
      <c r="B3" s="6">
        <v>46143</v>
      </c>
      <c r="C3" s="6" t="s">
        <v>46</v>
      </c>
      <c r="D3" s="5" t="s">
        <v>15</v>
      </c>
      <c r="E3" s="5" t="s">
        <v>16</v>
      </c>
      <c r="F3" s="5" t="s">
        <v>17</v>
      </c>
      <c r="G3" s="5" t="s">
        <v>18</v>
      </c>
      <c r="H3" s="7" t="s">
        <v>48</v>
      </c>
      <c r="I3" s="7" t="s">
        <v>19</v>
      </c>
      <c r="J3" s="31"/>
      <c r="K3" s="8">
        <v>45722</v>
      </c>
      <c r="L3" s="9">
        <v>785000000</v>
      </c>
      <c r="M3" s="10">
        <v>60</v>
      </c>
      <c r="N3" s="28">
        <f t="shared" ref="N3:N11" si="0">IF(B3&gt;O3,"",L3/M3)</f>
        <v>13083333.333333334</v>
      </c>
      <c r="O3" s="11">
        <f t="shared" ref="O3" si="1">EDATE(K3, M3-1)</f>
        <v>47520</v>
      </c>
      <c r="P3" s="5"/>
    </row>
    <row r="4" spans="1:16" ht="15.75" x14ac:dyDescent="0.25">
      <c r="A4" s="5">
        <f>SUBTOTAL(3,$B$2:B4)</f>
        <v>3</v>
      </c>
      <c r="B4" s="6">
        <v>46143</v>
      </c>
      <c r="C4" s="6" t="s">
        <v>46</v>
      </c>
      <c r="D4" s="5" t="s">
        <v>15</v>
      </c>
      <c r="E4" s="5" t="s">
        <v>16</v>
      </c>
      <c r="F4" s="5" t="s">
        <v>17</v>
      </c>
      <c r="G4" s="5" t="s">
        <v>18</v>
      </c>
      <c r="H4" s="7" t="s">
        <v>49</v>
      </c>
      <c r="I4" s="7" t="s">
        <v>19</v>
      </c>
      <c r="J4" s="7"/>
      <c r="K4" s="8">
        <v>45722</v>
      </c>
      <c r="L4" s="9">
        <v>785000000</v>
      </c>
      <c r="M4" s="10">
        <v>60</v>
      </c>
      <c r="N4" s="28">
        <f t="shared" si="0"/>
        <v>13083333.333333334</v>
      </c>
      <c r="O4" s="11">
        <f>EDATE(K4, M4-1)</f>
        <v>47520</v>
      </c>
      <c r="P4" s="5"/>
    </row>
    <row r="5" spans="1:16" ht="15.75" x14ac:dyDescent="0.25">
      <c r="A5" s="5">
        <f>SUBTOTAL(3,$B$2:B5)</f>
        <v>4</v>
      </c>
      <c r="B5" s="6">
        <v>46143</v>
      </c>
      <c r="C5" s="6" t="s">
        <v>46</v>
      </c>
      <c r="D5" s="5" t="s">
        <v>15</v>
      </c>
      <c r="E5" s="5" t="s">
        <v>16</v>
      </c>
      <c r="F5" s="5" t="s">
        <v>17</v>
      </c>
      <c r="G5" s="5" t="s">
        <v>18</v>
      </c>
      <c r="H5" s="7" t="s">
        <v>50</v>
      </c>
      <c r="I5" s="7" t="s">
        <v>19</v>
      </c>
      <c r="J5" s="7"/>
      <c r="K5" s="8">
        <v>45854</v>
      </c>
      <c r="L5" s="9">
        <v>681240000</v>
      </c>
      <c r="M5" s="10">
        <v>60</v>
      </c>
      <c r="N5" s="28">
        <f t="shared" si="0"/>
        <v>11354000</v>
      </c>
      <c r="O5" s="11">
        <f t="shared" ref="O5:O22" si="2">EDATE(K5, M5-1)</f>
        <v>47650</v>
      </c>
      <c r="P5" s="5"/>
    </row>
    <row r="6" spans="1:16" ht="15.75" x14ac:dyDescent="0.25">
      <c r="A6" s="5">
        <f>SUBTOTAL(3,$B$2:B6)</f>
        <v>5</v>
      </c>
      <c r="B6" s="6">
        <v>46143</v>
      </c>
      <c r="C6" s="6" t="s">
        <v>46</v>
      </c>
      <c r="D6" s="5" t="s">
        <v>15</v>
      </c>
      <c r="E6" s="5" t="s">
        <v>16</v>
      </c>
      <c r="F6" s="5" t="s">
        <v>17</v>
      </c>
      <c r="G6" s="5" t="s">
        <v>18</v>
      </c>
      <c r="H6" s="7" t="s">
        <v>51</v>
      </c>
      <c r="I6" s="7" t="s">
        <v>19</v>
      </c>
      <c r="J6" s="7"/>
      <c r="K6" s="8">
        <v>45854</v>
      </c>
      <c r="L6" s="9">
        <v>681240000</v>
      </c>
      <c r="M6" s="10">
        <v>60</v>
      </c>
      <c r="N6" s="28">
        <f t="shared" si="0"/>
        <v>11354000</v>
      </c>
      <c r="O6" s="11">
        <f t="shared" si="2"/>
        <v>47650</v>
      </c>
      <c r="P6" s="5"/>
    </row>
    <row r="7" spans="1:16" ht="15.75" x14ac:dyDescent="0.25">
      <c r="A7" s="5">
        <f>SUBTOTAL(3,$B$2:B7)</f>
        <v>6</v>
      </c>
      <c r="B7" s="6">
        <v>46143</v>
      </c>
      <c r="C7" s="6" t="s">
        <v>46</v>
      </c>
      <c r="D7" s="5" t="s">
        <v>15</v>
      </c>
      <c r="E7" s="5" t="s">
        <v>16</v>
      </c>
      <c r="F7" s="5" t="s">
        <v>17</v>
      </c>
      <c r="G7" s="5" t="s">
        <v>18</v>
      </c>
      <c r="H7" s="7" t="s">
        <v>52</v>
      </c>
      <c r="I7" s="7" t="s">
        <v>19</v>
      </c>
      <c r="J7" s="7"/>
      <c r="K7" s="8">
        <v>45854</v>
      </c>
      <c r="L7" s="9">
        <v>681240000</v>
      </c>
      <c r="M7" s="10">
        <v>60</v>
      </c>
      <c r="N7" s="28">
        <f t="shared" si="0"/>
        <v>11354000</v>
      </c>
      <c r="O7" s="11">
        <f t="shared" si="2"/>
        <v>47650</v>
      </c>
      <c r="P7" s="5"/>
    </row>
    <row r="8" spans="1:16" ht="15.75" x14ac:dyDescent="0.25">
      <c r="A8" s="5">
        <f>SUBTOTAL(3,$B$2:B8)</f>
        <v>7</v>
      </c>
      <c r="B8" s="6">
        <v>46143</v>
      </c>
      <c r="C8" s="6" t="s">
        <v>46</v>
      </c>
      <c r="D8" s="5" t="s">
        <v>15</v>
      </c>
      <c r="E8" s="5" t="s">
        <v>16</v>
      </c>
      <c r="F8" s="5" t="s">
        <v>17</v>
      </c>
      <c r="G8" s="5" t="s">
        <v>18</v>
      </c>
      <c r="H8" s="7" t="s">
        <v>53</v>
      </c>
      <c r="I8" s="7" t="s">
        <v>54</v>
      </c>
      <c r="J8" s="7"/>
      <c r="K8" s="8">
        <v>45463</v>
      </c>
      <c r="L8" s="9">
        <v>775807999.99999797</v>
      </c>
      <c r="M8" s="10">
        <v>60</v>
      </c>
      <c r="N8" s="28">
        <f t="shared" si="0"/>
        <v>12930133.3333333</v>
      </c>
      <c r="O8" s="11">
        <f t="shared" si="2"/>
        <v>47258</v>
      </c>
      <c r="P8" s="5"/>
    </row>
    <row r="9" spans="1:16" ht="15.75" x14ac:dyDescent="0.25">
      <c r="A9" s="5">
        <f>SUBTOTAL(3,$B$2:B9)</f>
        <v>8</v>
      </c>
      <c r="B9" s="6">
        <v>46143</v>
      </c>
      <c r="C9" s="6" t="s">
        <v>46</v>
      </c>
      <c r="D9" s="5" t="s">
        <v>15</v>
      </c>
      <c r="E9" s="5" t="s">
        <v>16</v>
      </c>
      <c r="F9" s="5" t="s">
        <v>17</v>
      </c>
      <c r="G9" s="5" t="s">
        <v>18</v>
      </c>
      <c r="H9" s="7" t="s">
        <v>55</v>
      </c>
      <c r="I9" s="7" t="s">
        <v>54</v>
      </c>
      <c r="J9" s="7"/>
      <c r="K9" s="8">
        <v>45408</v>
      </c>
      <c r="L9" s="9">
        <v>775807999.99999797</v>
      </c>
      <c r="M9" s="10">
        <v>60</v>
      </c>
      <c r="N9" s="28">
        <f t="shared" si="0"/>
        <v>12930133.3333333</v>
      </c>
      <c r="O9" s="11">
        <f t="shared" si="2"/>
        <v>47203</v>
      </c>
      <c r="P9" s="5"/>
    </row>
    <row r="10" spans="1:16" ht="15.75" x14ac:dyDescent="0.25">
      <c r="A10" s="5">
        <f>SUBTOTAL(3,$B$2:B10)</f>
        <v>9</v>
      </c>
      <c r="B10" s="6">
        <v>46143</v>
      </c>
      <c r="C10" s="6" t="s">
        <v>46</v>
      </c>
      <c r="D10" s="5" t="s">
        <v>15</v>
      </c>
      <c r="E10" s="5" t="s">
        <v>20</v>
      </c>
      <c r="F10" s="5" t="s">
        <v>21</v>
      </c>
      <c r="G10" s="5" t="s">
        <v>18</v>
      </c>
      <c r="H10" s="7" t="s">
        <v>47</v>
      </c>
      <c r="I10" s="7" t="s">
        <v>19</v>
      </c>
      <c r="J10" s="7"/>
      <c r="K10" s="8">
        <v>46081</v>
      </c>
      <c r="L10" s="9">
        <v>7365700</v>
      </c>
      <c r="M10" s="10">
        <v>12</v>
      </c>
      <c r="N10" s="28">
        <f t="shared" si="0"/>
        <v>613808.33333333337</v>
      </c>
      <c r="O10" s="11">
        <f t="shared" si="2"/>
        <v>46415</v>
      </c>
      <c r="P10" s="5"/>
    </row>
    <row r="11" spans="1:16" ht="15.75" x14ac:dyDescent="0.25">
      <c r="A11" s="5">
        <f>SUBTOTAL(3,$B$2:B11)</f>
        <v>10</v>
      </c>
      <c r="B11" s="6">
        <v>46143</v>
      </c>
      <c r="C11" s="6" t="s">
        <v>46</v>
      </c>
      <c r="D11" s="5" t="s">
        <v>15</v>
      </c>
      <c r="E11" s="5" t="s">
        <v>20</v>
      </c>
      <c r="F11" s="5" t="s">
        <v>21</v>
      </c>
      <c r="G11" s="5" t="s">
        <v>18</v>
      </c>
      <c r="H11" s="7" t="s">
        <v>48</v>
      </c>
      <c r="I11" s="7" t="s">
        <v>19</v>
      </c>
      <c r="J11" s="31"/>
      <c r="K11" s="8">
        <v>46082</v>
      </c>
      <c r="L11" s="9">
        <v>7365700</v>
      </c>
      <c r="M11" s="10">
        <v>12</v>
      </c>
      <c r="N11" s="28">
        <f t="shared" si="0"/>
        <v>613808.33333333337</v>
      </c>
      <c r="O11" s="11">
        <f t="shared" si="2"/>
        <v>46419</v>
      </c>
      <c r="P11" s="5"/>
    </row>
    <row r="12" spans="1:16" ht="15.75" x14ac:dyDescent="0.25">
      <c r="A12" s="5">
        <f>SUBTOTAL(3,$B$2:B12)</f>
        <v>11</v>
      </c>
      <c r="B12" s="6">
        <v>46143</v>
      </c>
      <c r="C12" s="6" t="s">
        <v>46</v>
      </c>
      <c r="D12" s="5" t="s">
        <v>15</v>
      </c>
      <c r="E12" s="5" t="s">
        <v>20</v>
      </c>
      <c r="F12" s="5" t="s">
        <v>21</v>
      </c>
      <c r="G12" s="5" t="s">
        <v>18</v>
      </c>
      <c r="H12" s="7" t="s">
        <v>49</v>
      </c>
      <c r="I12" s="7" t="s">
        <v>19</v>
      </c>
      <c r="J12" s="7"/>
      <c r="K12" s="8">
        <v>46081</v>
      </c>
      <c r="L12" s="9">
        <v>7365700</v>
      </c>
      <c r="M12" s="10">
        <v>12</v>
      </c>
      <c r="N12" s="28">
        <f>IF(B12&gt;O12,"",L12/M12)</f>
        <v>613808.33333333337</v>
      </c>
      <c r="O12" s="11">
        <f t="shared" si="2"/>
        <v>46415</v>
      </c>
      <c r="P12" s="5"/>
    </row>
    <row r="13" spans="1:16" ht="15.75" x14ac:dyDescent="0.25">
      <c r="A13" s="5">
        <f>SUBTOTAL(3,$B$2:B13)</f>
        <v>12</v>
      </c>
      <c r="B13" s="6">
        <v>46143</v>
      </c>
      <c r="C13" s="6" t="s">
        <v>46</v>
      </c>
      <c r="D13" s="5" t="s">
        <v>15</v>
      </c>
      <c r="E13" s="5" t="s">
        <v>20</v>
      </c>
      <c r="F13" s="5" t="s">
        <v>21</v>
      </c>
      <c r="G13" s="5" t="s">
        <v>18</v>
      </c>
      <c r="H13" s="7" t="s">
        <v>50</v>
      </c>
      <c r="I13" s="7" t="s">
        <v>19</v>
      </c>
      <c r="J13" s="7"/>
      <c r="K13" s="8">
        <v>45870</v>
      </c>
      <c r="L13" s="9">
        <v>7365700</v>
      </c>
      <c r="M13" s="10">
        <v>12</v>
      </c>
      <c r="N13" s="28">
        <f t="shared" ref="N13:N29" si="3">IF(B13&gt;O13,"",L13/M13)</f>
        <v>613808.33333333337</v>
      </c>
      <c r="O13" s="11">
        <f t="shared" si="2"/>
        <v>46204</v>
      </c>
      <c r="P13" s="5"/>
    </row>
    <row r="14" spans="1:16" ht="15.75" x14ac:dyDescent="0.25">
      <c r="A14" s="5">
        <f>SUBTOTAL(3,$B$2:B14)</f>
        <v>13</v>
      </c>
      <c r="B14" s="6">
        <v>46143</v>
      </c>
      <c r="C14" s="6" t="s">
        <v>46</v>
      </c>
      <c r="D14" s="5" t="s">
        <v>15</v>
      </c>
      <c r="E14" s="5" t="s">
        <v>20</v>
      </c>
      <c r="F14" s="5" t="s">
        <v>21</v>
      </c>
      <c r="G14" s="5" t="s">
        <v>18</v>
      </c>
      <c r="H14" s="7" t="s">
        <v>51</v>
      </c>
      <c r="I14" s="7" t="s">
        <v>19</v>
      </c>
      <c r="J14" s="7"/>
      <c r="K14" s="8">
        <v>45870</v>
      </c>
      <c r="L14" s="9">
        <v>7365700</v>
      </c>
      <c r="M14" s="10">
        <v>12</v>
      </c>
      <c r="N14" s="28">
        <f t="shared" si="3"/>
        <v>613808.33333333337</v>
      </c>
      <c r="O14" s="11">
        <f t="shared" si="2"/>
        <v>46204</v>
      </c>
      <c r="P14" s="5"/>
    </row>
    <row r="15" spans="1:16" ht="15.75" x14ac:dyDescent="0.25">
      <c r="A15" s="5">
        <f>SUBTOTAL(3,$B$2:B15)</f>
        <v>14</v>
      </c>
      <c r="B15" s="6">
        <v>46143</v>
      </c>
      <c r="C15" s="6" t="s">
        <v>46</v>
      </c>
      <c r="D15" s="5" t="s">
        <v>15</v>
      </c>
      <c r="E15" s="5" t="s">
        <v>20</v>
      </c>
      <c r="F15" s="5" t="s">
        <v>21</v>
      </c>
      <c r="G15" s="5" t="s">
        <v>18</v>
      </c>
      <c r="H15" s="7" t="s">
        <v>52</v>
      </c>
      <c r="I15" s="7" t="s">
        <v>19</v>
      </c>
      <c r="J15" s="7"/>
      <c r="K15" s="8">
        <v>45870</v>
      </c>
      <c r="L15" s="9">
        <v>7365700</v>
      </c>
      <c r="M15" s="10">
        <v>12</v>
      </c>
      <c r="N15" s="28">
        <f t="shared" si="3"/>
        <v>613808.33333333337</v>
      </c>
      <c r="O15" s="11">
        <f t="shared" si="2"/>
        <v>46204</v>
      </c>
      <c r="P15" s="5"/>
    </row>
    <row r="16" spans="1:16" ht="15.75" x14ac:dyDescent="0.25">
      <c r="A16" s="5">
        <f>SUBTOTAL(3,$B$2:B16)</f>
        <v>15</v>
      </c>
      <c r="B16" s="6">
        <v>46143</v>
      </c>
      <c r="C16" s="6" t="s">
        <v>46</v>
      </c>
      <c r="D16" s="5" t="s">
        <v>15</v>
      </c>
      <c r="E16" s="5" t="s">
        <v>20</v>
      </c>
      <c r="F16" s="5" t="s">
        <v>21</v>
      </c>
      <c r="G16" s="5" t="s">
        <v>18</v>
      </c>
      <c r="H16" s="7" t="s">
        <v>53</v>
      </c>
      <c r="I16" s="7" t="s">
        <v>54</v>
      </c>
      <c r="J16" s="7"/>
      <c r="K16" s="8">
        <v>45829</v>
      </c>
      <c r="L16" s="9">
        <v>5372500</v>
      </c>
      <c r="M16" s="10">
        <v>12</v>
      </c>
      <c r="N16" s="28">
        <f t="shared" si="3"/>
        <v>447708.33333333331</v>
      </c>
      <c r="O16" s="11">
        <f t="shared" si="2"/>
        <v>46163</v>
      </c>
      <c r="P16" s="5"/>
    </row>
    <row r="17" spans="1:16" ht="15.75" x14ac:dyDescent="0.25">
      <c r="A17" s="5">
        <f>SUBTOTAL(3,$B$2:B17)</f>
        <v>16</v>
      </c>
      <c r="B17" s="6">
        <v>46143</v>
      </c>
      <c r="C17" s="6" t="s">
        <v>46</v>
      </c>
      <c r="D17" s="5" t="s">
        <v>15</v>
      </c>
      <c r="E17" s="5" t="s">
        <v>20</v>
      </c>
      <c r="F17" s="5" t="s">
        <v>21</v>
      </c>
      <c r="G17" s="5" t="s">
        <v>18</v>
      </c>
      <c r="H17" s="7" t="s">
        <v>55</v>
      </c>
      <c r="I17" s="7" t="s">
        <v>54</v>
      </c>
      <c r="J17" s="7"/>
      <c r="K17" s="8">
        <v>46143</v>
      </c>
      <c r="L17" s="9">
        <v>5372500</v>
      </c>
      <c r="M17" s="10">
        <v>12</v>
      </c>
      <c r="N17" s="28">
        <f t="shared" si="3"/>
        <v>447708.33333333331</v>
      </c>
      <c r="O17" s="11">
        <f t="shared" si="2"/>
        <v>46478</v>
      </c>
      <c r="P17" s="5"/>
    </row>
    <row r="18" spans="1:16" ht="15.75" x14ac:dyDescent="0.25">
      <c r="A18" s="5">
        <f>SUBTOTAL(3,$B$2:B18)</f>
        <v>17</v>
      </c>
      <c r="B18" s="6">
        <v>46143</v>
      </c>
      <c r="C18" s="6" t="s">
        <v>46</v>
      </c>
      <c r="D18" s="5" t="s">
        <v>15</v>
      </c>
      <c r="E18" s="5" t="s">
        <v>22</v>
      </c>
      <c r="F18" s="5" t="s">
        <v>23</v>
      </c>
      <c r="G18" s="5" t="s">
        <v>18</v>
      </c>
      <c r="H18" s="7" t="s">
        <v>47</v>
      </c>
      <c r="I18" s="7" t="s">
        <v>19</v>
      </c>
      <c r="J18" s="7"/>
      <c r="K18" s="8">
        <v>46081</v>
      </c>
      <c r="L18" s="9">
        <v>2160000</v>
      </c>
      <c r="M18" s="10">
        <v>12</v>
      </c>
      <c r="N18" s="28">
        <f t="shared" si="3"/>
        <v>180000</v>
      </c>
      <c r="O18" s="11">
        <f t="shared" si="2"/>
        <v>46415</v>
      </c>
      <c r="P18" s="5"/>
    </row>
    <row r="19" spans="1:16" ht="15.75" x14ac:dyDescent="0.25">
      <c r="A19" s="5">
        <f>SUBTOTAL(3,$B$2:B19)</f>
        <v>18</v>
      </c>
      <c r="B19" s="6">
        <v>46143</v>
      </c>
      <c r="C19" s="6" t="s">
        <v>46</v>
      </c>
      <c r="D19" s="5" t="s">
        <v>15</v>
      </c>
      <c r="E19" s="5" t="s">
        <v>22</v>
      </c>
      <c r="F19" s="5" t="s">
        <v>23</v>
      </c>
      <c r="G19" s="5" t="s">
        <v>18</v>
      </c>
      <c r="H19" s="7" t="s">
        <v>48</v>
      </c>
      <c r="I19" s="7" t="s">
        <v>19</v>
      </c>
      <c r="J19" s="31"/>
      <c r="K19" s="8">
        <v>46082</v>
      </c>
      <c r="L19" s="9">
        <v>2160000</v>
      </c>
      <c r="M19" s="10">
        <v>12</v>
      </c>
      <c r="N19" s="28">
        <f t="shared" si="3"/>
        <v>180000</v>
      </c>
      <c r="O19" s="11">
        <f t="shared" si="2"/>
        <v>46419</v>
      </c>
      <c r="P19" s="5"/>
    </row>
    <row r="20" spans="1:16" ht="15.75" x14ac:dyDescent="0.25">
      <c r="A20" s="5">
        <f>SUBTOTAL(3,$B$2:B20)</f>
        <v>19</v>
      </c>
      <c r="B20" s="6">
        <v>46143</v>
      </c>
      <c r="C20" s="6" t="s">
        <v>46</v>
      </c>
      <c r="D20" s="5" t="s">
        <v>15</v>
      </c>
      <c r="E20" s="5" t="s">
        <v>22</v>
      </c>
      <c r="F20" s="5" t="s">
        <v>23</v>
      </c>
      <c r="G20" s="5" t="s">
        <v>18</v>
      </c>
      <c r="H20" s="7" t="s">
        <v>49</v>
      </c>
      <c r="I20" s="7" t="s">
        <v>19</v>
      </c>
      <c r="J20" s="7"/>
      <c r="K20" s="8">
        <v>46081</v>
      </c>
      <c r="L20" s="9">
        <v>2160000</v>
      </c>
      <c r="M20" s="10">
        <v>12</v>
      </c>
      <c r="N20" s="28">
        <f t="shared" si="3"/>
        <v>180000</v>
      </c>
      <c r="O20" s="11">
        <f t="shared" si="2"/>
        <v>46415</v>
      </c>
      <c r="P20" s="5"/>
    </row>
    <row r="21" spans="1:16" ht="15.75" x14ac:dyDescent="0.25">
      <c r="A21" s="5">
        <f>SUBTOTAL(3,$B$2:B21)</f>
        <v>20</v>
      </c>
      <c r="B21" s="6">
        <v>46143</v>
      </c>
      <c r="C21" s="6" t="s">
        <v>46</v>
      </c>
      <c r="D21" s="5" t="s">
        <v>15</v>
      </c>
      <c r="E21" s="5" t="s">
        <v>22</v>
      </c>
      <c r="F21" s="5" t="s">
        <v>23</v>
      </c>
      <c r="G21" s="5" t="s">
        <v>18</v>
      </c>
      <c r="H21" s="7" t="s">
        <v>50</v>
      </c>
      <c r="I21" s="7" t="s">
        <v>19</v>
      </c>
      <c r="J21" s="7"/>
      <c r="K21" s="8">
        <v>45870</v>
      </c>
      <c r="L21" s="9">
        <v>2160000</v>
      </c>
      <c r="M21" s="10">
        <v>12</v>
      </c>
      <c r="N21" s="28">
        <f t="shared" si="3"/>
        <v>180000</v>
      </c>
      <c r="O21" s="11">
        <f t="shared" si="2"/>
        <v>46204</v>
      </c>
      <c r="P21" s="5"/>
    </row>
    <row r="22" spans="1:16" ht="15.75" x14ac:dyDescent="0.25">
      <c r="A22" s="5">
        <f>SUBTOTAL(3,$B$2:B22)</f>
        <v>21</v>
      </c>
      <c r="B22" s="6">
        <v>46143</v>
      </c>
      <c r="C22" s="6" t="s">
        <v>46</v>
      </c>
      <c r="D22" s="5" t="s">
        <v>15</v>
      </c>
      <c r="E22" s="5" t="s">
        <v>22</v>
      </c>
      <c r="F22" s="5" t="s">
        <v>23</v>
      </c>
      <c r="G22" s="5" t="s">
        <v>18</v>
      </c>
      <c r="H22" s="7" t="s">
        <v>51</v>
      </c>
      <c r="I22" s="7" t="s">
        <v>19</v>
      </c>
      <c r="J22" s="7"/>
      <c r="K22" s="8">
        <v>45870</v>
      </c>
      <c r="L22" s="9">
        <v>2160000</v>
      </c>
      <c r="M22" s="10">
        <v>12</v>
      </c>
      <c r="N22" s="28">
        <f t="shared" si="3"/>
        <v>180000</v>
      </c>
      <c r="O22" s="11">
        <f t="shared" si="2"/>
        <v>46204</v>
      </c>
      <c r="P22" s="5"/>
    </row>
    <row r="23" spans="1:16" ht="15.75" x14ac:dyDescent="0.25">
      <c r="A23" s="5">
        <f>SUBTOTAL(3,$B$2:B23)</f>
        <v>22</v>
      </c>
      <c r="B23" s="6">
        <v>46143</v>
      </c>
      <c r="C23" s="6" t="s">
        <v>46</v>
      </c>
      <c r="D23" s="5" t="s">
        <v>15</v>
      </c>
      <c r="E23" s="5" t="s">
        <v>22</v>
      </c>
      <c r="F23" s="5" t="s">
        <v>23</v>
      </c>
      <c r="G23" s="5" t="s">
        <v>18</v>
      </c>
      <c r="H23" s="7" t="s">
        <v>52</v>
      </c>
      <c r="I23" s="7" t="s">
        <v>19</v>
      </c>
      <c r="J23" s="7"/>
      <c r="K23" s="8">
        <v>45870</v>
      </c>
      <c r="L23" s="9">
        <v>2160000</v>
      </c>
      <c r="M23" s="10">
        <v>12</v>
      </c>
      <c r="N23" s="28">
        <f t="shared" si="3"/>
        <v>180000</v>
      </c>
      <c r="O23" s="11">
        <f>EDATE(K23, M23-1)</f>
        <v>46204</v>
      </c>
      <c r="P23" s="5"/>
    </row>
    <row r="24" spans="1:16" ht="15.75" x14ac:dyDescent="0.25">
      <c r="A24" s="5">
        <f>SUBTOTAL(3,$B$2:B24)</f>
        <v>23</v>
      </c>
      <c r="B24" s="6">
        <v>46143</v>
      </c>
      <c r="C24" s="6" t="s">
        <v>46</v>
      </c>
      <c r="D24" s="5" t="s">
        <v>15</v>
      </c>
      <c r="E24" s="5" t="s">
        <v>22</v>
      </c>
      <c r="F24" s="5" t="s">
        <v>23</v>
      </c>
      <c r="G24" s="5" t="s">
        <v>18</v>
      </c>
      <c r="H24" s="7" t="s">
        <v>53</v>
      </c>
      <c r="I24" s="7" t="s">
        <v>54</v>
      </c>
      <c r="J24" s="7"/>
      <c r="K24" s="8">
        <v>45829</v>
      </c>
      <c r="L24" s="9">
        <v>4330000</v>
      </c>
      <c r="M24" s="10">
        <v>12</v>
      </c>
      <c r="N24" s="28">
        <f t="shared" si="3"/>
        <v>360833.33333333331</v>
      </c>
      <c r="O24" s="11">
        <f t="shared" ref="O24" si="4">EDATE(K24, M24-1)</f>
        <v>46163</v>
      </c>
      <c r="P24" s="5"/>
    </row>
    <row r="25" spans="1:16" ht="15.75" x14ac:dyDescent="0.25">
      <c r="A25" s="5">
        <f>SUBTOTAL(3,$B$2:B25)</f>
        <v>24</v>
      </c>
      <c r="B25" s="6">
        <v>46143</v>
      </c>
      <c r="C25" s="6" t="s">
        <v>46</v>
      </c>
      <c r="D25" s="5" t="s">
        <v>15</v>
      </c>
      <c r="E25" s="5" t="s">
        <v>22</v>
      </c>
      <c r="F25" s="5" t="s">
        <v>23</v>
      </c>
      <c r="G25" s="5" t="s">
        <v>18</v>
      </c>
      <c r="H25" s="7" t="s">
        <v>55</v>
      </c>
      <c r="I25" s="7" t="s">
        <v>54</v>
      </c>
      <c r="J25" s="7"/>
      <c r="K25" s="8">
        <v>46143</v>
      </c>
      <c r="L25" s="9">
        <v>4330000</v>
      </c>
      <c r="M25" s="10">
        <v>12</v>
      </c>
      <c r="N25" s="28">
        <f t="shared" si="3"/>
        <v>360833.33333333331</v>
      </c>
      <c r="O25" s="11">
        <f>EDATE(K25, M25-1)</f>
        <v>46478</v>
      </c>
      <c r="P25" s="5"/>
    </row>
    <row r="26" spans="1:16" ht="15.75" x14ac:dyDescent="0.25">
      <c r="A26" s="5">
        <f>SUBTOTAL(3,$B$2:B26)</f>
        <v>25</v>
      </c>
      <c r="B26" s="6">
        <v>46143</v>
      </c>
      <c r="C26" s="6" t="s">
        <v>46</v>
      </c>
      <c r="D26" s="5" t="s">
        <v>15</v>
      </c>
      <c r="E26" s="5" t="s">
        <v>24</v>
      </c>
      <c r="F26" s="5" t="s">
        <v>56</v>
      </c>
      <c r="G26" s="5" t="s">
        <v>18</v>
      </c>
      <c r="H26" s="7" t="s">
        <v>53</v>
      </c>
      <c r="I26" s="7" t="s">
        <v>54</v>
      </c>
      <c r="J26" s="7"/>
      <c r="K26" s="8">
        <v>45471</v>
      </c>
      <c r="L26" s="9">
        <v>12800000</v>
      </c>
      <c r="M26" s="10">
        <v>24</v>
      </c>
      <c r="N26" s="28">
        <f t="shared" si="3"/>
        <v>533333.33333333337</v>
      </c>
      <c r="O26" s="11">
        <f t="shared" ref="O26:O54" si="5">EDATE(K26, M26-1)</f>
        <v>46170</v>
      </c>
      <c r="P26" s="5"/>
    </row>
    <row r="27" spans="1:16" ht="15.75" x14ac:dyDescent="0.25">
      <c r="A27" s="5">
        <f>SUBTOTAL(3,$B$2:B27)</f>
        <v>26</v>
      </c>
      <c r="B27" s="6">
        <v>46143</v>
      </c>
      <c r="C27" s="6" t="s">
        <v>46</v>
      </c>
      <c r="D27" s="5" t="s">
        <v>15</v>
      </c>
      <c r="E27" s="5" t="s">
        <v>24</v>
      </c>
      <c r="F27" s="5" t="s">
        <v>56</v>
      </c>
      <c r="G27" s="5" t="s">
        <v>18</v>
      </c>
      <c r="H27" s="7" t="s">
        <v>55</v>
      </c>
      <c r="I27" s="7" t="s">
        <v>54</v>
      </c>
      <c r="J27" s="7"/>
      <c r="K27" s="8">
        <v>45471</v>
      </c>
      <c r="L27" s="9">
        <v>12800000</v>
      </c>
      <c r="M27" s="10">
        <v>24</v>
      </c>
      <c r="N27" s="28">
        <f t="shared" si="3"/>
        <v>533333.33333333337</v>
      </c>
      <c r="O27" s="11">
        <f t="shared" si="5"/>
        <v>46170</v>
      </c>
      <c r="P27" s="5"/>
    </row>
    <row r="28" spans="1:16" ht="15.75" x14ac:dyDescent="0.25">
      <c r="A28" s="5">
        <f>SUBTOTAL(3,$B$2:B28)</f>
        <v>27</v>
      </c>
      <c r="B28" s="6">
        <v>46143</v>
      </c>
      <c r="C28" s="6" t="s">
        <v>46</v>
      </c>
      <c r="D28" s="5" t="s">
        <v>15</v>
      </c>
      <c r="E28" s="5" t="s">
        <v>24</v>
      </c>
      <c r="F28" s="5" t="s">
        <v>57</v>
      </c>
      <c r="G28" s="5" t="s">
        <v>18</v>
      </c>
      <c r="H28" s="7" t="s">
        <v>53</v>
      </c>
      <c r="I28" s="7" t="s">
        <v>54</v>
      </c>
      <c r="J28" s="7"/>
      <c r="K28" s="8">
        <v>45471</v>
      </c>
      <c r="L28" s="9">
        <v>4350000</v>
      </c>
      <c r="M28" s="10">
        <v>24</v>
      </c>
      <c r="N28" s="28">
        <f t="shared" si="3"/>
        <v>181250</v>
      </c>
      <c r="O28" s="11">
        <f t="shared" si="5"/>
        <v>46170</v>
      </c>
      <c r="P28" s="5"/>
    </row>
    <row r="29" spans="1:16" ht="15.75" x14ac:dyDescent="0.25">
      <c r="A29" s="5">
        <f>SUBTOTAL(3,$B$2:B29)</f>
        <v>28</v>
      </c>
      <c r="B29" s="6">
        <v>46143</v>
      </c>
      <c r="C29" s="6" t="s">
        <v>46</v>
      </c>
      <c r="D29" s="5" t="s">
        <v>15</v>
      </c>
      <c r="E29" s="5" t="s">
        <v>24</v>
      </c>
      <c r="F29" s="5" t="s">
        <v>57</v>
      </c>
      <c r="G29" s="5" t="s">
        <v>18</v>
      </c>
      <c r="H29" s="7" t="s">
        <v>55</v>
      </c>
      <c r="I29" s="7" t="s">
        <v>54</v>
      </c>
      <c r="J29" s="7"/>
      <c r="K29" s="8">
        <v>45471</v>
      </c>
      <c r="L29" s="9">
        <v>4350000</v>
      </c>
      <c r="M29" s="10">
        <v>24</v>
      </c>
      <c r="N29" s="28">
        <f t="shared" si="3"/>
        <v>181250</v>
      </c>
      <c r="O29" s="11">
        <f t="shared" si="5"/>
        <v>46170</v>
      </c>
      <c r="P29" s="5"/>
    </row>
    <row r="30" spans="1:16" ht="15.75" x14ac:dyDescent="0.25">
      <c r="A30" s="5">
        <f>SUBTOTAL(3,$B$2:B30)</f>
        <v>29</v>
      </c>
      <c r="B30" s="6">
        <v>46143</v>
      </c>
      <c r="C30" s="6" t="s">
        <v>46</v>
      </c>
      <c r="D30" s="5" t="s">
        <v>15</v>
      </c>
      <c r="E30" s="5" t="s">
        <v>24</v>
      </c>
      <c r="F30" s="5" t="s">
        <v>58</v>
      </c>
      <c r="G30" s="5" t="s">
        <v>18</v>
      </c>
      <c r="H30" s="7" t="s">
        <v>53</v>
      </c>
      <c r="I30" s="7" t="s">
        <v>54</v>
      </c>
      <c r="J30" s="7"/>
      <c r="K30" s="8">
        <v>45530</v>
      </c>
      <c r="L30" s="9">
        <v>27000000</v>
      </c>
      <c r="M30" s="10">
        <v>24</v>
      </c>
      <c r="N30" s="28">
        <f>IF(B30&gt;O30,"",L30/M30)</f>
        <v>1125000</v>
      </c>
      <c r="O30" s="11">
        <f t="shared" si="5"/>
        <v>46229</v>
      </c>
      <c r="P30" s="5"/>
    </row>
    <row r="31" spans="1:16" ht="15.75" x14ac:dyDescent="0.25">
      <c r="A31" s="5">
        <f>SUBTOTAL(3,$B$2:B31)</f>
        <v>30</v>
      </c>
      <c r="B31" s="6">
        <v>46143</v>
      </c>
      <c r="C31" s="6" t="s">
        <v>46</v>
      </c>
      <c r="D31" s="5" t="s">
        <v>15</v>
      </c>
      <c r="E31" s="5" t="s">
        <v>24</v>
      </c>
      <c r="F31" s="5" t="s">
        <v>58</v>
      </c>
      <c r="G31" s="5" t="s">
        <v>18</v>
      </c>
      <c r="H31" s="7" t="s">
        <v>55</v>
      </c>
      <c r="I31" s="7" t="s">
        <v>54</v>
      </c>
      <c r="J31" s="7"/>
      <c r="K31" s="8">
        <v>45530</v>
      </c>
      <c r="L31" s="9">
        <v>27000000</v>
      </c>
      <c r="M31" s="10">
        <v>24</v>
      </c>
      <c r="N31" s="28">
        <f>IF(B31&gt;O31,"",L31/M31)</f>
        <v>1125000</v>
      </c>
      <c r="O31" s="11">
        <f t="shared" si="5"/>
        <v>46229</v>
      </c>
      <c r="P31" s="5"/>
    </row>
    <row r="32" spans="1:16" ht="15.75" x14ac:dyDescent="0.25">
      <c r="A32" s="5">
        <f>SUBTOTAL(3,$B$2:B32)</f>
        <v>31</v>
      </c>
      <c r="B32" s="6">
        <v>46143</v>
      </c>
      <c r="C32" s="6" t="s">
        <v>46</v>
      </c>
      <c r="D32" s="5" t="s">
        <v>15</v>
      </c>
      <c r="E32" s="5" t="s">
        <v>24</v>
      </c>
      <c r="F32" s="5" t="s">
        <v>25</v>
      </c>
      <c r="G32" s="5" t="s">
        <v>18</v>
      </c>
      <c r="H32" s="7" t="s">
        <v>47</v>
      </c>
      <c r="I32" s="7" t="s">
        <v>19</v>
      </c>
      <c r="J32" s="7"/>
      <c r="K32" s="8">
        <v>45653</v>
      </c>
      <c r="L32" s="9">
        <v>5200000</v>
      </c>
      <c r="M32" s="10">
        <v>24</v>
      </c>
      <c r="N32" s="28">
        <f>IF(B32&gt;O32,"",L32/M32)</f>
        <v>216666.66666666666</v>
      </c>
      <c r="O32" s="11">
        <f t="shared" si="5"/>
        <v>46353</v>
      </c>
      <c r="P32" s="5"/>
    </row>
    <row r="33" spans="1:16" ht="15.75" x14ac:dyDescent="0.25">
      <c r="A33" s="5">
        <f>SUBTOTAL(3,$B$2:B33)</f>
        <v>32</v>
      </c>
      <c r="B33" s="6">
        <v>46143</v>
      </c>
      <c r="C33" s="6" t="s">
        <v>46</v>
      </c>
      <c r="D33" s="5" t="s">
        <v>15</v>
      </c>
      <c r="E33" s="5" t="s">
        <v>24</v>
      </c>
      <c r="F33" s="5" t="s">
        <v>25</v>
      </c>
      <c r="G33" s="5" t="s">
        <v>18</v>
      </c>
      <c r="H33" s="7" t="s">
        <v>48</v>
      </c>
      <c r="I33" s="7" t="s">
        <v>19</v>
      </c>
      <c r="J33" s="31"/>
      <c r="K33" s="8">
        <v>45653</v>
      </c>
      <c r="L33" s="9">
        <v>5200000</v>
      </c>
      <c r="M33" s="10">
        <v>24</v>
      </c>
      <c r="N33" s="28">
        <f t="shared" ref="N33:N71" si="6">IF(B33&gt;O33,"",L33/M33)</f>
        <v>216666.66666666666</v>
      </c>
      <c r="O33" s="11">
        <f t="shared" si="5"/>
        <v>46353</v>
      </c>
      <c r="P33" s="5"/>
    </row>
    <row r="34" spans="1:16" ht="15.75" x14ac:dyDescent="0.25">
      <c r="A34" s="5">
        <f>SUBTOTAL(3,$B$2:B34)</f>
        <v>33</v>
      </c>
      <c r="B34" s="6">
        <v>46143</v>
      </c>
      <c r="C34" s="6" t="s">
        <v>46</v>
      </c>
      <c r="D34" s="5" t="s">
        <v>15</v>
      </c>
      <c r="E34" s="5" t="s">
        <v>24</v>
      </c>
      <c r="F34" s="5" t="s">
        <v>25</v>
      </c>
      <c r="G34" s="5" t="s">
        <v>18</v>
      </c>
      <c r="H34" s="7" t="s">
        <v>49</v>
      </c>
      <c r="I34" s="7" t="s">
        <v>19</v>
      </c>
      <c r="J34" s="7"/>
      <c r="K34" s="8">
        <v>45653</v>
      </c>
      <c r="L34" s="9">
        <v>5200000</v>
      </c>
      <c r="M34" s="10">
        <v>24</v>
      </c>
      <c r="N34" s="28">
        <f t="shared" si="6"/>
        <v>216666.66666666666</v>
      </c>
      <c r="O34" s="11">
        <f t="shared" si="5"/>
        <v>46353</v>
      </c>
      <c r="P34" s="5"/>
    </row>
    <row r="35" spans="1:16" ht="15.75" x14ac:dyDescent="0.25">
      <c r="A35" s="5">
        <f>SUBTOTAL(3,$B$2:B35)</f>
        <v>34</v>
      </c>
      <c r="B35" s="6">
        <v>46143</v>
      </c>
      <c r="C35" s="6" t="s">
        <v>46</v>
      </c>
      <c r="D35" s="5" t="s">
        <v>15</v>
      </c>
      <c r="E35" s="5" t="s">
        <v>24</v>
      </c>
      <c r="F35" s="5" t="s">
        <v>25</v>
      </c>
      <c r="G35" s="5" t="s">
        <v>18</v>
      </c>
      <c r="H35" s="7" t="s">
        <v>50</v>
      </c>
      <c r="I35" s="7" t="s">
        <v>19</v>
      </c>
      <c r="J35" s="7"/>
      <c r="K35" s="8">
        <v>45854</v>
      </c>
      <c r="L35" s="9">
        <v>5200000</v>
      </c>
      <c r="M35" s="10">
        <v>24</v>
      </c>
      <c r="N35" s="28">
        <f t="shared" si="6"/>
        <v>216666.66666666666</v>
      </c>
      <c r="O35" s="11">
        <f t="shared" si="5"/>
        <v>46554</v>
      </c>
      <c r="P35" s="5"/>
    </row>
    <row r="36" spans="1:16" ht="15.75" x14ac:dyDescent="0.25">
      <c r="A36" s="5">
        <f>SUBTOTAL(3,$B$2:B36)</f>
        <v>35</v>
      </c>
      <c r="B36" s="6">
        <v>46143</v>
      </c>
      <c r="C36" s="6" t="s">
        <v>46</v>
      </c>
      <c r="D36" s="5" t="s">
        <v>15</v>
      </c>
      <c r="E36" s="5" t="s">
        <v>24</v>
      </c>
      <c r="F36" s="5" t="s">
        <v>25</v>
      </c>
      <c r="G36" s="5" t="s">
        <v>18</v>
      </c>
      <c r="H36" s="7" t="s">
        <v>51</v>
      </c>
      <c r="I36" s="7" t="s">
        <v>19</v>
      </c>
      <c r="J36" s="7"/>
      <c r="K36" s="8">
        <v>45854</v>
      </c>
      <c r="L36" s="9">
        <v>5200000</v>
      </c>
      <c r="M36" s="10">
        <v>24</v>
      </c>
      <c r="N36" s="28">
        <f t="shared" si="6"/>
        <v>216666.66666666666</v>
      </c>
      <c r="O36" s="11">
        <f t="shared" si="5"/>
        <v>46554</v>
      </c>
      <c r="P36" s="5"/>
    </row>
    <row r="37" spans="1:16" ht="15.75" x14ac:dyDescent="0.25">
      <c r="A37" s="5">
        <f>SUBTOTAL(3,$B$2:B37)</f>
        <v>36</v>
      </c>
      <c r="B37" s="6">
        <v>46143</v>
      </c>
      <c r="C37" s="6" t="s">
        <v>46</v>
      </c>
      <c r="D37" s="5" t="s">
        <v>15</v>
      </c>
      <c r="E37" s="5" t="s">
        <v>24</v>
      </c>
      <c r="F37" s="5" t="s">
        <v>25</v>
      </c>
      <c r="G37" s="5" t="s">
        <v>18</v>
      </c>
      <c r="H37" s="7" t="s">
        <v>52</v>
      </c>
      <c r="I37" s="7" t="s">
        <v>19</v>
      </c>
      <c r="J37" s="7"/>
      <c r="K37" s="8">
        <v>45854</v>
      </c>
      <c r="L37" s="9">
        <v>5200000</v>
      </c>
      <c r="M37" s="10">
        <v>24</v>
      </c>
      <c r="N37" s="28">
        <f t="shared" si="6"/>
        <v>216666.66666666666</v>
      </c>
      <c r="O37" s="11">
        <f t="shared" si="5"/>
        <v>46554</v>
      </c>
      <c r="P37" s="5"/>
    </row>
    <row r="38" spans="1:16" ht="15.75" x14ac:dyDescent="0.25">
      <c r="A38" s="5">
        <f>SUBTOTAL(3,$B$2:B38)</f>
        <v>37</v>
      </c>
      <c r="B38" s="6">
        <v>46143</v>
      </c>
      <c r="C38" s="6" t="s">
        <v>46</v>
      </c>
      <c r="D38" s="5" t="s">
        <v>15</v>
      </c>
      <c r="E38" s="5" t="s">
        <v>24</v>
      </c>
      <c r="F38" s="5" t="s">
        <v>25</v>
      </c>
      <c r="G38" s="5" t="s">
        <v>18</v>
      </c>
      <c r="H38" s="7" t="s">
        <v>53</v>
      </c>
      <c r="I38" s="7" t="s">
        <v>54</v>
      </c>
      <c r="J38" s="7"/>
      <c r="K38" s="8">
        <v>45530</v>
      </c>
      <c r="L38" s="9">
        <v>5200000</v>
      </c>
      <c r="M38" s="10">
        <v>24</v>
      </c>
      <c r="N38" s="28">
        <f t="shared" si="6"/>
        <v>216666.66666666666</v>
      </c>
      <c r="O38" s="11">
        <f t="shared" si="5"/>
        <v>46229</v>
      </c>
      <c r="P38" s="5"/>
    </row>
    <row r="39" spans="1:16" ht="15.75" x14ac:dyDescent="0.25">
      <c r="A39" s="5">
        <f>SUBTOTAL(3,$B$2:B39)</f>
        <v>38</v>
      </c>
      <c r="B39" s="6">
        <v>46143</v>
      </c>
      <c r="C39" s="6" t="s">
        <v>46</v>
      </c>
      <c r="D39" s="5" t="s">
        <v>15</v>
      </c>
      <c r="E39" s="5" t="s">
        <v>24</v>
      </c>
      <c r="F39" s="5" t="s">
        <v>25</v>
      </c>
      <c r="G39" s="5" t="s">
        <v>18</v>
      </c>
      <c r="H39" s="7" t="s">
        <v>55</v>
      </c>
      <c r="I39" s="7" t="s">
        <v>54</v>
      </c>
      <c r="J39" s="7"/>
      <c r="K39" s="8">
        <v>45408</v>
      </c>
      <c r="L39" s="9">
        <v>5200000</v>
      </c>
      <c r="M39" s="10">
        <v>24</v>
      </c>
      <c r="N39" s="28" t="str">
        <f t="shared" si="6"/>
        <v/>
      </c>
      <c r="O39" s="11">
        <f t="shared" si="5"/>
        <v>46107</v>
      </c>
      <c r="P39" s="5"/>
    </row>
    <row r="40" spans="1:16" ht="15.75" x14ac:dyDescent="0.25">
      <c r="A40" s="5">
        <f>SUBTOTAL(3,$B$2:B40)</f>
        <v>39</v>
      </c>
      <c r="B40" s="6">
        <v>46143</v>
      </c>
      <c r="C40" s="6" t="s">
        <v>46</v>
      </c>
      <c r="D40" s="5" t="s">
        <v>15</v>
      </c>
      <c r="E40" s="5" t="s">
        <v>24</v>
      </c>
      <c r="F40" s="5" t="s">
        <v>26</v>
      </c>
      <c r="G40" s="5" t="s">
        <v>18</v>
      </c>
      <c r="H40" s="7" t="s">
        <v>47</v>
      </c>
      <c r="I40" s="7" t="s">
        <v>19</v>
      </c>
      <c r="J40" s="7"/>
      <c r="K40" s="8">
        <v>45729</v>
      </c>
      <c r="L40" s="9">
        <v>1365000</v>
      </c>
      <c r="M40" s="10">
        <v>12</v>
      </c>
      <c r="N40" s="28" t="str">
        <f t="shared" si="6"/>
        <v/>
      </c>
      <c r="O40" s="11">
        <f t="shared" si="5"/>
        <v>46066</v>
      </c>
      <c r="P40" s="5"/>
    </row>
    <row r="41" spans="1:16" ht="15.75" x14ac:dyDescent="0.25">
      <c r="A41" s="5">
        <f>SUBTOTAL(3,$B$2:B41)</f>
        <v>40</v>
      </c>
      <c r="B41" s="6">
        <v>46143</v>
      </c>
      <c r="C41" s="6" t="s">
        <v>46</v>
      </c>
      <c r="D41" s="5" t="s">
        <v>15</v>
      </c>
      <c r="E41" s="5" t="s">
        <v>24</v>
      </c>
      <c r="F41" s="5" t="s">
        <v>26</v>
      </c>
      <c r="G41" s="5" t="s">
        <v>18</v>
      </c>
      <c r="H41" s="7" t="s">
        <v>48</v>
      </c>
      <c r="I41" s="7" t="s">
        <v>19</v>
      </c>
      <c r="J41" s="31"/>
      <c r="K41" s="8">
        <v>45729</v>
      </c>
      <c r="L41" s="9">
        <v>1365000</v>
      </c>
      <c r="M41" s="10">
        <v>12</v>
      </c>
      <c r="N41" s="28" t="str">
        <f t="shared" si="6"/>
        <v/>
      </c>
      <c r="O41" s="11">
        <f t="shared" si="5"/>
        <v>46066</v>
      </c>
      <c r="P41" s="5"/>
    </row>
    <row r="42" spans="1:16" ht="15.75" x14ac:dyDescent="0.25">
      <c r="A42" s="5">
        <f>SUBTOTAL(3,$B$2:B42)</f>
        <v>41</v>
      </c>
      <c r="B42" s="6">
        <v>46143</v>
      </c>
      <c r="C42" s="6" t="s">
        <v>46</v>
      </c>
      <c r="D42" s="5" t="s">
        <v>15</v>
      </c>
      <c r="E42" s="5" t="s">
        <v>24</v>
      </c>
      <c r="F42" s="5" t="s">
        <v>26</v>
      </c>
      <c r="G42" s="5" t="s">
        <v>18</v>
      </c>
      <c r="H42" s="7" t="s">
        <v>49</v>
      </c>
      <c r="I42" s="7" t="s">
        <v>19</v>
      </c>
      <c r="J42" s="7"/>
      <c r="K42" s="8">
        <v>45729</v>
      </c>
      <c r="L42" s="9">
        <v>1365000</v>
      </c>
      <c r="M42" s="10">
        <v>12</v>
      </c>
      <c r="N42" s="28" t="str">
        <f t="shared" si="6"/>
        <v/>
      </c>
      <c r="O42" s="11">
        <f t="shared" si="5"/>
        <v>46066</v>
      </c>
      <c r="P42" s="5"/>
    </row>
    <row r="43" spans="1:16" ht="15.75" x14ac:dyDescent="0.25">
      <c r="A43" s="5">
        <f>SUBTOTAL(3,$B$2:B43)</f>
        <v>42</v>
      </c>
      <c r="B43" s="6">
        <v>46143</v>
      </c>
      <c r="C43" s="6" t="s">
        <v>46</v>
      </c>
      <c r="D43" s="5" t="s">
        <v>15</v>
      </c>
      <c r="E43" s="5" t="s">
        <v>24</v>
      </c>
      <c r="F43" s="5" t="s">
        <v>26</v>
      </c>
      <c r="G43" s="5" t="s">
        <v>18</v>
      </c>
      <c r="H43" s="7" t="s">
        <v>50</v>
      </c>
      <c r="I43" s="7" t="s">
        <v>19</v>
      </c>
      <c r="J43" s="7"/>
      <c r="K43" s="8">
        <v>45870</v>
      </c>
      <c r="L43" s="9">
        <v>1365000</v>
      </c>
      <c r="M43" s="10">
        <v>12</v>
      </c>
      <c r="N43" s="28">
        <f t="shared" si="6"/>
        <v>113750</v>
      </c>
      <c r="O43" s="11">
        <f t="shared" si="5"/>
        <v>46204</v>
      </c>
      <c r="P43" s="5"/>
    </row>
    <row r="44" spans="1:16" ht="15.75" x14ac:dyDescent="0.25">
      <c r="A44" s="5">
        <f>SUBTOTAL(3,$B$2:B44)</f>
        <v>43</v>
      </c>
      <c r="B44" s="6">
        <v>46143</v>
      </c>
      <c r="C44" s="6" t="s">
        <v>46</v>
      </c>
      <c r="D44" s="5" t="s">
        <v>15</v>
      </c>
      <c r="E44" s="5" t="s">
        <v>24</v>
      </c>
      <c r="F44" s="5" t="s">
        <v>26</v>
      </c>
      <c r="G44" s="5" t="s">
        <v>18</v>
      </c>
      <c r="H44" s="7" t="s">
        <v>51</v>
      </c>
      <c r="I44" s="7" t="s">
        <v>19</v>
      </c>
      <c r="J44" s="7"/>
      <c r="K44" s="8">
        <v>45870</v>
      </c>
      <c r="L44" s="9">
        <v>1365000</v>
      </c>
      <c r="M44" s="10">
        <v>12</v>
      </c>
      <c r="N44" s="28">
        <f t="shared" si="6"/>
        <v>113750</v>
      </c>
      <c r="O44" s="11">
        <f t="shared" si="5"/>
        <v>46204</v>
      </c>
      <c r="P44" s="5"/>
    </row>
    <row r="45" spans="1:16" ht="15.75" x14ac:dyDescent="0.25">
      <c r="A45" s="5">
        <f>SUBTOTAL(3,$B$2:B45)</f>
        <v>44</v>
      </c>
      <c r="B45" s="6">
        <v>46143</v>
      </c>
      <c r="C45" s="6" t="s">
        <v>46</v>
      </c>
      <c r="D45" s="5" t="s">
        <v>15</v>
      </c>
      <c r="E45" s="5" t="s">
        <v>24</v>
      </c>
      <c r="F45" s="5" t="s">
        <v>26</v>
      </c>
      <c r="G45" s="5" t="s">
        <v>18</v>
      </c>
      <c r="H45" s="7" t="s">
        <v>52</v>
      </c>
      <c r="I45" s="7" t="s">
        <v>19</v>
      </c>
      <c r="J45" s="7"/>
      <c r="K45" s="8">
        <v>45870</v>
      </c>
      <c r="L45" s="9">
        <v>1365000</v>
      </c>
      <c r="M45" s="10">
        <v>12</v>
      </c>
      <c r="N45" s="28">
        <f t="shared" si="6"/>
        <v>113750</v>
      </c>
      <c r="O45" s="11">
        <f t="shared" si="5"/>
        <v>46204</v>
      </c>
      <c r="P45" s="5"/>
    </row>
    <row r="46" spans="1:16" ht="15.75" x14ac:dyDescent="0.25">
      <c r="A46" s="5">
        <f>SUBTOTAL(3,$B$2:B46)</f>
        <v>45</v>
      </c>
      <c r="B46" s="6">
        <v>46143</v>
      </c>
      <c r="C46" s="6" t="s">
        <v>46</v>
      </c>
      <c r="D46" s="5" t="s">
        <v>15</v>
      </c>
      <c r="E46" s="5" t="s">
        <v>24</v>
      </c>
      <c r="F46" s="5" t="s">
        <v>27</v>
      </c>
      <c r="G46" s="5" t="s">
        <v>18</v>
      </c>
      <c r="H46" s="7" t="s">
        <v>47</v>
      </c>
      <c r="I46" s="7" t="s">
        <v>19</v>
      </c>
      <c r="J46" s="7"/>
      <c r="K46" s="8">
        <v>46018</v>
      </c>
      <c r="L46" s="9">
        <v>700000</v>
      </c>
      <c r="M46" s="10">
        <v>12</v>
      </c>
      <c r="N46" s="9">
        <f t="shared" si="6"/>
        <v>58333.333333333336</v>
      </c>
      <c r="O46" s="11">
        <f t="shared" si="5"/>
        <v>46353</v>
      </c>
      <c r="P46" s="5"/>
    </row>
    <row r="47" spans="1:16" ht="15.75" x14ac:dyDescent="0.25">
      <c r="A47" s="5">
        <f>SUBTOTAL(3,$B$2:B47)</f>
        <v>46</v>
      </c>
      <c r="B47" s="6">
        <v>46143</v>
      </c>
      <c r="C47" s="6" t="s">
        <v>46</v>
      </c>
      <c r="D47" s="5" t="s">
        <v>15</v>
      </c>
      <c r="E47" s="5" t="s">
        <v>24</v>
      </c>
      <c r="F47" s="5" t="s">
        <v>27</v>
      </c>
      <c r="G47" s="5" t="s">
        <v>18</v>
      </c>
      <c r="H47" s="7" t="s">
        <v>48</v>
      </c>
      <c r="I47" s="7" t="s">
        <v>19</v>
      </c>
      <c r="J47" s="31"/>
      <c r="K47" s="8">
        <v>46018</v>
      </c>
      <c r="L47" s="9">
        <v>700000</v>
      </c>
      <c r="M47" s="10">
        <v>12</v>
      </c>
      <c r="N47" s="9">
        <f t="shared" si="6"/>
        <v>58333.333333333336</v>
      </c>
      <c r="O47" s="11">
        <f t="shared" si="5"/>
        <v>46353</v>
      </c>
      <c r="P47" s="5"/>
    </row>
    <row r="48" spans="1:16" ht="15.75" x14ac:dyDescent="0.25">
      <c r="A48" s="5">
        <f>SUBTOTAL(3,$B$2:B48)</f>
        <v>47</v>
      </c>
      <c r="B48" s="6">
        <v>46143</v>
      </c>
      <c r="C48" s="6" t="s">
        <v>46</v>
      </c>
      <c r="D48" s="5" t="s">
        <v>15</v>
      </c>
      <c r="E48" s="5" t="s">
        <v>24</v>
      </c>
      <c r="F48" s="5" t="s">
        <v>27</v>
      </c>
      <c r="G48" s="5" t="s">
        <v>18</v>
      </c>
      <c r="H48" s="7" t="s">
        <v>49</v>
      </c>
      <c r="I48" s="7" t="s">
        <v>19</v>
      </c>
      <c r="J48" s="7"/>
      <c r="K48" s="8">
        <v>46018</v>
      </c>
      <c r="L48" s="9">
        <v>700000</v>
      </c>
      <c r="M48" s="10">
        <v>12</v>
      </c>
      <c r="N48" s="9">
        <f t="shared" si="6"/>
        <v>58333.333333333336</v>
      </c>
      <c r="O48" s="11">
        <f t="shared" si="5"/>
        <v>46353</v>
      </c>
      <c r="P48" s="5"/>
    </row>
    <row r="49" spans="1:16" ht="15.75" x14ac:dyDescent="0.25">
      <c r="A49" s="5">
        <f>SUBTOTAL(3,$B$2:B49)</f>
        <v>48</v>
      </c>
      <c r="B49" s="6">
        <v>46143</v>
      </c>
      <c r="C49" s="6" t="s">
        <v>46</v>
      </c>
      <c r="D49" s="5" t="s">
        <v>15</v>
      </c>
      <c r="E49" s="5" t="s">
        <v>24</v>
      </c>
      <c r="F49" s="5" t="s">
        <v>27</v>
      </c>
      <c r="G49" s="5" t="s">
        <v>18</v>
      </c>
      <c r="H49" s="7" t="s">
        <v>50</v>
      </c>
      <c r="I49" s="7" t="s">
        <v>19</v>
      </c>
      <c r="J49" s="7"/>
      <c r="K49" s="8">
        <v>45854</v>
      </c>
      <c r="L49" s="9">
        <v>700000</v>
      </c>
      <c r="M49" s="10">
        <v>12</v>
      </c>
      <c r="N49" s="28">
        <f t="shared" si="6"/>
        <v>58333.333333333336</v>
      </c>
      <c r="O49" s="11">
        <f t="shared" si="5"/>
        <v>46189</v>
      </c>
      <c r="P49" s="5"/>
    </row>
    <row r="50" spans="1:16" ht="15.75" x14ac:dyDescent="0.25">
      <c r="A50" s="5">
        <f>SUBTOTAL(3,$B$2:B50)</f>
        <v>49</v>
      </c>
      <c r="B50" s="6">
        <v>46143</v>
      </c>
      <c r="C50" s="6" t="s">
        <v>46</v>
      </c>
      <c r="D50" s="5" t="s">
        <v>15</v>
      </c>
      <c r="E50" s="5" t="s">
        <v>24</v>
      </c>
      <c r="F50" s="5" t="s">
        <v>27</v>
      </c>
      <c r="G50" s="5" t="s">
        <v>18</v>
      </c>
      <c r="H50" s="7" t="s">
        <v>51</v>
      </c>
      <c r="I50" s="7" t="s">
        <v>19</v>
      </c>
      <c r="J50" s="7"/>
      <c r="K50" s="8">
        <v>45854</v>
      </c>
      <c r="L50" s="9">
        <v>700000</v>
      </c>
      <c r="M50" s="10">
        <v>12</v>
      </c>
      <c r="N50" s="28">
        <f t="shared" si="6"/>
        <v>58333.333333333336</v>
      </c>
      <c r="O50" s="11">
        <f t="shared" si="5"/>
        <v>46189</v>
      </c>
      <c r="P50" s="5"/>
    </row>
    <row r="51" spans="1:16" ht="15.75" x14ac:dyDescent="0.25">
      <c r="A51" s="5">
        <f>SUBTOTAL(3,$B$2:B51)</f>
        <v>50</v>
      </c>
      <c r="B51" s="6">
        <v>46143</v>
      </c>
      <c r="C51" s="6" t="s">
        <v>46</v>
      </c>
      <c r="D51" s="5" t="s">
        <v>15</v>
      </c>
      <c r="E51" s="5" t="s">
        <v>24</v>
      </c>
      <c r="F51" s="5" t="s">
        <v>27</v>
      </c>
      <c r="G51" s="5" t="s">
        <v>18</v>
      </c>
      <c r="H51" s="7" t="s">
        <v>52</v>
      </c>
      <c r="I51" s="7" t="s">
        <v>19</v>
      </c>
      <c r="J51" s="7"/>
      <c r="K51" s="8">
        <v>45854</v>
      </c>
      <c r="L51" s="9">
        <v>700000</v>
      </c>
      <c r="M51" s="10">
        <v>12</v>
      </c>
      <c r="N51" s="28">
        <f t="shared" si="6"/>
        <v>58333.333333333336</v>
      </c>
      <c r="O51" s="11">
        <f t="shared" si="5"/>
        <v>46189</v>
      </c>
      <c r="P51" s="5"/>
    </row>
    <row r="52" spans="1:16" ht="15.75" x14ac:dyDescent="0.25">
      <c r="A52" s="5">
        <f>SUBTOTAL(3,$B$2:B52)</f>
        <v>51</v>
      </c>
      <c r="B52" s="6">
        <v>46143</v>
      </c>
      <c r="C52" s="6" t="s">
        <v>46</v>
      </c>
      <c r="D52" s="5" t="s">
        <v>15</v>
      </c>
      <c r="E52" s="5" t="s">
        <v>24</v>
      </c>
      <c r="F52" s="5" t="s">
        <v>27</v>
      </c>
      <c r="G52" s="5" t="s">
        <v>18</v>
      </c>
      <c r="H52" s="7" t="s">
        <v>53</v>
      </c>
      <c r="I52" s="7" t="s">
        <v>54</v>
      </c>
      <c r="J52" s="7"/>
      <c r="K52" s="8">
        <v>45895</v>
      </c>
      <c r="L52" s="9">
        <v>700000</v>
      </c>
      <c r="M52" s="10">
        <v>12</v>
      </c>
      <c r="N52" s="28">
        <f t="shared" si="6"/>
        <v>58333.333333333336</v>
      </c>
      <c r="O52" s="11">
        <f t="shared" si="5"/>
        <v>46229</v>
      </c>
      <c r="P52" s="5"/>
    </row>
    <row r="53" spans="1:16" ht="15.75" x14ac:dyDescent="0.25">
      <c r="A53" s="5">
        <f>SUBTOTAL(3,$B$2:B53)</f>
        <v>52</v>
      </c>
      <c r="B53" s="6">
        <v>46143</v>
      </c>
      <c r="C53" s="6" t="s">
        <v>46</v>
      </c>
      <c r="D53" s="5" t="s">
        <v>15</v>
      </c>
      <c r="E53" s="5" t="s">
        <v>24</v>
      </c>
      <c r="F53" s="5" t="s">
        <v>27</v>
      </c>
      <c r="G53" s="5" t="s">
        <v>18</v>
      </c>
      <c r="H53" s="7" t="s">
        <v>55</v>
      </c>
      <c r="I53" s="7" t="s">
        <v>54</v>
      </c>
      <c r="J53" s="7"/>
      <c r="K53" s="8">
        <v>46143</v>
      </c>
      <c r="L53" s="9">
        <v>700000</v>
      </c>
      <c r="M53" s="10">
        <v>12</v>
      </c>
      <c r="N53" s="28">
        <f t="shared" si="6"/>
        <v>58333.333333333336</v>
      </c>
      <c r="O53" s="11">
        <f t="shared" si="5"/>
        <v>46478</v>
      </c>
      <c r="P53" s="5"/>
    </row>
    <row r="54" spans="1:16" ht="15.75" x14ac:dyDescent="0.25">
      <c r="A54" s="5">
        <f>SUBTOTAL(3,$B$2:B54)</f>
        <v>53</v>
      </c>
      <c r="B54" s="6">
        <v>46143</v>
      </c>
      <c r="C54" s="6" t="s">
        <v>46</v>
      </c>
      <c r="D54" s="5" t="s">
        <v>28</v>
      </c>
      <c r="E54" s="5" t="s">
        <v>29</v>
      </c>
      <c r="F54" s="5" t="s">
        <v>59</v>
      </c>
      <c r="G54" s="5" t="s">
        <v>18</v>
      </c>
      <c r="H54" s="7"/>
      <c r="I54" s="7"/>
      <c r="J54" s="7"/>
      <c r="K54" s="8">
        <v>45839</v>
      </c>
      <c r="L54" s="9">
        <v>276923.07692307694</v>
      </c>
      <c r="M54" s="10">
        <v>13</v>
      </c>
      <c r="N54" s="28">
        <f t="shared" si="6"/>
        <v>21301.775147928995</v>
      </c>
      <c r="O54" s="11">
        <f t="shared" si="5"/>
        <v>46204</v>
      </c>
      <c r="P54" s="5"/>
    </row>
    <row r="55" spans="1:16" ht="15.75" x14ac:dyDescent="0.25">
      <c r="A55" s="5">
        <f>SUBTOTAL(3,$B$2:B55)</f>
        <v>54</v>
      </c>
      <c r="B55" s="6">
        <v>46143</v>
      </c>
      <c r="C55" s="6" t="s">
        <v>46</v>
      </c>
      <c r="D55" s="5" t="s">
        <v>30</v>
      </c>
      <c r="E55" s="5" t="s">
        <v>31</v>
      </c>
      <c r="F55" s="5" t="s">
        <v>32</v>
      </c>
      <c r="G55" s="5" t="s">
        <v>33</v>
      </c>
      <c r="H55" s="7" t="s">
        <v>53</v>
      </c>
      <c r="I55" s="7" t="s">
        <v>54</v>
      </c>
      <c r="J55" s="7">
        <v>3036</v>
      </c>
      <c r="K55" s="8">
        <v>46143</v>
      </c>
      <c r="L55" s="9">
        <f>J55*SUMIFS('Đơn giá SCBD'!F:F,'Đơn giá SCBD'!A:A,'Chi tiết'!F55,'Đơn giá SCBD'!B:B,'Chi tiết'!I55)</f>
        <v>389367</v>
      </c>
      <c r="M55" s="10">
        <v>1</v>
      </c>
      <c r="N55" s="9">
        <f t="shared" si="6"/>
        <v>389367</v>
      </c>
      <c r="O55" s="11">
        <v>46143</v>
      </c>
      <c r="P55" s="5"/>
    </row>
    <row r="56" spans="1:16" ht="15.75" x14ac:dyDescent="0.25">
      <c r="A56" s="5">
        <f>SUBTOTAL(3,$B$2:B56)</f>
        <v>55</v>
      </c>
      <c r="B56" s="6">
        <v>46143</v>
      </c>
      <c r="C56" s="6" t="s">
        <v>46</v>
      </c>
      <c r="D56" s="5" t="s">
        <v>30</v>
      </c>
      <c r="E56" s="5" t="s">
        <v>31</v>
      </c>
      <c r="F56" s="5" t="s">
        <v>32</v>
      </c>
      <c r="G56" s="5" t="s">
        <v>33</v>
      </c>
      <c r="H56" s="7" t="s">
        <v>55</v>
      </c>
      <c r="I56" s="7" t="s">
        <v>54</v>
      </c>
      <c r="J56" s="7">
        <v>2528</v>
      </c>
      <c r="K56" s="8">
        <v>46143</v>
      </c>
      <c r="L56" s="9">
        <f>J56*SUMIFS('Đơn giá SCBD'!F:F,'Đơn giá SCBD'!A:A,'Chi tiết'!F56,'Đơn giá SCBD'!B:B,'Chi tiết'!I56)</f>
        <v>324216</v>
      </c>
      <c r="M56" s="10">
        <v>1</v>
      </c>
      <c r="N56" s="9">
        <f t="shared" si="6"/>
        <v>324216</v>
      </c>
      <c r="O56" s="11">
        <v>46143</v>
      </c>
      <c r="P56" s="5"/>
    </row>
    <row r="57" spans="1:16" ht="15.75" x14ac:dyDescent="0.25">
      <c r="A57" s="5">
        <f>SUBTOTAL(3,$B$2:B57)</f>
        <v>56</v>
      </c>
      <c r="B57" s="6">
        <v>46143</v>
      </c>
      <c r="C57" s="6" t="s">
        <v>46</v>
      </c>
      <c r="D57" s="5" t="s">
        <v>30</v>
      </c>
      <c r="E57" s="5" t="s">
        <v>31</v>
      </c>
      <c r="F57" s="5" t="s">
        <v>34</v>
      </c>
      <c r="G57" s="5" t="s">
        <v>33</v>
      </c>
      <c r="H57" s="7" t="s">
        <v>47</v>
      </c>
      <c r="I57" s="7" t="s">
        <v>19</v>
      </c>
      <c r="J57" s="7">
        <v>4312</v>
      </c>
      <c r="K57" s="8">
        <v>46143</v>
      </c>
      <c r="L57" s="9">
        <f>J57*SUMIFS('Đơn giá SCBD'!F:F,'Đơn giá SCBD'!A:A,'Chi tiết'!F57,'Đơn giá SCBD'!B:B,'Chi tiết'!I57)</f>
        <v>776160</v>
      </c>
      <c r="M57" s="10">
        <v>1</v>
      </c>
      <c r="N57" s="9">
        <f t="shared" si="6"/>
        <v>776160</v>
      </c>
      <c r="O57" s="11">
        <v>46143</v>
      </c>
      <c r="P57" s="5"/>
    </row>
    <row r="58" spans="1:16" ht="15.75" x14ac:dyDescent="0.25">
      <c r="A58" s="5">
        <f>SUBTOTAL(3,$B$2:B58)</f>
        <v>57</v>
      </c>
      <c r="B58" s="6">
        <v>46143</v>
      </c>
      <c r="C58" s="6" t="s">
        <v>46</v>
      </c>
      <c r="D58" s="5" t="s">
        <v>30</v>
      </c>
      <c r="E58" s="5" t="s">
        <v>31</v>
      </c>
      <c r="F58" s="5" t="s">
        <v>34</v>
      </c>
      <c r="G58" s="5" t="s">
        <v>33</v>
      </c>
      <c r="H58" s="7" t="s">
        <v>48</v>
      </c>
      <c r="I58" s="7" t="s">
        <v>19</v>
      </c>
      <c r="J58" s="7">
        <v>5142</v>
      </c>
      <c r="K58" s="8">
        <v>46143</v>
      </c>
      <c r="L58" s="9">
        <f>J58*SUMIFS('Đơn giá SCBD'!F:F,'Đơn giá SCBD'!A:A,'Chi tiết'!F58,'Đơn giá SCBD'!B:B,'Chi tiết'!I58)</f>
        <v>925560</v>
      </c>
      <c r="M58" s="10">
        <v>1</v>
      </c>
      <c r="N58" s="9">
        <f t="shared" si="6"/>
        <v>925560</v>
      </c>
      <c r="O58" s="11">
        <v>46143</v>
      </c>
      <c r="P58" s="5"/>
    </row>
    <row r="59" spans="1:16" ht="15.75" x14ac:dyDescent="0.25">
      <c r="A59" s="5">
        <f>SUBTOTAL(3,$B$2:B59)</f>
        <v>58</v>
      </c>
      <c r="B59" s="6">
        <v>46143</v>
      </c>
      <c r="C59" s="6" t="s">
        <v>46</v>
      </c>
      <c r="D59" s="5" t="s">
        <v>30</v>
      </c>
      <c r="E59" s="5" t="s">
        <v>31</v>
      </c>
      <c r="F59" s="5" t="s">
        <v>34</v>
      </c>
      <c r="G59" s="5" t="s">
        <v>33</v>
      </c>
      <c r="H59" s="7" t="s">
        <v>49</v>
      </c>
      <c r="I59" s="7" t="s">
        <v>19</v>
      </c>
      <c r="J59" s="7">
        <v>4990</v>
      </c>
      <c r="K59" s="8">
        <v>46143</v>
      </c>
      <c r="L59" s="9">
        <f>J59*SUMIFS('Đơn giá SCBD'!F:F,'Đơn giá SCBD'!A:A,'Chi tiết'!F59,'Đơn giá SCBD'!B:B,'Chi tiết'!I59)</f>
        <v>898200</v>
      </c>
      <c r="M59" s="10">
        <v>1</v>
      </c>
      <c r="N59" s="9">
        <f t="shared" si="6"/>
        <v>898200</v>
      </c>
      <c r="O59" s="11">
        <v>46143</v>
      </c>
      <c r="P59" s="5"/>
    </row>
    <row r="60" spans="1:16" ht="15.75" x14ac:dyDescent="0.25">
      <c r="A60" s="5">
        <f>SUBTOTAL(3,$B$2:B60)</f>
        <v>59</v>
      </c>
      <c r="B60" s="6">
        <v>46143</v>
      </c>
      <c r="C60" s="6" t="s">
        <v>46</v>
      </c>
      <c r="D60" s="5" t="s">
        <v>30</v>
      </c>
      <c r="E60" s="5" t="s">
        <v>31</v>
      </c>
      <c r="F60" s="5" t="s">
        <v>34</v>
      </c>
      <c r="G60" s="5" t="s">
        <v>33</v>
      </c>
      <c r="H60" s="7" t="s">
        <v>50</v>
      </c>
      <c r="I60" s="7" t="s">
        <v>19</v>
      </c>
      <c r="J60" s="7">
        <v>5511</v>
      </c>
      <c r="K60" s="8">
        <v>46143</v>
      </c>
      <c r="L60" s="9">
        <f>J60*SUMIFS('Đơn giá SCBD'!F:F,'Đơn giá SCBD'!A:A,'Chi tiết'!F60,'Đơn giá SCBD'!B:B,'Chi tiết'!I60)</f>
        <v>991980</v>
      </c>
      <c r="M60" s="10">
        <v>1</v>
      </c>
      <c r="N60" s="9">
        <f t="shared" si="6"/>
        <v>991980</v>
      </c>
      <c r="O60" s="11">
        <v>46143</v>
      </c>
      <c r="P60" s="5"/>
    </row>
    <row r="61" spans="1:16" ht="15.75" x14ac:dyDescent="0.25">
      <c r="A61" s="5">
        <f>SUBTOTAL(3,$B$2:B61)</f>
        <v>60</v>
      </c>
      <c r="B61" s="6">
        <v>46143</v>
      </c>
      <c r="C61" s="6" t="s">
        <v>46</v>
      </c>
      <c r="D61" s="5" t="s">
        <v>30</v>
      </c>
      <c r="E61" s="5" t="s">
        <v>31</v>
      </c>
      <c r="F61" s="5" t="s">
        <v>34</v>
      </c>
      <c r="G61" s="5" t="s">
        <v>33</v>
      </c>
      <c r="H61" s="7" t="s">
        <v>51</v>
      </c>
      <c r="I61" s="7" t="s">
        <v>19</v>
      </c>
      <c r="J61" s="7">
        <v>750.02000000000044</v>
      </c>
      <c r="K61" s="8">
        <v>46143</v>
      </c>
      <c r="L61" s="9">
        <f>J61*SUMIFS('Đơn giá SCBD'!F:F,'Đơn giá SCBD'!A:A,'Chi tiết'!F61,'Đơn giá SCBD'!B:B,'Chi tiết'!I61)</f>
        <v>135003.60000000009</v>
      </c>
      <c r="M61" s="10">
        <v>1</v>
      </c>
      <c r="N61" s="9">
        <f t="shared" si="6"/>
        <v>135003.60000000009</v>
      </c>
      <c r="O61" s="11">
        <v>46143</v>
      </c>
      <c r="P61" s="5"/>
    </row>
    <row r="62" spans="1:16" ht="15.75" x14ac:dyDescent="0.25">
      <c r="A62" s="5">
        <f>SUBTOTAL(3,$B$2:B62)</f>
        <v>61</v>
      </c>
      <c r="B62" s="6">
        <v>46143</v>
      </c>
      <c r="C62" s="6" t="s">
        <v>46</v>
      </c>
      <c r="D62" s="5" t="s">
        <v>30</v>
      </c>
      <c r="E62" s="5" t="s">
        <v>31</v>
      </c>
      <c r="F62" s="5" t="s">
        <v>34</v>
      </c>
      <c r="G62" s="5" t="s">
        <v>33</v>
      </c>
      <c r="H62" s="7" t="s">
        <v>52</v>
      </c>
      <c r="I62" s="7" t="s">
        <v>19</v>
      </c>
      <c r="J62" s="7">
        <v>5356</v>
      </c>
      <c r="K62" s="8">
        <v>46143</v>
      </c>
      <c r="L62" s="9">
        <f>J62*SUMIFS('Đơn giá SCBD'!F:F,'Đơn giá SCBD'!A:A,'Chi tiết'!F62,'Đơn giá SCBD'!B:B,'Chi tiết'!I62)</f>
        <v>964080</v>
      </c>
      <c r="M62" s="10">
        <v>1</v>
      </c>
      <c r="N62" s="9">
        <f t="shared" si="6"/>
        <v>964080</v>
      </c>
      <c r="O62" s="11">
        <v>46143</v>
      </c>
      <c r="P62" s="5"/>
    </row>
    <row r="63" spans="1:16" ht="15.75" x14ac:dyDescent="0.25">
      <c r="A63" s="5">
        <f>SUBTOTAL(3,$B$2:B63)</f>
        <v>62</v>
      </c>
      <c r="B63" s="6">
        <v>46143</v>
      </c>
      <c r="C63" s="6" t="s">
        <v>46</v>
      </c>
      <c r="D63" s="5" t="s">
        <v>30</v>
      </c>
      <c r="E63" s="5" t="s">
        <v>31</v>
      </c>
      <c r="F63" s="5" t="s">
        <v>34</v>
      </c>
      <c r="G63" s="5" t="s">
        <v>33</v>
      </c>
      <c r="H63" s="7" t="s">
        <v>53</v>
      </c>
      <c r="I63" s="7" t="s">
        <v>54</v>
      </c>
      <c r="J63" s="7">
        <v>3036</v>
      </c>
      <c r="K63" s="8">
        <v>46143</v>
      </c>
      <c r="L63" s="9">
        <f>J63*SUMIFS('Đơn giá SCBD'!F:F,'Đơn giá SCBD'!A:A,'Chi tiết'!F63,'Đơn giá SCBD'!B:B,'Chi tiết'!I63)</f>
        <v>319994.40000000002</v>
      </c>
      <c r="M63" s="10">
        <v>1</v>
      </c>
      <c r="N63" s="9">
        <f t="shared" si="6"/>
        <v>319994.40000000002</v>
      </c>
      <c r="O63" s="11">
        <v>46143</v>
      </c>
      <c r="P63" s="5"/>
    </row>
    <row r="64" spans="1:16" ht="15.75" x14ac:dyDescent="0.25">
      <c r="A64" s="5">
        <f>SUBTOTAL(3,$B$2:B64)</f>
        <v>63</v>
      </c>
      <c r="B64" s="6">
        <v>46143</v>
      </c>
      <c r="C64" s="6" t="s">
        <v>46</v>
      </c>
      <c r="D64" s="5" t="s">
        <v>30</v>
      </c>
      <c r="E64" s="5" t="s">
        <v>31</v>
      </c>
      <c r="F64" s="5" t="s">
        <v>34</v>
      </c>
      <c r="G64" s="5" t="s">
        <v>33</v>
      </c>
      <c r="H64" s="7" t="s">
        <v>55</v>
      </c>
      <c r="I64" s="7" t="s">
        <v>54</v>
      </c>
      <c r="J64" s="7">
        <v>2528</v>
      </c>
      <c r="K64" s="8">
        <v>46143</v>
      </c>
      <c r="L64" s="9">
        <f>J64*SUMIFS('Đơn giá SCBD'!F:F,'Đơn giá SCBD'!A:A,'Chi tiết'!F64,'Đơn giá SCBD'!B:B,'Chi tiết'!I64)</f>
        <v>266451.20000000001</v>
      </c>
      <c r="M64" s="10">
        <v>1</v>
      </c>
      <c r="N64" s="9">
        <f t="shared" si="6"/>
        <v>266451.20000000001</v>
      </c>
      <c r="O64" s="11">
        <v>46143</v>
      </c>
      <c r="P64" s="5"/>
    </row>
    <row r="65" spans="1:16" ht="15.75" x14ac:dyDescent="0.25">
      <c r="A65" s="5">
        <f>SUBTOTAL(3,$B$2:B65)</f>
        <v>64</v>
      </c>
      <c r="B65" s="6">
        <v>46143</v>
      </c>
      <c r="C65" s="6" t="s">
        <v>46</v>
      </c>
      <c r="D65" s="5" t="s">
        <v>30</v>
      </c>
      <c r="E65" s="5" t="s">
        <v>31</v>
      </c>
      <c r="F65" s="5" t="s">
        <v>35</v>
      </c>
      <c r="G65" s="5" t="s">
        <v>33</v>
      </c>
      <c r="H65" s="7" t="s">
        <v>47</v>
      </c>
      <c r="I65" s="7" t="s">
        <v>19</v>
      </c>
      <c r="J65" s="7">
        <v>4312</v>
      </c>
      <c r="K65" s="8">
        <v>46143</v>
      </c>
      <c r="L65" s="9">
        <f>J65*SUMIFS('Đơn giá SCBD'!F:F,'Đơn giá SCBD'!A:A,'Chi tiết'!F65,'Đơn giá SCBD'!B:B,'Chi tiết'!I65)</f>
        <v>79772</v>
      </c>
      <c r="M65" s="10">
        <v>1</v>
      </c>
      <c r="N65" s="9">
        <f t="shared" si="6"/>
        <v>79772</v>
      </c>
      <c r="O65" s="11">
        <v>46143</v>
      </c>
      <c r="P65" s="5"/>
    </row>
    <row r="66" spans="1:16" ht="15.75" x14ac:dyDescent="0.25">
      <c r="A66" s="5">
        <f>SUBTOTAL(3,$B$2:B66)</f>
        <v>65</v>
      </c>
      <c r="B66" s="6">
        <v>46143</v>
      </c>
      <c r="C66" s="6" t="s">
        <v>46</v>
      </c>
      <c r="D66" s="5" t="s">
        <v>30</v>
      </c>
      <c r="E66" s="5" t="s">
        <v>31</v>
      </c>
      <c r="F66" s="5" t="s">
        <v>35</v>
      </c>
      <c r="G66" s="5" t="s">
        <v>33</v>
      </c>
      <c r="H66" s="7" t="s">
        <v>48</v>
      </c>
      <c r="I66" s="7" t="s">
        <v>19</v>
      </c>
      <c r="J66" s="32">
        <v>5142</v>
      </c>
      <c r="K66" s="8">
        <v>46143</v>
      </c>
      <c r="L66" s="9">
        <f>J66*SUMIFS('Đơn giá SCBD'!F:F,'Đơn giá SCBD'!A:A,'Chi tiết'!F66,'Đơn giá SCBD'!B:B,'Chi tiết'!I66)</f>
        <v>95127</v>
      </c>
      <c r="M66" s="10">
        <v>1</v>
      </c>
      <c r="N66" s="9">
        <f t="shared" si="6"/>
        <v>95127</v>
      </c>
      <c r="O66" s="11">
        <v>46143</v>
      </c>
      <c r="P66" s="5"/>
    </row>
    <row r="67" spans="1:16" ht="15.75" x14ac:dyDescent="0.25">
      <c r="A67" s="5">
        <f>SUBTOTAL(3,$B$2:B67)</f>
        <v>66</v>
      </c>
      <c r="B67" s="6">
        <v>46143</v>
      </c>
      <c r="C67" s="6" t="s">
        <v>46</v>
      </c>
      <c r="D67" s="5" t="s">
        <v>30</v>
      </c>
      <c r="E67" s="5" t="s">
        <v>31</v>
      </c>
      <c r="F67" s="5" t="s">
        <v>35</v>
      </c>
      <c r="G67" s="5" t="s">
        <v>33</v>
      </c>
      <c r="H67" s="7" t="s">
        <v>49</v>
      </c>
      <c r="I67" s="7" t="s">
        <v>19</v>
      </c>
      <c r="J67" s="7">
        <v>4990</v>
      </c>
      <c r="K67" s="8">
        <v>46143</v>
      </c>
      <c r="L67" s="9">
        <f>J67*SUMIFS('Đơn giá SCBD'!F:F,'Đơn giá SCBD'!A:A,'Chi tiết'!F67,'Đơn giá SCBD'!B:B,'Chi tiết'!I67)</f>
        <v>92315</v>
      </c>
      <c r="M67" s="10">
        <v>1</v>
      </c>
      <c r="N67" s="9">
        <f t="shared" si="6"/>
        <v>92315</v>
      </c>
      <c r="O67" s="11">
        <v>46143</v>
      </c>
      <c r="P67" s="5"/>
    </row>
    <row r="68" spans="1:16" ht="15.75" x14ac:dyDescent="0.25">
      <c r="A68" s="5">
        <f>SUBTOTAL(3,$B$2:B68)</f>
        <v>67</v>
      </c>
      <c r="B68" s="6">
        <v>46143</v>
      </c>
      <c r="C68" s="6" t="s">
        <v>46</v>
      </c>
      <c r="D68" s="5" t="s">
        <v>30</v>
      </c>
      <c r="E68" s="5" t="s">
        <v>31</v>
      </c>
      <c r="F68" s="5" t="s">
        <v>35</v>
      </c>
      <c r="G68" s="5" t="s">
        <v>33</v>
      </c>
      <c r="H68" s="7" t="s">
        <v>50</v>
      </c>
      <c r="I68" s="7" t="s">
        <v>19</v>
      </c>
      <c r="J68" s="7">
        <v>5511</v>
      </c>
      <c r="K68" s="8">
        <v>46143</v>
      </c>
      <c r="L68" s="9">
        <f>J68*SUMIFS('Đơn giá SCBD'!F:F,'Đơn giá SCBD'!A:A,'Chi tiết'!F68,'Đơn giá SCBD'!B:B,'Chi tiết'!I68)</f>
        <v>101953.5</v>
      </c>
      <c r="M68" s="10">
        <v>1</v>
      </c>
      <c r="N68" s="9">
        <f t="shared" si="6"/>
        <v>101953.5</v>
      </c>
      <c r="O68" s="11">
        <v>46143</v>
      </c>
      <c r="P68" s="5"/>
    </row>
    <row r="69" spans="1:16" ht="15.75" x14ac:dyDescent="0.25">
      <c r="A69" s="5">
        <f>SUBTOTAL(3,$B$2:B69)</f>
        <v>68</v>
      </c>
      <c r="B69" s="6">
        <v>46143</v>
      </c>
      <c r="C69" s="6" t="s">
        <v>46</v>
      </c>
      <c r="D69" s="5" t="s">
        <v>30</v>
      </c>
      <c r="E69" s="5" t="s">
        <v>31</v>
      </c>
      <c r="F69" s="5" t="s">
        <v>35</v>
      </c>
      <c r="G69" s="5" t="s">
        <v>33</v>
      </c>
      <c r="H69" s="7" t="s">
        <v>51</v>
      </c>
      <c r="I69" s="7" t="s">
        <v>19</v>
      </c>
      <c r="J69" s="7">
        <v>750.02000000000044</v>
      </c>
      <c r="K69" s="8">
        <v>46143</v>
      </c>
      <c r="L69" s="9">
        <f>J69*SUMIFS('Đơn giá SCBD'!F:F,'Đơn giá SCBD'!A:A,'Chi tiết'!F69,'Đơn giá SCBD'!B:B,'Chi tiết'!I69)</f>
        <v>13875.370000000008</v>
      </c>
      <c r="M69" s="10">
        <v>1</v>
      </c>
      <c r="N69" s="9">
        <f t="shared" si="6"/>
        <v>13875.370000000008</v>
      </c>
      <c r="O69" s="11">
        <v>46143</v>
      </c>
      <c r="P69" s="5"/>
    </row>
    <row r="70" spans="1:16" ht="15.75" x14ac:dyDescent="0.25">
      <c r="A70" s="5">
        <f>SUBTOTAL(3,$B$2:B70)</f>
        <v>69</v>
      </c>
      <c r="B70" s="6">
        <v>46143</v>
      </c>
      <c r="C70" s="6" t="s">
        <v>46</v>
      </c>
      <c r="D70" s="5" t="s">
        <v>30</v>
      </c>
      <c r="E70" s="5" t="s">
        <v>31</v>
      </c>
      <c r="F70" s="5" t="s">
        <v>35</v>
      </c>
      <c r="G70" s="5" t="s">
        <v>33</v>
      </c>
      <c r="H70" s="7" t="s">
        <v>52</v>
      </c>
      <c r="I70" s="7" t="s">
        <v>19</v>
      </c>
      <c r="J70" s="7">
        <v>5356</v>
      </c>
      <c r="K70" s="8">
        <v>46143</v>
      </c>
      <c r="L70" s="9">
        <f>J70*SUMIFS('Đơn giá SCBD'!F:F,'Đơn giá SCBD'!A:A,'Chi tiết'!F70,'Đơn giá SCBD'!B:B,'Chi tiết'!I70)</f>
        <v>99086</v>
      </c>
      <c r="M70" s="10">
        <v>1</v>
      </c>
      <c r="N70" s="9">
        <f t="shared" si="6"/>
        <v>99086</v>
      </c>
      <c r="O70" s="11">
        <v>46143</v>
      </c>
      <c r="P70" s="5"/>
    </row>
    <row r="71" spans="1:16" ht="15.75" x14ac:dyDescent="0.25">
      <c r="A71" s="5">
        <f>SUBTOTAL(3,$B$2:B71)</f>
        <v>70</v>
      </c>
      <c r="B71" s="6">
        <v>46143</v>
      </c>
      <c r="C71" s="6" t="s">
        <v>46</v>
      </c>
      <c r="D71" s="5" t="s">
        <v>30</v>
      </c>
      <c r="E71" s="5" t="s">
        <v>31</v>
      </c>
      <c r="F71" s="5" t="s">
        <v>35</v>
      </c>
      <c r="G71" s="5" t="s">
        <v>33</v>
      </c>
      <c r="H71" s="7" t="s">
        <v>53</v>
      </c>
      <c r="I71" s="7" t="s">
        <v>54</v>
      </c>
      <c r="J71" s="7">
        <v>3036</v>
      </c>
      <c r="K71" s="8">
        <v>46143</v>
      </c>
      <c r="L71" s="9">
        <f>J71*SUMIFS('Đơn giá SCBD'!F:F,'Đơn giá SCBD'!A:A,'Chi tiết'!F71,'Đơn giá SCBD'!B:B,'Chi tiết'!I71)</f>
        <v>56166</v>
      </c>
      <c r="M71" s="10">
        <v>1</v>
      </c>
      <c r="N71" s="9">
        <f t="shared" si="6"/>
        <v>56166</v>
      </c>
      <c r="O71" s="11">
        <v>46143</v>
      </c>
      <c r="P71" s="5"/>
    </row>
    <row r="72" spans="1:16" ht="15.75" x14ac:dyDescent="0.25">
      <c r="A72" s="5">
        <f>SUBTOTAL(3,$B$2:B72)</f>
        <v>71</v>
      </c>
      <c r="B72" s="6">
        <v>46143</v>
      </c>
      <c r="C72" s="6" t="s">
        <v>46</v>
      </c>
      <c r="D72" s="5" t="s">
        <v>30</v>
      </c>
      <c r="E72" s="5" t="s">
        <v>31</v>
      </c>
      <c r="F72" s="5" t="s">
        <v>35</v>
      </c>
      <c r="G72" s="5" t="s">
        <v>33</v>
      </c>
      <c r="H72" s="7" t="s">
        <v>55</v>
      </c>
      <c r="I72" s="7" t="s">
        <v>54</v>
      </c>
      <c r="J72" s="7">
        <v>2528</v>
      </c>
      <c r="K72" s="8">
        <v>46143</v>
      </c>
      <c r="L72" s="9">
        <f>J72*SUMIFS('Đơn giá SCBD'!F:F,'Đơn giá SCBD'!A:A,'Chi tiết'!F72,'Đơn giá SCBD'!B:B,'Chi tiết'!I72)</f>
        <v>46768</v>
      </c>
      <c r="M72" s="10">
        <v>1</v>
      </c>
      <c r="N72" s="9">
        <f>IF(B72&gt;O72,"",L72/M72)</f>
        <v>46768</v>
      </c>
      <c r="O72" s="11">
        <v>46143</v>
      </c>
      <c r="P72" s="5"/>
    </row>
    <row r="73" spans="1:16" ht="15.75" x14ac:dyDescent="0.25">
      <c r="A73" s="5">
        <f>SUBTOTAL(3,$B$2:B73)</f>
        <v>72</v>
      </c>
      <c r="B73" s="6">
        <v>46143</v>
      </c>
      <c r="C73" s="6" t="s">
        <v>46</v>
      </c>
      <c r="D73" s="5" t="s">
        <v>30</v>
      </c>
      <c r="E73" s="5" t="s">
        <v>31</v>
      </c>
      <c r="F73" s="5" t="s">
        <v>36</v>
      </c>
      <c r="G73" s="5" t="s">
        <v>33</v>
      </c>
      <c r="H73" s="7" t="s">
        <v>47</v>
      </c>
      <c r="I73" s="7" t="s">
        <v>19</v>
      </c>
      <c r="J73" s="7">
        <v>4312</v>
      </c>
      <c r="K73" s="8">
        <v>46143</v>
      </c>
      <c r="L73" s="9">
        <f>J73*SUMIFS('Đơn giá SCBD'!F:F,'Đơn giá SCBD'!A:A,'Chi tiết'!F73,'Đơn giá SCBD'!B:B,'Chi tiết'!I73)</f>
        <v>499799.99967333337</v>
      </c>
      <c r="M73" s="10">
        <v>1</v>
      </c>
      <c r="N73" s="9">
        <f t="shared" ref="N73:N115" si="7">IF(B73&gt;O73,"",L73/M73)</f>
        <v>499799.99967333337</v>
      </c>
      <c r="O73" s="11">
        <v>46143</v>
      </c>
      <c r="P73" s="5"/>
    </row>
    <row r="74" spans="1:16" ht="15.75" x14ac:dyDescent="0.25">
      <c r="A74" s="5">
        <f>SUBTOTAL(3,$B$2:B74)</f>
        <v>73</v>
      </c>
      <c r="B74" s="6">
        <v>46143</v>
      </c>
      <c r="C74" s="6" t="s">
        <v>46</v>
      </c>
      <c r="D74" s="5" t="s">
        <v>30</v>
      </c>
      <c r="E74" s="5" t="s">
        <v>31</v>
      </c>
      <c r="F74" s="5" t="s">
        <v>36</v>
      </c>
      <c r="G74" s="5" t="s">
        <v>33</v>
      </c>
      <c r="H74" s="7" t="s">
        <v>48</v>
      </c>
      <c r="I74" s="7" t="s">
        <v>19</v>
      </c>
      <c r="J74" s="32">
        <v>5142</v>
      </c>
      <c r="K74" s="8">
        <v>46143</v>
      </c>
      <c r="L74" s="9">
        <f>J74*SUMIFS('Đơn giá SCBD'!F:F,'Đơn giá SCBD'!A:A,'Chi tiết'!F74,'Đơn giá SCBD'!B:B,'Chi tiết'!I74)</f>
        <v>596004.54506500007</v>
      </c>
      <c r="M74" s="10">
        <v>1</v>
      </c>
      <c r="N74" s="9">
        <f t="shared" si="7"/>
        <v>596004.54506500007</v>
      </c>
      <c r="O74" s="11">
        <v>46143</v>
      </c>
      <c r="P74" s="5"/>
    </row>
    <row r="75" spans="1:16" ht="15.75" x14ac:dyDescent="0.25">
      <c r="A75" s="5">
        <f>SUBTOTAL(3,$B$2:B75)</f>
        <v>74</v>
      </c>
      <c r="B75" s="6">
        <v>46143</v>
      </c>
      <c r="C75" s="6" t="s">
        <v>46</v>
      </c>
      <c r="D75" s="5" t="s">
        <v>30</v>
      </c>
      <c r="E75" s="5" t="s">
        <v>31</v>
      </c>
      <c r="F75" s="5" t="s">
        <v>36</v>
      </c>
      <c r="G75" s="5" t="s">
        <v>33</v>
      </c>
      <c r="H75" s="7" t="s">
        <v>49</v>
      </c>
      <c r="I75" s="7" t="s">
        <v>19</v>
      </c>
      <c r="J75" s="7">
        <v>4990</v>
      </c>
      <c r="K75" s="8">
        <v>46143</v>
      </c>
      <c r="L75" s="9">
        <f>J75*SUMIFS('Đơn giá SCBD'!F:F,'Đơn giá SCBD'!A:A,'Chi tiết'!F75,'Đơn giá SCBD'!B:B,'Chi tiết'!I75)</f>
        <v>578386.36325833341</v>
      </c>
      <c r="M75" s="10">
        <v>1</v>
      </c>
      <c r="N75" s="9">
        <f t="shared" si="7"/>
        <v>578386.36325833341</v>
      </c>
      <c r="O75" s="11">
        <v>46143</v>
      </c>
      <c r="P75" s="5"/>
    </row>
    <row r="76" spans="1:16" ht="15.75" x14ac:dyDescent="0.25">
      <c r="A76" s="5">
        <f>SUBTOTAL(3,$B$2:B76)</f>
        <v>75</v>
      </c>
      <c r="B76" s="6">
        <v>46143</v>
      </c>
      <c r="C76" s="6" t="s">
        <v>46</v>
      </c>
      <c r="D76" s="5" t="s">
        <v>30</v>
      </c>
      <c r="E76" s="5" t="s">
        <v>31</v>
      </c>
      <c r="F76" s="5" t="s">
        <v>36</v>
      </c>
      <c r="G76" s="5" t="s">
        <v>33</v>
      </c>
      <c r="H76" s="7" t="s">
        <v>50</v>
      </c>
      <c r="I76" s="7" t="s">
        <v>19</v>
      </c>
      <c r="J76" s="7">
        <v>5511</v>
      </c>
      <c r="K76" s="8">
        <v>46143</v>
      </c>
      <c r="L76" s="9">
        <f>J76*SUMIFS('Đơn giá SCBD'!F:F,'Đơn giá SCBD'!A:A,'Chi tiết'!F76,'Đơn giá SCBD'!B:B,'Chi tiết'!I76)</f>
        <v>638774.99958250008</v>
      </c>
      <c r="M76" s="10">
        <v>1</v>
      </c>
      <c r="N76" s="9">
        <f t="shared" si="7"/>
        <v>638774.99958250008</v>
      </c>
      <c r="O76" s="11">
        <v>46143</v>
      </c>
      <c r="P76" s="5"/>
    </row>
    <row r="77" spans="1:16" ht="15.75" x14ac:dyDescent="0.25">
      <c r="A77" s="5">
        <f>SUBTOTAL(3,$B$2:B77)</f>
        <v>76</v>
      </c>
      <c r="B77" s="6">
        <v>46143</v>
      </c>
      <c r="C77" s="6" t="s">
        <v>46</v>
      </c>
      <c r="D77" s="5" t="s">
        <v>30</v>
      </c>
      <c r="E77" s="5" t="s">
        <v>31</v>
      </c>
      <c r="F77" s="5" t="s">
        <v>36</v>
      </c>
      <c r="G77" s="5" t="s">
        <v>33</v>
      </c>
      <c r="H77" s="7" t="s">
        <v>51</v>
      </c>
      <c r="I77" s="7" t="s">
        <v>19</v>
      </c>
      <c r="J77" s="7">
        <v>750.02000000000044</v>
      </c>
      <c r="K77" s="8">
        <v>46143</v>
      </c>
      <c r="L77" s="9">
        <f>J77*SUMIFS('Đơn giá SCBD'!F:F,'Đơn giá SCBD'!A:A,'Chi tiết'!F77,'Đơn giá SCBD'!B:B,'Chi tiết'!I77)</f>
        <v>86934.136306816727</v>
      </c>
      <c r="M77" s="10">
        <v>1</v>
      </c>
      <c r="N77" s="9">
        <f t="shared" si="7"/>
        <v>86934.136306816727</v>
      </c>
      <c r="O77" s="11">
        <v>46143</v>
      </c>
      <c r="P77" s="5"/>
    </row>
    <row r="78" spans="1:16" ht="15.75" x14ac:dyDescent="0.25">
      <c r="A78" s="5">
        <f>SUBTOTAL(3,$B$2:B78)</f>
        <v>77</v>
      </c>
      <c r="B78" s="6">
        <v>46143</v>
      </c>
      <c r="C78" s="6" t="s">
        <v>46</v>
      </c>
      <c r="D78" s="5" t="s">
        <v>30</v>
      </c>
      <c r="E78" s="5" t="s">
        <v>31</v>
      </c>
      <c r="F78" s="5" t="s">
        <v>36</v>
      </c>
      <c r="G78" s="5" t="s">
        <v>33</v>
      </c>
      <c r="H78" s="7" t="s">
        <v>52</v>
      </c>
      <c r="I78" s="7" t="s">
        <v>19</v>
      </c>
      <c r="J78" s="7">
        <v>5356</v>
      </c>
      <c r="K78" s="8">
        <v>46143</v>
      </c>
      <c r="L78" s="9">
        <f>J78*SUMIFS('Đơn giá SCBD'!F:F,'Đơn giá SCBD'!A:A,'Chi tiết'!F78,'Đơn giá SCBD'!B:B,'Chi tiết'!I78)</f>
        <v>620809.09050333337</v>
      </c>
      <c r="M78" s="10">
        <v>1</v>
      </c>
      <c r="N78" s="9">
        <f t="shared" si="7"/>
        <v>620809.09050333337</v>
      </c>
      <c r="O78" s="11">
        <v>46143</v>
      </c>
      <c r="P78" s="5"/>
    </row>
    <row r="79" spans="1:16" ht="15.75" x14ac:dyDescent="0.25">
      <c r="A79" s="5">
        <f>SUBTOTAL(3,$B$2:B79)</f>
        <v>78</v>
      </c>
      <c r="B79" s="6">
        <v>46143</v>
      </c>
      <c r="C79" s="6" t="s">
        <v>46</v>
      </c>
      <c r="D79" s="5" t="s">
        <v>30</v>
      </c>
      <c r="E79" s="5" t="s">
        <v>31</v>
      </c>
      <c r="F79" s="5" t="s">
        <v>36</v>
      </c>
      <c r="G79" s="5" t="s">
        <v>33</v>
      </c>
      <c r="H79" s="7" t="s">
        <v>53</v>
      </c>
      <c r="I79" s="7" t="s">
        <v>54</v>
      </c>
      <c r="J79" s="7">
        <v>3036</v>
      </c>
      <c r="K79" s="8">
        <v>46143</v>
      </c>
      <c r="L79" s="9">
        <f>J79*SUMIFS('Đơn giá SCBD'!F:F,'Đơn giá SCBD'!A:A,'Chi tiết'!F79,'Đơn giá SCBD'!B:B,'Chi tiết'!I79)</f>
        <v>785117.69599999813</v>
      </c>
      <c r="M79" s="10">
        <v>1</v>
      </c>
      <c r="N79" s="9">
        <f t="shared" si="7"/>
        <v>785117.69599999813</v>
      </c>
      <c r="O79" s="11">
        <v>46143</v>
      </c>
      <c r="P79" s="5"/>
    </row>
    <row r="80" spans="1:16" ht="15.75" x14ac:dyDescent="0.25">
      <c r="A80" s="5">
        <f>SUBTOTAL(3,$B$2:B80)</f>
        <v>79</v>
      </c>
      <c r="B80" s="6">
        <v>46143</v>
      </c>
      <c r="C80" s="6" t="s">
        <v>46</v>
      </c>
      <c r="D80" s="5" t="s">
        <v>30</v>
      </c>
      <c r="E80" s="5" t="s">
        <v>31</v>
      </c>
      <c r="F80" s="5" t="s">
        <v>36</v>
      </c>
      <c r="G80" s="5" t="s">
        <v>33</v>
      </c>
      <c r="H80" s="7" t="s">
        <v>55</v>
      </c>
      <c r="I80" s="7" t="s">
        <v>54</v>
      </c>
      <c r="J80" s="7">
        <v>2528</v>
      </c>
      <c r="K80" s="8">
        <v>46143</v>
      </c>
      <c r="L80" s="9">
        <f>J80*SUMIFS('Đơn giá SCBD'!F:F,'Đơn giá SCBD'!A:A,'Chi tiết'!F80,'Đơn giá SCBD'!B:B,'Chi tiết'!I80)</f>
        <v>653747.54133333173</v>
      </c>
      <c r="M80" s="10">
        <v>1</v>
      </c>
      <c r="N80" s="9">
        <f t="shared" si="7"/>
        <v>653747.54133333173</v>
      </c>
      <c r="O80" s="11">
        <v>46143</v>
      </c>
      <c r="P80" s="5"/>
    </row>
    <row r="81" spans="1:16" ht="15.75" x14ac:dyDescent="0.25">
      <c r="A81" s="5">
        <f>SUBTOTAL(3,$B$2:B81)</f>
        <v>80</v>
      </c>
      <c r="B81" s="6">
        <v>46143</v>
      </c>
      <c r="C81" s="6" t="s">
        <v>46</v>
      </c>
      <c r="D81" s="5" t="s">
        <v>37</v>
      </c>
      <c r="E81" s="5" t="s">
        <v>38</v>
      </c>
      <c r="F81" s="5" t="s">
        <v>38</v>
      </c>
      <c r="G81" s="5" t="s">
        <v>39</v>
      </c>
      <c r="H81" s="29" t="s">
        <v>53</v>
      </c>
      <c r="I81" s="7" t="s">
        <v>54</v>
      </c>
      <c r="J81" s="7"/>
      <c r="K81" s="8">
        <v>46143</v>
      </c>
      <c r="L81" s="28">
        <v>1702020</v>
      </c>
      <c r="M81" s="10">
        <v>1</v>
      </c>
      <c r="N81" s="9">
        <f t="shared" si="7"/>
        <v>1702020</v>
      </c>
      <c r="O81" s="11">
        <v>46143</v>
      </c>
      <c r="P81" s="5"/>
    </row>
    <row r="82" spans="1:16" ht="15.75" x14ac:dyDescent="0.25">
      <c r="A82" s="5">
        <f>SUBTOTAL(3,$B$2:B82)</f>
        <v>81</v>
      </c>
      <c r="B82" s="6">
        <v>46143</v>
      </c>
      <c r="C82" s="6" t="s">
        <v>46</v>
      </c>
      <c r="D82" s="5" t="s">
        <v>37</v>
      </c>
      <c r="E82" s="5" t="s">
        <v>38</v>
      </c>
      <c r="F82" s="5" t="s">
        <v>38</v>
      </c>
      <c r="G82" s="5" t="s">
        <v>39</v>
      </c>
      <c r="H82" s="29" t="s">
        <v>53</v>
      </c>
      <c r="I82" s="7" t="s">
        <v>54</v>
      </c>
      <c r="J82" s="7"/>
      <c r="K82" s="8">
        <v>46145</v>
      </c>
      <c r="L82" s="28">
        <v>1612768</v>
      </c>
      <c r="M82" s="10">
        <v>1</v>
      </c>
      <c r="N82" s="9">
        <f t="shared" si="7"/>
        <v>1612768</v>
      </c>
      <c r="O82" s="11">
        <v>46143</v>
      </c>
      <c r="P82" s="5"/>
    </row>
    <row r="83" spans="1:16" ht="15.75" x14ac:dyDescent="0.25">
      <c r="A83" s="5">
        <f>SUBTOTAL(3,$B$2:B83)</f>
        <v>82</v>
      </c>
      <c r="B83" s="6">
        <v>46143</v>
      </c>
      <c r="C83" s="6" t="s">
        <v>46</v>
      </c>
      <c r="D83" s="5" t="s">
        <v>37</v>
      </c>
      <c r="E83" s="5" t="s">
        <v>38</v>
      </c>
      <c r="F83" s="5" t="s">
        <v>38</v>
      </c>
      <c r="G83" s="5" t="s">
        <v>39</v>
      </c>
      <c r="H83" s="29" t="s">
        <v>55</v>
      </c>
      <c r="I83" s="7" t="s">
        <v>54</v>
      </c>
      <c r="J83" s="7"/>
      <c r="K83" s="8">
        <v>46150</v>
      </c>
      <c r="L83" s="28">
        <v>1516928</v>
      </c>
      <c r="M83" s="10">
        <v>1</v>
      </c>
      <c r="N83" s="9">
        <f t="shared" si="7"/>
        <v>1516928</v>
      </c>
      <c r="O83" s="11">
        <v>46143</v>
      </c>
      <c r="P83" s="5"/>
    </row>
    <row r="84" spans="1:16" ht="15.75" x14ac:dyDescent="0.25">
      <c r="A84" s="5">
        <f>SUBTOTAL(3,$B$2:B84)</f>
        <v>83</v>
      </c>
      <c r="B84" s="6">
        <v>46143</v>
      </c>
      <c r="C84" s="6" t="s">
        <v>46</v>
      </c>
      <c r="D84" s="5" t="s">
        <v>37</v>
      </c>
      <c r="E84" s="5" t="s">
        <v>38</v>
      </c>
      <c r="F84" s="5" t="s">
        <v>38</v>
      </c>
      <c r="G84" s="5" t="s">
        <v>39</v>
      </c>
      <c r="H84" s="29" t="s">
        <v>53</v>
      </c>
      <c r="I84" s="7" t="s">
        <v>54</v>
      </c>
      <c r="J84" s="7"/>
      <c r="K84" s="8">
        <v>46153</v>
      </c>
      <c r="L84" s="28">
        <v>1925395</v>
      </c>
      <c r="M84" s="10">
        <v>1</v>
      </c>
      <c r="N84" s="9">
        <f t="shared" si="7"/>
        <v>1925395</v>
      </c>
      <c r="O84" s="11">
        <v>46143</v>
      </c>
      <c r="P84" s="5"/>
    </row>
    <row r="85" spans="1:16" ht="15.75" x14ac:dyDescent="0.25">
      <c r="A85" s="5">
        <f>SUBTOTAL(3,$B$2:B85)</f>
        <v>84</v>
      </c>
      <c r="B85" s="6">
        <v>46143</v>
      </c>
      <c r="C85" s="6" t="s">
        <v>46</v>
      </c>
      <c r="D85" s="5" t="s">
        <v>37</v>
      </c>
      <c r="E85" s="5" t="s">
        <v>38</v>
      </c>
      <c r="F85" s="5" t="s">
        <v>38</v>
      </c>
      <c r="G85" s="5" t="s">
        <v>39</v>
      </c>
      <c r="H85" s="29" t="s">
        <v>55</v>
      </c>
      <c r="I85" s="7" t="s">
        <v>54</v>
      </c>
      <c r="J85" s="7"/>
      <c r="K85" s="8">
        <v>46154</v>
      </c>
      <c r="L85" s="28">
        <v>1605954</v>
      </c>
      <c r="M85" s="10">
        <v>1</v>
      </c>
      <c r="N85" s="9">
        <f t="shared" si="7"/>
        <v>1605954</v>
      </c>
      <c r="O85" s="11">
        <v>46143</v>
      </c>
      <c r="P85" s="5"/>
    </row>
    <row r="86" spans="1:16" ht="15.75" x14ac:dyDescent="0.25">
      <c r="A86" s="5">
        <f>SUBTOTAL(3,$B$2:B86)</f>
        <v>85</v>
      </c>
      <c r="B86" s="6">
        <v>46143</v>
      </c>
      <c r="C86" s="6" t="s">
        <v>46</v>
      </c>
      <c r="D86" s="5" t="s">
        <v>37</v>
      </c>
      <c r="E86" s="5" t="s">
        <v>38</v>
      </c>
      <c r="F86" s="5" t="s">
        <v>38</v>
      </c>
      <c r="G86" s="5" t="s">
        <v>39</v>
      </c>
      <c r="H86" s="29" t="s">
        <v>55</v>
      </c>
      <c r="I86" s="7" t="s">
        <v>54</v>
      </c>
      <c r="J86" s="7"/>
      <c r="K86" s="8">
        <v>46160</v>
      </c>
      <c r="L86" s="28">
        <v>1733487</v>
      </c>
      <c r="M86" s="10">
        <v>1</v>
      </c>
      <c r="N86" s="9">
        <f t="shared" si="7"/>
        <v>1733487</v>
      </c>
      <c r="O86" s="11">
        <v>46143</v>
      </c>
      <c r="P86" s="5"/>
    </row>
    <row r="87" spans="1:16" ht="15.75" x14ac:dyDescent="0.25">
      <c r="A87" s="5">
        <f>SUBTOTAL(3,$B$2:B87)</f>
        <v>86</v>
      </c>
      <c r="B87" s="6">
        <v>46143</v>
      </c>
      <c r="C87" s="6" t="s">
        <v>46</v>
      </c>
      <c r="D87" s="5" t="s">
        <v>37</v>
      </c>
      <c r="E87" s="5" t="s">
        <v>38</v>
      </c>
      <c r="F87" s="5" t="s">
        <v>38</v>
      </c>
      <c r="G87" s="5" t="s">
        <v>39</v>
      </c>
      <c r="H87" s="29" t="s">
        <v>53</v>
      </c>
      <c r="I87" s="7" t="s">
        <v>54</v>
      </c>
      <c r="J87" s="7"/>
      <c r="K87" s="8">
        <v>46160</v>
      </c>
      <c r="L87" s="28">
        <v>1849047</v>
      </c>
      <c r="M87" s="10">
        <v>1</v>
      </c>
      <c r="N87" s="9">
        <f t="shared" si="7"/>
        <v>1849047</v>
      </c>
      <c r="O87" s="11">
        <v>46143</v>
      </c>
      <c r="P87" s="5"/>
    </row>
    <row r="88" spans="1:16" ht="15.75" x14ac:dyDescent="0.25">
      <c r="A88" s="5">
        <f>SUBTOTAL(3,$B$2:B88)</f>
        <v>87</v>
      </c>
      <c r="B88" s="6">
        <v>46143</v>
      </c>
      <c r="C88" s="6" t="s">
        <v>46</v>
      </c>
      <c r="D88" s="5" t="s">
        <v>37</v>
      </c>
      <c r="E88" s="5" t="s">
        <v>38</v>
      </c>
      <c r="F88" s="5" t="s">
        <v>38</v>
      </c>
      <c r="G88" s="5" t="s">
        <v>39</v>
      </c>
      <c r="H88" s="29" t="s">
        <v>55</v>
      </c>
      <c r="I88" s="7" t="s">
        <v>54</v>
      </c>
      <c r="J88" s="7"/>
      <c r="K88" s="8">
        <v>46165</v>
      </c>
      <c r="L88" s="28">
        <v>1767351</v>
      </c>
      <c r="M88" s="10">
        <v>1</v>
      </c>
      <c r="N88" s="9">
        <f t="shared" si="7"/>
        <v>1767351</v>
      </c>
      <c r="O88" s="11">
        <v>46143</v>
      </c>
      <c r="P88" s="5"/>
    </row>
    <row r="89" spans="1:16" ht="15.75" x14ac:dyDescent="0.25">
      <c r="A89" s="5">
        <f>SUBTOTAL(3,$B$2:B89)</f>
        <v>88</v>
      </c>
      <c r="B89" s="6">
        <v>46143</v>
      </c>
      <c r="C89" s="6" t="s">
        <v>46</v>
      </c>
      <c r="D89" s="5" t="s">
        <v>37</v>
      </c>
      <c r="E89" s="5" t="s">
        <v>38</v>
      </c>
      <c r="F89" s="5" t="s">
        <v>38</v>
      </c>
      <c r="G89" s="5" t="s">
        <v>39</v>
      </c>
      <c r="H89" s="29" t="s">
        <v>53</v>
      </c>
      <c r="I89" s="7" t="s">
        <v>54</v>
      </c>
      <c r="J89" s="7"/>
      <c r="K89" s="8">
        <v>46165</v>
      </c>
      <c r="L89" s="28">
        <v>1767656</v>
      </c>
      <c r="M89" s="10">
        <v>1</v>
      </c>
      <c r="N89" s="9">
        <f t="shared" si="7"/>
        <v>1767656</v>
      </c>
      <c r="O89" s="11">
        <v>46143</v>
      </c>
      <c r="P89" s="5"/>
    </row>
    <row r="90" spans="1:16" ht="15.75" x14ac:dyDescent="0.25">
      <c r="A90" s="5">
        <f>SUBTOTAL(3,$B$2:B90)</f>
        <v>89</v>
      </c>
      <c r="B90" s="6">
        <v>46143</v>
      </c>
      <c r="C90" s="6" t="s">
        <v>46</v>
      </c>
      <c r="D90" s="5" t="s">
        <v>37</v>
      </c>
      <c r="E90" s="5" t="s">
        <v>38</v>
      </c>
      <c r="F90" s="5" t="s">
        <v>38</v>
      </c>
      <c r="G90" s="5" t="s">
        <v>39</v>
      </c>
      <c r="H90" s="29" t="s">
        <v>55</v>
      </c>
      <c r="I90" s="7" t="s">
        <v>54</v>
      </c>
      <c r="J90" s="7"/>
      <c r="K90" s="8">
        <v>46167</v>
      </c>
      <c r="L90" s="28">
        <v>1706929</v>
      </c>
      <c r="M90" s="10">
        <v>1</v>
      </c>
      <c r="N90" s="9">
        <f t="shared" si="7"/>
        <v>1706929</v>
      </c>
      <c r="O90" s="11">
        <v>46143</v>
      </c>
      <c r="P90" s="5"/>
    </row>
    <row r="91" spans="1:16" ht="15.75" x14ac:dyDescent="0.25">
      <c r="A91" s="5">
        <f>SUBTOTAL(3,$B$2:B91)</f>
        <v>90</v>
      </c>
      <c r="B91" s="6">
        <v>46143</v>
      </c>
      <c r="C91" s="6" t="s">
        <v>46</v>
      </c>
      <c r="D91" s="5" t="s">
        <v>37</v>
      </c>
      <c r="E91" s="5" t="s">
        <v>38</v>
      </c>
      <c r="F91" s="5" t="s">
        <v>38</v>
      </c>
      <c r="G91" s="5" t="s">
        <v>39</v>
      </c>
      <c r="H91" s="29" t="s">
        <v>53</v>
      </c>
      <c r="I91" s="7" t="s">
        <v>54</v>
      </c>
      <c r="J91" s="7"/>
      <c r="K91" s="8">
        <v>46171</v>
      </c>
      <c r="L91" s="28">
        <v>1818460</v>
      </c>
      <c r="M91" s="10">
        <v>1</v>
      </c>
      <c r="N91" s="9">
        <f t="shared" si="7"/>
        <v>1818460</v>
      </c>
      <c r="O91" s="11">
        <v>46143</v>
      </c>
      <c r="P91" s="5"/>
    </row>
    <row r="92" spans="1:16" ht="15.75" x14ac:dyDescent="0.25">
      <c r="A92" s="5">
        <f>SUBTOTAL(3,$B$2:B92)</f>
        <v>91</v>
      </c>
      <c r="B92" s="6">
        <v>46143</v>
      </c>
      <c r="C92" s="6" t="s">
        <v>46</v>
      </c>
      <c r="D92" s="5" t="s">
        <v>37</v>
      </c>
      <c r="E92" s="5" t="s">
        <v>38</v>
      </c>
      <c r="F92" s="5" t="s">
        <v>38</v>
      </c>
      <c r="G92" s="5" t="s">
        <v>39</v>
      </c>
      <c r="H92" s="29" t="s">
        <v>55</v>
      </c>
      <c r="I92" s="7" t="s">
        <v>54</v>
      </c>
      <c r="J92" s="7"/>
      <c r="K92" s="30">
        <v>46172</v>
      </c>
      <c r="L92" s="28">
        <v>1495830</v>
      </c>
      <c r="M92" s="10">
        <v>1</v>
      </c>
      <c r="N92" s="9">
        <f t="shared" si="7"/>
        <v>1495830</v>
      </c>
      <c r="O92" s="11">
        <v>46143</v>
      </c>
      <c r="P92" s="5"/>
    </row>
    <row r="93" spans="1:16" ht="15.75" hidden="1" x14ac:dyDescent="0.25">
      <c r="A93" s="5">
        <f>SUBTOTAL(3,$B$2:B93)</f>
        <v>92</v>
      </c>
      <c r="B93" s="6">
        <v>46143</v>
      </c>
      <c r="C93" s="6" t="s">
        <v>46</v>
      </c>
      <c r="D93" s="5" t="s">
        <v>37</v>
      </c>
      <c r="E93" s="5" t="s">
        <v>38</v>
      </c>
      <c r="F93" s="5" t="s">
        <v>38</v>
      </c>
      <c r="G93" s="5" t="s">
        <v>39</v>
      </c>
      <c r="H93" s="29"/>
      <c r="I93" s="7" t="s">
        <v>54</v>
      </c>
      <c r="J93" s="7"/>
      <c r="K93" s="30"/>
      <c r="L93" s="28"/>
      <c r="M93" s="10">
        <v>1</v>
      </c>
      <c r="N93" s="9">
        <f t="shared" ref="N93:N95" si="8">IF(B93&gt;O93,"",L93/M93)</f>
        <v>0</v>
      </c>
      <c r="O93" s="11">
        <v>46143</v>
      </c>
      <c r="P93" s="5"/>
    </row>
    <row r="94" spans="1:16" ht="15.75" hidden="1" x14ac:dyDescent="0.25">
      <c r="A94" s="5">
        <f>SUBTOTAL(3,$B$2:B94)</f>
        <v>93</v>
      </c>
      <c r="B94" s="6">
        <v>46143</v>
      </c>
      <c r="C94" s="6" t="s">
        <v>46</v>
      </c>
      <c r="D94" s="5" t="s">
        <v>37</v>
      </c>
      <c r="E94" s="5" t="s">
        <v>38</v>
      </c>
      <c r="F94" s="5" t="s">
        <v>38</v>
      </c>
      <c r="G94" s="5" t="s">
        <v>39</v>
      </c>
      <c r="H94" s="29"/>
      <c r="I94" s="7" t="s">
        <v>54</v>
      </c>
      <c r="J94" s="7"/>
      <c r="K94" s="30"/>
      <c r="L94" s="28"/>
      <c r="M94" s="10">
        <v>1</v>
      </c>
      <c r="N94" s="9">
        <f t="shared" si="8"/>
        <v>0</v>
      </c>
      <c r="O94" s="11">
        <v>46143</v>
      </c>
      <c r="P94" s="5"/>
    </row>
    <row r="95" spans="1:16" ht="15.75" hidden="1" x14ac:dyDescent="0.25">
      <c r="A95" s="5">
        <f>SUBTOTAL(3,$B$2:B95)</f>
        <v>94</v>
      </c>
      <c r="B95" s="6">
        <v>46143</v>
      </c>
      <c r="C95" s="6" t="s">
        <v>46</v>
      </c>
      <c r="D95" s="5" t="s">
        <v>37</v>
      </c>
      <c r="E95" s="5" t="s">
        <v>38</v>
      </c>
      <c r="F95" s="5" t="s">
        <v>38</v>
      </c>
      <c r="G95" s="5" t="s">
        <v>39</v>
      </c>
      <c r="H95" s="29"/>
      <c r="I95" s="7" t="s">
        <v>54</v>
      </c>
      <c r="J95" s="7"/>
      <c r="K95" s="30"/>
      <c r="L95" s="28"/>
      <c r="M95" s="10">
        <v>1</v>
      </c>
      <c r="N95" s="9">
        <f t="shared" si="8"/>
        <v>0</v>
      </c>
      <c r="O95" s="11">
        <v>46143</v>
      </c>
      <c r="P95" s="5"/>
    </row>
    <row r="96" spans="1:16" ht="15.75" x14ac:dyDescent="0.25">
      <c r="A96" s="5">
        <f>SUBTOTAL(3,$B$2:B96)</f>
        <v>95</v>
      </c>
      <c r="B96" s="6">
        <v>46143</v>
      </c>
      <c r="C96" s="6" t="s">
        <v>46</v>
      </c>
      <c r="D96" s="5" t="s">
        <v>37</v>
      </c>
      <c r="E96" s="5" t="s">
        <v>40</v>
      </c>
      <c r="F96" s="5" t="s">
        <v>40</v>
      </c>
      <c r="G96" s="5" t="s">
        <v>39</v>
      </c>
      <c r="H96" s="7" t="s">
        <v>47</v>
      </c>
      <c r="I96" s="7" t="s">
        <v>19</v>
      </c>
      <c r="J96" s="7"/>
      <c r="K96" s="8">
        <v>46173</v>
      </c>
      <c r="L96" s="28">
        <v>3628140.3599999994</v>
      </c>
      <c r="M96" s="10">
        <v>1</v>
      </c>
      <c r="N96" s="9">
        <f t="shared" si="7"/>
        <v>3628140.3599999994</v>
      </c>
      <c r="O96" s="11">
        <v>46143</v>
      </c>
      <c r="P96" s="5"/>
    </row>
    <row r="97" spans="1:16" ht="15.75" x14ac:dyDescent="0.25">
      <c r="A97" s="5">
        <f>SUBTOTAL(3,$B$2:B97)</f>
        <v>96</v>
      </c>
      <c r="B97" s="6">
        <v>46143</v>
      </c>
      <c r="C97" s="6" t="s">
        <v>46</v>
      </c>
      <c r="D97" s="5" t="s">
        <v>37</v>
      </c>
      <c r="E97" s="5" t="s">
        <v>40</v>
      </c>
      <c r="F97" s="5" t="s">
        <v>40</v>
      </c>
      <c r="G97" s="5" t="s">
        <v>39</v>
      </c>
      <c r="H97" s="7" t="s">
        <v>48</v>
      </c>
      <c r="I97" s="7" t="s">
        <v>19</v>
      </c>
      <c r="J97" s="7"/>
      <c r="K97" s="8">
        <v>46173</v>
      </c>
      <c r="L97" s="28">
        <v>4037474.16</v>
      </c>
      <c r="M97" s="10">
        <v>1</v>
      </c>
      <c r="N97" s="9">
        <f t="shared" si="7"/>
        <v>4037474.16</v>
      </c>
      <c r="O97" s="11">
        <v>46143</v>
      </c>
      <c r="P97" s="5"/>
    </row>
    <row r="98" spans="1:16" ht="15.75" x14ac:dyDescent="0.25">
      <c r="A98" s="5">
        <f>SUBTOTAL(3,$B$2:B98)</f>
        <v>97</v>
      </c>
      <c r="B98" s="6">
        <v>46143</v>
      </c>
      <c r="C98" s="6" t="s">
        <v>46</v>
      </c>
      <c r="D98" s="5" t="s">
        <v>37</v>
      </c>
      <c r="E98" s="5" t="s">
        <v>40</v>
      </c>
      <c r="F98" s="5" t="s">
        <v>40</v>
      </c>
      <c r="G98" s="5" t="s">
        <v>39</v>
      </c>
      <c r="H98" s="7" t="s">
        <v>49</v>
      </c>
      <c r="I98" s="7" t="s">
        <v>19</v>
      </c>
      <c r="J98" s="7"/>
      <c r="K98" s="8">
        <v>46173</v>
      </c>
      <c r="L98" s="28">
        <v>4145613.8999999994</v>
      </c>
      <c r="M98" s="10">
        <v>1</v>
      </c>
      <c r="N98" s="9">
        <f t="shared" si="7"/>
        <v>4145613.8999999994</v>
      </c>
      <c r="O98" s="11">
        <v>46143</v>
      </c>
      <c r="P98" s="5"/>
    </row>
    <row r="99" spans="1:16" ht="15.75" x14ac:dyDescent="0.25">
      <c r="A99" s="5">
        <f>SUBTOTAL(3,$B$2:B99)</f>
        <v>98</v>
      </c>
      <c r="B99" s="6">
        <v>46143</v>
      </c>
      <c r="C99" s="6" t="s">
        <v>46</v>
      </c>
      <c r="D99" s="5" t="s">
        <v>37</v>
      </c>
      <c r="E99" s="5" t="s">
        <v>40</v>
      </c>
      <c r="F99" s="5" t="s">
        <v>40</v>
      </c>
      <c r="G99" s="5" t="s">
        <v>39</v>
      </c>
      <c r="H99" s="7" t="s">
        <v>51</v>
      </c>
      <c r="I99" s="7" t="s">
        <v>19</v>
      </c>
      <c r="J99" s="7"/>
      <c r="K99" s="8">
        <v>46173</v>
      </c>
      <c r="L99" s="28">
        <v>2483548.9199999995</v>
      </c>
      <c r="M99" s="10">
        <v>1</v>
      </c>
      <c r="N99" s="9">
        <f t="shared" si="7"/>
        <v>2483548.9199999995</v>
      </c>
      <c r="O99" s="11">
        <v>46143</v>
      </c>
      <c r="P99" s="5"/>
    </row>
    <row r="100" spans="1:16" ht="15.75" x14ac:dyDescent="0.25">
      <c r="A100" s="5">
        <f>SUBTOTAL(3,$B$2:B100)</f>
        <v>99</v>
      </c>
      <c r="B100" s="6">
        <v>46143</v>
      </c>
      <c r="C100" s="6" t="s">
        <v>46</v>
      </c>
      <c r="D100" s="5" t="s">
        <v>37</v>
      </c>
      <c r="E100" s="5" t="s">
        <v>40</v>
      </c>
      <c r="F100" s="5" t="s">
        <v>40</v>
      </c>
      <c r="G100" s="5" t="s">
        <v>39</v>
      </c>
      <c r="H100" s="7" t="s">
        <v>52</v>
      </c>
      <c r="I100" s="7" t="s">
        <v>19</v>
      </c>
      <c r="J100" s="7"/>
      <c r="K100" s="8">
        <v>46173</v>
      </c>
      <c r="L100" s="28">
        <v>3911201.8199999994</v>
      </c>
      <c r="M100" s="10">
        <v>1</v>
      </c>
      <c r="N100" s="9">
        <f t="shared" si="7"/>
        <v>3911201.8199999994</v>
      </c>
      <c r="O100" s="11">
        <v>46143</v>
      </c>
      <c r="P100" s="5"/>
    </row>
    <row r="101" spans="1:16" ht="15.75" x14ac:dyDescent="0.25">
      <c r="A101" s="5">
        <f>SUBTOTAL(3,$B$2:B101)</f>
        <v>100</v>
      </c>
      <c r="B101" s="6">
        <v>46143</v>
      </c>
      <c r="C101" s="6" t="s">
        <v>46</v>
      </c>
      <c r="D101" s="5" t="s">
        <v>37</v>
      </c>
      <c r="E101" s="5" t="s">
        <v>40</v>
      </c>
      <c r="F101" s="5" t="s">
        <v>40</v>
      </c>
      <c r="G101" s="5" t="s">
        <v>39</v>
      </c>
      <c r="H101" s="7" t="s">
        <v>50</v>
      </c>
      <c r="I101" s="7" t="s">
        <v>19</v>
      </c>
      <c r="J101" s="7"/>
      <c r="K101" s="8">
        <v>46173</v>
      </c>
      <c r="L101" s="28">
        <v>4777708.62</v>
      </c>
      <c r="M101" s="10">
        <v>1</v>
      </c>
      <c r="N101" s="9">
        <f t="shared" si="7"/>
        <v>4777708.62</v>
      </c>
      <c r="O101" s="11">
        <v>46143</v>
      </c>
      <c r="P101" s="5"/>
    </row>
    <row r="102" spans="1:16" ht="15.75" x14ac:dyDescent="0.25">
      <c r="A102" s="5">
        <f>SUBTOTAL(3,$B$2:B102)</f>
        <v>101</v>
      </c>
      <c r="B102" s="6">
        <v>46143</v>
      </c>
      <c r="C102" s="6" t="s">
        <v>46</v>
      </c>
      <c r="D102" s="5" t="s">
        <v>42</v>
      </c>
      <c r="E102" s="5" t="s">
        <v>61</v>
      </c>
      <c r="F102" s="5" t="s">
        <v>82</v>
      </c>
      <c r="G102" s="5" t="s">
        <v>39</v>
      </c>
      <c r="H102" s="7"/>
      <c r="I102" s="7"/>
      <c r="J102" s="7"/>
      <c r="K102" s="8"/>
      <c r="L102" s="9">
        <v>200000</v>
      </c>
      <c r="M102" s="10">
        <v>1</v>
      </c>
      <c r="N102" s="9">
        <f t="shared" ref="N102:N103" si="9">IF(B102&gt;O102,"",L102/M102)</f>
        <v>200000</v>
      </c>
      <c r="O102" s="11">
        <v>46143</v>
      </c>
      <c r="P102" s="5"/>
    </row>
    <row r="103" spans="1:16" ht="15.75" x14ac:dyDescent="0.25">
      <c r="A103" s="5">
        <f>SUBTOTAL(3,$B$2:B103)</f>
        <v>102</v>
      </c>
      <c r="B103" s="6">
        <v>46143</v>
      </c>
      <c r="C103" s="6" t="s">
        <v>46</v>
      </c>
      <c r="D103" s="5" t="s">
        <v>42</v>
      </c>
      <c r="E103" s="5" t="s">
        <v>43</v>
      </c>
      <c r="F103" s="5" t="s">
        <v>83</v>
      </c>
      <c r="G103" s="5" t="s">
        <v>39</v>
      </c>
      <c r="H103" s="7"/>
      <c r="I103" s="7"/>
      <c r="J103" s="7"/>
      <c r="K103" s="8"/>
      <c r="L103" s="9">
        <v>205000</v>
      </c>
      <c r="M103" s="10">
        <v>1</v>
      </c>
      <c r="N103" s="9">
        <f t="shared" si="9"/>
        <v>205000</v>
      </c>
      <c r="O103" s="11">
        <v>46143</v>
      </c>
      <c r="P103" s="5"/>
    </row>
    <row r="104" spans="1:16" ht="15.75" x14ac:dyDescent="0.25">
      <c r="A104" s="5">
        <f>SUBTOTAL(3,$B$2:B104)</f>
        <v>103</v>
      </c>
      <c r="B104" s="6">
        <v>46143</v>
      </c>
      <c r="C104" s="6" t="s">
        <v>46</v>
      </c>
      <c r="D104" s="5" t="s">
        <v>42</v>
      </c>
      <c r="E104" s="5" t="s">
        <v>43</v>
      </c>
      <c r="F104" s="5" t="s">
        <v>84</v>
      </c>
      <c r="G104" s="5" t="s">
        <v>39</v>
      </c>
      <c r="H104" s="7"/>
      <c r="I104" s="7"/>
      <c r="J104" s="7"/>
      <c r="K104" s="8"/>
      <c r="L104" s="9">
        <v>150000</v>
      </c>
      <c r="M104" s="10">
        <v>1</v>
      </c>
      <c r="N104" s="9">
        <f t="shared" si="7"/>
        <v>150000</v>
      </c>
      <c r="O104" s="11">
        <v>46143</v>
      </c>
      <c r="P104" s="5"/>
    </row>
    <row r="105" spans="1:16" ht="15.75" x14ac:dyDescent="0.25">
      <c r="A105" s="5">
        <f>SUBTOTAL(3,$B$2:B105)</f>
        <v>104</v>
      </c>
      <c r="B105" s="6">
        <v>46143</v>
      </c>
      <c r="C105" s="6" t="s">
        <v>46</v>
      </c>
      <c r="D105" s="5" t="s">
        <v>42</v>
      </c>
      <c r="E105" s="5" t="s">
        <v>43</v>
      </c>
      <c r="F105" s="5" t="s">
        <v>85</v>
      </c>
      <c r="G105" s="5" t="s">
        <v>39</v>
      </c>
      <c r="H105" s="7"/>
      <c r="I105" s="7"/>
      <c r="J105" s="7"/>
      <c r="K105" s="8"/>
      <c r="L105" s="9">
        <v>420000</v>
      </c>
      <c r="M105" s="10">
        <v>1</v>
      </c>
      <c r="N105" s="9">
        <f t="shared" si="7"/>
        <v>420000</v>
      </c>
      <c r="O105" s="11">
        <v>46143</v>
      </c>
      <c r="P105" s="5"/>
    </row>
    <row r="106" spans="1:16" ht="15.75" x14ac:dyDescent="0.25">
      <c r="A106" s="5">
        <f>SUBTOTAL(3,$B$2:B106)</f>
        <v>105</v>
      </c>
      <c r="B106" s="6">
        <v>46143</v>
      </c>
      <c r="C106" s="6" t="s">
        <v>46</v>
      </c>
      <c r="D106" s="5" t="s">
        <v>42</v>
      </c>
      <c r="E106" s="5" t="s">
        <v>61</v>
      </c>
      <c r="F106" s="5" t="s">
        <v>86</v>
      </c>
      <c r="G106" s="5" t="s">
        <v>39</v>
      </c>
      <c r="H106" s="7"/>
      <c r="I106" s="7"/>
      <c r="J106" s="7"/>
      <c r="K106" s="8"/>
      <c r="L106" s="9">
        <v>200000</v>
      </c>
      <c r="M106" s="10">
        <v>1</v>
      </c>
      <c r="N106" s="9">
        <f t="shared" si="7"/>
        <v>200000</v>
      </c>
      <c r="O106" s="11">
        <v>46143</v>
      </c>
      <c r="P106" s="5"/>
    </row>
    <row r="107" spans="1:16" ht="15.75" x14ac:dyDescent="0.25">
      <c r="A107" s="5">
        <f>SUBTOTAL(3,$B$2:B107)</f>
        <v>106</v>
      </c>
      <c r="B107" s="6">
        <v>46143</v>
      </c>
      <c r="C107" s="6" t="s">
        <v>46</v>
      </c>
      <c r="D107" s="5" t="s">
        <v>42</v>
      </c>
      <c r="E107" s="5" t="s">
        <v>43</v>
      </c>
      <c r="F107" s="5" t="s">
        <v>87</v>
      </c>
      <c r="G107" s="5" t="s">
        <v>39</v>
      </c>
      <c r="H107" s="7"/>
      <c r="I107" s="7"/>
      <c r="J107" s="7"/>
      <c r="K107" s="8"/>
      <c r="L107" s="9">
        <v>100000</v>
      </c>
      <c r="M107" s="10">
        <v>1</v>
      </c>
      <c r="N107" s="9">
        <f t="shared" si="7"/>
        <v>100000</v>
      </c>
      <c r="O107" s="11">
        <v>46143</v>
      </c>
      <c r="P107" s="5"/>
    </row>
    <row r="108" spans="1:16" ht="15.75" x14ac:dyDescent="0.25">
      <c r="A108" s="5">
        <f>SUBTOTAL(3,$B$2:B108)</f>
        <v>107</v>
      </c>
      <c r="B108" s="6">
        <v>46143</v>
      </c>
      <c r="C108" s="6" t="s">
        <v>46</v>
      </c>
      <c r="D108" s="5" t="s">
        <v>42</v>
      </c>
      <c r="E108" s="5" t="s">
        <v>43</v>
      </c>
      <c r="F108" s="5" t="s">
        <v>88</v>
      </c>
      <c r="G108" s="5" t="s">
        <v>39</v>
      </c>
      <c r="H108" s="7"/>
      <c r="I108" s="7"/>
      <c r="J108" s="7"/>
      <c r="K108" s="8"/>
      <c r="L108" s="9">
        <v>380000</v>
      </c>
      <c r="M108" s="10">
        <v>1</v>
      </c>
      <c r="N108" s="9">
        <f t="shared" si="7"/>
        <v>380000</v>
      </c>
      <c r="O108" s="11">
        <v>46143</v>
      </c>
      <c r="P108" s="34"/>
    </row>
    <row r="109" spans="1:16" ht="15.75" x14ac:dyDescent="0.25">
      <c r="A109" s="5">
        <f>SUBTOTAL(3,$B$2:B109)</f>
        <v>108</v>
      </c>
      <c r="B109" s="6">
        <v>46143</v>
      </c>
      <c r="C109" s="6" t="s">
        <v>46</v>
      </c>
      <c r="D109" s="5" t="s">
        <v>42</v>
      </c>
      <c r="E109" s="5" t="s">
        <v>43</v>
      </c>
      <c r="F109" s="5" t="s">
        <v>89</v>
      </c>
      <c r="G109" s="5" t="s">
        <v>39</v>
      </c>
      <c r="H109" s="7"/>
      <c r="I109" s="7"/>
      <c r="J109" s="7"/>
      <c r="K109" s="8"/>
      <c r="L109" s="9">
        <v>255500</v>
      </c>
      <c r="M109" s="10">
        <v>1</v>
      </c>
      <c r="N109" s="9">
        <f t="shared" si="7"/>
        <v>255500</v>
      </c>
      <c r="O109" s="11">
        <v>46143</v>
      </c>
      <c r="P109" s="34"/>
    </row>
    <row r="110" spans="1:16" ht="15.75" x14ac:dyDescent="0.25">
      <c r="A110" s="5">
        <f>SUBTOTAL(3,$B$2:B110)</f>
        <v>109</v>
      </c>
      <c r="B110" s="6">
        <v>46143</v>
      </c>
      <c r="C110" s="6" t="s">
        <v>46</v>
      </c>
      <c r="D110" s="5" t="s">
        <v>42</v>
      </c>
      <c r="E110" s="5" t="s">
        <v>43</v>
      </c>
      <c r="F110" s="5" t="s">
        <v>89</v>
      </c>
      <c r="G110" s="5" t="s">
        <v>39</v>
      </c>
      <c r="H110" s="7"/>
      <c r="I110" s="7"/>
      <c r="J110" s="7"/>
      <c r="K110" s="8"/>
      <c r="L110" s="9">
        <v>255500</v>
      </c>
      <c r="M110" s="10">
        <v>1</v>
      </c>
      <c r="N110" s="9">
        <f t="shared" si="7"/>
        <v>255500</v>
      </c>
      <c r="O110" s="11">
        <v>46143</v>
      </c>
      <c r="P110" s="34"/>
    </row>
    <row r="111" spans="1:16" ht="15.75" x14ac:dyDescent="0.25">
      <c r="A111" s="5">
        <f>SUBTOTAL(3,$B$2:B111)</f>
        <v>110</v>
      </c>
      <c r="B111" s="6">
        <v>46143</v>
      </c>
      <c r="C111" s="6" t="s">
        <v>46</v>
      </c>
      <c r="D111" s="5" t="s">
        <v>42</v>
      </c>
      <c r="E111" s="5" t="s">
        <v>60</v>
      </c>
      <c r="F111" s="5" t="s">
        <v>90</v>
      </c>
      <c r="G111" s="5" t="s">
        <v>39</v>
      </c>
      <c r="H111" s="7"/>
      <c r="I111" s="7"/>
      <c r="J111" s="7"/>
      <c r="K111" s="8"/>
      <c r="L111" s="9">
        <v>344452</v>
      </c>
      <c r="M111" s="10">
        <v>1</v>
      </c>
      <c r="N111" s="9">
        <f t="shared" si="7"/>
        <v>344452</v>
      </c>
      <c r="O111" s="11">
        <v>46143</v>
      </c>
      <c r="P111" s="34"/>
    </row>
    <row r="112" spans="1:16" ht="15.75" x14ac:dyDescent="0.25">
      <c r="A112" s="5">
        <f>SUBTOTAL(3,$B$2:B112)</f>
        <v>111</v>
      </c>
      <c r="B112" s="6">
        <v>46143</v>
      </c>
      <c r="C112" s="6" t="s">
        <v>46</v>
      </c>
      <c r="D112" s="5" t="s">
        <v>42</v>
      </c>
      <c r="E112" s="5" t="s">
        <v>43</v>
      </c>
      <c r="F112" s="5" t="s">
        <v>87</v>
      </c>
      <c r="G112" s="5" t="s">
        <v>39</v>
      </c>
      <c r="H112" s="7"/>
      <c r="I112" s="7"/>
      <c r="J112" s="7"/>
      <c r="K112" s="8"/>
      <c r="L112" s="9">
        <v>50000</v>
      </c>
      <c r="M112" s="10">
        <v>1</v>
      </c>
      <c r="N112" s="9">
        <f t="shared" si="7"/>
        <v>50000</v>
      </c>
      <c r="O112" s="11">
        <v>46143</v>
      </c>
      <c r="P112" s="34"/>
    </row>
    <row r="113" spans="1:16" ht="15.75" x14ac:dyDescent="0.25">
      <c r="A113" s="5">
        <f>SUBTOTAL(3,$B$2:B113)</f>
        <v>112</v>
      </c>
      <c r="B113" s="6">
        <v>46143</v>
      </c>
      <c r="C113" s="6" t="s">
        <v>46</v>
      </c>
      <c r="D113" s="5" t="s">
        <v>42</v>
      </c>
      <c r="E113" s="5" t="s">
        <v>60</v>
      </c>
      <c r="F113" s="5" t="s">
        <v>91</v>
      </c>
      <c r="G113" s="5" t="s">
        <v>39</v>
      </c>
      <c r="H113" s="7"/>
      <c r="I113" s="7"/>
      <c r="J113" s="7"/>
      <c r="K113" s="8"/>
      <c r="L113" s="9">
        <v>300000</v>
      </c>
      <c r="M113" s="10">
        <v>1</v>
      </c>
      <c r="N113" s="9">
        <f t="shared" si="7"/>
        <v>300000</v>
      </c>
      <c r="O113" s="11">
        <v>46143</v>
      </c>
      <c r="P113" s="34"/>
    </row>
    <row r="114" spans="1:16" ht="15.75" x14ac:dyDescent="0.25">
      <c r="A114" s="5">
        <f>SUBTOTAL(3,$B$2:B114)</f>
        <v>113</v>
      </c>
      <c r="B114" s="6">
        <v>46143</v>
      </c>
      <c r="C114" s="6" t="s">
        <v>46</v>
      </c>
      <c r="D114" s="5" t="s">
        <v>42</v>
      </c>
      <c r="E114" s="5" t="s">
        <v>61</v>
      </c>
      <c r="F114" s="5" t="s">
        <v>92</v>
      </c>
      <c r="G114" s="5" t="s">
        <v>39</v>
      </c>
      <c r="H114" s="7"/>
      <c r="I114" s="7"/>
      <c r="J114" s="7"/>
      <c r="K114" s="8"/>
      <c r="L114" s="9">
        <v>200000</v>
      </c>
      <c r="M114" s="10">
        <v>1</v>
      </c>
      <c r="N114" s="9">
        <f t="shared" si="7"/>
        <v>200000</v>
      </c>
      <c r="O114" s="11">
        <v>46143</v>
      </c>
      <c r="P114" s="34"/>
    </row>
    <row r="115" spans="1:16" ht="15.75" x14ac:dyDescent="0.25">
      <c r="A115" s="5">
        <f>SUBTOTAL(3,$B$2:B115)</f>
        <v>114</v>
      </c>
      <c r="B115" s="6">
        <v>46143</v>
      </c>
      <c r="C115" s="6" t="s">
        <v>46</v>
      </c>
      <c r="D115" s="5" t="s">
        <v>42</v>
      </c>
      <c r="E115" s="5" t="s">
        <v>43</v>
      </c>
      <c r="F115" s="5" t="s">
        <v>87</v>
      </c>
      <c r="G115" s="5" t="s">
        <v>39</v>
      </c>
      <c r="K115" s="8"/>
      <c r="L115" s="9">
        <v>50000</v>
      </c>
      <c r="M115" s="10">
        <v>1</v>
      </c>
      <c r="N115" s="9">
        <f t="shared" si="7"/>
        <v>50000</v>
      </c>
      <c r="O115" s="11">
        <v>46143</v>
      </c>
    </row>
    <row r="116" spans="1:16" ht="15.75" x14ac:dyDescent="0.25">
      <c r="A116" s="5">
        <f>SUBTOTAL(3,$B$2:B116)</f>
        <v>115</v>
      </c>
      <c r="B116" s="6">
        <v>46143</v>
      </c>
      <c r="C116" s="6" t="s">
        <v>46</v>
      </c>
      <c r="D116" s="5" t="s">
        <v>42</v>
      </c>
      <c r="E116" s="5" t="s">
        <v>41</v>
      </c>
      <c r="F116" s="5" t="s">
        <v>93</v>
      </c>
      <c r="G116" s="5" t="s">
        <v>39</v>
      </c>
      <c r="K116" s="8"/>
      <c r="L116" s="9">
        <v>660000</v>
      </c>
      <c r="M116" s="10">
        <v>1</v>
      </c>
      <c r="N116" s="9">
        <f t="shared" ref="N116:N119" si="10">IF(B116&gt;O116,"",L116/M116)</f>
        <v>660000</v>
      </c>
      <c r="O116" s="11">
        <v>46143</v>
      </c>
    </row>
    <row r="117" spans="1:16" ht="15.75" x14ac:dyDescent="0.25">
      <c r="A117" s="5">
        <f>SUBTOTAL(3,$B$2:B117)</f>
        <v>116</v>
      </c>
      <c r="B117" s="6">
        <v>46143</v>
      </c>
      <c r="C117" s="6" t="s">
        <v>46</v>
      </c>
      <c r="D117" s="5" t="s">
        <v>42</v>
      </c>
      <c r="E117" s="5" t="s">
        <v>63</v>
      </c>
      <c r="F117" s="5" t="s">
        <v>81</v>
      </c>
      <c r="G117" s="5" t="s">
        <v>39</v>
      </c>
      <c r="K117" s="8"/>
      <c r="L117" s="9">
        <v>550960</v>
      </c>
      <c r="M117" s="10">
        <v>1</v>
      </c>
      <c r="N117" s="9">
        <f t="shared" si="10"/>
        <v>550960</v>
      </c>
      <c r="O117" s="11">
        <v>46143</v>
      </c>
    </row>
    <row r="118" spans="1:16" ht="15.75" x14ac:dyDescent="0.25">
      <c r="A118" s="5">
        <f>SUBTOTAL(3,$B$2:B118)</f>
        <v>117</v>
      </c>
      <c r="B118" s="6">
        <v>46143</v>
      </c>
      <c r="C118" s="6" t="s">
        <v>46</v>
      </c>
      <c r="D118" s="5" t="s">
        <v>42</v>
      </c>
      <c r="E118" s="5" t="s">
        <v>44</v>
      </c>
      <c r="F118" s="5" t="s">
        <v>62</v>
      </c>
      <c r="G118" s="5" t="s">
        <v>39</v>
      </c>
      <c r="K118" s="8"/>
      <c r="L118" s="9">
        <v>201350</v>
      </c>
      <c r="M118" s="10">
        <v>1</v>
      </c>
      <c r="N118" s="9">
        <f t="shared" si="10"/>
        <v>201350</v>
      </c>
      <c r="O118" s="11">
        <v>46143</v>
      </c>
    </row>
    <row r="119" spans="1:16" ht="15.75" x14ac:dyDescent="0.25">
      <c r="A119" s="5">
        <f>SUBTOTAL(3,$B$2:B119)</f>
        <v>118</v>
      </c>
      <c r="B119" s="6">
        <v>46143</v>
      </c>
      <c r="C119" s="6" t="s">
        <v>46</v>
      </c>
      <c r="D119" s="5" t="s">
        <v>42</v>
      </c>
      <c r="E119" s="5"/>
      <c r="F119" s="5"/>
      <c r="G119" s="5"/>
      <c r="K119" s="8"/>
      <c r="L119" s="9"/>
      <c r="M119" s="10">
        <v>1</v>
      </c>
      <c r="N119" s="9">
        <f t="shared" si="10"/>
        <v>0</v>
      </c>
      <c r="O119" s="11">
        <v>46143</v>
      </c>
    </row>
    <row r="120" spans="1:16" ht="15.75" x14ac:dyDescent="0.25">
      <c r="K120" s="8"/>
    </row>
    <row r="121" spans="1:16" ht="15.75" x14ac:dyDescent="0.25">
      <c r="K121" s="8"/>
    </row>
  </sheetData>
  <autoFilter ref="A1:P118" xr:uid="{105D9AB5-4969-49F6-989D-5F4EC3D6EEF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EC47-A48E-4993-B1AA-0E99BE7284AE}">
  <dimension ref="A1:G17"/>
  <sheetViews>
    <sheetView workbookViewId="0">
      <selection activeCell="I18" sqref="I18"/>
    </sheetView>
  </sheetViews>
  <sheetFormatPr defaultRowHeight="15" x14ac:dyDescent="0.25"/>
  <cols>
    <col min="1" max="1" width="15" customWidth="1"/>
    <col min="4" max="4" width="14.85546875" customWidth="1"/>
    <col min="5" max="5" width="17.5703125" customWidth="1"/>
  </cols>
  <sheetData>
    <row r="1" spans="1:7" ht="63" x14ac:dyDescent="0.25">
      <c r="A1" s="20" t="s">
        <v>71</v>
      </c>
      <c r="B1" s="20" t="s">
        <v>72</v>
      </c>
      <c r="C1" s="21" t="s">
        <v>73</v>
      </c>
      <c r="D1" s="21" t="s">
        <v>74</v>
      </c>
      <c r="E1" s="21" t="s">
        <v>75</v>
      </c>
      <c r="F1" s="21" t="s">
        <v>76</v>
      </c>
    </row>
    <row r="2" spans="1:7" ht="15.75" x14ac:dyDescent="0.25">
      <c r="A2" s="22" t="s">
        <v>32</v>
      </c>
      <c r="B2" s="23" t="s">
        <v>54</v>
      </c>
      <c r="C2" s="22">
        <v>9.5</v>
      </c>
      <c r="D2" s="24">
        <v>135000</v>
      </c>
      <c r="E2" s="25">
        <v>10000</v>
      </c>
      <c r="F2" s="24">
        <f>C2*D2/E2</f>
        <v>128.25</v>
      </c>
    </row>
    <row r="3" spans="1:7" ht="15.75" x14ac:dyDescent="0.25">
      <c r="A3" s="22" t="s">
        <v>32</v>
      </c>
      <c r="B3" s="23" t="s">
        <v>77</v>
      </c>
      <c r="C3" s="22">
        <v>7.5</v>
      </c>
      <c r="D3" s="24">
        <v>135000</v>
      </c>
      <c r="E3" s="25">
        <v>10000</v>
      </c>
      <c r="F3" s="24">
        <f>C3*D3/E3</f>
        <v>101.25</v>
      </c>
    </row>
    <row r="4" spans="1:7" ht="15.75" x14ac:dyDescent="0.25">
      <c r="A4" s="22" t="s">
        <v>32</v>
      </c>
      <c r="B4" s="23" t="s">
        <v>78</v>
      </c>
      <c r="C4" s="22">
        <v>4</v>
      </c>
      <c r="D4" s="24">
        <v>140000</v>
      </c>
      <c r="E4" s="25">
        <v>10000</v>
      </c>
      <c r="F4" s="24">
        <f>C4*D4/E4</f>
        <v>56</v>
      </c>
    </row>
    <row r="5" spans="1:7" ht="15.75" x14ac:dyDescent="0.25">
      <c r="A5" s="22" t="s">
        <v>32</v>
      </c>
      <c r="B5" s="23" t="s">
        <v>19</v>
      </c>
      <c r="C5" s="22">
        <v>0</v>
      </c>
      <c r="D5" s="24"/>
      <c r="E5" s="25"/>
      <c r="F5" s="24"/>
    </row>
    <row r="6" spans="1:7" ht="15.75" x14ac:dyDescent="0.25">
      <c r="A6" s="22" t="s">
        <v>34</v>
      </c>
      <c r="B6" s="23" t="s">
        <v>54</v>
      </c>
      <c r="C6" s="22">
        <v>4</v>
      </c>
      <c r="D6" s="24">
        <v>2635000</v>
      </c>
      <c r="E6" s="25">
        <v>100000</v>
      </c>
      <c r="F6" s="24">
        <f>C6*D6/E6</f>
        <v>105.4</v>
      </c>
      <c r="G6" t="s">
        <v>79</v>
      </c>
    </row>
    <row r="7" spans="1:7" ht="15.75" x14ac:dyDescent="0.25">
      <c r="A7" s="22" t="s">
        <v>34</v>
      </c>
      <c r="B7" s="23" t="s">
        <v>77</v>
      </c>
      <c r="C7" s="22">
        <v>4</v>
      </c>
      <c r="D7" s="24">
        <v>2635000</v>
      </c>
      <c r="E7" s="25">
        <v>100000</v>
      </c>
      <c r="F7" s="24">
        <f>C7*D7/E7</f>
        <v>105.4</v>
      </c>
      <c r="G7" t="s">
        <v>80</v>
      </c>
    </row>
    <row r="8" spans="1:7" ht="15.75" x14ac:dyDescent="0.25">
      <c r="A8" s="22" t="s">
        <v>34</v>
      </c>
      <c r="B8" s="23" t="s">
        <v>78</v>
      </c>
      <c r="C8" s="22">
        <v>4</v>
      </c>
      <c r="D8" s="24">
        <v>1360000</v>
      </c>
      <c r="E8" s="25">
        <v>80000</v>
      </c>
      <c r="F8" s="24">
        <f>C8*D8/E8</f>
        <v>68</v>
      </c>
    </row>
    <row r="9" spans="1:7" ht="15.75" x14ac:dyDescent="0.25">
      <c r="A9" s="22" t="s">
        <v>34</v>
      </c>
      <c r="B9" s="23" t="s">
        <v>19</v>
      </c>
      <c r="C9" s="22">
        <v>4</v>
      </c>
      <c r="D9" s="24">
        <v>3600000</v>
      </c>
      <c r="E9" s="25">
        <v>80000</v>
      </c>
      <c r="F9" s="24">
        <f>C9*D9/E9</f>
        <v>180</v>
      </c>
    </row>
    <row r="10" spans="1:7" ht="15.75" x14ac:dyDescent="0.25">
      <c r="A10" s="22" t="s">
        <v>35</v>
      </c>
      <c r="B10" s="23" t="s">
        <v>54</v>
      </c>
      <c r="C10" s="22">
        <v>1</v>
      </c>
      <c r="D10" s="24">
        <v>1850000</v>
      </c>
      <c r="E10" s="25">
        <v>100000</v>
      </c>
      <c r="F10" s="24">
        <f t="shared" ref="F10:F13" si="0">C10*D10/E10</f>
        <v>18.5</v>
      </c>
    </row>
    <row r="11" spans="1:7" ht="15.75" x14ac:dyDescent="0.25">
      <c r="A11" s="22" t="s">
        <v>35</v>
      </c>
      <c r="B11" s="23" t="s">
        <v>77</v>
      </c>
      <c r="C11" s="22">
        <v>1</v>
      </c>
      <c r="D11" s="24">
        <v>2950000</v>
      </c>
      <c r="E11" s="25">
        <v>100000</v>
      </c>
      <c r="F11" s="24">
        <f t="shared" si="0"/>
        <v>29.5</v>
      </c>
    </row>
    <row r="12" spans="1:7" ht="15.75" x14ac:dyDescent="0.25">
      <c r="A12" s="22" t="s">
        <v>35</v>
      </c>
      <c r="B12" s="23" t="s">
        <v>78</v>
      </c>
      <c r="C12" s="22">
        <v>1</v>
      </c>
      <c r="D12" s="24">
        <v>1650000</v>
      </c>
      <c r="E12" s="25">
        <v>100000</v>
      </c>
      <c r="F12" s="24">
        <f t="shared" si="0"/>
        <v>16.5</v>
      </c>
    </row>
    <row r="13" spans="1:7" ht="15.75" x14ac:dyDescent="0.25">
      <c r="A13" s="22" t="s">
        <v>35</v>
      </c>
      <c r="B13" s="23" t="s">
        <v>19</v>
      </c>
      <c r="C13" s="22">
        <v>1</v>
      </c>
      <c r="D13" s="24">
        <v>1850000</v>
      </c>
      <c r="E13" s="25">
        <v>100000</v>
      </c>
      <c r="F13" s="24">
        <f t="shared" si="0"/>
        <v>18.5</v>
      </c>
    </row>
    <row r="14" spans="1:7" ht="15.75" x14ac:dyDescent="0.25">
      <c r="A14" s="22" t="s">
        <v>36</v>
      </c>
      <c r="B14" s="23" t="s">
        <v>54</v>
      </c>
      <c r="C14" s="26">
        <v>0.1</v>
      </c>
      <c r="D14" s="27">
        <v>12930133.3333333</v>
      </c>
      <c r="E14" s="25">
        <v>5000</v>
      </c>
      <c r="F14" s="24">
        <f>D14*C14/E14</f>
        <v>258.60266666666604</v>
      </c>
    </row>
    <row r="15" spans="1:7" ht="15.75" x14ac:dyDescent="0.25">
      <c r="A15" s="22" t="s">
        <v>36</v>
      </c>
      <c r="B15" s="23" t="s">
        <v>77</v>
      </c>
      <c r="C15" s="26">
        <v>0.1</v>
      </c>
      <c r="D15" s="27">
        <v>12930133.3333333</v>
      </c>
      <c r="E15" s="25">
        <v>5000</v>
      </c>
      <c r="F15" s="24">
        <f>D15*C15/E15</f>
        <v>258.60266666666604</v>
      </c>
    </row>
    <row r="16" spans="1:7" ht="15.75" x14ac:dyDescent="0.25">
      <c r="A16" s="22" t="s">
        <v>36</v>
      </c>
      <c r="B16" s="23" t="s">
        <v>78</v>
      </c>
      <c r="C16" s="26">
        <v>0.08</v>
      </c>
      <c r="D16" s="27">
        <v>12930133.3333333</v>
      </c>
      <c r="E16" s="25">
        <v>5000</v>
      </c>
      <c r="F16" s="24">
        <f t="shared" ref="F16:F17" si="1">D16*C16/E16</f>
        <v>206.8821333333328</v>
      </c>
    </row>
    <row r="17" spans="1:6" ht="15.75" x14ac:dyDescent="0.25">
      <c r="A17" s="22" t="s">
        <v>36</v>
      </c>
      <c r="B17" s="23" t="s">
        <v>19</v>
      </c>
      <c r="C17" s="26">
        <v>0.05</v>
      </c>
      <c r="D17" s="27">
        <v>11590909.083333334</v>
      </c>
      <c r="E17" s="25">
        <v>5000</v>
      </c>
      <c r="F17" s="24">
        <f t="shared" si="1"/>
        <v>115.90909083333334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821A-9078-4E51-A268-D57142CA3057}">
  <dimension ref="A1:H2"/>
  <sheetViews>
    <sheetView workbookViewId="0">
      <selection activeCell="F6" sqref="F6"/>
    </sheetView>
  </sheetViews>
  <sheetFormatPr defaultRowHeight="15" x14ac:dyDescent="0.25"/>
  <cols>
    <col min="1" max="1" width="17" style="19" customWidth="1"/>
    <col min="2" max="2" width="17.7109375" customWidth="1"/>
    <col min="3" max="7" width="23" customWidth="1"/>
    <col min="8" max="8" width="45.28515625" customWidth="1"/>
  </cols>
  <sheetData>
    <row r="1" spans="1:8" ht="31.5" x14ac:dyDescent="0.25">
      <c r="A1" s="18" t="s">
        <v>67</v>
      </c>
      <c r="B1" s="36" t="s">
        <v>68</v>
      </c>
      <c r="C1" s="36" t="s">
        <v>69</v>
      </c>
      <c r="D1" s="36" t="s">
        <v>94</v>
      </c>
      <c r="E1" s="36" t="s">
        <v>95</v>
      </c>
      <c r="F1" s="37" t="s">
        <v>97</v>
      </c>
      <c r="G1" s="37" t="s">
        <v>96</v>
      </c>
      <c r="H1" s="36" t="s">
        <v>70</v>
      </c>
    </row>
    <row r="2" spans="1:8" ht="15.75" x14ac:dyDescent="0.25">
      <c r="A2" s="15">
        <f>'Tóm tắt CP'!B1</f>
        <v>46143</v>
      </c>
      <c r="B2" s="16" t="s">
        <v>46</v>
      </c>
      <c r="C2" s="17">
        <v>12230</v>
      </c>
      <c r="D2" s="17">
        <v>61</v>
      </c>
      <c r="E2" s="17">
        <v>42</v>
      </c>
      <c r="F2" s="17">
        <v>122</v>
      </c>
      <c r="G2" s="17">
        <f>C2-D2-E2-F2</f>
        <v>12005</v>
      </c>
      <c r="H2" s="1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Tóm tắt CP</vt:lpstr>
      <vt:lpstr>Chi tiết</vt:lpstr>
      <vt:lpstr>Đơn giá SCBD</vt:lpstr>
      <vt:lpstr>Doanh thu 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 Do Thi Ngoc</dc:creator>
  <cp:lastModifiedBy>Administrator</cp:lastModifiedBy>
  <dcterms:created xsi:type="dcterms:W3CDTF">2026-02-06T07:11:56Z</dcterms:created>
  <dcterms:modified xsi:type="dcterms:W3CDTF">2026-06-10T08:59:54Z</dcterms:modified>
</cp:coreProperties>
</file>