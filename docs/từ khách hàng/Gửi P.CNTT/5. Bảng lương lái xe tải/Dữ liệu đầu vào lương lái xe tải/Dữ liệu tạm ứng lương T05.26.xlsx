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D:\CÔNG TY TNHH X.E VN\Bảng ứng lương lái tải\T05.26\"/>
    </mc:Choice>
  </mc:AlternateContent>
  <xr:revisionPtr revIDLastSave="0" documentId="13_ncr:1_{C1125F48-A655-4382-B815-8DC1C7F1F11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ữ liệu ứng lương T05.26" sheetId="5" r:id="rId1"/>
    <sheet name="Kế toán" sheetId="1" r:id="rId2"/>
    <sheet name="Sheet4" sheetId="4" r:id="rId3"/>
    <sheet name="phòng hàng" sheetId="3" r:id="rId4"/>
  </sheets>
  <definedNames>
    <definedName name="_xlnm._FilterDatabase" localSheetId="1" hidden="1">'Kế toán'!$A$1:$J$1</definedName>
    <definedName name="_xlnm._FilterDatabase" localSheetId="3" hidden="1">'phòng hàng'!$A$1:$I$213</definedName>
    <definedName name="_xlnm._FilterDatabase" localSheetId="2" hidden="1">Sheet4!$D$3:$G$88</definedName>
  </definedNames>
  <calcPr calcId="191029"/>
  <pivotCaches>
    <pivotCache cacheId="1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" l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2" i="5"/>
  <c r="B86" i="5"/>
  <c r="E88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4" i="4"/>
  <c r="F88" i="4" l="1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4" i="4"/>
  <c r="G88" i="4" l="1"/>
</calcChain>
</file>

<file path=xl/sharedStrings.xml><?xml version="1.0" encoding="utf-8"?>
<sst xmlns="http://schemas.openxmlformats.org/spreadsheetml/2006/main" count="2493" uniqueCount="637">
  <si>
    <t>Ngày hạch toán</t>
  </si>
  <si>
    <t>Ngày chứng từ</t>
  </si>
  <si>
    <t>Số chứng từ</t>
  </si>
  <si>
    <t>Diễn giải</t>
  </si>
  <si>
    <t>TK đối ứng</t>
  </si>
  <si>
    <t>Nợ</t>
  </si>
  <si>
    <t>Có</t>
  </si>
  <si>
    <t>Mã đối tượng</t>
  </si>
  <si>
    <t>KTHN2787</t>
  </si>
  <si>
    <t>Tạm ứng chi phí đi đường cho lái xe ngày 08/05/26 - Bùi Duy Hiếu 29E38126</t>
  </si>
  <si>
    <t>1411</t>
  </si>
  <si>
    <t>XE01563</t>
  </si>
  <si>
    <t>KTHN2784</t>
  </si>
  <si>
    <t>Tạm ứng chi phí đi đường cho lái xe ngày 11/05/26 - Bùi Ngọc Ninh 29E12401</t>
  </si>
  <si>
    <t>XE01670</t>
  </si>
  <si>
    <t>KTHN2793</t>
  </si>
  <si>
    <t>Tạm ứng chi phí đi đường cho lái xe ngày 02/05/26 - Bùi Văn Đào 29E08175</t>
  </si>
  <si>
    <t>XE01331</t>
  </si>
  <si>
    <t>KTHN2993</t>
  </si>
  <si>
    <t>Tạm ứng chi phí đi đường cho lái xe ngày 12/05/26 - GH-1134 Bùi Văn Đào 29E08175</t>
  </si>
  <si>
    <t>KTHN2982</t>
  </si>
  <si>
    <t>Tạm ứng chi phí đi đường cho lái xe ngày 18/05/26 - DA-1284 Bùi Văn Đào 29E08175</t>
  </si>
  <si>
    <t>Tạm ứng chi phí đi đường cho lái xe ngày 11/05/26 - Cao Hoài Tiên 29E12401</t>
  </si>
  <si>
    <t>XE01477</t>
  </si>
  <si>
    <t>KTHN2786</t>
  </si>
  <si>
    <t>Tạm ứng chi phí đi đường cho lái xe ngày 09/05/26 - Cao Phong Anh 29E38159</t>
  </si>
  <si>
    <t>XE01591</t>
  </si>
  <si>
    <t>Tạm ứng chi phí đi đường cho lái xe ngày 09/05/26 - Cao Tuấn Anh 29E38159</t>
  </si>
  <si>
    <t>XE01590</t>
  </si>
  <si>
    <t>KTHN2979</t>
  </si>
  <si>
    <t>Tạm ứng chi phí đi đường cho lái xe ngày 15/05/26 - DA-1266 Cao Tuấn Anh 29E38159</t>
  </si>
  <si>
    <t>KTHN2997</t>
  </si>
  <si>
    <t>Tạm ứng chi phí đi đường cho lái xe ngày 21/05/26 DA 1306 Cao Tuấn Anh 29E38159</t>
  </si>
  <si>
    <t>KTHN2788</t>
  </si>
  <si>
    <t>Tạm ứng chi phí đi đường cho lái xe ngày 07/05/26 - Đặng Công Đức 29E44377</t>
  </si>
  <si>
    <t>XE01417</t>
  </si>
  <si>
    <t>KTHN2782</t>
  </si>
  <si>
    <t>Tạm ứng chi phí đi đường cho lái xe ngày 13/05/26 - Đặng Công Đức 29E44377</t>
  </si>
  <si>
    <t>KTHN2981</t>
  </si>
  <si>
    <t>Tạm ứng chi phí đi đường cho lái xe ngày 17/05/26 - DA-1278 Đặng Công Đức 29E44377</t>
  </si>
  <si>
    <t>KTHN2998</t>
  </si>
  <si>
    <t>Tạm ứng chi phí đi đường cho lái xe ngày 22/05/26 DA-1317 Đặng Công Đức 29E44377</t>
  </si>
  <si>
    <t>KTHN2790</t>
  </si>
  <si>
    <t>Tạm ứng chi phí đi đường cho lái xe ngày 05/05/26 - Đặng Tuân 29E12047</t>
  </si>
  <si>
    <t>XE01507</t>
  </si>
  <si>
    <t>Tạm ứng chi phí đi đường cho lái xe ngày 15/05/26 - DA-1262 Đặng Tuân 29E12047</t>
  </si>
  <si>
    <t>Tạm ứng chi phí đi đường cho lái xe ngày 24/05/26 DA-1328 Đặng Tuân 29E12047</t>
  </si>
  <si>
    <t>KTHN2789</t>
  </si>
  <si>
    <t>Tạm ứng chi phí đi đường cho lái xe ngày 06/05/26 - Đào Ngọc Ngà 29E35164</t>
  </si>
  <si>
    <t>XE00991</t>
  </si>
  <si>
    <t xml:space="preserve">Tạm ứng chi phí đi đường cho lái xe ngày 18/05/26 - DA-1288 Đào Ngọc Ngà 29E35164 </t>
  </si>
  <si>
    <t>Tạm ứng chi phí đi đường cho lái xe ngày 13/05/26 - Đào Văn Hùng 29E12120</t>
  </si>
  <si>
    <t>XE01303</t>
  </si>
  <si>
    <t>KTHN2988</t>
  </si>
  <si>
    <t>Tạm ứng chi phí đi đường cho lái xe ngày 24/05/26 - DA-1325 Đào Văn Hùng 29E35064</t>
  </si>
  <si>
    <t>KTHN2985</t>
  </si>
  <si>
    <t xml:space="preserve">Tạm ứng chi phí đi đường cho lái xe ngày 21/05/26 - DA 1309 Đỗ Ngọc Chiến 29E14214 </t>
  </si>
  <si>
    <t>XE00910</t>
  </si>
  <si>
    <t>KTHN2781</t>
  </si>
  <si>
    <t>Tạm ứng chi phí đi đường cho lái xe ngày 14/05/26 - Đỗ Ngọc Thông 29E12412</t>
  </si>
  <si>
    <t>XE00858</t>
  </si>
  <si>
    <t>KTHN2987</t>
  </si>
  <si>
    <t>Tạm ứng chi phí đi đường cho lái xe ngày 23/05/26 - DA-1321 Đỗ Ngọc Thông 29E12412</t>
  </si>
  <si>
    <t>Tạm ứng chi phí đi đường cho lái xe ngày 06/05/26 - Đỗ Văn Cường 29H80501</t>
  </si>
  <si>
    <t>XE01672</t>
  </si>
  <si>
    <t>Tạm ứng chi phí đi đường cho lái xe ngày 15/05/26 - DA-1264 Đỗ Văn Cường 29E08413</t>
  </si>
  <si>
    <t>KTHN2984</t>
  </si>
  <si>
    <t xml:space="preserve">Tạm ứng chi phí đi đường cho lái xe ngày 19/05/26 - DA-1294 Đỗ Văn Nam 29E12143 </t>
  </si>
  <si>
    <t>XE00855</t>
  </si>
  <si>
    <t xml:space="preserve">Tạm ứng chi phí đi đường cho lái xe ngày 17/05/26 - DA-1280 Hà Nguyên Dậu 29E12420 </t>
  </si>
  <si>
    <t>XE00843</t>
  </si>
  <si>
    <t>KTHN2794</t>
  </si>
  <si>
    <t>Tạm ứng chi phí đi đường cho lái xe ngày 01/05/26 - Hoàng Văn Lợi 29K13459</t>
  </si>
  <si>
    <t>XE01456</t>
  </si>
  <si>
    <t>Tạm ứng chi phí đi đường cho lái xe ngày 08/05/26 - Hoàng Văn Lợi 29K13459</t>
  </si>
  <si>
    <t>KTHN2980</t>
  </si>
  <si>
    <t>Tạm ứng chi phí đi đường cho lái xe ngày 16/05/26 - DA-1357 Hoàng Văn Lợi 29K13459</t>
  </si>
  <si>
    <t>KTHN2989</t>
  </si>
  <si>
    <t>Tạm ứng chi phí đi đường cho lái xe ngày 22/05/26 - DA-1316 Hoàng Văn Lợi 29K13459</t>
  </si>
  <si>
    <t>Tạm ứng chi phí đi đường cho lái xe ngày 14/05/26 - Hỏa Văn Lâm 29E14310</t>
  </si>
  <si>
    <t>XE00907</t>
  </si>
  <si>
    <t>KTHN2990</t>
  </si>
  <si>
    <t>Tạm ứng chi phí đi đường cho lái xe ngày 26/05/26 - DA-1335 Hỏa Văn Lâm 29E14310</t>
  </si>
  <si>
    <t>Tạm ứng chi phí đi đường cho lái xe ngày 14/05/26 - Hỏa Văn Quyết 29E14310</t>
  </si>
  <si>
    <t>XE00908</t>
  </si>
  <si>
    <t>Tạm ứng chi phí đi đường cho lái xe ngày 26/05/26 - DA-1335 Hỏa Văn Quyết 29E14310</t>
  </si>
  <si>
    <t>Tạm ứng chi phí đi đường cho lái xe ngày 05/05/26 - Huỳnh Lê Trần Long 29E12047</t>
  </si>
  <si>
    <t>XE01506</t>
  </si>
  <si>
    <t>Tạm ứng chi phí đi đường cho lái xe ngày 15/05/26 - DA-1262 Huỳnh Lê Trần Long 29E12047</t>
  </si>
  <si>
    <t>Tạm ứng chi phí đi đường cho lái xe ngày 24/05/26 DA-1328 Huỳnh Lê Trần Long 29E12047</t>
  </si>
  <si>
    <t>Tạm ứng chi phí đi đường cho lái xe ngày 07/05/26 - Huỳnh Xuân Nhân  29E44377</t>
  </si>
  <si>
    <t>XE01671</t>
  </si>
  <si>
    <t>Tạm ứng chi phí đi đường cho lái xe ngày 13/05/26 - Huỳnh Xuân Nhân 29E44377</t>
  </si>
  <si>
    <t>Tạm ứng chi phí đi đường cho lái xe ngày 17/05/26 - DA-1278 Huỳnh Xuân Nhân 29E44377</t>
  </si>
  <si>
    <t>Tạm ứng chi phí đi đường cho lái xe ngày 22/05/26 DA-1317 Huỳnh Xuân Nhân 29E44377</t>
  </si>
  <si>
    <t>Tạm ứng chi phí đi đường cho lái xe ngày 06/05/26 - Kiều Kim Tiến 29H80501</t>
  </si>
  <si>
    <t>XE00873</t>
  </si>
  <si>
    <t>Tạm ứng chi phí đi đường cho lái xe ngày 15/05/26 - DA-1264 Kiều Kim Tiến 29E08413</t>
  </si>
  <si>
    <t>KTHN2783</t>
  </si>
  <si>
    <t>Tạm ứng chi phí đi đường cho lái xe ngày 12/05/26 - Lê Anh Tuấn 29E54212</t>
  </si>
  <si>
    <t>XE01678</t>
  </si>
  <si>
    <t>Tạm ứng chi phí đi đường cho lái xe ngày 18/05/26 - DA-1285 Lê Anh Tuấn 29E54212</t>
  </si>
  <si>
    <t>Tạm ứng chi phí đi đường cho lái xe ngày 23/05/26 - DA-1323 Lê Anh Tuấn 29E54212</t>
  </si>
  <si>
    <t>KTHN3068</t>
  </si>
  <si>
    <t>Tạm ứng chi phí đi đường cho lái xe ngày 27/05/26 DA-1354 Lê Anh Tuấn 29E54212</t>
  </si>
  <si>
    <t>KTHN2791</t>
  </si>
  <si>
    <t>Tạm ứng chi phí đi đường cho lái xe ngày 04/05/26 - Lê Quốc Quân 29E44369</t>
  </si>
  <si>
    <t>XE01434</t>
  </si>
  <si>
    <t>Tạm ứng chi phí đi đường cho lái xe ngày 13/05/26 - Lê Thanh Đang 29E12120</t>
  </si>
  <si>
    <t>XE00853</t>
  </si>
  <si>
    <t>KTHN2986</t>
  </si>
  <si>
    <t>Tạm ứng chi phí đi đường cho lái xe ngày 22/05/26 - DA-1318 Lê Thanh Đang 29E12120</t>
  </si>
  <si>
    <t>Tạm ứng chi phí đi đường cho lái xe ngày 05/05/26 - Lê Thanh Sơn 29E54261</t>
  </si>
  <si>
    <t>XE01541</t>
  </si>
  <si>
    <t>Tạm ứng chi phí đi đường cho lái xe ngày 12/05/26 - Lê Thanh Sơn 29E54261</t>
  </si>
  <si>
    <t>Tạm ứng chi phí đi đường cho lái xe ngày 18/05/26 - DA-1286 Lê Thanh Sơn 29E54261</t>
  </si>
  <si>
    <t>Tạm ứng chi phí đi đường cho lái xe ngày 07/05/26 - Lê Thế Xuân 29K07924</t>
  </si>
  <si>
    <t>XE01102</t>
  </si>
  <si>
    <t>Tạm ứng chi phí đi đường cho lái xe ngày 12/05/26 - Lê Thế Xuân 29K07924</t>
  </si>
  <si>
    <t>KTHN2983</t>
  </si>
  <si>
    <t>Tạm ứng chi phí đi đường cho lái xe ngày 20/05/26 - DA-1302 Lê Thế Xuân 29K07924</t>
  </si>
  <si>
    <t>Tạm ứng chi phí đi đường cho lái xe ngày 27/05/26 DA-1344 Lê Thế Xuân 29K07924</t>
  </si>
  <si>
    <t>Tạm ứng chi phí đi đường cho lái xe ngày 12/05/26 - Lê Văn Hoàng 29E00028</t>
  </si>
  <si>
    <t>XE01534</t>
  </si>
  <si>
    <t>Tạm ứng chi phí đi đường cho lái xe ngày 21/05/26 - KL 885 Lê Văn Hoàng 29E0028</t>
  </si>
  <si>
    <t>KTHN2991</t>
  </si>
  <si>
    <t>Tạm ứng chi phí đi đường cho lái xe ngày 25/05/26 - DA-1366 Lê Văn Hoàng 29E00028</t>
  </si>
  <si>
    <t>Tạm ứng chi phí đi đường cho lái xe ngày 07/05/26 - Lê Xuân Tú 29K07924</t>
  </si>
  <si>
    <t>XE01315</t>
  </si>
  <si>
    <t>Tạm ứng chi phí đi đường cho lái xe ngày 12/05/26 - Lê Xuân Tú 29K07924</t>
  </si>
  <si>
    <t>Tạm ứng chi phí đi đường cho lái xe ngày 20/05/26 - DA-1302 Lê Xuân Tú 29K07924</t>
  </si>
  <si>
    <t>Tạm ứng chi phí đi đường cho lái xe ngày 27/05/26 DA-1344 Lê Xuân Tú 29K07924</t>
  </si>
  <si>
    <t>Tạm ứng chi phí đi đường cho lái xe ngày 04/05/26 - Lý Hồng Ngà 29H70193</t>
  </si>
  <si>
    <t>XE01622</t>
  </si>
  <si>
    <t>KTHN2785</t>
  </si>
  <si>
    <t>Tạm ứng chi phí đi đường cho lái xe ngày 10/05/26 - Lý Hồng Ngà 29H70193</t>
  </si>
  <si>
    <t>Tạm ứng chi phí đi đường cho lái xe ngày 18/05/26 - GH 836,837,838,839,840,842,843,844,846 Lý Hồng Ngà 29H70193</t>
  </si>
  <si>
    <t xml:space="preserve">Tạm ứng chi phí đi đường cho lái xe ngày 16/05/26 - DA-1271 Mã Đức Diễn 29E14424 </t>
  </si>
  <si>
    <t>XE01034</t>
  </si>
  <si>
    <t xml:space="preserve">Tạm ứng chi phí đi đường cho lái xe ngày 07/05/26 - Mai Tấn Toàn 29E38345 </t>
  </si>
  <si>
    <t>XE01551</t>
  </si>
  <si>
    <t>Tạm ứng chi phí đi đường cho lái xe ngày 11/05/26 - Mai Tấn Toàn 29E38345</t>
  </si>
  <si>
    <t>Tạm ứng chi phí đi đường cho lái xe ngày 15/05/26 - DA-1263 Mai Tấn Toàn 29E38345</t>
  </si>
  <si>
    <t>Tạm ứng chi phí đi đường cho lái xe ngày 22/05/26 GH-910,911,912,913 Mai Tấn Toàn 29E38345</t>
  </si>
  <si>
    <t>Tạm ứng chi phí đi đường cho lái xe ngày 05/05/26 - Ngô Hoàng Vũ 29C37344</t>
  </si>
  <si>
    <t>XE01549</t>
  </si>
  <si>
    <t>Tạm ứng chi phí đi đường cho lái xe ngày 18/05/26 - DA-1287 Ngô Hoàng Vũ 29H80501</t>
  </si>
  <si>
    <t>Tạm ứng chi phí đi đường cho lái xe ngày 24/05/26 DA-1326 Ngô Hoàng Vũ 29H80501</t>
  </si>
  <si>
    <t>KTHN2994</t>
  </si>
  <si>
    <t>Tạm ứng chi phí đi đường cho lái xe ngày 01/05/26 - XE-DA-1160 Nguyễn Bá Bảo 29E08426</t>
  </si>
  <si>
    <t>XE01469</t>
  </si>
  <si>
    <t>Tạm ứng chi phí đi đường cho lái xe ngày 09/05/26 - XE-DA-1213 Nguyễn Bá Bảo 29E08426</t>
  </si>
  <si>
    <t>Tạm ứng chi phí đi đường cho lái xe ngày 08/05/26 - Nguyễn Công Thức 29B20543</t>
  </si>
  <si>
    <t>XE01325</t>
  </si>
  <si>
    <t>Tạm ứng chi phí đi đường cho lái xe ngày 14/05/26 - Nguyễn Công Thức 29B20543</t>
  </si>
  <si>
    <t>Tạm ứng chi phí đi đường cho lái xe ngày 21/05/26 - GH 893,894 Nguyễn Công Thức 29B20543</t>
  </si>
  <si>
    <t>Tạm ứng chi phí đi đường cho lái xe ngày 02/05/26 - Nguyễn Doãn Quang 29E08175</t>
  </si>
  <si>
    <t>XE01645</t>
  </si>
  <si>
    <t>Tạm ứng chi phí đi đường cho lái xe ngày 12/05/26 - GH-1134 Nguyễn Doãn Quang 29E08175</t>
  </si>
  <si>
    <t>Tạm ứng chi phí đi đường cho lái xe ngày 18/05/26 - DA-1284 Nguyễn Doãn Quang 29E08175</t>
  </si>
  <si>
    <t>Tạm ứng chi phí đi đường cho lái xe ngày 08/05/26 - Nguyễn Đức Linh 29B20543</t>
  </si>
  <si>
    <t>XE01326</t>
  </si>
  <si>
    <t>Tạm ứng chi phí đi đường cho lái xe ngày 14/05/26 - Nguyễn Đức Linh 29B20543</t>
  </si>
  <si>
    <t>Tạm ứng chi phí đi đường cho lái xe ngày 21/05/26 - GH 893,894 Nguyễn Đức Linh 29B20543</t>
  </si>
  <si>
    <t>Tạm ứng chi phí đi đường cho lái xe ngày 02/05/26 - Nguyễn Đức Toàn 29E44326</t>
  </si>
  <si>
    <t>XE01600</t>
  </si>
  <si>
    <t>Tạm ứng chi phí đi đường cho lái xe ngày 08/05/26 - Nguyễn Đức Toàn 29E44326</t>
  </si>
  <si>
    <t>Tạm ứng chi phí đi đường cho lái xe ngày 13/05/26 - Nguyễn Đức Toàn 29E44326</t>
  </si>
  <si>
    <t>Tạm ứng chi phí đi đường cho lái xe ngày 22/05/26 - DA-1315 Nguyễn Đức Toàn 29E44326</t>
  </si>
  <si>
    <t>Tạm ứng chi phí đi đường cho lái xe ngày 05/05/26 - Nguyễn Duy Tuấn 29C37344</t>
  </si>
  <si>
    <t>XE01548</t>
  </si>
  <si>
    <t>Tạm ứng chi phí đi đường cho lái xe ngày 18/05/26 - DA-1287 Nguyễn Duy Tuấn 29H80501</t>
  </si>
  <si>
    <t>Tạm ứng chi phí đi đường cho lái xe ngày 24/05/26 DA-1326 Nguyễn Duy Tuấn 29H80501</t>
  </si>
  <si>
    <t>KTHN2792</t>
  </si>
  <si>
    <t>Tạm ứng chi phí đi đường cho lái xe ngày 03/05/26 - Nguyễn Hữu Hưởng 29K06820</t>
  </si>
  <si>
    <t>XE01304</t>
  </si>
  <si>
    <t>Tạm ứng chi phí đi đường cho lái xe ngày 14/05/26 - Nguyễn Hữu Hưởng 29G02325</t>
  </si>
  <si>
    <t>Tạm ứng chi phí đi đường cho lái xe ngày 23/05/26 - DA-1322 Nguyễn Hữu Hưởng 29G02325</t>
  </si>
  <si>
    <t xml:space="preserve">Tạm ứng chi phí đi đường cho lái xe ngày 07/05/26 - Nguyễn Khánh Phú 29E38345 </t>
  </si>
  <si>
    <t>XE01552</t>
  </si>
  <si>
    <t>Tạm ứng chi phí đi đường cho lái xe ngày 11/05/26 - Nguyễn Khánh Phú 29E38345</t>
  </si>
  <si>
    <t>Tạm ứng chi phí đi đường cho lái xe ngày 15/05/26 - DA-1263 Nguyễn Khánh Phú 29E38345</t>
  </si>
  <si>
    <t>Tạm ứng chi phí đi đường cho lái xe ngày 22/05/26 GH-910,911,912,913 Nguyễn Khánh Phú 29E38345</t>
  </si>
  <si>
    <t>Tạm ứng chi phí đi đường cho lái xe ngày 16/05/26 - DA-1273 Nguyễn Mạnh Trường 2912073</t>
  </si>
  <si>
    <t>XE01694</t>
  </si>
  <si>
    <t>Tạm ứng chi phí đi đường cho lái xe ngày 26/05/26 - KL-953 Nguyễn Mạnh Trường 29E12073</t>
  </si>
  <si>
    <t>Tạm ứng chi phí đi đường cho lái xe ngày 01/05/26 - Nguyễn Minh Trọng 29K13459</t>
  </si>
  <si>
    <t>XE01599</t>
  </si>
  <si>
    <t>Tạm ứng chi phí đi đường cho lái xe ngày 08/05/26 - Nguyễn Minh Trọng 29K13459</t>
  </si>
  <si>
    <t>Tạm ứng chi phí đi đường cho lái xe ngày 16/05/26 - DA-1357 Nguyễn Minh Trọng 29K13459</t>
  </si>
  <si>
    <t>Tạm ứng chi phí đi đường cho lái xe ngày 22/05/26 - DA-1316 Nguyễn Minh Trọng 29K13459</t>
  </si>
  <si>
    <t>Tạm ứng chi phí đi đường cho lái xe ngày 12/05/26 - Nguyễn Ngọc Ân 29E00028</t>
  </si>
  <si>
    <t>XE01316</t>
  </si>
  <si>
    <t>Tạm ứng chi phí đi đường cho lái xe ngày 21/05/26 - KL 885 Nguyễn Ngọc Ân 29E0028</t>
  </si>
  <si>
    <t>Tạm ứng chi phí đi đường cho lái xe ngày 25/05/26 - DA-1366 Nguyễn Ngọc Ân 29E00028</t>
  </si>
  <si>
    <t>Tạm ứng chi phí đi đường cho lái xe ngày 14/05/26 - Nguyễn Ngọc Tịnh 29E12412</t>
  </si>
  <si>
    <t>XE01539</t>
  </si>
  <si>
    <t>Tạm ứng chi phí đi đường cho lái xe ngày 24/05/26 - DA-1325 Nguyễn Ngọc Tịnh 29E35064</t>
  </si>
  <si>
    <t>Tạm ứng chi phí đi đường cho lái xe ngày 02/05/26 - Nguyễn Quốc Bình 29K13905</t>
  </si>
  <si>
    <t>XE01005</t>
  </si>
  <si>
    <t>Tạm ứng chi phí đi đường cho lái xe ngày 11/05/26 - Nguyễn Quốc Bình 29K13905</t>
  </si>
  <si>
    <t xml:space="preserve">Tạm ứng chi phí đi đường cho lái xe ngày 17/05/26 - DA-1280 Nguyễn Thanh Bình 29E12420 </t>
  </si>
  <si>
    <t>XE00844</t>
  </si>
  <si>
    <t>Tạm ứng chi phí đi đường cho lái xe ngày 03/05/26 - Nguyễn Thanh Lâm 29E12747</t>
  </si>
  <si>
    <t>XE01644</t>
  </si>
  <si>
    <t>Tạm ứng chi phí đi đường cho lái xe ngày 09/05/26 - Nguyễn Thanh Lâm 29E12747</t>
  </si>
  <si>
    <t>Tạm ứng chi phí đi đường cho lái xe ngày 16/05/26 - DA-1270 Nguyễn Thanh Lâm 29E12747</t>
  </si>
  <si>
    <t>Tạm ứng chi phí đi đường cho lái xe ngày 27/05/26 DA-1343 Nguyễn Thanh Lâm 29E12747</t>
  </si>
  <si>
    <t>Tạm ứng chi phí đi đường cho lái xe ngày 06/05/26 - Nguyễn Thanh Nhân 2902349</t>
  </si>
  <si>
    <t>XE01574</t>
  </si>
  <si>
    <t>Tạm ứng chi phí đi đường cho lái xe ngày 13/05/26 - Nguyễn Thanh Nhân 29G02349</t>
  </si>
  <si>
    <t>Tạm ứng chi phí đi đường cho lái xe ngày 04/05/26 - Nguyễn Trọng Đạt 29K06824</t>
  </si>
  <si>
    <t>XE01263</t>
  </si>
  <si>
    <t>Tạm ứng chi phí đi đường cho lái xe ngày 12/05/26 - Nguyễn Trọng Đạt 29K06824</t>
  </si>
  <si>
    <t>Tạm ứng chi phí đi đường cho lái xe ngày 21/05/26 - DA 1307 Nguyễn Trọng Đạt 29K06824</t>
  </si>
  <si>
    <t>Tạm ứng chi phí đi đường cho lái xe ngày 27/05/26 DA-1345 Nguyễn Trọng Đạt 29K06824</t>
  </si>
  <si>
    <t>Tạm ứng chi phí đi đường cho lái xe ngày 12/05/26 - Nguyễn Tuấn Anh 29E54212</t>
  </si>
  <si>
    <t>XE01679</t>
  </si>
  <si>
    <t>Tạm ứng chi phí đi đường cho lái xe ngày 18/05/26 - DA-1285 Nguyễn Tuấn Anh 29E54212</t>
  </si>
  <si>
    <t>Tạm ứng chi phí đi đường cho lái xe ngày 23/05/26 - DA-1323 Nguyễn Tuấn Anh 29E54212</t>
  </si>
  <si>
    <t>Tạm ứng chi phí đi đường cho lái xe ngày 27/05/26 DA-1354 Nguyễn Tuấn Anh 29E54212</t>
  </si>
  <si>
    <t>Tạm ứng chi phí đi đường cho lái xe ngày 04/05/26 - Nguyễn Văn Chí 29E44369</t>
  </si>
  <si>
    <t>XE01433</t>
  </si>
  <si>
    <t>Tạm ứng chi phí đi đường cho lái xe ngày 09/05/26 - Nguyễn Văn Chí 29E44369</t>
  </si>
  <si>
    <t xml:space="preserve">Tạm ứng chi phí đi đường cho lái xe ngày 17/05/26 - DA-1279 Nguyễn Văn Chí 29E44369 </t>
  </si>
  <si>
    <t>Tạm ứng chi phí đi đường cho lái xe ngày 05/05/26 - Nguyễn Văn Chiến 29E38128</t>
  </si>
  <si>
    <t>XE01582</t>
  </si>
  <si>
    <t>Tạm ứng chi phí đi đường cho lái xe ngày 11/05/26 - Nguyễn Văn Chiến 29E38128</t>
  </si>
  <si>
    <t>Tạm ứng chi phí đi đường cho lái xe ngày 20/05/26 - DA-1301 Nguyễn Văn Chiến 29E38128</t>
  </si>
  <si>
    <t>Tạm ứng chi phí đi đường cho lái xe ngày 27/05/26 DA-1345 Nguyễn Văn Chiến 29K06824</t>
  </si>
  <si>
    <t>Tạm ứng chi phí đi đường cho lái xe ngày 06/05/26 - Nguyễn Văn Mạnh 29E12333</t>
  </si>
  <si>
    <t>XE00952</t>
  </si>
  <si>
    <t xml:space="preserve">Tạm ứng chi phí đi đường cho lái xe ngày 20/05/26 - DA-1300 Nguyễn Văn Mạnh 29E12333 </t>
  </si>
  <si>
    <t>Tạm ứng chi phí đi đường cho lái xe ngày 05/05/26 - Nguyễn Văn Thắng  29E38128</t>
  </si>
  <si>
    <t>XE01583</t>
  </si>
  <si>
    <t>Tạm ứng chi phí đi đường cho lái xe ngày 11/05/26 - Nguyễn Văn Thắng 29E38128</t>
  </si>
  <si>
    <t>Tạm ứng chi phí đi đường cho lái xe ngày 20/05/26 - DA-1301 Nguyễn Văn Thắng 29E38128</t>
  </si>
  <si>
    <t>Tạm ứng chi phí đi đường cho lái xe ngày 09/05/26 - Nguyễn Văn Toàn 29E44369</t>
  </si>
  <si>
    <t>XE01281</t>
  </si>
  <si>
    <t xml:space="preserve">Tạm ứng chi phí đi đường cho lái xe ngày 17/05/26 - DA-1279 Nguyễn Văn Toàn 29E44369 </t>
  </si>
  <si>
    <t>XE01698</t>
  </si>
  <si>
    <t>Tạm ứng chi phí đi đường cho lái xe ngày 19/05/26 - DA-1356 Nguyễn Viết Vinh 29K13905</t>
  </si>
  <si>
    <t>Tạm ứng chi phí đi đường cho lái xe ngày 25/05/26 - DA-1332 Nguyễn Viết Vinh 29K13905</t>
  </si>
  <si>
    <t>Tạm ứng chi phí đi đường cho lái xe ngày 13/05/26 - Phạm Ngọc Ân 29E09603</t>
  </si>
  <si>
    <t>XE01690</t>
  </si>
  <si>
    <t xml:space="preserve">Tạm ứng chi phí đi đường cho lái xe ngày 21/05/26 - DA 1308 Phạm Ngọc Ấn 29E09603 </t>
  </si>
  <si>
    <t>Tạm ứng chi phí đi đường cho lái xe ngày 25/05/26  GH 948,949,950,939,951,952 Phạm Ngọc Ấn 29E08413</t>
  </si>
  <si>
    <t>KTHN2992</t>
  </si>
  <si>
    <t>Tạm ứng chi phí đi đường cho lái xe ngày 19/05/26 - DA-1294 Phạm Ngọc Cần 29E12143</t>
  </si>
  <si>
    <t>XE00894</t>
  </si>
  <si>
    <t>Tạm ứng chi phí đi đường cho lái xe ngày 06/05/26 - Phạm Quốc Toàn 29E35164</t>
  </si>
  <si>
    <t>XE00854</t>
  </si>
  <si>
    <t xml:space="preserve">Tạm ứng chi phí đi đường cho lái xe ngày 18/05/26 - DA-1288 Phạm Quốc Toàn 29E35164 </t>
  </si>
  <si>
    <t>Tạm ứng chi phí đi đường cho lái xe ngày 03/05/26 - Phạm Thanh Tuấn 29E12747</t>
  </si>
  <si>
    <t>XE01335</t>
  </si>
  <si>
    <t>Tạm ứng chi phí đi đường cho lái xe ngày 09/05/26 - Phạm Thanh Tuấn 29E12747</t>
  </si>
  <si>
    <t>Tạm ứng chi phí đi đường cho lái xe ngày 16/05/26 - DA-1270 Phạm Thanh Tuấn 29E12747</t>
  </si>
  <si>
    <t>Tạm ứng chi phí đi đường cho lái xe ngày 27/05/26 DA-1343 Phạm Thanh Tuấn 29E12747</t>
  </si>
  <si>
    <t xml:space="preserve">Tạm ứng chi phí đi đường cho lái xe ngày 16/05/26 - DA-1271 Phạm Tuấn Sơn 29E14424 </t>
  </si>
  <si>
    <t>XE01064</t>
  </si>
  <si>
    <t>Tạm ứng chi phí đi đường cho lái xe ngày 19/05/26 - KI-873 Phạm Văn Khâm 29E12436</t>
  </si>
  <si>
    <t>XE00865</t>
  </si>
  <si>
    <t xml:space="preserve">Tạm ứng chi phí đi đường cho lái xe ngày 25/05/26 - DA-1373 Phạm Văn Khâm 29E12436 </t>
  </si>
  <si>
    <t>Tạm ứng chi phí đi đường cho lái xe ngày 06/05/26 - Phạm Văn Phố 29E12333</t>
  </si>
  <si>
    <t>XE01308</t>
  </si>
  <si>
    <t>Tạm ứng chi phí đi đường cho lái xe ngày 20/05/26 - DA-1300 Phạm Văn Phố 29E12333</t>
  </si>
  <si>
    <t>Tạm ứng chi phí đi đường cho lái xe ngày 27/05/26 - DA-1346 Phạm Văn Thiêm 29E12143</t>
  </si>
  <si>
    <t>XE01709</t>
  </si>
  <si>
    <t>Tạm ứng chi phí đi đường cho lái xe ngày 04/05/26 - Phạm Văn Thưởng 29K06824</t>
  </si>
  <si>
    <t>XE01149</t>
  </si>
  <si>
    <t>Tạm ứng chi phí đi đường cho lái xe ngày 12/05/26 - Phạm Văn Thưởng 29K06824</t>
  </si>
  <si>
    <t>Tạm ứng chi phí đi đường cho lái xe ngày 21/05/26 - DA-1307 Phạm Văn Thưởng 29K06824</t>
  </si>
  <si>
    <t>Tạm ứng chi phí đi đường cho lái xe ngày 08/05/26 - Phan Tấn Thành 29E09603</t>
  </si>
  <si>
    <t>XE01532</t>
  </si>
  <si>
    <t xml:space="preserve">Tạm ứng chi phí đi đường cho lái xe ngày 21/05/26 - GH 889,890,891,892 Phan Tấn Thành 29C37344 </t>
  </si>
  <si>
    <t>Tạm ứng chi phí đi đường cho lái xe ngày 01/05/26 - Phan Văn Thành 29E12073</t>
  </si>
  <si>
    <t>XE00934</t>
  </si>
  <si>
    <t>Tạm ứng chi phí đi đường cho lái xe ngày 02/05/26 - Tạ Quốc Vương 29E44326</t>
  </si>
  <si>
    <t>XE01098</t>
  </si>
  <si>
    <t>Tạm ứng chi phí đi đường cho lái xe ngày 08/05/26 - Tạ Quốc Vương 29E44326</t>
  </si>
  <si>
    <t>Tạm ứng chi phí đi đường cho lái xe ngày 13/05/26 - Tạ Quốc Vương 29E44326</t>
  </si>
  <si>
    <t>Tạm ứng chi phí đi đường cho lái xe ngày 22/05/26 - DA-1315 Tạ Quốc Vương 29E44326</t>
  </si>
  <si>
    <t>Tạm ứng chi phí đi đường cho lái xe ngày 25/05/26  GH 948,949,950,939,951,952 Trần Hữu Khánh 29E08413</t>
  </si>
  <si>
    <t>XE01470</t>
  </si>
  <si>
    <t>Tạm ứng chi phí đi đường cho lái xe ngày 01/05/26 - XE-DA-1160 Trần Hữu Khánh 29E08426</t>
  </si>
  <si>
    <t>Tạm ứng chi phí đi đường cho lái xe ngày 09/05/26 - XE-DA-1213 Trần Hữu Khánh 29E08426</t>
  </si>
  <si>
    <t>Tạm ứng chi phí đi đường cho lái xe ngày 06/05/26 - Trần Phúc Đạt 2902349</t>
  </si>
  <si>
    <t>XE01527</t>
  </si>
  <si>
    <t>Tạm ứng chi phí đi đường cho lái xe ngày 13/05/26 - Trần Phúc Đạt 29G02349</t>
  </si>
  <si>
    <t>Tạm ứng chi phí đi đường cho lái xe ngày 19/05/26 - DA-1293 Trần Phúc Đạt 29E38331</t>
  </si>
  <si>
    <t xml:space="preserve">Tạm ứng chi phí đi đường cho lái xe ngày 24/05/26 DA-1327 Trần Phúc Đạt 29E38331 </t>
  </si>
  <si>
    <t>Tạm ứng chi phí đi đường cho lái xe ngày 16/05/26 - DA-1273 Trần Phước Tùng 2912073</t>
  </si>
  <si>
    <t>XE01695</t>
  </si>
  <si>
    <t>Tạm ứng chi phí đi đường cho lái xe ngày 13/05/26 - XE-GH-786-788 Trần Quang Trung 29E35064</t>
  </si>
  <si>
    <t>XE01443</t>
  </si>
  <si>
    <t xml:space="preserve">Tạm ứng chi phí đi đường cho lái xe ngày 21/05/26 - DA 1309 Trần Xuân Thỏa 29E14214 </t>
  </si>
  <si>
    <t>XE00909</t>
  </si>
  <si>
    <t>Tạm ứng chi phí đi đường cho lái xe ngày 01/05/26 - Trần Xuân Trường 29E12073</t>
  </si>
  <si>
    <t>XE00499</t>
  </si>
  <si>
    <t>Tạm ứng chi phí đi đường cho lái xe ngày 26/05/26 - KL-953 Trần Xuân Trường 29E12073</t>
  </si>
  <si>
    <t>Tạm ứng chi phí đi đường cho lái xe ngày 05/05/26 - Trịnh Cao Phong 29E54261</t>
  </si>
  <si>
    <t>XE01283</t>
  </si>
  <si>
    <t>Tạm ứng chi phí đi đường cho lái xe ngày 12/05/26 - Trịnh Cao Phong 29E54261</t>
  </si>
  <si>
    <t xml:space="preserve">Tạm ứng chi phí đi đường cho lái xe ngày 18/05/26 - DA-1286 Trịnh Cao Phong 29E54261 </t>
  </si>
  <si>
    <t>Tạm ứng chi phí đi đường cho lái xe ngày 02/05/26 - Trịnh Văn Lực 29K13905</t>
  </si>
  <si>
    <t>XE01164</t>
  </si>
  <si>
    <t>Tạm ứng chi phí đi đường cho lái xe ngày 11/05/26 - Trịnh Văn Lực 29K13905</t>
  </si>
  <si>
    <t>Tạm ứng chi phí đi đường cho lái xe ngày 19/05/26 - DA-1356 Trịnh Văn Lực 29K13905</t>
  </si>
  <si>
    <t>Tạm ứng chi phí đi đường cho lái xe ngày 25/05/26 - DA-1332 Trịnh Văn Lực 29K13905</t>
  </si>
  <si>
    <t>Tạm ứng chi phí đi đường cho lái xe ngày 01/05/26 - Trương Cẩm Thành 29E09603</t>
  </si>
  <si>
    <t>XE01390</t>
  </si>
  <si>
    <t>Tạm ứng chi phí đi đường cho lái xe ngày 08/05/26 - Trương Cẩm Thành 29E09603</t>
  </si>
  <si>
    <t>Tạm ứng chi phí đi đường cho lái xe ngày 13/05/26 - Trương Cẩm Thành 29E09603</t>
  </si>
  <si>
    <t xml:space="preserve">Tạm ứng chi phí đi đường cho lái xe ngày 21/05/26 - DA 1308 Trương Cẩm Thành 29E09603 </t>
  </si>
  <si>
    <t>Tạm ứng chi phí đi đường cho lái xe ngày 27/05/26 DA-1342 Trương Cẩm Thành 29E09603</t>
  </si>
  <si>
    <t>Tạm ứng chi phí đi đường cho lái xe ngày 04/05/26 - Võ Minh Liệp 29H70193</t>
  </si>
  <si>
    <t>XE01543</t>
  </si>
  <si>
    <t>Tạm ứng chi phí đi đường cho lái xe ngày 10/05/26 - Võ Minh Liệp 29H70193</t>
  </si>
  <si>
    <t>Tạm ứng chi phí đi đường cho lái xe ngày 18/05/26 - GH 836,837,838,839,840,842,843,844,846 Võ Minh Liệp 29H70193</t>
  </si>
  <si>
    <t>Tạm ứng chi phí đi đường cho lái xe ngày 08/05/26 - Võ Văn Trỗi 29E38126</t>
  </si>
  <si>
    <t>XE01609</t>
  </si>
  <si>
    <t xml:space="preserve">Tạm ứng chi phí đi đường cho lái xe ngày 15/05/26 - DA-1265 Võ Văn Trỗi 29E38126 </t>
  </si>
  <si>
    <t>Tạm ứng chi phí đi đường cho lái xe ngày 06/05/26 - Vũ Ngọc Thường 29E35397</t>
  </si>
  <si>
    <t>XE00893</t>
  </si>
  <si>
    <t>Tạm ứng chi phí đi đường cho lái xe ngày 22/05/26 - DA-1314 Vũ Ngọc Thường 29E35397</t>
  </si>
  <si>
    <t>Tạm ứng chi phí đi đường cho lái xe ngày 03/05/26 - Vũ Thế An 29K06820</t>
  </si>
  <si>
    <t>XE01305</t>
  </si>
  <si>
    <t>Tạm ứng chi phí đi đường cho lái xe ngày 14/05/26 - Vũ Thế An 29G02325</t>
  </si>
  <si>
    <t>Tạm ứng chi phí đi đường cho lái xe ngày 23/05/26 - DA-1322 Vũ Thế An 29G02325</t>
  </si>
  <si>
    <t>Tạm ứng chi phí đi đường cho lái xe ngày 19/05/26 - KI-873 Vũ Văn Quân 29E12436</t>
  </si>
  <si>
    <t>XE00985</t>
  </si>
  <si>
    <t>Tạm ứng chi phí đi đường cho lái xe ngày 30/05/26 DA-1373 Vũ Văn Quân 29E12436</t>
  </si>
  <si>
    <t>Tạm ứng chi phí đi đường cho lái xe ngày 06/05/26 - Vũ Văn Tỉnh 29E35397</t>
  </si>
  <si>
    <t>XE01021</t>
  </si>
  <si>
    <t>Tạm ứng chi phí đi đường cho lái xe ngày 22/05/26 - DA-1314 Vũ Văn Tỉnh 29E35397</t>
  </si>
  <si>
    <t>MNV</t>
  </si>
  <si>
    <t>Họ tên</t>
  </si>
  <si>
    <t>Trần Xuân Trường</t>
  </si>
  <si>
    <t>Hà Nguyên Dậu</t>
  </si>
  <si>
    <t>Nguyễn Thanh Bình</t>
  </si>
  <si>
    <t>Lê Thanh Đang</t>
  </si>
  <si>
    <t>Phạm Quốc Toàn</t>
  </si>
  <si>
    <t>Đỗ Văn Nam</t>
  </si>
  <si>
    <t>Đỗ Ngọc Thông</t>
  </si>
  <si>
    <t>Phạm Văn Khâm</t>
  </si>
  <si>
    <t>Kiều Kim Tiến</t>
  </si>
  <si>
    <t>Vũ Ngọc Thường</t>
  </si>
  <si>
    <t>Phạm Ngọc Cần</t>
  </si>
  <si>
    <t>Hỏa Văn Lâm</t>
  </si>
  <si>
    <t>Hỏa Văn Quyết</t>
  </si>
  <si>
    <t>Trần Xuân Thỏa</t>
  </si>
  <si>
    <t>Đỗ Ngọc Chiến</t>
  </si>
  <si>
    <t>Phan Văn Thành</t>
  </si>
  <si>
    <t>Nguyễn Văn Mạnh</t>
  </si>
  <si>
    <t>Vũ Văn Quân</t>
  </si>
  <si>
    <t>Đào Ngọc Ngà</t>
  </si>
  <si>
    <t>Nguyễn Quốc Bình</t>
  </si>
  <si>
    <t>Vũ Văn Tỉnh</t>
  </si>
  <si>
    <t>Mã Đức Diễn</t>
  </si>
  <si>
    <t>Phạm Tuấn Sơn</t>
  </si>
  <si>
    <t>Tạ Quốc Vương</t>
  </si>
  <si>
    <t>Lê Thế Xuân</t>
  </si>
  <si>
    <t>Phạm Văn Thưởng</t>
  </si>
  <si>
    <t>Trịnh Văn Lực</t>
  </si>
  <si>
    <t>Nguyễn Trọng Đạt</t>
  </si>
  <si>
    <t>Nguyễn Văn Toàn</t>
  </si>
  <si>
    <t>Trịnh Cao Phong</t>
  </si>
  <si>
    <t>Đào Văn Hùng</t>
  </si>
  <si>
    <t>Nguyễn Hữu Hưởng</t>
  </si>
  <si>
    <t>Vũ Thế An</t>
  </si>
  <si>
    <t>Phạm Văn Phố</t>
  </si>
  <si>
    <t>Lê Xuân Tú</t>
  </si>
  <si>
    <t>Nguyễn Ngọc Ân</t>
  </si>
  <si>
    <t>Nguyễn Công Thức</t>
  </si>
  <si>
    <t>Nguyễn Đức Linh</t>
  </si>
  <si>
    <t>Bùi Văn Đào</t>
  </si>
  <si>
    <t>Phạm Thanh Tuấn</t>
  </si>
  <si>
    <t>Trương Cẩm Thành</t>
  </si>
  <si>
    <t>Đặng Công Đức</t>
  </si>
  <si>
    <t>Nguyễn Văn Chí</t>
  </si>
  <si>
    <t>Lê Quốc Quân</t>
  </si>
  <si>
    <t>Trần Quang Trung</t>
  </si>
  <si>
    <t>XE01444</t>
  </si>
  <si>
    <t>Trần Xuân Quảng</t>
  </si>
  <si>
    <t>Hoàng Văn Lợi</t>
  </si>
  <si>
    <t>Nguyễn Bá Bảo</t>
  </si>
  <si>
    <t>Trần Hữu Khánh</t>
  </si>
  <si>
    <t>Cao Hoài Tiên</t>
  </si>
  <si>
    <t>Huỳnh Lê Trần Long</t>
  </si>
  <si>
    <t>Đặng Tuân</t>
  </si>
  <si>
    <t>Trần Phúc Đạt</t>
  </si>
  <si>
    <t>Phan Tấn Thành</t>
  </si>
  <si>
    <t>Lê Văn Hoàng</t>
  </si>
  <si>
    <t>Nguyễn Ngọc Tịnh</t>
  </si>
  <si>
    <t>Lê Thanh Sơn</t>
  </si>
  <si>
    <t>Võ Minh Liệp</t>
  </si>
  <si>
    <t>Nguyễn Duy Tuấn</t>
  </si>
  <si>
    <t>Ngô Hoàng Vũ</t>
  </si>
  <si>
    <t>Mai Tấn Toàn</t>
  </si>
  <si>
    <t>Nguyễn Khánh Phú</t>
  </si>
  <si>
    <t>Bùi Duy Hiếu</t>
  </si>
  <si>
    <t>Nguyễn Thanh Nhân</t>
  </si>
  <si>
    <t>Nguyễn Văn Chiến</t>
  </si>
  <si>
    <t>Nguyễn Văn Thắng</t>
  </si>
  <si>
    <t>Cao Tuấn Anh</t>
  </si>
  <si>
    <t>Cao Phong Anh</t>
  </si>
  <si>
    <t>Nguyễn Minh Trọng</t>
  </si>
  <si>
    <t>Nguyễn Đức Toàn</t>
  </si>
  <si>
    <t>Võ Văn Trỗi</t>
  </si>
  <si>
    <t>Lý Hồng Ngà</t>
  </si>
  <si>
    <t>Nguyễn Thanh Lâm</t>
  </si>
  <si>
    <t>Nguyễn Doãn Quang</t>
  </si>
  <si>
    <t>Bùi Ngọc Ninh</t>
  </si>
  <si>
    <t>Huỳnh Xuân Nhân</t>
  </si>
  <si>
    <t>Đỗ Văn Cường</t>
  </si>
  <si>
    <t>Lê Anh Tuấn XE01678</t>
  </si>
  <si>
    <t>Nguyễn Tuấn Anh XE01679</t>
  </si>
  <si>
    <t>Phạm Ngọc Ẩn</t>
  </si>
  <si>
    <t>Nguyễn Mạnh Trường</t>
  </si>
  <si>
    <t>Trần Phước Tùng</t>
  </si>
  <si>
    <t>Nguyễn Viết Vinh</t>
  </si>
  <si>
    <t>Phạm Văn Thiêm</t>
  </si>
  <si>
    <t>ĐNTT</t>
  </si>
  <si>
    <t>Ngày</t>
  </si>
  <si>
    <t>Tuyến vận chuyển</t>
  </si>
  <si>
    <t>BKS</t>
  </si>
  <si>
    <t>Số TK</t>
  </si>
  <si>
    <t>Ngân hàng</t>
  </si>
  <si>
    <t>Số tiền TT</t>
  </si>
  <si>
    <t>01-05-TU</t>
  </si>
  <si>
    <t>Hưng Yên- Bình Định- Nha Trang</t>
  </si>
  <si>
    <t>29E09603</t>
  </si>
  <si>
    <t>MB</t>
  </si>
  <si>
    <t>Trần Phong Vũ</t>
  </si>
  <si>
    <t>Hà Nội( Long Biên)- Cần Thơ</t>
  </si>
  <si>
    <t>29K13459</t>
  </si>
  <si>
    <t>04610000498774</t>
  </si>
  <si>
    <t>Vietcombank</t>
  </si>
  <si>
    <t>ACB</t>
  </si>
  <si>
    <t>Ninh Bình- Đồng Nai</t>
  </si>
  <si>
    <t>29E12073</t>
  </si>
  <si>
    <t>0061001129391</t>
  </si>
  <si>
    <t>BIDV</t>
  </si>
  <si>
    <t>32BS-05-TU</t>
  </si>
  <si>
    <t>Ninh Bình- Đak Lak</t>
  </si>
  <si>
    <t>29E08426</t>
  </si>
  <si>
    <t>MB Bank</t>
  </si>
  <si>
    <t>Ngân hàng VCB</t>
  </si>
  <si>
    <t>02-05-TU</t>
  </si>
  <si>
    <t>Hưng Yên- HCM</t>
  </si>
  <si>
    <t>29E08175</t>
  </si>
  <si>
    <t>Agribank</t>
  </si>
  <si>
    <t>29K13905</t>
  </si>
  <si>
    <t>0385993666</t>
  </si>
  <si>
    <t>Viettinbank</t>
  </si>
  <si>
    <t>Vietinbank</t>
  </si>
  <si>
    <t>Thanh Hóa- HCM</t>
  </si>
  <si>
    <t>29E44326</t>
  </si>
  <si>
    <t>1130109121983</t>
  </si>
  <si>
    <t>03-05-TU</t>
  </si>
  <si>
    <t>29E12747</t>
  </si>
  <si>
    <t>29K06820</t>
  </si>
  <si>
    <t>0393159115</t>
  </si>
  <si>
    <t>0332302398</t>
  </si>
  <si>
    <t>04-05-TU</t>
  </si>
  <si>
    <t>Hà Nội - HCM</t>
  </si>
  <si>
    <t>29K06824</t>
  </si>
  <si>
    <t>0936205372</t>
  </si>
  <si>
    <t>0934329239</t>
  </si>
  <si>
    <t>29H70193</t>
  </si>
  <si>
    <t>05 888 9999 9999</t>
  </si>
  <si>
    <t>29E44369</t>
  </si>
  <si>
    <t>Techcombank</t>
  </si>
  <si>
    <t>040080953668</t>
  </si>
  <si>
    <t>Sacombank</t>
  </si>
  <si>
    <t>05-05-TU</t>
  </si>
  <si>
    <t>Bắc Ninh- Đồng Nai</t>
  </si>
  <si>
    <t>29C37344</t>
  </si>
  <si>
    <t>0501000189005</t>
  </si>
  <si>
    <t>026999625555</t>
  </si>
  <si>
    <t>29E12047</t>
  </si>
  <si>
    <t>Nam Á</t>
  </si>
  <si>
    <t>29E54261</t>
  </si>
  <si>
    <t>0325752492</t>
  </si>
  <si>
    <t>Hà Nội- HCM</t>
  </si>
  <si>
    <t>29E38128</t>
  </si>
  <si>
    <t>06-05-TU</t>
  </si>
  <si>
    <t>29H80501</t>
  </si>
  <si>
    <t>0793075891</t>
  </si>
  <si>
    <t>29G02349</t>
  </si>
  <si>
    <t>00006249259</t>
  </si>
  <si>
    <t>TP Bank</t>
  </si>
  <si>
    <t>Hà Nội- Bình Dương</t>
  </si>
  <si>
    <t>29E35164</t>
  </si>
  <si>
    <t>9327640888</t>
  </si>
  <si>
    <t>1025238163</t>
  </si>
  <si>
    <t>29E12333</t>
  </si>
  <si>
    <t>253123269</t>
  </si>
  <si>
    <t>Ninh Bình- HCM</t>
  </si>
  <si>
    <t>29E35397</t>
  </si>
  <si>
    <t>4880234655</t>
  </si>
  <si>
    <t>48810000234673</t>
  </si>
  <si>
    <t>07-05-TU</t>
  </si>
  <si>
    <t>29K07924</t>
  </si>
  <si>
    <t>0841000113366</t>
  </si>
  <si>
    <t>VCB</t>
  </si>
  <si>
    <t>29E38345</t>
  </si>
  <si>
    <t>070092321124</t>
  </si>
  <si>
    <t>040040261828</t>
  </si>
  <si>
    <t>Hà Nội( Long Biên)- Long An</t>
  </si>
  <si>
    <t>29E44377</t>
  </si>
  <si>
    <t>08-05-TU</t>
  </si>
  <si>
    <t>Bắc Ninh-HCM- Đồng Nai</t>
  </si>
  <si>
    <t>29B20543</t>
  </si>
  <si>
    <t>Hà Nội( Quang Minh- Hà Đông)- HCM</t>
  </si>
  <si>
    <t>29E38126</t>
  </si>
  <si>
    <t>050109522322</t>
  </si>
  <si>
    <t>Hà Nội( Long Biên)- HCM</t>
  </si>
  <si>
    <t>Hà Nội- Kontum-Gia Lai-ĐakNong</t>
  </si>
  <si>
    <t>Hà Nội- Huế- Đồng Nai</t>
  </si>
  <si>
    <t>09-05-TU</t>
  </si>
  <si>
    <t>Hà Nội( Quang Minh)- Kiên Giang</t>
  </si>
  <si>
    <t>Hã Tình- HCM</t>
  </si>
  <si>
    <t>29E38159</t>
  </si>
  <si>
    <t>vietinbank</t>
  </si>
  <si>
    <t>10-05-TU</t>
  </si>
  <si>
    <t>11-05-TU</t>
  </si>
  <si>
    <t>29E12401</t>
  </si>
  <si>
    <t>VIB</t>
  </si>
  <si>
    <t>HN-HCM</t>
  </si>
  <si>
    <t>Hà Nội( Long Biên)- An Giang</t>
  </si>
  <si>
    <t>Nguyễn khánh Phú</t>
  </si>
  <si>
    <t>12-05-TU</t>
  </si>
  <si>
    <t>29E54212</t>
  </si>
  <si>
    <t>29E00028</t>
  </si>
  <si>
    <t>0933660430</t>
  </si>
  <si>
    <t>Lộc Phát Bank</t>
  </si>
  <si>
    <t>Hà Nội( Hà Đông)- HCM</t>
  </si>
  <si>
    <t>13-05-TU</t>
  </si>
  <si>
    <t>0281000415985</t>
  </si>
  <si>
    <t>VCb</t>
  </si>
  <si>
    <t>Hà Nội (Quang Minh)-HCM</t>
  </si>
  <si>
    <t>31BS-05-TU</t>
  </si>
  <si>
    <t>Bắc Ninh-NGhệ An- Đồng Nai</t>
  </si>
  <si>
    <t>29E35064</t>
  </si>
  <si>
    <t>techcombank</t>
  </si>
  <si>
    <t>29E12120</t>
  </si>
  <si>
    <t>1021849442</t>
  </si>
  <si>
    <t>14-05-TU</t>
  </si>
  <si>
    <t>Tân Thanh- HCM</t>
  </si>
  <si>
    <t>29E12412</t>
  </si>
  <si>
    <t>3310205094626</t>
  </si>
  <si>
    <t>29E14310</t>
  </si>
  <si>
    <t>681704060025530</t>
  </si>
  <si>
    <t>0974953028</t>
  </si>
  <si>
    <t>29G02325</t>
  </si>
  <si>
    <t>15-05-TU</t>
  </si>
  <si>
    <t>Hà Nội- Quảng Ngãi</t>
  </si>
  <si>
    <t>Huỳnh lê Trần Long</t>
  </si>
  <si>
    <t>Hà Nội( Yên Nghĩa)- HCM</t>
  </si>
  <si>
    <t>29E08413</t>
  </si>
  <si>
    <t>Bắc Ninh- Gia Lai</t>
  </si>
  <si>
    <t>16-05-TU</t>
  </si>
  <si>
    <t>Hà Nội-HCM</t>
  </si>
  <si>
    <t>Quảng Ninh- Mộc Bài</t>
  </si>
  <si>
    <t>29E14424</t>
  </si>
  <si>
    <t>0971995882</t>
  </si>
  <si>
    <t>1017029795</t>
  </si>
  <si>
    <t>Chi Ma- HCM</t>
  </si>
  <si>
    <t>0935944899</t>
  </si>
  <si>
    <t>17-05-TU</t>
  </si>
  <si>
    <t>Bắc Ninh-HCM- Tây Ninh</t>
  </si>
  <si>
    <t>29E12420</t>
  </si>
  <si>
    <t>060277500151</t>
  </si>
  <si>
    <t>3306205029986</t>
  </si>
  <si>
    <t>18-05-TU</t>
  </si>
  <si>
    <t>Bắc Ninh- Bình Dương</t>
  </si>
  <si>
    <t>25-05-TU</t>
  </si>
  <si>
    <t>Hà Nội( Long Biên)- Long Hậu</t>
  </si>
  <si>
    <t>Hà Nội- Bình Dương( Ghép nh điểm khác nhau)</t>
  </si>
  <si>
    <t>Chi Ma- HCM- Bến Tre</t>
  </si>
  <si>
    <t>19-05-TU</t>
  </si>
  <si>
    <t>Hà Nội(Quang Minh)-HCM</t>
  </si>
  <si>
    <t>29E38331</t>
  </si>
  <si>
    <t>Hải Dương-HCM</t>
  </si>
  <si>
    <t>29E12143</t>
  </si>
  <si>
    <t>108871960583</t>
  </si>
  <si>
    <t xml:space="preserve">Vietinbank </t>
  </si>
  <si>
    <t>3306205091649</t>
  </si>
  <si>
    <t>Ninh Bình-HCM</t>
  </si>
  <si>
    <t>29E12436</t>
  </si>
  <si>
    <t>3309205366223</t>
  </si>
  <si>
    <t>0911190704</t>
  </si>
  <si>
    <t>20-05-TU</t>
  </si>
  <si>
    <t>Hà Nôi- Đà Nẵng</t>
  </si>
  <si>
    <t>21-05-TU</t>
  </si>
  <si>
    <t>Hà Nội- Bình Dương- HCM</t>
  </si>
  <si>
    <t>29-05-TU</t>
  </si>
  <si>
    <t>Tân Thanh- Bình Dương</t>
  </si>
  <si>
    <t>29E14214</t>
  </si>
  <si>
    <t>0962808156</t>
  </si>
  <si>
    <t>4811215012971</t>
  </si>
  <si>
    <t>22-05-TU</t>
  </si>
  <si>
    <t>Bắc Ninh- Hồ Chí Mình( 2đ)</t>
  </si>
  <si>
    <t>Hà Nội- Tây Ninh- Đồng Tháp</t>
  </si>
  <si>
    <t>Hà Nam- Bình Dương</t>
  </si>
  <si>
    <t>28-05-TU</t>
  </si>
  <si>
    <t>23-05-TU</t>
  </si>
  <si>
    <t>Tân Thanh- Tây Ninh</t>
  </si>
  <si>
    <t>24-05-TU</t>
  </si>
  <si>
    <t>Đào văn Hùng</t>
  </si>
  <si>
    <t>30-05-TU</t>
  </si>
  <si>
    <t>Lạng Sơn- Huế</t>
  </si>
  <si>
    <t>27-05-TU</t>
  </si>
  <si>
    <t>Hà Nội- Hồ Chí Minh</t>
  </si>
  <si>
    <t>26-05-TU</t>
  </si>
  <si>
    <t>Hỏa Văn lâm</t>
  </si>
  <si>
    <t>Quảng Ninh- Tây Ninh</t>
  </si>
  <si>
    <t>Hà Nội(Quang Minh)- Long Hậu</t>
  </si>
  <si>
    <t>Bắc Ninh- Huế- HCM 2 điểm</t>
  </si>
  <si>
    <t>Ninh Bình- Hồ Chí Minh</t>
  </si>
  <si>
    <t>Nghệ An- Hồ Chí Minh</t>
  </si>
  <si>
    <t>Phạm VĂn Khâm</t>
  </si>
  <si>
    <t>33BS-05-TU</t>
  </si>
  <si>
    <t>Lai Châu- HCM</t>
  </si>
  <si>
    <t>Row Labels</t>
  </si>
  <si>
    <t>(blank)</t>
  </si>
  <si>
    <t>Grand Total</t>
  </si>
  <si>
    <t>Sum of Số tiền TT</t>
  </si>
  <si>
    <t>mã nv</t>
  </si>
  <si>
    <t>số tiền ứng hh</t>
  </si>
  <si>
    <t>số kế toán</t>
  </si>
  <si>
    <t>cl</t>
  </si>
  <si>
    <t>Tạm ứng chi phí đi đường cho lái xe ngày 13/05/26 - XE-GH-786-788 Trần Xuân Quảng 29E35064</t>
  </si>
  <si>
    <t>Mã NV</t>
  </si>
  <si>
    <t>Số tiền ứng T05.26</t>
  </si>
  <si>
    <t>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</si>
</sst>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/mm/yyyy"/>
    <numFmt numFmtId="165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rgb="FF000000"/>
      <name val="Times New Roman"/>
    </font>
    <font>
      <b/>
      <sz val="11"/>
      <color rgb="FF000000"/>
      <name val="Times New Roman"/>
    </font>
    <font>
      <sz val="11"/>
      <color theme="1"/>
      <name val="Times New Roman"/>
    </font>
    <font>
      <sz val="11"/>
      <color rgb="FF000000"/>
      <name val="Times New Roman"/>
    </font>
    <font>
      <sz val="11"/>
      <color rgb="FF434343"/>
      <name val="Times New Roman"/>
    </font>
    <font>
      <b/>
      <sz val="11"/>
      <color rgb="FF434343"/>
      <name val="Times New Roman"/>
    </font>
    <font>
      <sz val="12"/>
      <color rgb="FF000000"/>
      <name val="Times New Roman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5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wrapText="1"/>
    </xf>
    <xf numFmtId="0" fontId="0" fillId="0" borderId="2" xfId="0" applyBorder="1" applyAlignment="1">
      <alignment horizontal="left" wrapText="1"/>
    </xf>
    <xf numFmtId="37" fontId="0" fillId="0" borderId="2" xfId="0" applyNumberFormat="1" applyBorder="1" applyAlignment="1">
      <alignment horizontal="right" wrapText="1"/>
    </xf>
    <xf numFmtId="165" fontId="0" fillId="0" borderId="0" xfId="1" applyNumberFormat="1" applyFont="1"/>
    <xf numFmtId="165" fontId="0" fillId="0" borderId="0" xfId="0" applyNumberFormat="1"/>
    <xf numFmtId="0" fontId="3" fillId="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 wrapText="1"/>
    </xf>
    <xf numFmtId="165" fontId="3" fillId="3" borderId="3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wrapText="1"/>
    </xf>
    <xf numFmtId="11" fontId="5" fillId="0" borderId="3" xfId="0" applyNumberFormat="1" applyFont="1" applyBorder="1"/>
    <xf numFmtId="0" fontId="5" fillId="3" borderId="3" xfId="0" applyFont="1" applyFill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6" fillId="0" borderId="3" xfId="0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165" fontId="5" fillId="3" borderId="4" xfId="0" applyNumberFormat="1" applyFont="1" applyFill="1" applyBorder="1" applyAlignment="1">
      <alignment horizontal="center" wrapText="1"/>
    </xf>
    <xf numFmtId="0" fontId="5" fillId="0" borderId="3" xfId="0" applyFont="1" applyBorder="1"/>
    <xf numFmtId="11" fontId="5" fillId="3" borderId="3" xfId="0" applyNumberFormat="1" applyFont="1" applyFill="1" applyBorder="1" applyAlignment="1">
      <alignment horizontal="center"/>
    </xf>
    <xf numFmtId="11" fontId="5" fillId="0" borderId="4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center" vertical="center"/>
    </xf>
    <xf numFmtId="0" fontId="5" fillId="4" borderId="4" xfId="0" applyFont="1" applyFill="1" applyBorder="1" applyAlignment="1">
      <alignment horizontal="left"/>
    </xf>
    <xf numFmtId="0" fontId="6" fillId="4" borderId="3" xfId="0" applyFont="1" applyFill="1" applyBorder="1" applyAlignment="1">
      <alignment horizontal="center" vertical="center"/>
    </xf>
    <xf numFmtId="1" fontId="6" fillId="4" borderId="3" xfId="0" applyNumberFormat="1" applyFont="1" applyFill="1" applyBorder="1" applyAlignment="1">
      <alignment horizontal="center" vertical="center"/>
    </xf>
    <xf numFmtId="0" fontId="7" fillId="0" borderId="3" xfId="0" applyFont="1" applyBorder="1"/>
    <xf numFmtId="11" fontId="7" fillId="3" borderId="3" xfId="0" applyNumberFormat="1" applyFont="1" applyFill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7" fillId="0" borderId="3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0" fontId="7" fillId="3" borderId="4" xfId="0" applyFont="1" applyFill="1" applyBorder="1" applyAlignment="1">
      <alignment horizontal="left"/>
    </xf>
    <xf numFmtId="0" fontId="8" fillId="0" borderId="3" xfId="0" applyFont="1" applyBorder="1"/>
    <xf numFmtId="11" fontId="8" fillId="3" borderId="3" xfId="0" applyNumberFormat="1" applyFont="1" applyFill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164" fontId="6" fillId="3" borderId="3" xfId="0" applyNumberFormat="1" applyFont="1" applyFill="1" applyBorder="1" applyAlignment="1">
      <alignment horizontal="center" vertical="center"/>
    </xf>
    <xf numFmtId="0" fontId="5" fillId="3" borderId="3" xfId="0" applyFont="1" applyFill="1" applyBorder="1"/>
    <xf numFmtId="1" fontId="6" fillId="3" borderId="3" xfId="0" applyNumberFormat="1" applyFont="1" applyFill="1" applyBorder="1" applyAlignment="1">
      <alignment horizontal="center" vertical="center"/>
    </xf>
    <xf numFmtId="0" fontId="6" fillId="0" borderId="3" xfId="0" applyFont="1" applyBorder="1"/>
    <xf numFmtId="11" fontId="6" fillId="3" borderId="3" xfId="0" applyNumberFormat="1" applyFont="1" applyFill="1" applyBorder="1" applyAlignment="1">
      <alignment horizontal="center"/>
    </xf>
    <xf numFmtId="0" fontId="6" fillId="3" borderId="4" xfId="0" applyFont="1" applyFill="1" applyBorder="1" applyAlignment="1">
      <alignment horizontal="left"/>
    </xf>
    <xf numFmtId="165" fontId="6" fillId="3" borderId="4" xfId="0" applyNumberFormat="1" applyFont="1" applyFill="1" applyBorder="1" applyAlignment="1">
      <alignment horizontal="center" wrapText="1"/>
    </xf>
    <xf numFmtId="0" fontId="6" fillId="3" borderId="3" xfId="0" applyFont="1" applyFill="1" applyBorder="1"/>
    <xf numFmtId="0" fontId="6" fillId="3" borderId="3" xfId="0" quotePrefix="1" applyFont="1" applyFill="1" applyBorder="1" applyAlignment="1">
      <alignment horizontal="center"/>
    </xf>
    <xf numFmtId="0" fontId="6" fillId="0" borderId="4" xfId="0" applyFont="1" applyBorder="1" applyAlignment="1">
      <alignment horizontal="left"/>
    </xf>
    <xf numFmtId="0" fontId="6" fillId="0" borderId="3" xfId="0" applyFont="1" applyBorder="1" applyAlignment="1">
      <alignment horizontal="left" vertical="center" wrapText="1"/>
    </xf>
    <xf numFmtId="11" fontId="9" fillId="0" borderId="3" xfId="0" applyNumberFormat="1" applyFont="1" applyBorder="1" applyAlignment="1">
      <alignment horizontal="center" vertical="center" wrapText="1"/>
    </xf>
    <xf numFmtId="0" fontId="6" fillId="4" borderId="3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11" fontId="9" fillId="3" borderId="3" xfId="0" applyNumberFormat="1" applyFont="1" applyFill="1" applyBorder="1" applyAlignment="1">
      <alignment horizontal="center" vertical="center" wrapText="1"/>
    </xf>
    <xf numFmtId="165" fontId="6" fillId="3" borderId="3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9" fillId="0" borderId="3" xfId="0" applyFont="1" applyBorder="1" applyAlignment="1">
      <alignment horizontal="center" vertical="center" wrapText="1"/>
    </xf>
    <xf numFmtId="165" fontId="6" fillId="0" borderId="3" xfId="0" applyNumberFormat="1" applyFont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/>
    </xf>
    <xf numFmtId="0" fontId="9" fillId="0" borderId="3" xfId="0" quotePrefix="1" applyFont="1" applyBorder="1" applyAlignment="1">
      <alignment horizontal="center" vertical="center" wrapText="1"/>
    </xf>
    <xf numFmtId="11" fontId="9" fillId="0" borderId="3" xfId="0" applyNumberFormat="1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wrapText="1"/>
    </xf>
    <xf numFmtId="165" fontId="0" fillId="0" borderId="0" xfId="0" pivotButton="1" applyNumberFormat="1"/>
    <xf numFmtId="165" fontId="0" fillId="0" borderId="0" xfId="0" applyNumberFormat="1" applyAlignment="1">
      <alignment horizontal="left"/>
    </xf>
    <xf numFmtId="0" fontId="10" fillId="0" borderId="0" xfId="0" applyFont="1"/>
    <xf numFmtId="165" fontId="10" fillId="0" borderId="0" xfId="0" applyNumberFormat="1" applyFont="1"/>
    <xf numFmtId="0" fontId="10" fillId="0" borderId="2" xfId="0" applyFont="1" applyBorder="1"/>
    <xf numFmtId="165" fontId="10" fillId="0" borderId="2" xfId="1" applyNumberFormat="1" applyFont="1" applyBorder="1"/>
    <xf numFmtId="0" fontId="11" fillId="0" borderId="2" xfId="0" applyFont="1" applyBorder="1"/>
    <xf numFmtId="165" fontId="11" fillId="0" borderId="2" xfId="0" applyNumberFormat="1" applyFont="1" applyBorder="1"/>
    <xf numFmtId="0" fontId="10" fillId="0" borderId="2" xfId="0" applyFont="1" applyBorder="1" applyAlignment="1">
      <alignment horizontal="center" vertical="center"/>
    </xf>
    <xf numFmtId="165" fontId="10" fillId="0" borderId="2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22">
    <dxf>
      <fill>
        <patternFill patternType="solid">
          <fgColor rgb="FFB7E1CD"/>
          <bgColor rgb="FFB7E1CD"/>
        </patternFill>
      </fill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96.383769791668" createdVersion="8" refreshedVersion="8" minRefreshableVersion="3" recordCount="212" xr:uid="{C712B89F-08AE-4768-BF76-40C489EEAB84}">
  <cacheSource type="worksheet">
    <worksheetSource ref="F1:I213" sheet="phòng hàng"/>
  </cacheSource>
  <cacheFields count="4">
    <cacheField name="MNV" numFmtId="0">
      <sharedItems containsBlank="1" count="85">
        <s v="XE01390"/>
        <m/>
        <s v="XE01456"/>
        <s v="XE01599"/>
        <s v="XE00499"/>
        <s v="XE00934"/>
        <s v="XE01470"/>
        <s v="XE01469"/>
        <s v="XE01331"/>
        <s v="XE01645"/>
        <s v="XE01005"/>
        <s v="XE01164"/>
        <s v="XE01098"/>
        <s v="XE01600"/>
        <s v="XE01335"/>
        <s v="XE01644"/>
        <s v="XE01304"/>
        <s v="XE01305"/>
        <s v="XE01263"/>
        <s v="XE01149"/>
        <s v="XE01543"/>
        <s v="XE01622"/>
        <s v="XE01434"/>
        <s v="XE01433"/>
        <s v="XE01548"/>
        <s v="XE01549"/>
        <s v="XE01506"/>
        <s v="XE01507"/>
        <s v="XE01283"/>
        <s v="XE01541"/>
        <s v="XE01582"/>
        <s v="XE01583"/>
        <s v="XE00873"/>
        <s v="XE01672"/>
        <s v="XE01527"/>
        <s v="XE01574"/>
        <s v="XE00991"/>
        <s v="XE00854"/>
        <s v="XE01308"/>
        <s v="XE00952"/>
        <s v="XE01021"/>
        <s v="XE00893"/>
        <s v="XE01102"/>
        <s v="XE01315"/>
        <s v="XE01551"/>
        <s v="XE01552"/>
        <s v="XE01417"/>
        <s v="XE01671"/>
        <s v="XE01326"/>
        <s v="XE01325"/>
        <s v="XE01563"/>
        <s v="XE01609"/>
        <s v="XE01532"/>
        <s v="XE01281"/>
        <s v="XE01590"/>
        <s v="XE01591"/>
        <s v="XE01477"/>
        <s v="XE01670"/>
        <s v="XE01678"/>
        <s v="XE01679"/>
        <s v="XE01316"/>
        <s v="XE01534"/>
        <s v="XE01690"/>
        <s v="XE01443"/>
        <s v="XE01444"/>
        <s v="XE00853"/>
        <s v="XE01303"/>
        <s v="XE00858"/>
        <s v="XE01539"/>
        <s v="XE00907"/>
        <s v="XE00908"/>
        <s v="XE01064"/>
        <s v="XE01034"/>
        <s v="XE01694"/>
        <s v="XE01695"/>
        <s v="XE00844"/>
        <s v="XE00843"/>
        <s v="XE01698"/>
        <s v="XE00855"/>
        <s v="XE00894"/>
        <s v="XE00865"/>
        <s v="XE00985"/>
        <s v="XE00910"/>
        <s v="XE00909"/>
        <s v="XE01709"/>
      </sharedItems>
    </cacheField>
    <cacheField name="Số TK" numFmtId="0">
      <sharedItems containsBlank="1" containsMixedTypes="1" containsNumber="1" containsInteger="1" minValue="1963667" maxValue="657704060157408"/>
    </cacheField>
    <cacheField name="Ngân hàng" numFmtId="0">
      <sharedItems containsBlank="1"/>
    </cacheField>
    <cacheField name="Số tiền TT" numFmtId="165">
      <sharedItems containsString="0" containsBlank="1" containsNumber="1" containsInteger="1" minValue="1500000" maxValue="3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2">
  <r>
    <x v="0"/>
    <n v="23956793979"/>
    <s v="MB"/>
    <n v="1500000"/>
  </r>
  <r>
    <x v="1"/>
    <m/>
    <m/>
    <m/>
  </r>
  <r>
    <x v="2"/>
    <s v="04610000498774"/>
    <s v="Vietcombank"/>
    <n v="1500000"/>
  </r>
  <r>
    <x v="3"/>
    <n v="4118927"/>
    <s v="ACB"/>
    <n v="1500000"/>
  </r>
  <r>
    <x v="4"/>
    <s v="0061001129391"/>
    <s v="Vietcombank"/>
    <n v="1500000"/>
  </r>
  <r>
    <x v="5"/>
    <n v="51010000845882"/>
    <s v="BIDV"/>
    <n v="1500000"/>
  </r>
  <r>
    <x v="6"/>
    <n v="9804092001"/>
    <s v="MB Bank"/>
    <n v="1500000"/>
  </r>
  <r>
    <x v="7"/>
    <n v="1038672108"/>
    <s v="Ngân hàng VCB"/>
    <n v="1500000"/>
  </r>
  <r>
    <x v="8"/>
    <n v="1012732996"/>
    <s v="Vietcombank"/>
    <n v="1500000"/>
  </r>
  <r>
    <x v="9"/>
    <n v="3615205296080"/>
    <s v="Agribank"/>
    <n v="1500000"/>
  </r>
  <r>
    <x v="10"/>
    <s v="0385993666"/>
    <s v="Viettinbank"/>
    <n v="1500000"/>
  </r>
  <r>
    <x v="11"/>
    <n v="102871393941"/>
    <s v="Vietinbank"/>
    <n v="1500000"/>
  </r>
  <r>
    <x v="12"/>
    <s v="1130109121983"/>
    <s v="MB Bank"/>
    <n v="1500000"/>
  </r>
  <r>
    <x v="13"/>
    <n v="109873271749"/>
    <s v="Vietinbank"/>
    <n v="1500000"/>
  </r>
  <r>
    <x v="14"/>
    <n v="1061644437"/>
    <s v="Vietcombank"/>
    <n v="1500000"/>
  </r>
  <r>
    <x v="15"/>
    <n v="797908032000"/>
    <s v="MB"/>
    <n v="1500000"/>
  </r>
  <r>
    <x v="16"/>
    <s v="0393159115"/>
    <s v="MB"/>
    <n v="1500000"/>
  </r>
  <r>
    <x v="17"/>
    <s v="0332302398"/>
    <s v="Vietinbank"/>
    <n v="1500000"/>
  </r>
  <r>
    <x v="18"/>
    <s v="0936205372"/>
    <s v="BIDV"/>
    <n v="1500000"/>
  </r>
  <r>
    <x v="19"/>
    <s v="0934329239"/>
    <s v="MB"/>
    <n v="1500000"/>
  </r>
  <r>
    <x v="20"/>
    <n v="9977002907"/>
    <s v="Vietcombank"/>
    <n v="1500000"/>
  </r>
  <r>
    <x v="21"/>
    <s v="05 888 9999 9999"/>
    <s v="MB Bank"/>
    <n v="1500000"/>
  </r>
  <r>
    <x v="22"/>
    <n v="77999911032002"/>
    <s v="Techcombank"/>
    <n v="1500000"/>
  </r>
  <r>
    <x v="23"/>
    <s v="040080953668"/>
    <s v="Sacombank"/>
    <n v="1500000"/>
  </r>
  <r>
    <x v="24"/>
    <s v="0501000189005"/>
    <s v="Vietcombank"/>
    <n v="1500000"/>
  </r>
  <r>
    <x v="25"/>
    <s v="026999625555"/>
    <s v="MB"/>
    <n v="1500000"/>
  </r>
  <r>
    <x v="26"/>
    <n v="866086379"/>
    <s v="MB"/>
    <n v="1500000"/>
  </r>
  <r>
    <x v="27"/>
    <n v="957979779"/>
    <s v="Nam Á"/>
    <n v="1500000"/>
  </r>
  <r>
    <x v="28"/>
    <n v="9343825206"/>
    <s v="Vietcombank"/>
    <n v="1500000"/>
  </r>
  <r>
    <x v="29"/>
    <s v="0325752492"/>
    <s v="MB"/>
    <n v="1500000"/>
  </r>
  <r>
    <x v="30"/>
    <n v="109872813241"/>
    <s v="Vietinbank"/>
    <n v="1500000"/>
  </r>
  <r>
    <x v="31"/>
    <n v="63333266789"/>
    <s v="MB Bank"/>
    <n v="1500000"/>
  </r>
  <r>
    <x v="32"/>
    <s v="0793075891"/>
    <s v="BIDV"/>
    <n v="1500000"/>
  </r>
  <r>
    <x v="33"/>
    <n v="102344298888"/>
    <s v="Vietinbank"/>
    <n v="1500000"/>
  </r>
  <r>
    <x v="34"/>
    <s v="00006249259"/>
    <s v="TP Bank"/>
    <n v="1500000"/>
  </r>
  <r>
    <x v="35"/>
    <n v="5590206300663"/>
    <s v="Agribank"/>
    <n v="1500000"/>
  </r>
  <r>
    <x v="36"/>
    <s v="9327640888"/>
    <s v="Vietcombank"/>
    <n v="3000000"/>
  </r>
  <r>
    <x v="37"/>
    <s v="1025238163"/>
    <s v="Vietcombank"/>
    <n v="3000000"/>
  </r>
  <r>
    <x v="38"/>
    <n v="48810000602191"/>
    <s v="BIDV"/>
    <n v="3000000"/>
  </r>
  <r>
    <x v="39"/>
    <s v="253123269"/>
    <s v="ACB"/>
    <n v="3000000"/>
  </r>
  <r>
    <x v="40"/>
    <s v="4880234655"/>
    <s v="BIDV"/>
    <n v="3000000"/>
  </r>
  <r>
    <x v="41"/>
    <s v="48810000234673"/>
    <s v="BIDV"/>
    <n v="3000000"/>
  </r>
  <r>
    <x v="42"/>
    <s v="0841000113366"/>
    <s v="Vietcombank"/>
    <n v="1500000"/>
  </r>
  <r>
    <x v="43"/>
    <n v="9374264292"/>
    <s v="VCB"/>
    <n v="1500000"/>
  </r>
  <r>
    <x v="44"/>
    <s v="070092321124"/>
    <s v="Sacombank"/>
    <n v="1500000"/>
  </r>
  <r>
    <x v="45"/>
    <s v="040040261828"/>
    <s v="Sacombank"/>
    <n v="1500000"/>
  </r>
  <r>
    <x v="46"/>
    <n v="1019710505"/>
    <s v="Vietcombank"/>
    <n v="1500000"/>
  </r>
  <r>
    <x v="47"/>
    <n v="7985712377"/>
    <s v="VCB"/>
    <n v="1500000"/>
  </r>
  <r>
    <x v="48"/>
    <n v="1029818132"/>
    <s v="Vietcombank"/>
    <n v="1500000"/>
  </r>
  <r>
    <x v="49"/>
    <n v="4962874377"/>
    <s v="Techcombank"/>
    <n v="1500000"/>
  </r>
  <r>
    <x v="50"/>
    <n v="24663181"/>
    <s v="ACB"/>
    <n v="1500000"/>
  </r>
  <r>
    <x v="51"/>
    <s v="050109522322"/>
    <s v="Sacombank"/>
    <n v="1500000"/>
  </r>
  <r>
    <x v="2"/>
    <s v="04610000498774"/>
    <s v="Vietcombank"/>
    <n v="1500000"/>
  </r>
  <r>
    <x v="3"/>
    <n v="4118927"/>
    <s v="ACB"/>
    <n v="1500000"/>
  </r>
  <r>
    <x v="0"/>
    <n v="23956793979"/>
    <s v="MB"/>
    <n v="1500000"/>
  </r>
  <r>
    <x v="52"/>
    <n v="4491966778899"/>
    <s v="MB Bank"/>
    <n v="1500000"/>
  </r>
  <r>
    <x v="12"/>
    <s v="1130109121983"/>
    <s v="MB Bank"/>
    <n v="1500000"/>
  </r>
  <r>
    <x v="13"/>
    <n v="109873271749"/>
    <s v="Vietinbank"/>
    <n v="1500000"/>
  </r>
  <r>
    <x v="6"/>
    <n v="9804092001"/>
    <s v="MB Bank"/>
    <n v="1500000"/>
  </r>
  <r>
    <x v="7"/>
    <n v="1038672108"/>
    <s v="Ngân hàng VCB"/>
    <n v="1500000"/>
  </r>
  <r>
    <x v="23"/>
    <s v="040080953668"/>
    <s v="Sacombank"/>
    <n v="1500000"/>
  </r>
  <r>
    <x v="53"/>
    <n v="9967519257"/>
    <s v="Vietcombank"/>
    <n v="1500000"/>
  </r>
  <r>
    <x v="14"/>
    <n v="1061644437"/>
    <s v="Vietcombank"/>
    <n v="1500000"/>
  </r>
  <r>
    <x v="15"/>
    <n v="797908032000"/>
    <s v="MB"/>
    <n v="1500000"/>
  </r>
  <r>
    <x v="54"/>
    <n v="104882044622"/>
    <s v="Vietinbank"/>
    <n v="1500000"/>
  </r>
  <r>
    <x v="55"/>
    <n v="105882575493"/>
    <s v="Vietinbank"/>
    <n v="1500000"/>
  </r>
  <r>
    <x v="20"/>
    <n v="9977002907"/>
    <s v="Vietcombank"/>
    <n v="1500000"/>
  </r>
  <r>
    <x v="21"/>
    <s v="05 888 9999 9999"/>
    <s v="MB Bank"/>
    <n v="1500000"/>
  </r>
  <r>
    <x v="56"/>
    <n v="1963667"/>
    <s v="ACB"/>
    <n v="1500000"/>
  </r>
  <r>
    <x v="57"/>
    <n v="657704060157408"/>
    <s v="VIB"/>
    <n v="1500000"/>
  </r>
  <r>
    <x v="30"/>
    <n v="109872813241"/>
    <s v="Vietinbank"/>
    <n v="1500000"/>
  </r>
  <r>
    <x v="31"/>
    <n v="63333266789"/>
    <s v="MB Bank"/>
    <n v="1500000"/>
  </r>
  <r>
    <x v="10"/>
    <s v="0385993666"/>
    <s v="Viettinbank"/>
    <n v="1500000"/>
  </r>
  <r>
    <x v="11"/>
    <n v="102871393941"/>
    <s v="Vietinbank"/>
    <n v="1500000"/>
  </r>
  <r>
    <x v="44"/>
    <s v="070092321124"/>
    <s v="Sacombank"/>
    <n v="1500000"/>
  </r>
  <r>
    <x v="45"/>
    <s v="040040261828"/>
    <s v="Sacombank"/>
    <n v="1500000"/>
  </r>
  <r>
    <x v="58"/>
    <n v="83862288888"/>
    <s v="MB"/>
    <n v="1500000"/>
  </r>
  <r>
    <x v="59"/>
    <n v="7777720033333"/>
    <s v="MB"/>
    <n v="1500000"/>
  </r>
  <r>
    <x v="42"/>
    <s v="0841000113366"/>
    <s v="Vietcombank"/>
    <n v="1500000"/>
  </r>
  <r>
    <x v="43"/>
    <n v="9374264292"/>
    <s v="VCB"/>
    <n v="1500000"/>
  </r>
  <r>
    <x v="18"/>
    <s v="0936205372"/>
    <s v="BIDV"/>
    <n v="1500000"/>
  </r>
  <r>
    <x v="19"/>
    <s v="0934329239"/>
    <s v="MB"/>
    <n v="1500000"/>
  </r>
  <r>
    <x v="60"/>
    <s v="0933660430"/>
    <s v="Lộc Phát Bank"/>
    <n v="1500000"/>
  </r>
  <r>
    <x v="61"/>
    <n v="4706205245990"/>
    <s v="Agribank"/>
    <n v="1500000"/>
  </r>
  <r>
    <x v="28"/>
    <n v="9343825206"/>
    <s v="Vietcombank"/>
    <n v="1500000"/>
  </r>
  <r>
    <x v="29"/>
    <s v="0325752492"/>
    <s v="MB"/>
    <n v="1500000"/>
  </r>
  <r>
    <x v="0"/>
    <n v="23956793979"/>
    <s v="MB"/>
    <n v="1500000"/>
  </r>
  <r>
    <x v="62"/>
    <s v="0281000415985"/>
    <s v="VCB"/>
    <n v="1500000"/>
  </r>
  <r>
    <x v="12"/>
    <s v="1130109121983"/>
    <s v="MB Bank"/>
    <n v="1500000"/>
  </r>
  <r>
    <x v="13"/>
    <n v="109873271749"/>
    <s v="Vietinbank"/>
    <n v="1500000"/>
  </r>
  <r>
    <x v="34"/>
    <s v="00006249259"/>
    <s v="TP Bank"/>
    <n v="1500000"/>
  </r>
  <r>
    <x v="35"/>
    <n v="5590206300663"/>
    <s v="Agribank"/>
    <n v="1500000"/>
  </r>
  <r>
    <x v="46"/>
    <n v="1019710505"/>
    <s v="Vietcombank"/>
    <n v="1500000"/>
  </r>
  <r>
    <x v="47"/>
    <n v="7985712377"/>
    <s v="VCB"/>
    <n v="1500000"/>
  </r>
  <r>
    <x v="63"/>
    <n v="2810829999"/>
    <s v="Techcombank"/>
    <n v="3000000"/>
  </r>
  <r>
    <x v="64"/>
    <n v="101003695322"/>
    <s v="Vietinbank"/>
    <n v="3000000"/>
  </r>
  <r>
    <x v="65"/>
    <s v="1021849442"/>
    <s v="Vietcombank"/>
    <n v="3000000"/>
  </r>
  <r>
    <x v="66"/>
    <n v="5810108918888"/>
    <s v="MB"/>
    <n v="3000000"/>
  </r>
  <r>
    <x v="67"/>
    <s v="3310205094626"/>
    <s v="Agribank"/>
    <n v="3000000"/>
  </r>
  <r>
    <x v="68"/>
    <n v="31169222"/>
    <s v="MB"/>
    <n v="3000000"/>
  </r>
  <r>
    <x v="69"/>
    <s v="681704060025530"/>
    <s v="VIB"/>
    <n v="3000000"/>
  </r>
  <r>
    <x v="70"/>
    <s v="0974953028"/>
    <s v="BIDV"/>
    <n v="3000000"/>
  </r>
  <r>
    <x v="48"/>
    <n v="1029818132"/>
    <s v="Vietcombank"/>
    <n v="1500000"/>
  </r>
  <r>
    <x v="49"/>
    <n v="4962874377"/>
    <s v="Techcombank"/>
    <n v="1500000"/>
  </r>
  <r>
    <x v="16"/>
    <s v="0393159115"/>
    <s v="MB"/>
    <n v="1500000"/>
  </r>
  <r>
    <x v="17"/>
    <s v="0332302398"/>
    <s v="Vietinbank"/>
    <n v="1500000"/>
  </r>
  <r>
    <x v="26"/>
    <n v="866086379"/>
    <s v="MB"/>
    <n v="1500000"/>
  </r>
  <r>
    <x v="27"/>
    <n v="957979779"/>
    <s v="Nam Á"/>
    <n v="1500000"/>
  </r>
  <r>
    <x v="44"/>
    <s v="070092321124"/>
    <s v="Sacombank"/>
    <n v="1500000"/>
  </r>
  <r>
    <x v="45"/>
    <s v="040040261828"/>
    <s v="Sacombank"/>
    <n v="1500000"/>
  </r>
  <r>
    <x v="32"/>
    <s v="0793075891"/>
    <s v="BIDV"/>
    <n v="1500000"/>
  </r>
  <r>
    <x v="33"/>
    <n v="102344298888"/>
    <s v="Vietinbank"/>
    <n v="1500000"/>
  </r>
  <r>
    <x v="51"/>
    <s v="050109522322"/>
    <s v="Sacombank"/>
    <n v="1500000"/>
  </r>
  <r>
    <x v="54"/>
    <n v="104882044622"/>
    <s v="Vietinbank"/>
    <n v="1500000"/>
  </r>
  <r>
    <x v="14"/>
    <n v="1061644437"/>
    <s v="Vietcombank"/>
    <n v="1500000"/>
  </r>
  <r>
    <x v="15"/>
    <n v="797908032000"/>
    <s v="MB"/>
    <n v="1500000"/>
  </r>
  <r>
    <x v="71"/>
    <s v="0971995882"/>
    <s v="MB Bank"/>
    <n v="3000000"/>
  </r>
  <r>
    <x v="72"/>
    <s v="1017029795"/>
    <s v="Vietcombank"/>
    <n v="3000000"/>
  </r>
  <r>
    <x v="73"/>
    <n v="19038442831015"/>
    <s v="Techcombank"/>
    <n v="1500000"/>
  </r>
  <r>
    <x v="74"/>
    <s v="0935944899"/>
    <s v="Vietinbank"/>
    <n v="1500000"/>
  </r>
  <r>
    <x v="2"/>
    <s v="04610000498774"/>
    <s v="Vietcombank"/>
    <n v="1500000"/>
  </r>
  <r>
    <x v="3"/>
    <n v="4118927"/>
    <s v="ACB"/>
    <n v="1500000"/>
  </r>
  <r>
    <x v="46"/>
    <n v="1019710505"/>
    <s v="Vietcombank"/>
    <n v="1500000"/>
  </r>
  <r>
    <x v="47"/>
    <n v="7985712377"/>
    <s v="VCB"/>
    <n v="1500000"/>
  </r>
  <r>
    <x v="23"/>
    <s v="040080953668"/>
    <s v="Sacombank"/>
    <n v="1500000"/>
  </r>
  <r>
    <x v="53"/>
    <n v="9967519257"/>
    <s v="Vietcombank"/>
    <n v="1500000"/>
  </r>
  <r>
    <x v="75"/>
    <s v="060277500151"/>
    <s v="Sacombank"/>
    <n v="3000000"/>
  </r>
  <r>
    <x v="76"/>
    <s v="3306205029986"/>
    <s v="Agribank"/>
    <n v="3000000"/>
  </r>
  <r>
    <x v="8"/>
    <n v="1012732996"/>
    <s v="Vietcombank"/>
    <n v="1500000"/>
  </r>
  <r>
    <x v="9"/>
    <n v="3615205296080"/>
    <s v="Agribank"/>
    <n v="1500000"/>
  </r>
  <r>
    <x v="58"/>
    <n v="83862288888"/>
    <s v="MB"/>
    <n v="1500000"/>
  </r>
  <r>
    <x v="59"/>
    <n v="7777720033333"/>
    <s v="MB"/>
    <n v="1500000"/>
  </r>
  <r>
    <x v="28"/>
    <n v="9343825206"/>
    <s v="Vietcombank"/>
    <n v="1500000"/>
  </r>
  <r>
    <x v="29"/>
    <s v="0325752492"/>
    <s v="MB"/>
    <n v="1500000"/>
  </r>
  <r>
    <x v="24"/>
    <s v="0501000189005"/>
    <s v="Vietcombank"/>
    <n v="1500000"/>
  </r>
  <r>
    <x v="25"/>
    <s v="026999625555"/>
    <s v="MB"/>
    <n v="1500000"/>
  </r>
  <r>
    <x v="20"/>
    <n v="9977002907"/>
    <s v="Vietcombank"/>
    <n v="1500000"/>
  </r>
  <r>
    <x v="21"/>
    <s v="05 888 9999 9999"/>
    <s v="MB Bank"/>
    <n v="1500000"/>
  </r>
  <r>
    <x v="36"/>
    <s v="9327640888"/>
    <s v="Vietcombank"/>
    <n v="3000000"/>
  </r>
  <r>
    <x v="37"/>
    <s v="1025238163"/>
    <s v="Vietcombank"/>
    <n v="3000000"/>
  </r>
  <r>
    <x v="77"/>
    <n v="44365777"/>
    <s v="ACB"/>
    <n v="1500000"/>
  </r>
  <r>
    <x v="11"/>
    <n v="102871393941"/>
    <s v="Vietinbank"/>
    <n v="1500000"/>
  </r>
  <r>
    <x v="34"/>
    <s v="00006249259"/>
    <s v="TP Bank"/>
    <n v="1500000"/>
  </r>
  <r>
    <x v="78"/>
    <s v="108871960583"/>
    <s v="Vietinbank "/>
    <n v="3000000"/>
  </r>
  <r>
    <x v="79"/>
    <s v="3306205091649"/>
    <s v="Agribank"/>
    <n v="3000000"/>
  </r>
  <r>
    <x v="80"/>
    <s v="3309205366223"/>
    <s v="Agribank"/>
    <n v="3000000"/>
  </r>
  <r>
    <x v="81"/>
    <s v="0911190704"/>
    <s v="MB Bank"/>
    <n v="3000000"/>
  </r>
  <r>
    <x v="38"/>
    <n v="48810000602191"/>
    <s v="BIDV"/>
    <n v="3000000"/>
  </r>
  <r>
    <x v="39"/>
    <s v="253123269"/>
    <s v="ACB"/>
    <n v="3000000"/>
  </r>
  <r>
    <x v="30"/>
    <n v="109872813241"/>
    <s v="Vietinbank"/>
    <n v="1500000"/>
  </r>
  <r>
    <x v="31"/>
    <n v="63333266789"/>
    <s v="MB Bank"/>
    <n v="1500000"/>
  </r>
  <r>
    <x v="43"/>
    <n v="9374264292"/>
    <s v="VCB"/>
    <n v="1500000"/>
  </r>
  <r>
    <x v="42"/>
    <s v="0841000113366"/>
    <s v="Vietcombank"/>
    <n v="1500000"/>
  </r>
  <r>
    <x v="52"/>
    <n v="4491966778899"/>
    <s v="MB Bank"/>
    <n v="1500000"/>
  </r>
  <r>
    <x v="48"/>
    <n v="1029818132"/>
    <s v="Vietcombank"/>
    <n v="1500000"/>
  </r>
  <r>
    <x v="49"/>
    <n v="4962874377"/>
    <s v="Techcombank"/>
    <n v="1500000"/>
  </r>
  <r>
    <x v="60"/>
    <s v="0933660430"/>
    <s v="Lộc Phát Bank"/>
    <n v="1500000"/>
  </r>
  <r>
    <x v="61"/>
    <n v="4706205245990"/>
    <s v="Agribank"/>
    <n v="1500000"/>
  </r>
  <r>
    <x v="54"/>
    <n v="104882044622"/>
    <s v="Vietinbank"/>
    <n v="1500000"/>
  </r>
  <r>
    <x v="19"/>
    <s v="0934329239"/>
    <s v="MB"/>
    <n v="1500000"/>
  </r>
  <r>
    <x v="18"/>
    <s v="0936205372"/>
    <s v="BIDV"/>
    <n v="1500000"/>
  </r>
  <r>
    <x v="0"/>
    <n v="23956793979"/>
    <s v="MB"/>
    <n v="1500000"/>
  </r>
  <r>
    <x v="62"/>
    <s v="0281000415985"/>
    <s v="VCB"/>
    <n v="1500000"/>
  </r>
  <r>
    <x v="82"/>
    <s v="0962808156"/>
    <s v="MB Bank"/>
    <n v="3000000"/>
  </r>
  <r>
    <x v="83"/>
    <s v="4811215012971"/>
    <s v="Agribank"/>
    <n v="3000000"/>
  </r>
  <r>
    <x v="41"/>
    <s v="48810000234673"/>
    <s v="BIDV"/>
    <n v="3000000"/>
  </r>
  <r>
    <x v="40"/>
    <s v="4880234655"/>
    <s v="BIDV"/>
    <n v="3000000"/>
  </r>
  <r>
    <x v="12"/>
    <s v="1130109121983"/>
    <s v="MB Bank"/>
    <n v="1500000"/>
  </r>
  <r>
    <x v="13"/>
    <n v="109873271749"/>
    <s v="Vietinbank"/>
    <n v="1500000"/>
  </r>
  <r>
    <x v="65"/>
    <s v="1021849442"/>
    <s v="Vietcombank"/>
    <n v="3000000"/>
  </r>
  <r>
    <x v="44"/>
    <s v="070092321124"/>
    <s v="Sacombank"/>
    <n v="1500000"/>
  </r>
  <r>
    <x v="45"/>
    <s v="040040261828"/>
    <s v="Sacombank"/>
    <n v="1500000"/>
  </r>
  <r>
    <x v="2"/>
    <s v="04610000498774"/>
    <s v="Vietcombank"/>
    <n v="1500000"/>
  </r>
  <r>
    <x v="3"/>
    <n v="4118927"/>
    <s v="ACB"/>
    <n v="1500000"/>
  </r>
  <r>
    <x v="46"/>
    <n v="1019710505"/>
    <s v="Vietcombank"/>
    <n v="1500000"/>
  </r>
  <r>
    <x v="47"/>
    <n v="7985712377"/>
    <s v="VCB"/>
    <n v="1500000"/>
  </r>
  <r>
    <x v="67"/>
    <s v="3310205094626"/>
    <s v="Agribank"/>
    <n v="3000000"/>
  </r>
  <r>
    <x v="16"/>
    <s v="0393159115"/>
    <s v="MB"/>
    <n v="1500000"/>
  </r>
  <r>
    <x v="17"/>
    <s v="0332302398"/>
    <s v="Vietinbank"/>
    <n v="1500000"/>
  </r>
  <r>
    <x v="58"/>
    <n v="83862288888"/>
    <s v="MB"/>
    <n v="1500000"/>
  </r>
  <r>
    <x v="59"/>
    <n v="7777720033333"/>
    <s v="MB"/>
    <n v="1500000"/>
  </r>
  <r>
    <x v="66"/>
    <n v="5810108918888"/>
    <s v="MB"/>
    <n v="3000000"/>
  </r>
  <r>
    <x v="68"/>
    <n v="31169222"/>
    <s v="MB"/>
    <n v="3000000"/>
  </r>
  <r>
    <x v="24"/>
    <s v="0501000189005"/>
    <s v="Vietcombank"/>
    <n v="1500000"/>
  </r>
  <r>
    <x v="25"/>
    <s v="026999625555"/>
    <s v="MB"/>
    <n v="1500000"/>
  </r>
  <r>
    <x v="34"/>
    <s v="00006249259"/>
    <s v="TP Bank"/>
    <n v="1500000"/>
  </r>
  <r>
    <x v="26"/>
    <n v="866086379"/>
    <s v="MB"/>
    <n v="1500000"/>
  </r>
  <r>
    <x v="27"/>
    <n v="957979779"/>
    <s v="Nam Á"/>
    <n v="1500000"/>
  </r>
  <r>
    <x v="11"/>
    <n v="102871393941"/>
    <s v="Vietinbank"/>
    <n v="1500000"/>
  </r>
  <r>
    <x v="77"/>
    <n v="44365777"/>
    <s v="ACB"/>
    <n v="1500000"/>
  </r>
  <r>
    <x v="6"/>
    <n v="9804092001"/>
    <s v="MB Bank"/>
    <n v="1500000"/>
  </r>
  <r>
    <x v="62"/>
    <s v="0281000415985"/>
    <s v="VCB"/>
    <n v="1500000"/>
  </r>
  <r>
    <x v="4"/>
    <s v="0061001129391"/>
    <s v="Vietcombank"/>
    <n v="1500000"/>
  </r>
  <r>
    <x v="73"/>
    <n v="19038442831015"/>
    <s v="Techcombank"/>
    <n v="1500000"/>
  </r>
  <r>
    <x v="69"/>
    <s v="681704060025530"/>
    <s v="VIB"/>
    <n v="3000000"/>
  </r>
  <r>
    <x v="70"/>
    <s v="0974953028"/>
    <s v="BIDV"/>
    <n v="3000000"/>
  </r>
  <r>
    <x v="0"/>
    <n v="23956793979"/>
    <s v="MB"/>
    <n v="1500000"/>
  </r>
  <r>
    <x v="14"/>
    <n v="1061644437"/>
    <s v="Vietcombank"/>
    <n v="1500000"/>
  </r>
  <r>
    <x v="15"/>
    <n v="797908032000"/>
    <s v="MB"/>
    <n v="1500000"/>
  </r>
  <r>
    <x v="42"/>
    <s v="0841000113366"/>
    <s v="Vietcombank"/>
    <n v="1500000"/>
  </r>
  <r>
    <x v="43"/>
    <n v="9374264292"/>
    <s v="VCB"/>
    <n v="1500000"/>
  </r>
  <r>
    <x v="18"/>
    <s v="0936205372"/>
    <s v="BIDV"/>
    <n v="1500000"/>
  </r>
  <r>
    <x v="30"/>
    <n v="109872813241"/>
    <s v="Vietinbank"/>
    <n v="1500000"/>
  </r>
  <r>
    <x v="84"/>
    <n v="1027944806"/>
    <s v="TP Bank"/>
    <n v="3000000"/>
  </r>
  <r>
    <x v="58"/>
    <n v="83862288888"/>
    <s v="MB"/>
    <n v="1500000"/>
  </r>
  <r>
    <x v="59"/>
    <n v="7777720033333"/>
    <s v="MB"/>
    <n v="1500000"/>
  </r>
  <r>
    <x v="60"/>
    <s v="0933660430"/>
    <s v="Lộc Phát Bank"/>
    <n v="1500000"/>
  </r>
  <r>
    <x v="61"/>
    <n v="4706205245990"/>
    <s v="Agribank"/>
    <n v="1500000"/>
  </r>
  <r>
    <x v="80"/>
    <s v="3309205366223"/>
    <s v="Agribank"/>
    <n v="3000000"/>
  </r>
  <r>
    <x v="81"/>
    <s v="0911190704"/>
    <s v="MB Bank"/>
    <n v="3000000"/>
  </r>
  <r>
    <x v="8"/>
    <n v="1012732996"/>
    <s v="Vietcombank"/>
    <n v="1500000"/>
  </r>
  <r>
    <x v="9"/>
    <n v="3615205296080"/>
    <s v="Agribank"/>
    <n v="15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F57E26-FAE1-41D5-A90F-A01E9751ED67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9" firstHeaderRow="1" firstDataRow="1" firstDataCol="1"/>
  <pivotFields count="4">
    <pivotField axis="axisRow" showAll="0">
      <items count="86">
        <item x="4"/>
        <item x="76"/>
        <item x="75"/>
        <item x="65"/>
        <item x="37"/>
        <item x="78"/>
        <item x="67"/>
        <item x="80"/>
        <item x="32"/>
        <item x="41"/>
        <item x="79"/>
        <item x="69"/>
        <item x="70"/>
        <item x="83"/>
        <item x="82"/>
        <item x="5"/>
        <item x="39"/>
        <item x="81"/>
        <item x="36"/>
        <item x="10"/>
        <item x="40"/>
        <item x="72"/>
        <item x="71"/>
        <item x="12"/>
        <item x="42"/>
        <item x="19"/>
        <item x="11"/>
        <item x="18"/>
        <item x="53"/>
        <item x="28"/>
        <item x="66"/>
        <item x="16"/>
        <item x="17"/>
        <item x="38"/>
        <item x="43"/>
        <item x="60"/>
        <item x="49"/>
        <item x="48"/>
        <item x="8"/>
        <item x="14"/>
        <item x="0"/>
        <item x="46"/>
        <item x="23"/>
        <item x="22"/>
        <item x="63"/>
        <item x="64"/>
        <item x="2"/>
        <item x="7"/>
        <item x="6"/>
        <item x="56"/>
        <item x="26"/>
        <item x="27"/>
        <item x="34"/>
        <item x="52"/>
        <item x="61"/>
        <item x="68"/>
        <item x="29"/>
        <item x="20"/>
        <item x="24"/>
        <item x="25"/>
        <item x="44"/>
        <item x="45"/>
        <item x="50"/>
        <item x="35"/>
        <item x="30"/>
        <item x="31"/>
        <item x="54"/>
        <item x="55"/>
        <item x="3"/>
        <item x="13"/>
        <item x="51"/>
        <item x="21"/>
        <item x="15"/>
        <item x="9"/>
        <item x="57"/>
        <item x="47"/>
        <item x="33"/>
        <item x="58"/>
        <item x="59"/>
        <item x="62"/>
        <item x="73"/>
        <item x="74"/>
        <item x="77"/>
        <item x="84"/>
        <item x="1"/>
        <item t="default"/>
      </items>
    </pivotField>
    <pivotField showAll="0"/>
    <pivotField showAll="0"/>
    <pivotField dataField="1" showAll="0"/>
  </pivotFields>
  <rowFields count="1">
    <field x="0"/>
  </rowFields>
  <rowItems count="8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 t="grand">
      <x/>
    </i>
  </rowItems>
  <colItems count="1">
    <i/>
  </colItems>
  <dataFields count="1">
    <dataField name="Sum of Số tiền TT" fld="3" baseField="0" baseItem="0" numFmtId="165"/>
  </dataFields>
  <formats count="7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0" type="button" dataOnly="0" labelOnly="1" outline="0" axis="axisRow" fieldPosition="0"/>
    </format>
    <format dxfId="18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7">
      <pivotArea dataOnly="0" labelOnly="1" fieldPosition="0">
        <references count="1">
          <reference field="0" count="35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</reference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AD76C-C7BF-4DEC-BC0C-6A3E61577796}">
  <sheetPr>
    <tabColor rgb="FFFFC000"/>
  </sheetPr>
  <dimension ref="A1:D86"/>
  <sheetViews>
    <sheetView workbookViewId="0">
      <selection activeCell="I27" sqref="I27"/>
    </sheetView>
  </sheetViews>
  <sheetFormatPr defaultColWidth="12.7109375" defaultRowHeight="15" x14ac:dyDescent="0.25"/>
  <cols>
    <col min="1" max="1" width="12.7109375" style="67"/>
    <col min="2" max="2" width="23.28515625" style="67" customWidth="1"/>
    <col min="3" max="16384" width="12.7109375" style="67"/>
  </cols>
  <sheetData>
    <row r="1" spans="1:4" ht="24.75" customHeight="1" x14ac:dyDescent="0.25">
      <c r="A1" s="73" t="s">
        <v>634</v>
      </c>
      <c r="B1" s="74" t="s">
        <v>635</v>
      </c>
    </row>
    <row r="2" spans="1:4" x14ac:dyDescent="0.25">
      <c r="A2" s="69" t="s">
        <v>298</v>
      </c>
      <c r="B2" s="70">
        <v>3000000</v>
      </c>
      <c r="C2" s="67">
        <f>+SUMIFS('Kế toán'!$F$2:$F$212,'Kế toán'!$J$2:$J$212,'Dữ liệu ứng lương T05.26'!A2)</f>
        <v>3000000</v>
      </c>
      <c r="D2" s="68">
        <f>+B2-C2</f>
        <v>0</v>
      </c>
    </row>
    <row r="3" spans="1:4" x14ac:dyDescent="0.25">
      <c r="A3" s="69" t="s">
        <v>70</v>
      </c>
      <c r="B3" s="70">
        <v>3000000</v>
      </c>
      <c r="C3" s="67">
        <f>+SUMIFS('Kế toán'!$F$2:$F$212,'Kế toán'!$J$2:$J$212,'Dữ liệu ứng lương T05.26'!A3)</f>
        <v>3000000</v>
      </c>
      <c r="D3" s="68">
        <f t="shared" ref="D3:D66" si="0">+B3-C3</f>
        <v>0</v>
      </c>
    </row>
    <row r="4" spans="1:4" x14ac:dyDescent="0.25">
      <c r="A4" s="69" t="s">
        <v>202</v>
      </c>
      <c r="B4" s="70">
        <v>3000000</v>
      </c>
      <c r="C4" s="67">
        <f>+SUMIFS('Kế toán'!$F$2:$F$212,'Kế toán'!$J$2:$J$212,'Dữ liệu ứng lương T05.26'!A4)</f>
        <v>3000000</v>
      </c>
      <c r="D4" s="68">
        <f t="shared" si="0"/>
        <v>0</v>
      </c>
    </row>
    <row r="5" spans="1:4" x14ac:dyDescent="0.25">
      <c r="A5" s="69" t="s">
        <v>109</v>
      </c>
      <c r="B5" s="70">
        <v>6000000</v>
      </c>
      <c r="C5" s="67">
        <f>+SUMIFS('Kế toán'!$F$2:$F$212,'Kế toán'!$J$2:$J$212,'Dữ liệu ứng lương T05.26'!A5)</f>
        <v>6000000</v>
      </c>
      <c r="D5" s="68">
        <f t="shared" si="0"/>
        <v>0</v>
      </c>
    </row>
    <row r="6" spans="1:4" x14ac:dyDescent="0.25">
      <c r="A6" s="69" t="s">
        <v>251</v>
      </c>
      <c r="B6" s="70">
        <v>6000000</v>
      </c>
      <c r="C6" s="67">
        <f>+SUMIFS('Kế toán'!$F$2:$F$212,'Kế toán'!$J$2:$J$212,'Dữ liệu ứng lương T05.26'!A6)</f>
        <v>6000000</v>
      </c>
      <c r="D6" s="68">
        <f t="shared" si="0"/>
        <v>0</v>
      </c>
    </row>
    <row r="7" spans="1:4" x14ac:dyDescent="0.25">
      <c r="A7" s="69" t="s">
        <v>68</v>
      </c>
      <c r="B7" s="70">
        <v>3000000</v>
      </c>
      <c r="C7" s="67">
        <f>+SUMIFS('Kế toán'!$F$2:$F$212,'Kế toán'!$J$2:$J$212,'Dữ liệu ứng lương T05.26'!A7)</f>
        <v>3000000</v>
      </c>
      <c r="D7" s="68">
        <f t="shared" si="0"/>
        <v>0</v>
      </c>
    </row>
    <row r="8" spans="1:4" x14ac:dyDescent="0.25">
      <c r="A8" s="69" t="s">
        <v>60</v>
      </c>
      <c r="B8" s="70">
        <v>6000000</v>
      </c>
      <c r="C8" s="67">
        <f>+SUMIFS('Kế toán'!$F$2:$F$212,'Kế toán'!$J$2:$J$212,'Dữ liệu ứng lương T05.26'!A8)</f>
        <v>6000000</v>
      </c>
      <c r="D8" s="68">
        <f t="shared" si="0"/>
        <v>0</v>
      </c>
    </row>
    <row r="9" spans="1:4" x14ac:dyDescent="0.25">
      <c r="A9" s="69" t="s">
        <v>261</v>
      </c>
      <c r="B9" s="70">
        <v>6000000</v>
      </c>
      <c r="C9" s="67">
        <f>+SUMIFS('Kế toán'!$F$2:$F$212,'Kế toán'!$J$2:$J$212,'Dữ liệu ứng lương T05.26'!A9)</f>
        <v>6000000</v>
      </c>
      <c r="D9" s="68">
        <f t="shared" si="0"/>
        <v>0</v>
      </c>
    </row>
    <row r="10" spans="1:4" x14ac:dyDescent="0.25">
      <c r="A10" s="69" t="s">
        <v>96</v>
      </c>
      <c r="B10" s="70">
        <v>3000000</v>
      </c>
      <c r="C10" s="67">
        <f>+SUMIFS('Kế toán'!$F$2:$F$212,'Kế toán'!$J$2:$J$212,'Dữ liệu ứng lương T05.26'!A10)</f>
        <v>3000000</v>
      </c>
      <c r="D10" s="68">
        <f t="shared" si="0"/>
        <v>0</v>
      </c>
    </row>
    <row r="11" spans="1:4" x14ac:dyDescent="0.25">
      <c r="A11" s="69" t="s">
        <v>323</v>
      </c>
      <c r="B11" s="70">
        <v>6000000</v>
      </c>
      <c r="C11" s="67">
        <f>+SUMIFS('Kế toán'!$F$2:$F$212,'Kế toán'!$J$2:$J$212,'Dữ liệu ứng lương T05.26'!A11)</f>
        <v>6000000</v>
      </c>
      <c r="D11" s="68">
        <f t="shared" si="0"/>
        <v>0</v>
      </c>
    </row>
    <row r="12" spans="1:4" x14ac:dyDescent="0.25">
      <c r="A12" s="69" t="s">
        <v>249</v>
      </c>
      <c r="B12" s="70">
        <v>3000000</v>
      </c>
      <c r="C12" s="67">
        <f>+SUMIFS('Kế toán'!$F$2:$F$212,'Kế toán'!$J$2:$J$212,'Dữ liệu ứng lương T05.26'!A12)</f>
        <v>3000000</v>
      </c>
      <c r="D12" s="68">
        <f t="shared" si="0"/>
        <v>0</v>
      </c>
    </row>
    <row r="13" spans="1:4" x14ac:dyDescent="0.25">
      <c r="A13" s="69" t="s">
        <v>80</v>
      </c>
      <c r="B13" s="70">
        <v>6000000</v>
      </c>
      <c r="C13" s="67">
        <f>+SUMIFS('Kế toán'!$F$2:$F$212,'Kế toán'!$J$2:$J$212,'Dữ liệu ứng lương T05.26'!A13)</f>
        <v>6000000</v>
      </c>
      <c r="D13" s="68">
        <f t="shared" si="0"/>
        <v>0</v>
      </c>
    </row>
    <row r="14" spans="1:4" x14ac:dyDescent="0.25">
      <c r="A14" s="69" t="s">
        <v>84</v>
      </c>
      <c r="B14" s="70">
        <v>6000000</v>
      </c>
      <c r="C14" s="67">
        <f>+SUMIFS('Kế toán'!$F$2:$F$212,'Kế toán'!$J$2:$J$212,'Dữ liệu ứng lương T05.26'!A14)</f>
        <v>6000000</v>
      </c>
      <c r="D14" s="68">
        <f t="shared" si="0"/>
        <v>0</v>
      </c>
    </row>
    <row r="15" spans="1:4" x14ac:dyDescent="0.25">
      <c r="A15" s="69" t="s">
        <v>296</v>
      </c>
      <c r="B15" s="70">
        <v>3000000</v>
      </c>
      <c r="C15" s="67">
        <f>+SUMIFS('Kế toán'!$F$2:$F$212,'Kế toán'!$J$2:$J$212,'Dữ liệu ứng lương T05.26'!A15)</f>
        <v>3000000</v>
      </c>
      <c r="D15" s="68">
        <f t="shared" si="0"/>
        <v>0</v>
      </c>
    </row>
    <row r="16" spans="1:4" x14ac:dyDescent="0.25">
      <c r="A16" s="69" t="s">
        <v>57</v>
      </c>
      <c r="B16" s="70">
        <v>3000000</v>
      </c>
      <c r="C16" s="67">
        <f>+SUMIFS('Kế toán'!$F$2:$F$212,'Kế toán'!$J$2:$J$212,'Dữ liệu ứng lương T05.26'!A16)</f>
        <v>3000000</v>
      </c>
      <c r="D16" s="68">
        <f t="shared" si="0"/>
        <v>0</v>
      </c>
    </row>
    <row r="17" spans="1:4" x14ac:dyDescent="0.25">
      <c r="A17" s="69" t="s">
        <v>276</v>
      </c>
      <c r="B17" s="70">
        <v>1500000</v>
      </c>
      <c r="C17" s="67">
        <f>+SUMIFS('Kế toán'!$F$2:$F$212,'Kế toán'!$J$2:$J$212,'Dữ liệu ứng lương T05.26'!A17)</f>
        <v>1500000</v>
      </c>
      <c r="D17" s="68">
        <f t="shared" si="0"/>
        <v>0</v>
      </c>
    </row>
    <row r="18" spans="1:4" x14ac:dyDescent="0.25">
      <c r="A18" s="69" t="s">
        <v>231</v>
      </c>
      <c r="B18" s="70">
        <v>6000000</v>
      </c>
      <c r="C18" s="67">
        <f>+SUMIFS('Kế toán'!$F$2:$F$212,'Kế toán'!$J$2:$J$212,'Dữ liệu ứng lương T05.26'!A18)</f>
        <v>6000000</v>
      </c>
      <c r="D18" s="68">
        <f t="shared" si="0"/>
        <v>0</v>
      </c>
    </row>
    <row r="19" spans="1:4" x14ac:dyDescent="0.25">
      <c r="A19" s="69" t="s">
        <v>330</v>
      </c>
      <c r="B19" s="70">
        <v>6000000</v>
      </c>
      <c r="C19" s="67">
        <f>+SUMIFS('Kế toán'!$F$2:$F$212,'Kế toán'!$J$2:$J$212,'Dữ liệu ứng lương T05.26'!A19)</f>
        <v>6000000</v>
      </c>
      <c r="D19" s="68">
        <f t="shared" si="0"/>
        <v>0</v>
      </c>
    </row>
    <row r="20" spans="1:4" x14ac:dyDescent="0.25">
      <c r="A20" s="69" t="s">
        <v>49</v>
      </c>
      <c r="B20" s="70">
        <v>6000000</v>
      </c>
      <c r="C20" s="67">
        <f>+SUMIFS('Kế toán'!$F$2:$F$212,'Kế toán'!$J$2:$J$212,'Dữ liệu ứng lương T05.26'!A20)</f>
        <v>6000000</v>
      </c>
      <c r="D20" s="68">
        <f t="shared" si="0"/>
        <v>0</v>
      </c>
    </row>
    <row r="21" spans="1:4" x14ac:dyDescent="0.25">
      <c r="A21" s="69" t="s">
        <v>199</v>
      </c>
      <c r="B21" s="70">
        <v>3000000</v>
      </c>
      <c r="C21" s="67">
        <f>+SUMIFS('Kế toán'!$F$2:$F$212,'Kế toán'!$J$2:$J$212,'Dữ liệu ứng lương T05.26'!A21)</f>
        <v>3000000</v>
      </c>
      <c r="D21" s="68">
        <f t="shared" si="0"/>
        <v>0</v>
      </c>
    </row>
    <row r="22" spans="1:4" x14ac:dyDescent="0.25">
      <c r="A22" s="69" t="s">
        <v>333</v>
      </c>
      <c r="B22" s="70">
        <v>6000000</v>
      </c>
      <c r="C22" s="67">
        <f>+SUMIFS('Kế toán'!$F$2:$F$212,'Kế toán'!$J$2:$J$212,'Dữ liệu ứng lương T05.26'!A22)</f>
        <v>6000000</v>
      </c>
      <c r="D22" s="68">
        <f t="shared" si="0"/>
        <v>0</v>
      </c>
    </row>
    <row r="23" spans="1:4" x14ac:dyDescent="0.25">
      <c r="A23" s="69" t="s">
        <v>138</v>
      </c>
      <c r="B23" s="70">
        <v>3000000</v>
      </c>
      <c r="C23" s="67">
        <f>+SUMIFS('Kế toán'!$F$2:$F$212,'Kế toán'!$J$2:$J$212,'Dữ liệu ứng lương T05.26'!A23)</f>
        <v>3000000</v>
      </c>
      <c r="D23" s="68">
        <f t="shared" si="0"/>
        <v>0</v>
      </c>
    </row>
    <row r="24" spans="1:4" x14ac:dyDescent="0.25">
      <c r="A24" s="69" t="s">
        <v>259</v>
      </c>
      <c r="B24" s="70">
        <v>3000000</v>
      </c>
      <c r="C24" s="67">
        <f>+SUMIFS('Kế toán'!$F$2:$F$212,'Kế toán'!$J$2:$J$212,'Dữ liệu ứng lương T05.26'!A24)</f>
        <v>3000000</v>
      </c>
      <c r="D24" s="68">
        <f t="shared" si="0"/>
        <v>0</v>
      </c>
    </row>
    <row r="25" spans="1:4" x14ac:dyDescent="0.25">
      <c r="A25" s="69" t="s">
        <v>278</v>
      </c>
      <c r="B25" s="70">
        <v>6000000</v>
      </c>
      <c r="C25" s="67">
        <f>+SUMIFS('Kế toán'!$F$2:$F$212,'Kế toán'!$J$2:$J$212,'Dữ liệu ứng lương T05.26'!A25)</f>
        <v>6000000</v>
      </c>
      <c r="D25" s="68">
        <f t="shared" si="0"/>
        <v>0</v>
      </c>
    </row>
    <row r="26" spans="1:4" x14ac:dyDescent="0.25">
      <c r="A26" s="69" t="s">
        <v>117</v>
      </c>
      <c r="B26" s="70">
        <v>6000000</v>
      </c>
      <c r="C26" s="67">
        <f>+SUMIFS('Kế toán'!$F$2:$F$212,'Kế toán'!$J$2:$J$212,'Dữ liệu ứng lương T05.26'!A26)</f>
        <v>6000000</v>
      </c>
      <c r="D26" s="68">
        <f t="shared" si="0"/>
        <v>0</v>
      </c>
    </row>
    <row r="27" spans="1:4" x14ac:dyDescent="0.25">
      <c r="A27" s="69" t="s">
        <v>269</v>
      </c>
      <c r="B27" s="70">
        <v>4500000</v>
      </c>
      <c r="C27" s="67">
        <f>+SUMIFS('Kế toán'!$F$2:$F$212,'Kế toán'!$J$2:$J$212,'Dữ liệu ứng lương T05.26'!A27)</f>
        <v>4500000</v>
      </c>
      <c r="D27" s="68">
        <f t="shared" si="0"/>
        <v>0</v>
      </c>
    </row>
    <row r="28" spans="1:4" x14ac:dyDescent="0.25">
      <c r="A28" s="69" t="s">
        <v>305</v>
      </c>
      <c r="B28" s="70">
        <v>6000000</v>
      </c>
      <c r="C28" s="67">
        <f>+SUMIFS('Kế toán'!$F$2:$F$212,'Kế toán'!$J$2:$J$212,'Dữ liệu ứng lương T05.26'!A28)</f>
        <v>6000000</v>
      </c>
      <c r="D28" s="68">
        <f t="shared" si="0"/>
        <v>0</v>
      </c>
    </row>
    <row r="29" spans="1:4" x14ac:dyDescent="0.25">
      <c r="A29" s="69" t="s">
        <v>212</v>
      </c>
      <c r="B29" s="70">
        <v>6000000</v>
      </c>
      <c r="C29" s="67">
        <f>+SUMIFS('Kế toán'!$F$2:$F$212,'Kế toán'!$J$2:$J$212,'Dữ liệu ứng lương T05.26'!A29)</f>
        <v>6000000</v>
      </c>
      <c r="D29" s="68">
        <f t="shared" si="0"/>
        <v>0</v>
      </c>
    </row>
    <row r="30" spans="1:4" x14ac:dyDescent="0.25">
      <c r="A30" s="69" t="s">
        <v>238</v>
      </c>
      <c r="B30" s="70">
        <v>3000000</v>
      </c>
      <c r="C30" s="67">
        <f>+SUMIFS('Kế toán'!$F$2:$F$212,'Kế toán'!$J$2:$J$212,'Dữ liệu ứng lương T05.26'!A30)</f>
        <v>3000000</v>
      </c>
      <c r="D30" s="68">
        <f t="shared" si="0"/>
        <v>0</v>
      </c>
    </row>
    <row r="31" spans="1:4" x14ac:dyDescent="0.25">
      <c r="A31" s="69" t="s">
        <v>301</v>
      </c>
      <c r="B31" s="70">
        <v>4500000</v>
      </c>
      <c r="C31" s="67">
        <f>+SUMIFS('Kế toán'!$F$2:$F$212,'Kế toán'!$J$2:$J$212,'Dữ liệu ứng lương T05.26'!A31)</f>
        <v>4500000</v>
      </c>
      <c r="D31" s="68">
        <f t="shared" si="0"/>
        <v>0</v>
      </c>
    </row>
    <row r="32" spans="1:4" x14ac:dyDescent="0.25">
      <c r="A32" s="69" t="s">
        <v>52</v>
      </c>
      <c r="B32" s="70">
        <v>6000000</v>
      </c>
      <c r="C32" s="67">
        <f>+SUMIFS('Kế toán'!$F$2:$F$212,'Kế toán'!$J$2:$J$212,'Dữ liệu ứng lương T05.26'!A32)</f>
        <v>6000000</v>
      </c>
      <c r="D32" s="68">
        <f t="shared" si="0"/>
        <v>0</v>
      </c>
    </row>
    <row r="33" spans="1:4" x14ac:dyDescent="0.25">
      <c r="A33" s="69" t="s">
        <v>175</v>
      </c>
      <c r="B33" s="70">
        <v>4500000</v>
      </c>
      <c r="C33" s="67">
        <f>+SUMIFS('Kế toán'!$F$2:$F$212,'Kế toán'!$J$2:$J$212,'Dữ liệu ứng lương T05.26'!A33)</f>
        <v>4500000</v>
      </c>
      <c r="D33" s="68">
        <f t="shared" si="0"/>
        <v>0</v>
      </c>
    </row>
    <row r="34" spans="1:4" x14ac:dyDescent="0.25">
      <c r="A34" s="69" t="s">
        <v>326</v>
      </c>
      <c r="B34" s="70">
        <v>4500000</v>
      </c>
      <c r="C34" s="67">
        <f>+SUMIFS('Kế toán'!$F$2:$F$212,'Kế toán'!$J$2:$J$212,'Dữ liệu ứng lương T05.26'!A34)</f>
        <v>4500000</v>
      </c>
      <c r="D34" s="68">
        <f t="shared" si="0"/>
        <v>0</v>
      </c>
    </row>
    <row r="35" spans="1:4" x14ac:dyDescent="0.25">
      <c r="A35" s="69" t="s">
        <v>264</v>
      </c>
      <c r="B35" s="70">
        <v>6000000</v>
      </c>
      <c r="C35" s="67">
        <f>+SUMIFS('Kế toán'!$F$2:$F$212,'Kế toán'!$J$2:$J$212,'Dữ liệu ứng lương T05.26'!A35)</f>
        <v>6000000</v>
      </c>
      <c r="D35" s="68">
        <f t="shared" si="0"/>
        <v>0</v>
      </c>
    </row>
    <row r="36" spans="1:4" x14ac:dyDescent="0.25">
      <c r="A36" s="69" t="s">
        <v>128</v>
      </c>
      <c r="B36" s="70">
        <v>6000000</v>
      </c>
      <c r="C36" s="67">
        <f>+SUMIFS('Kế toán'!$F$2:$F$212,'Kế toán'!$J$2:$J$212,'Dữ liệu ứng lương T05.26'!A36)</f>
        <v>6000000</v>
      </c>
      <c r="D36" s="68">
        <f t="shared" si="0"/>
        <v>0</v>
      </c>
    </row>
    <row r="37" spans="1:4" x14ac:dyDescent="0.25">
      <c r="A37" s="69" t="s">
        <v>192</v>
      </c>
      <c r="B37" s="70">
        <v>4500000</v>
      </c>
      <c r="C37" s="67">
        <f>+SUMIFS('Kế toán'!$F$2:$F$212,'Kế toán'!$J$2:$J$212,'Dữ liệu ứng lương T05.26'!A37)</f>
        <v>4500000</v>
      </c>
      <c r="D37" s="68">
        <f t="shared" si="0"/>
        <v>0</v>
      </c>
    </row>
    <row r="38" spans="1:4" x14ac:dyDescent="0.25">
      <c r="A38" s="69" t="s">
        <v>153</v>
      </c>
      <c r="B38" s="70">
        <v>4500000</v>
      </c>
      <c r="C38" s="67">
        <f>+SUMIFS('Kế toán'!$F$2:$F$212,'Kế toán'!$J$2:$J$212,'Dữ liệu ứng lương T05.26'!A38)</f>
        <v>4500000</v>
      </c>
      <c r="D38" s="68">
        <f t="shared" si="0"/>
        <v>0</v>
      </c>
    </row>
    <row r="39" spans="1:4" x14ac:dyDescent="0.25">
      <c r="A39" s="69" t="s">
        <v>161</v>
      </c>
      <c r="B39" s="70">
        <v>4500000</v>
      </c>
      <c r="C39" s="67">
        <f>+SUMIFS('Kế toán'!$F$2:$F$212,'Kế toán'!$J$2:$J$212,'Dữ liệu ứng lương T05.26'!A39)</f>
        <v>4500000</v>
      </c>
      <c r="D39" s="68">
        <f t="shared" si="0"/>
        <v>0</v>
      </c>
    </row>
    <row r="40" spans="1:4" x14ac:dyDescent="0.25">
      <c r="A40" s="69" t="s">
        <v>17</v>
      </c>
      <c r="B40" s="70">
        <v>4500000</v>
      </c>
      <c r="C40" s="67">
        <f>+SUMIFS('Kế toán'!$F$2:$F$212,'Kế toán'!$J$2:$J$212,'Dữ liệu ứng lương T05.26'!A40)</f>
        <v>4500000</v>
      </c>
      <c r="D40" s="68">
        <f t="shared" si="0"/>
        <v>0</v>
      </c>
    </row>
    <row r="41" spans="1:4" x14ac:dyDescent="0.25">
      <c r="A41" s="69" t="s">
        <v>254</v>
      </c>
      <c r="B41" s="70">
        <v>6000000</v>
      </c>
      <c r="C41" s="67">
        <f>+SUMIFS('Kế toán'!$F$2:$F$212,'Kế toán'!$J$2:$J$212,'Dữ liệu ứng lương T05.26'!A41)</f>
        <v>6000000</v>
      </c>
      <c r="D41" s="68">
        <f t="shared" si="0"/>
        <v>0</v>
      </c>
    </row>
    <row r="42" spans="1:4" x14ac:dyDescent="0.25">
      <c r="A42" s="69" t="s">
        <v>310</v>
      </c>
      <c r="B42" s="70">
        <v>7500000</v>
      </c>
      <c r="C42" s="67">
        <f>+SUMIFS('Kế toán'!$F$2:$F$212,'Kế toán'!$J$2:$J$212,'Dữ liệu ứng lương T05.26'!A42)</f>
        <v>7500000</v>
      </c>
      <c r="D42" s="68">
        <f t="shared" si="0"/>
        <v>0</v>
      </c>
    </row>
    <row r="43" spans="1:4" x14ac:dyDescent="0.25">
      <c r="A43" s="69" t="s">
        <v>35</v>
      </c>
      <c r="B43" s="70">
        <v>6000000</v>
      </c>
      <c r="C43" s="67">
        <f>+SUMIFS('Kế toán'!$F$2:$F$212,'Kế toán'!$J$2:$J$212,'Dữ liệu ứng lương T05.26'!A43)</f>
        <v>6000000</v>
      </c>
      <c r="D43" s="68">
        <f t="shared" si="0"/>
        <v>0</v>
      </c>
    </row>
    <row r="44" spans="1:4" x14ac:dyDescent="0.25">
      <c r="A44" s="69" t="s">
        <v>222</v>
      </c>
      <c r="B44" s="70">
        <v>4500000</v>
      </c>
      <c r="C44" s="67">
        <f>+SUMIFS('Kế toán'!$F$2:$F$212,'Kế toán'!$J$2:$J$212,'Dữ liệu ứng lương T05.26'!A44)</f>
        <v>4500000</v>
      </c>
      <c r="D44" s="68">
        <f t="shared" si="0"/>
        <v>0</v>
      </c>
    </row>
    <row r="45" spans="1:4" x14ac:dyDescent="0.25">
      <c r="A45" s="69" t="s">
        <v>107</v>
      </c>
      <c r="B45" s="70">
        <v>1500000</v>
      </c>
      <c r="C45" s="67">
        <f>+SUMIFS('Kế toán'!$F$2:$F$212,'Kế toán'!$J$2:$J$212,'Dữ liệu ứng lương T05.26'!A45)</f>
        <v>1500000</v>
      </c>
      <c r="D45" s="68">
        <f t="shared" si="0"/>
        <v>0</v>
      </c>
    </row>
    <row r="46" spans="1:4" x14ac:dyDescent="0.25">
      <c r="A46" s="69" t="s">
        <v>294</v>
      </c>
      <c r="B46" s="70">
        <v>3000000</v>
      </c>
      <c r="C46" s="67">
        <f>+SUMIFS('Kế toán'!$F$2:$F$212,'Kế toán'!$J$2:$J$212,'Dữ liệu ứng lương T05.26'!A46)</f>
        <v>3000000</v>
      </c>
      <c r="D46" s="68">
        <f t="shared" si="0"/>
        <v>0</v>
      </c>
    </row>
    <row r="47" spans="1:4" x14ac:dyDescent="0.25">
      <c r="A47" s="69" t="s">
        <v>382</v>
      </c>
      <c r="B47" s="70">
        <v>3000000</v>
      </c>
      <c r="C47" s="67">
        <f>+SUMIFS('Kế toán'!$F$2:$F$212,'Kế toán'!$J$2:$J$212,'Dữ liệu ứng lương T05.26'!A47)</f>
        <v>3000000</v>
      </c>
      <c r="D47" s="68">
        <f t="shared" si="0"/>
        <v>0</v>
      </c>
    </row>
    <row r="48" spans="1:4" x14ac:dyDescent="0.25">
      <c r="A48" s="69" t="s">
        <v>73</v>
      </c>
      <c r="B48" s="70">
        <v>6000000</v>
      </c>
      <c r="C48" s="67">
        <f>+SUMIFS('Kế toán'!$F$2:$F$212,'Kế toán'!$J$2:$J$212,'Dữ liệu ứng lương T05.26'!A48)</f>
        <v>6000000</v>
      </c>
      <c r="D48" s="68">
        <f t="shared" si="0"/>
        <v>0</v>
      </c>
    </row>
    <row r="49" spans="1:4" x14ac:dyDescent="0.25">
      <c r="A49" s="69" t="s">
        <v>150</v>
      </c>
      <c r="B49" s="70">
        <v>3000000</v>
      </c>
      <c r="C49" s="67">
        <f>+SUMIFS('Kế toán'!$F$2:$F$212,'Kế toán'!$J$2:$J$212,'Dữ liệu ứng lương T05.26'!A49)</f>
        <v>3000000</v>
      </c>
      <c r="D49" s="68">
        <f t="shared" si="0"/>
        <v>0</v>
      </c>
    </row>
    <row r="50" spans="1:4" x14ac:dyDescent="0.25">
      <c r="A50" s="69" t="s">
        <v>283</v>
      </c>
      <c r="B50" s="70">
        <v>4500000</v>
      </c>
      <c r="C50" s="67">
        <f>+SUMIFS('Kế toán'!$F$2:$F$212,'Kế toán'!$J$2:$J$212,'Dữ liệu ứng lương T05.26'!A50)</f>
        <v>4500000</v>
      </c>
      <c r="D50" s="68">
        <f t="shared" si="0"/>
        <v>0</v>
      </c>
    </row>
    <row r="51" spans="1:4" x14ac:dyDescent="0.25">
      <c r="A51" s="69" t="s">
        <v>23</v>
      </c>
      <c r="B51" s="70">
        <v>1500000</v>
      </c>
      <c r="C51" s="67">
        <f>+SUMIFS('Kế toán'!$F$2:$F$212,'Kế toán'!$J$2:$J$212,'Dữ liệu ứng lương T05.26'!A51)</f>
        <v>1500000</v>
      </c>
      <c r="D51" s="68">
        <f t="shared" si="0"/>
        <v>0</v>
      </c>
    </row>
    <row r="52" spans="1:4" x14ac:dyDescent="0.25">
      <c r="A52" s="69" t="s">
        <v>87</v>
      </c>
      <c r="B52" s="70">
        <v>4500000</v>
      </c>
      <c r="C52" s="67">
        <f>+SUMIFS('Kế toán'!$F$2:$F$212,'Kế toán'!$J$2:$J$212,'Dữ liệu ứng lương T05.26'!A52)</f>
        <v>4500000</v>
      </c>
      <c r="D52" s="68">
        <f t="shared" si="0"/>
        <v>0</v>
      </c>
    </row>
    <row r="53" spans="1:4" x14ac:dyDescent="0.25">
      <c r="A53" s="69" t="s">
        <v>44</v>
      </c>
      <c r="B53" s="70">
        <v>4500000</v>
      </c>
      <c r="C53" s="67">
        <f>+SUMIFS('Kế toán'!$F$2:$F$212,'Kế toán'!$J$2:$J$212,'Dữ liệu ứng lương T05.26'!A53)</f>
        <v>4500000</v>
      </c>
      <c r="D53" s="68">
        <f t="shared" si="0"/>
        <v>0</v>
      </c>
    </row>
    <row r="54" spans="1:4" x14ac:dyDescent="0.25">
      <c r="A54" s="69" t="s">
        <v>287</v>
      </c>
      <c r="B54" s="70">
        <v>6000000</v>
      </c>
      <c r="C54" s="67">
        <f>+SUMIFS('Kế toán'!$F$2:$F$212,'Kế toán'!$J$2:$J$212,'Dữ liệu ứng lương T05.26'!A54)</f>
        <v>6000000</v>
      </c>
      <c r="D54" s="68">
        <f t="shared" si="0"/>
        <v>0</v>
      </c>
    </row>
    <row r="55" spans="1:4" x14ac:dyDescent="0.25">
      <c r="A55" s="69" t="s">
        <v>273</v>
      </c>
      <c r="B55" s="70">
        <v>3000000</v>
      </c>
      <c r="C55" s="67">
        <f>+SUMIFS('Kế toán'!$F$2:$F$212,'Kế toán'!$J$2:$J$212,'Dữ liệu ứng lương T05.26'!A55)</f>
        <v>3000000</v>
      </c>
      <c r="D55" s="68">
        <f t="shared" si="0"/>
        <v>0</v>
      </c>
    </row>
    <row r="56" spans="1:4" x14ac:dyDescent="0.25">
      <c r="A56" s="69" t="s">
        <v>123</v>
      </c>
      <c r="B56" s="70">
        <v>4500000</v>
      </c>
      <c r="C56" s="67">
        <f>+SUMIFS('Kế toán'!$F$2:$F$212,'Kế toán'!$J$2:$J$212,'Dữ liệu ứng lương T05.26'!A56)</f>
        <v>4500000</v>
      </c>
      <c r="D56" s="68">
        <f t="shared" si="0"/>
        <v>0</v>
      </c>
    </row>
    <row r="57" spans="1:4" x14ac:dyDescent="0.25">
      <c r="A57" s="69" t="s">
        <v>196</v>
      </c>
      <c r="B57" s="70">
        <v>6000000</v>
      </c>
      <c r="C57" s="67">
        <f>+SUMIFS('Kế toán'!$F$2:$F$212,'Kế toán'!$J$2:$J$212,'Dữ liệu ứng lương T05.26'!A57)</f>
        <v>6000000</v>
      </c>
      <c r="D57" s="68">
        <f t="shared" si="0"/>
        <v>0</v>
      </c>
    </row>
    <row r="58" spans="1:4" x14ac:dyDescent="0.25">
      <c r="A58" s="69" t="s">
        <v>113</v>
      </c>
      <c r="B58" s="70">
        <v>4500000</v>
      </c>
      <c r="C58" s="67">
        <f>+SUMIFS('Kế toán'!$F$2:$F$212,'Kế toán'!$J$2:$J$212,'Dữ liệu ứng lương T05.26'!A58)</f>
        <v>4500000</v>
      </c>
      <c r="D58" s="68">
        <f t="shared" si="0"/>
        <v>0</v>
      </c>
    </row>
    <row r="59" spans="1:4" x14ac:dyDescent="0.25">
      <c r="A59" s="69" t="s">
        <v>316</v>
      </c>
      <c r="B59" s="70">
        <v>4500000</v>
      </c>
      <c r="C59" s="67">
        <f>+SUMIFS('Kế toán'!$F$2:$F$212,'Kế toán'!$J$2:$J$212,'Dữ liệu ứng lương T05.26'!A59)</f>
        <v>4500000</v>
      </c>
      <c r="D59" s="68">
        <f t="shared" si="0"/>
        <v>0</v>
      </c>
    </row>
    <row r="60" spans="1:4" x14ac:dyDescent="0.25">
      <c r="A60" s="69" t="s">
        <v>170</v>
      </c>
      <c r="B60" s="70">
        <v>4500000</v>
      </c>
      <c r="C60" s="67">
        <f>+SUMIFS('Kế toán'!$F$2:$F$212,'Kế toán'!$J$2:$J$212,'Dữ liệu ứng lương T05.26'!A60)</f>
        <v>4500000</v>
      </c>
      <c r="D60" s="68">
        <f t="shared" si="0"/>
        <v>0</v>
      </c>
    </row>
    <row r="61" spans="1:4" x14ac:dyDescent="0.25">
      <c r="A61" s="69" t="s">
        <v>145</v>
      </c>
      <c r="B61" s="70">
        <v>4500000</v>
      </c>
      <c r="C61" s="67">
        <f>+SUMIFS('Kế toán'!$F$2:$F$212,'Kế toán'!$J$2:$J$212,'Dữ liệu ứng lương T05.26'!A61)</f>
        <v>4500000</v>
      </c>
      <c r="D61" s="68">
        <f t="shared" si="0"/>
        <v>0</v>
      </c>
    </row>
    <row r="62" spans="1:4" x14ac:dyDescent="0.25">
      <c r="A62" s="69" t="s">
        <v>140</v>
      </c>
      <c r="B62" s="70">
        <v>6000000</v>
      </c>
      <c r="C62" s="67">
        <f>+SUMIFS('Kế toán'!$F$2:$F$212,'Kế toán'!$J$2:$J$212,'Dữ liệu ứng lương T05.26'!A62)</f>
        <v>6000000</v>
      </c>
      <c r="D62" s="68">
        <f t="shared" si="0"/>
        <v>0</v>
      </c>
    </row>
    <row r="63" spans="1:4" x14ac:dyDescent="0.25">
      <c r="A63" s="69" t="s">
        <v>179</v>
      </c>
      <c r="B63" s="70">
        <v>6000000</v>
      </c>
      <c r="C63" s="67">
        <f>+SUMIFS('Kế toán'!$F$2:$F$212,'Kế toán'!$J$2:$J$212,'Dữ liệu ứng lương T05.26'!A63)</f>
        <v>6000000</v>
      </c>
      <c r="D63" s="68">
        <f t="shared" si="0"/>
        <v>0</v>
      </c>
    </row>
    <row r="64" spans="1:4" x14ac:dyDescent="0.25">
      <c r="A64" s="69" t="s">
        <v>11</v>
      </c>
      <c r="B64" s="70">
        <v>1500000</v>
      </c>
      <c r="C64" s="67">
        <f>+SUMIFS('Kế toán'!$F$2:$F$212,'Kế toán'!$J$2:$J$212,'Dữ liệu ứng lương T05.26'!A64)</f>
        <v>1500000</v>
      </c>
      <c r="D64" s="68">
        <f t="shared" si="0"/>
        <v>0</v>
      </c>
    </row>
    <row r="65" spans="1:4" x14ac:dyDescent="0.25">
      <c r="A65" s="69" t="s">
        <v>209</v>
      </c>
      <c r="B65" s="70">
        <v>3000000</v>
      </c>
      <c r="C65" s="67">
        <f>+SUMIFS('Kế toán'!$F$2:$F$212,'Kế toán'!$J$2:$J$212,'Dữ liệu ứng lương T05.26'!A65)</f>
        <v>3000000</v>
      </c>
      <c r="D65" s="68">
        <f t="shared" si="0"/>
        <v>0</v>
      </c>
    </row>
    <row r="66" spans="1:4" x14ac:dyDescent="0.25">
      <c r="A66" s="69" t="s">
        <v>226</v>
      </c>
      <c r="B66" s="70">
        <v>6000000</v>
      </c>
      <c r="C66" s="67">
        <f>+SUMIFS('Kế toán'!$F$2:$F$212,'Kế toán'!$J$2:$J$212,'Dữ liệu ứng lương T05.26'!A66)</f>
        <v>6000000</v>
      </c>
      <c r="D66" s="68">
        <f t="shared" si="0"/>
        <v>0</v>
      </c>
    </row>
    <row r="67" spans="1:4" x14ac:dyDescent="0.25">
      <c r="A67" s="69" t="s">
        <v>234</v>
      </c>
      <c r="B67" s="70">
        <v>4500000</v>
      </c>
      <c r="C67" s="67">
        <f>+SUMIFS('Kế toán'!$F$2:$F$212,'Kế toán'!$J$2:$J$212,'Dữ liệu ứng lương T05.26'!A67)</f>
        <v>4500000</v>
      </c>
      <c r="D67" s="68">
        <f t="shared" ref="D67:D85" si="1">+B67-C67</f>
        <v>0</v>
      </c>
    </row>
    <row r="68" spans="1:4" x14ac:dyDescent="0.25">
      <c r="A68" s="69" t="s">
        <v>28</v>
      </c>
      <c r="B68" s="70">
        <v>4500000</v>
      </c>
      <c r="C68" s="67">
        <f>+SUMIFS('Kế toán'!$F$2:$F$212,'Kế toán'!$J$2:$J$212,'Dữ liệu ứng lương T05.26'!A68)</f>
        <v>4500000</v>
      </c>
      <c r="D68" s="68">
        <f t="shared" si="1"/>
        <v>0</v>
      </c>
    </row>
    <row r="69" spans="1:4" x14ac:dyDescent="0.25">
      <c r="A69" s="69" t="s">
        <v>26</v>
      </c>
      <c r="B69" s="70">
        <v>1500000</v>
      </c>
      <c r="C69" s="67">
        <f>+SUMIFS('Kế toán'!$F$2:$F$212,'Kế toán'!$J$2:$J$212,'Dữ liệu ứng lương T05.26'!A69)</f>
        <v>1500000</v>
      </c>
      <c r="D69" s="68">
        <f t="shared" si="1"/>
        <v>0</v>
      </c>
    </row>
    <row r="70" spans="1:4" x14ac:dyDescent="0.25">
      <c r="A70" s="69" t="s">
        <v>187</v>
      </c>
      <c r="B70" s="70">
        <v>6000000</v>
      </c>
      <c r="C70" s="67">
        <f>+SUMIFS('Kế toán'!$F$2:$F$212,'Kế toán'!$J$2:$J$212,'Dữ liệu ứng lương T05.26'!A70)</f>
        <v>6000000</v>
      </c>
      <c r="D70" s="68">
        <f t="shared" si="1"/>
        <v>0</v>
      </c>
    </row>
    <row r="71" spans="1:4" x14ac:dyDescent="0.25">
      <c r="A71" s="69" t="s">
        <v>165</v>
      </c>
      <c r="B71" s="70">
        <v>6000000</v>
      </c>
      <c r="C71" s="67">
        <f>+SUMIFS('Kế toán'!$F$2:$F$212,'Kế toán'!$J$2:$J$212,'Dữ liệu ứng lương T05.26'!A71)</f>
        <v>6000000</v>
      </c>
      <c r="D71" s="68">
        <f t="shared" si="1"/>
        <v>0</v>
      </c>
    </row>
    <row r="72" spans="1:4" x14ac:dyDescent="0.25">
      <c r="A72" s="69" t="s">
        <v>320</v>
      </c>
      <c r="B72" s="70">
        <v>3000000</v>
      </c>
      <c r="C72" s="67">
        <f>+SUMIFS('Kế toán'!$F$2:$F$212,'Kế toán'!$J$2:$J$212,'Dữ liệu ứng lương T05.26'!A72)</f>
        <v>3000000</v>
      </c>
      <c r="D72" s="68">
        <f t="shared" si="1"/>
        <v>0</v>
      </c>
    </row>
    <row r="73" spans="1:4" x14ac:dyDescent="0.25">
      <c r="A73" s="69" t="s">
        <v>133</v>
      </c>
      <c r="B73" s="70">
        <v>4500000</v>
      </c>
      <c r="C73" s="67">
        <f>+SUMIFS('Kế toán'!$F$2:$F$212,'Kế toán'!$J$2:$J$212,'Dữ liệu ứng lương T05.26'!A73)</f>
        <v>4500000</v>
      </c>
      <c r="D73" s="68">
        <f t="shared" si="1"/>
        <v>0</v>
      </c>
    </row>
    <row r="74" spans="1:4" x14ac:dyDescent="0.25">
      <c r="A74" s="69" t="s">
        <v>204</v>
      </c>
      <c r="B74" s="70">
        <v>6000000</v>
      </c>
      <c r="C74" s="67">
        <f>+SUMIFS('Kế toán'!$F$2:$F$212,'Kế toán'!$J$2:$J$212,'Dữ liệu ứng lương T05.26'!A74)</f>
        <v>6000000</v>
      </c>
      <c r="D74" s="68">
        <f t="shared" si="1"/>
        <v>0</v>
      </c>
    </row>
    <row r="75" spans="1:4" x14ac:dyDescent="0.25">
      <c r="A75" s="69" t="s">
        <v>157</v>
      </c>
      <c r="B75" s="70">
        <v>4500000</v>
      </c>
      <c r="C75" s="67">
        <f>+SUMIFS('Kế toán'!$F$2:$F$212,'Kế toán'!$J$2:$J$212,'Dữ liệu ứng lương T05.26'!A75)</f>
        <v>4500000</v>
      </c>
      <c r="D75" s="68">
        <f t="shared" si="1"/>
        <v>0</v>
      </c>
    </row>
    <row r="76" spans="1:4" x14ac:dyDescent="0.25">
      <c r="A76" s="69" t="s">
        <v>14</v>
      </c>
      <c r="B76" s="70">
        <v>1500000</v>
      </c>
      <c r="C76" s="67">
        <f>+SUMIFS('Kế toán'!$F$2:$F$212,'Kế toán'!$J$2:$J$212,'Dữ liệu ứng lương T05.26'!A76)</f>
        <v>1500000</v>
      </c>
      <c r="D76" s="68">
        <f t="shared" si="1"/>
        <v>0</v>
      </c>
    </row>
    <row r="77" spans="1:4" x14ac:dyDescent="0.25">
      <c r="A77" s="69" t="s">
        <v>91</v>
      </c>
      <c r="B77" s="70">
        <v>6000000</v>
      </c>
      <c r="C77" s="67">
        <f>+SUMIFS('Kế toán'!$F$2:$F$212,'Kế toán'!$J$2:$J$212,'Dữ liệu ứng lương T05.26'!A77)</f>
        <v>6000000</v>
      </c>
      <c r="D77" s="68">
        <f t="shared" si="1"/>
        <v>0</v>
      </c>
    </row>
    <row r="78" spans="1:4" x14ac:dyDescent="0.25">
      <c r="A78" s="69" t="s">
        <v>64</v>
      </c>
      <c r="B78" s="70">
        <v>3000000</v>
      </c>
      <c r="C78" s="67">
        <f>+SUMIFS('Kế toán'!$F$2:$F$212,'Kế toán'!$J$2:$J$212,'Dữ liệu ứng lương T05.26'!A78)</f>
        <v>3000000</v>
      </c>
      <c r="D78" s="68">
        <f t="shared" si="1"/>
        <v>0</v>
      </c>
    </row>
    <row r="79" spans="1:4" x14ac:dyDescent="0.25">
      <c r="A79" s="69" t="s">
        <v>100</v>
      </c>
      <c r="B79" s="70">
        <v>6000000</v>
      </c>
      <c r="C79" s="67">
        <f>+SUMIFS('Kế toán'!$F$2:$F$212,'Kế toán'!$J$2:$J$212,'Dữ liệu ứng lương T05.26'!A79)</f>
        <v>6000000</v>
      </c>
      <c r="D79" s="68">
        <f t="shared" si="1"/>
        <v>0</v>
      </c>
    </row>
    <row r="80" spans="1:4" x14ac:dyDescent="0.25">
      <c r="A80" s="69" t="s">
        <v>217</v>
      </c>
      <c r="B80" s="70">
        <v>6000000</v>
      </c>
      <c r="C80" s="67">
        <f>+SUMIFS('Kế toán'!$F$2:$F$212,'Kế toán'!$J$2:$J$212,'Dữ liệu ứng lương T05.26'!A80)</f>
        <v>6000000</v>
      </c>
      <c r="D80" s="68">
        <f t="shared" si="1"/>
        <v>0</v>
      </c>
    </row>
    <row r="81" spans="1:4" x14ac:dyDescent="0.25">
      <c r="A81" s="69" t="s">
        <v>244</v>
      </c>
      <c r="B81" s="70">
        <v>4500000</v>
      </c>
      <c r="C81" s="67">
        <f>+SUMIFS('Kế toán'!$F$2:$F$212,'Kế toán'!$J$2:$J$212,'Dữ liệu ứng lương T05.26'!A81)</f>
        <v>4500000</v>
      </c>
      <c r="D81" s="68">
        <f t="shared" si="1"/>
        <v>0</v>
      </c>
    </row>
    <row r="82" spans="1:4" x14ac:dyDescent="0.25">
      <c r="A82" s="69" t="s">
        <v>184</v>
      </c>
      <c r="B82" s="70">
        <v>3000000</v>
      </c>
      <c r="C82" s="67">
        <f>+SUMIFS('Kế toán'!$F$2:$F$212,'Kế toán'!$J$2:$J$212,'Dữ liệu ứng lương T05.26'!A82)</f>
        <v>3000000</v>
      </c>
      <c r="D82" s="68">
        <f t="shared" si="1"/>
        <v>0</v>
      </c>
    </row>
    <row r="83" spans="1:4" x14ac:dyDescent="0.25">
      <c r="A83" s="69" t="s">
        <v>292</v>
      </c>
      <c r="B83" s="70">
        <v>1500000</v>
      </c>
      <c r="C83" s="67">
        <f>+SUMIFS('Kế toán'!$F$2:$F$212,'Kế toán'!$J$2:$J$212,'Dữ liệu ứng lương T05.26'!A83)</f>
        <v>1500000</v>
      </c>
      <c r="D83" s="68">
        <f t="shared" si="1"/>
        <v>0</v>
      </c>
    </row>
    <row r="84" spans="1:4" x14ac:dyDescent="0.25">
      <c r="A84" s="69" t="s">
        <v>240</v>
      </c>
      <c r="B84" s="70">
        <v>3000000</v>
      </c>
      <c r="C84" s="67">
        <f>+SUMIFS('Kế toán'!$F$2:$F$212,'Kế toán'!$J$2:$J$212,'Dữ liệu ứng lương T05.26'!A84)</f>
        <v>3000000</v>
      </c>
      <c r="D84" s="68">
        <f t="shared" si="1"/>
        <v>0</v>
      </c>
    </row>
    <row r="85" spans="1:4" x14ac:dyDescent="0.25">
      <c r="A85" s="69" t="s">
        <v>267</v>
      </c>
      <c r="B85" s="70">
        <v>3000000</v>
      </c>
      <c r="C85" s="67">
        <f>+SUMIFS('Kế toán'!$F$2:$F$212,'Kế toán'!$J$2:$J$212,'Dữ liệu ứng lương T05.26'!A85)</f>
        <v>3000000</v>
      </c>
      <c r="D85" s="68">
        <f t="shared" si="1"/>
        <v>0</v>
      </c>
    </row>
    <row r="86" spans="1:4" ht="25.5" customHeight="1" x14ac:dyDescent="0.25">
      <c r="A86" s="71" t="s">
        <v>636</v>
      </c>
      <c r="B86" s="72">
        <f>SUM(B2:B85)</f>
        <v>375000000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2"/>
  <sheetViews>
    <sheetView tabSelected="1" workbookViewId="0">
      <selection activeCell="D1" sqref="D1"/>
    </sheetView>
  </sheetViews>
  <sheetFormatPr defaultRowHeight="15" x14ac:dyDescent="0.25"/>
  <cols>
    <col min="1" max="3" width="17.42578125" customWidth="1"/>
    <col min="4" max="4" width="90.85546875" customWidth="1"/>
    <col min="5" max="10" width="17.42578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5</v>
      </c>
      <c r="I1" s="2" t="s">
        <v>6</v>
      </c>
      <c r="J1" s="1" t="s">
        <v>7</v>
      </c>
    </row>
    <row r="2" spans="1:10" ht="41.25" customHeight="1" x14ac:dyDescent="0.25">
      <c r="A2" s="3">
        <v>46150</v>
      </c>
      <c r="B2" s="3">
        <v>46150</v>
      </c>
      <c r="C2" s="4" t="s">
        <v>8</v>
      </c>
      <c r="D2" s="4" t="s">
        <v>9</v>
      </c>
      <c r="E2" s="4" t="s">
        <v>10</v>
      </c>
      <c r="F2" s="5">
        <v>1500000</v>
      </c>
      <c r="G2" s="5">
        <v>0</v>
      </c>
      <c r="H2" s="5">
        <v>0</v>
      </c>
      <c r="I2" s="5">
        <v>22728167</v>
      </c>
      <c r="J2" s="4" t="s">
        <v>11</v>
      </c>
    </row>
    <row r="3" spans="1:10" ht="41.25" customHeight="1" x14ac:dyDescent="0.25">
      <c r="A3" s="3">
        <v>46153</v>
      </c>
      <c r="B3" s="3">
        <v>46153</v>
      </c>
      <c r="C3" s="4" t="s">
        <v>12</v>
      </c>
      <c r="D3" s="4" t="s">
        <v>13</v>
      </c>
      <c r="E3" s="4" t="s">
        <v>10</v>
      </c>
      <c r="F3" s="5">
        <v>1500000</v>
      </c>
      <c r="G3" s="5">
        <v>0</v>
      </c>
      <c r="H3" s="5">
        <v>0</v>
      </c>
      <c r="I3" s="5">
        <v>7808670</v>
      </c>
      <c r="J3" s="4" t="s">
        <v>14</v>
      </c>
    </row>
    <row r="4" spans="1:10" ht="41.25" customHeight="1" x14ac:dyDescent="0.25">
      <c r="A4" s="3">
        <v>46144</v>
      </c>
      <c r="B4" s="3">
        <v>46144</v>
      </c>
      <c r="C4" s="4" t="s">
        <v>15</v>
      </c>
      <c r="D4" s="4" t="s">
        <v>16</v>
      </c>
      <c r="E4" s="4" t="s">
        <v>10</v>
      </c>
      <c r="F4" s="5">
        <v>1500000</v>
      </c>
      <c r="G4" s="5">
        <v>0</v>
      </c>
      <c r="H4" s="5">
        <v>0</v>
      </c>
      <c r="I4" s="5">
        <v>29356164</v>
      </c>
      <c r="J4" s="4" t="s">
        <v>17</v>
      </c>
    </row>
    <row r="5" spans="1:10" ht="41.25" customHeight="1" x14ac:dyDescent="0.25">
      <c r="A5" s="3">
        <v>46154</v>
      </c>
      <c r="B5" s="3">
        <v>46154</v>
      </c>
      <c r="C5" s="4" t="s">
        <v>18</v>
      </c>
      <c r="D5" s="4" t="s">
        <v>19</v>
      </c>
      <c r="E5" s="4" t="s">
        <v>10</v>
      </c>
      <c r="F5" s="5">
        <v>1500000</v>
      </c>
      <c r="G5" s="5">
        <v>0</v>
      </c>
      <c r="H5" s="5">
        <v>0</v>
      </c>
      <c r="I5" s="5">
        <v>27856164</v>
      </c>
      <c r="J5" s="4" t="s">
        <v>17</v>
      </c>
    </row>
    <row r="6" spans="1:10" ht="41.25" customHeight="1" x14ac:dyDescent="0.25">
      <c r="A6" s="3">
        <v>46160</v>
      </c>
      <c r="B6" s="3">
        <v>46160</v>
      </c>
      <c r="C6" s="4" t="s">
        <v>20</v>
      </c>
      <c r="D6" s="4" t="s">
        <v>21</v>
      </c>
      <c r="E6" s="4" t="s">
        <v>10</v>
      </c>
      <c r="F6" s="5">
        <v>1500000</v>
      </c>
      <c r="G6" s="5">
        <v>0</v>
      </c>
      <c r="H6" s="5">
        <v>0</v>
      </c>
      <c r="I6" s="5">
        <v>12423435</v>
      </c>
      <c r="J6" s="4" t="s">
        <v>17</v>
      </c>
    </row>
    <row r="7" spans="1:10" ht="41.25" customHeight="1" x14ac:dyDescent="0.25">
      <c r="A7" s="3">
        <v>46153</v>
      </c>
      <c r="B7" s="3">
        <v>46153</v>
      </c>
      <c r="C7" s="4" t="s">
        <v>12</v>
      </c>
      <c r="D7" s="4" t="s">
        <v>22</v>
      </c>
      <c r="E7" s="4" t="s">
        <v>10</v>
      </c>
      <c r="F7" s="5">
        <v>1500000</v>
      </c>
      <c r="G7" s="5">
        <v>0</v>
      </c>
      <c r="H7" s="5">
        <v>0</v>
      </c>
      <c r="I7" s="5">
        <v>22132869</v>
      </c>
      <c r="J7" s="4" t="s">
        <v>23</v>
      </c>
    </row>
    <row r="8" spans="1:10" ht="41.25" customHeight="1" x14ac:dyDescent="0.25">
      <c r="A8" s="3">
        <v>46151</v>
      </c>
      <c r="B8" s="3">
        <v>46151</v>
      </c>
      <c r="C8" s="4" t="s">
        <v>24</v>
      </c>
      <c r="D8" s="4" t="s">
        <v>25</v>
      </c>
      <c r="E8" s="4" t="s">
        <v>10</v>
      </c>
      <c r="F8" s="5">
        <v>1500000</v>
      </c>
      <c r="G8" s="5">
        <v>0</v>
      </c>
      <c r="H8" s="5">
        <v>0</v>
      </c>
      <c r="I8" s="5">
        <v>16680557</v>
      </c>
      <c r="J8" s="4" t="s">
        <v>26</v>
      </c>
    </row>
    <row r="9" spans="1:10" ht="41.25" customHeight="1" x14ac:dyDescent="0.25">
      <c r="A9" s="3">
        <v>46151</v>
      </c>
      <c r="B9" s="3">
        <v>46151</v>
      </c>
      <c r="C9" s="4" t="s">
        <v>24</v>
      </c>
      <c r="D9" s="4" t="s">
        <v>27</v>
      </c>
      <c r="E9" s="4" t="s">
        <v>10</v>
      </c>
      <c r="F9" s="5">
        <v>1500000</v>
      </c>
      <c r="G9" s="5">
        <v>0</v>
      </c>
      <c r="H9" s="5">
        <v>0</v>
      </c>
      <c r="I9" s="5">
        <v>18280900</v>
      </c>
      <c r="J9" s="4" t="s">
        <v>28</v>
      </c>
    </row>
    <row r="10" spans="1:10" ht="41.25" customHeight="1" x14ac:dyDescent="0.25">
      <c r="A10" s="3">
        <v>46157</v>
      </c>
      <c r="B10" s="3">
        <v>46157</v>
      </c>
      <c r="C10" s="4" t="s">
        <v>29</v>
      </c>
      <c r="D10" s="4" t="s">
        <v>30</v>
      </c>
      <c r="E10" s="4" t="s">
        <v>10</v>
      </c>
      <c r="F10" s="5">
        <v>1500000</v>
      </c>
      <c r="G10" s="5">
        <v>0</v>
      </c>
      <c r="H10" s="5">
        <v>0</v>
      </c>
      <c r="I10" s="5">
        <v>10174119</v>
      </c>
      <c r="J10" s="4" t="s">
        <v>28</v>
      </c>
    </row>
    <row r="11" spans="1:10" ht="41.25" customHeight="1" x14ac:dyDescent="0.25">
      <c r="A11" s="3">
        <v>46167</v>
      </c>
      <c r="B11" s="3">
        <v>46167</v>
      </c>
      <c r="C11" s="4" t="s">
        <v>31</v>
      </c>
      <c r="D11" s="4" t="s">
        <v>32</v>
      </c>
      <c r="E11" s="4" t="s">
        <v>10</v>
      </c>
      <c r="F11" s="5">
        <v>1500000</v>
      </c>
      <c r="G11" s="5">
        <v>0</v>
      </c>
      <c r="H11" s="5">
        <v>0</v>
      </c>
      <c r="I11" s="5">
        <v>8674119</v>
      </c>
      <c r="J11" s="4" t="s">
        <v>28</v>
      </c>
    </row>
    <row r="12" spans="1:10" ht="41.25" customHeight="1" x14ac:dyDescent="0.25">
      <c r="A12" s="3">
        <v>46149</v>
      </c>
      <c r="B12" s="3">
        <v>46149</v>
      </c>
      <c r="C12" s="4" t="s">
        <v>33</v>
      </c>
      <c r="D12" s="4" t="s">
        <v>34</v>
      </c>
      <c r="E12" s="4" t="s">
        <v>10</v>
      </c>
      <c r="F12" s="5">
        <v>1500000</v>
      </c>
      <c r="G12" s="5">
        <v>0</v>
      </c>
      <c r="H12" s="5">
        <v>0</v>
      </c>
      <c r="I12" s="5">
        <v>28386738</v>
      </c>
      <c r="J12" s="4" t="s">
        <v>35</v>
      </c>
    </row>
    <row r="13" spans="1:10" ht="41.25" customHeight="1" x14ac:dyDescent="0.25">
      <c r="A13" s="3">
        <v>46155</v>
      </c>
      <c r="B13" s="3">
        <v>46155</v>
      </c>
      <c r="C13" s="4" t="s">
        <v>36</v>
      </c>
      <c r="D13" s="4" t="s">
        <v>37</v>
      </c>
      <c r="E13" s="4" t="s">
        <v>10</v>
      </c>
      <c r="F13" s="5">
        <v>1500000</v>
      </c>
      <c r="G13" s="5">
        <v>0</v>
      </c>
      <c r="H13" s="5">
        <v>0</v>
      </c>
      <c r="I13" s="5">
        <v>26886738</v>
      </c>
      <c r="J13" s="4" t="s">
        <v>35</v>
      </c>
    </row>
    <row r="14" spans="1:10" ht="41.25" customHeight="1" x14ac:dyDescent="0.25">
      <c r="A14" s="3">
        <v>46159</v>
      </c>
      <c r="B14" s="3">
        <v>46159</v>
      </c>
      <c r="C14" s="4" t="s">
        <v>38</v>
      </c>
      <c r="D14" s="4" t="s">
        <v>39</v>
      </c>
      <c r="E14" s="4" t="s">
        <v>10</v>
      </c>
      <c r="F14" s="5">
        <v>1500000</v>
      </c>
      <c r="G14" s="5">
        <v>0</v>
      </c>
      <c r="H14" s="5">
        <v>0</v>
      </c>
      <c r="I14" s="5">
        <v>12863184</v>
      </c>
      <c r="J14" s="4" t="s">
        <v>35</v>
      </c>
    </row>
    <row r="15" spans="1:10" ht="41.25" customHeight="1" x14ac:dyDescent="0.25">
      <c r="A15" s="3">
        <v>46172</v>
      </c>
      <c r="B15" s="3">
        <v>46172</v>
      </c>
      <c r="C15" s="4" t="s">
        <v>40</v>
      </c>
      <c r="D15" s="4" t="s">
        <v>41</v>
      </c>
      <c r="E15" s="4" t="s">
        <v>10</v>
      </c>
      <c r="F15" s="5">
        <v>1500000</v>
      </c>
      <c r="G15" s="5">
        <v>0</v>
      </c>
      <c r="H15" s="5">
        <v>0</v>
      </c>
      <c r="I15" s="5">
        <v>6363184</v>
      </c>
      <c r="J15" s="4" t="s">
        <v>35</v>
      </c>
    </row>
    <row r="16" spans="1:10" ht="41.25" customHeight="1" x14ac:dyDescent="0.25">
      <c r="A16" s="3">
        <v>46147</v>
      </c>
      <c r="B16" s="3">
        <v>46147</v>
      </c>
      <c r="C16" s="4" t="s">
        <v>42</v>
      </c>
      <c r="D16" s="4" t="s">
        <v>43</v>
      </c>
      <c r="E16" s="4" t="s">
        <v>10</v>
      </c>
      <c r="F16" s="5">
        <v>1500000</v>
      </c>
      <c r="G16" s="5">
        <v>0</v>
      </c>
      <c r="H16" s="5">
        <v>0</v>
      </c>
      <c r="I16" s="5">
        <v>24383044</v>
      </c>
      <c r="J16" s="4" t="s">
        <v>44</v>
      </c>
    </row>
    <row r="17" spans="1:10" ht="41.25" customHeight="1" x14ac:dyDescent="0.25">
      <c r="A17" s="3">
        <v>46157</v>
      </c>
      <c r="B17" s="3">
        <v>46157</v>
      </c>
      <c r="C17" s="4" t="s">
        <v>29</v>
      </c>
      <c r="D17" s="4" t="s">
        <v>45</v>
      </c>
      <c r="E17" s="4" t="s">
        <v>10</v>
      </c>
      <c r="F17" s="5">
        <v>1500000</v>
      </c>
      <c r="G17" s="5">
        <v>0</v>
      </c>
      <c r="H17" s="5">
        <v>0</v>
      </c>
      <c r="I17" s="5">
        <v>11616293</v>
      </c>
      <c r="J17" s="4" t="s">
        <v>44</v>
      </c>
    </row>
    <row r="18" spans="1:10" ht="41.25" customHeight="1" x14ac:dyDescent="0.25">
      <c r="A18" s="3">
        <v>46172</v>
      </c>
      <c r="B18" s="3">
        <v>46172</v>
      </c>
      <c r="C18" s="4" t="s">
        <v>40</v>
      </c>
      <c r="D18" s="4" t="s">
        <v>46</v>
      </c>
      <c r="E18" s="4" t="s">
        <v>10</v>
      </c>
      <c r="F18" s="5">
        <v>1500000</v>
      </c>
      <c r="G18" s="5">
        <v>0</v>
      </c>
      <c r="H18" s="5">
        <v>0</v>
      </c>
      <c r="I18" s="5">
        <v>5116293</v>
      </c>
      <c r="J18" s="4" t="s">
        <v>44</v>
      </c>
    </row>
    <row r="19" spans="1:10" ht="41.25" customHeight="1" x14ac:dyDescent="0.25">
      <c r="A19" s="3">
        <v>46148</v>
      </c>
      <c r="B19" s="3">
        <v>46148</v>
      </c>
      <c r="C19" s="4" t="s">
        <v>47</v>
      </c>
      <c r="D19" s="4" t="s">
        <v>48</v>
      </c>
      <c r="E19" s="4" t="s">
        <v>10</v>
      </c>
      <c r="F19" s="5">
        <v>3000000</v>
      </c>
      <c r="G19" s="5">
        <v>0</v>
      </c>
      <c r="H19" s="5">
        <v>0</v>
      </c>
      <c r="I19" s="5">
        <v>40084968</v>
      </c>
      <c r="J19" s="4" t="s">
        <v>49</v>
      </c>
    </row>
    <row r="20" spans="1:10" ht="41.25" customHeight="1" x14ac:dyDescent="0.25">
      <c r="A20" s="3">
        <v>46160</v>
      </c>
      <c r="B20" s="3">
        <v>46160</v>
      </c>
      <c r="C20" s="4" t="s">
        <v>20</v>
      </c>
      <c r="D20" s="4" t="s">
        <v>50</v>
      </c>
      <c r="E20" s="4" t="s">
        <v>10</v>
      </c>
      <c r="F20" s="5">
        <v>3000000</v>
      </c>
      <c r="G20" s="5">
        <v>0</v>
      </c>
      <c r="H20" s="5">
        <v>0</v>
      </c>
      <c r="I20" s="5">
        <v>20872375</v>
      </c>
      <c r="J20" s="4" t="s">
        <v>49</v>
      </c>
    </row>
    <row r="21" spans="1:10" ht="41.25" customHeight="1" x14ac:dyDescent="0.25">
      <c r="A21" s="3">
        <v>46155</v>
      </c>
      <c r="B21" s="3">
        <v>46155</v>
      </c>
      <c r="C21" s="4" t="s">
        <v>36</v>
      </c>
      <c r="D21" s="4" t="s">
        <v>51</v>
      </c>
      <c r="E21" s="4" t="s">
        <v>10</v>
      </c>
      <c r="F21" s="5">
        <v>3000000</v>
      </c>
      <c r="G21" s="5">
        <v>0</v>
      </c>
      <c r="H21" s="5">
        <v>0</v>
      </c>
      <c r="I21" s="5">
        <v>42778890</v>
      </c>
      <c r="J21" s="4" t="s">
        <v>52</v>
      </c>
    </row>
    <row r="22" spans="1:10" ht="41.25" customHeight="1" x14ac:dyDescent="0.25">
      <c r="A22" s="3">
        <v>46166</v>
      </c>
      <c r="B22" s="3">
        <v>46166</v>
      </c>
      <c r="C22" s="4" t="s">
        <v>53</v>
      </c>
      <c r="D22" s="4" t="s">
        <v>54</v>
      </c>
      <c r="E22" s="4" t="s">
        <v>10</v>
      </c>
      <c r="F22" s="5">
        <v>3000000</v>
      </c>
      <c r="G22" s="5">
        <v>0</v>
      </c>
      <c r="H22" s="5">
        <v>0</v>
      </c>
      <c r="I22" s="5">
        <v>24562268</v>
      </c>
      <c r="J22" s="4" t="s">
        <v>52</v>
      </c>
    </row>
    <row r="23" spans="1:10" ht="41.25" customHeight="1" x14ac:dyDescent="0.25">
      <c r="A23" s="3">
        <v>46163</v>
      </c>
      <c r="B23" s="3">
        <v>46163</v>
      </c>
      <c r="C23" s="4" t="s">
        <v>55</v>
      </c>
      <c r="D23" s="4" t="s">
        <v>56</v>
      </c>
      <c r="E23" s="4" t="s">
        <v>10</v>
      </c>
      <c r="F23" s="5">
        <v>3000000</v>
      </c>
      <c r="G23" s="5">
        <v>0</v>
      </c>
      <c r="H23" s="5">
        <v>0</v>
      </c>
      <c r="I23" s="5">
        <v>19867940</v>
      </c>
      <c r="J23" s="4" t="s">
        <v>57</v>
      </c>
    </row>
    <row r="24" spans="1:10" ht="41.25" customHeight="1" x14ac:dyDescent="0.25">
      <c r="A24" s="3">
        <v>46156</v>
      </c>
      <c r="B24" s="3">
        <v>46156</v>
      </c>
      <c r="C24" s="4" t="s">
        <v>58</v>
      </c>
      <c r="D24" s="4" t="s">
        <v>59</v>
      </c>
      <c r="E24" s="4" t="s">
        <v>10</v>
      </c>
      <c r="F24" s="5">
        <v>3000000</v>
      </c>
      <c r="G24" s="5">
        <v>0</v>
      </c>
      <c r="H24" s="5">
        <v>0</v>
      </c>
      <c r="I24" s="5">
        <v>25583212</v>
      </c>
      <c r="J24" s="4" t="s">
        <v>60</v>
      </c>
    </row>
    <row r="25" spans="1:10" ht="41.25" customHeight="1" x14ac:dyDescent="0.25">
      <c r="A25" s="3">
        <v>46165</v>
      </c>
      <c r="B25" s="3">
        <v>46165</v>
      </c>
      <c r="C25" s="4" t="s">
        <v>61</v>
      </c>
      <c r="D25" s="4" t="s">
        <v>62</v>
      </c>
      <c r="E25" s="4" t="s">
        <v>10</v>
      </c>
      <c r="F25" s="5">
        <v>3000000</v>
      </c>
      <c r="G25" s="5">
        <v>0</v>
      </c>
      <c r="H25" s="5">
        <v>0</v>
      </c>
      <c r="I25" s="5">
        <v>22583212</v>
      </c>
      <c r="J25" s="4" t="s">
        <v>60</v>
      </c>
    </row>
    <row r="26" spans="1:10" ht="41.25" customHeight="1" x14ac:dyDescent="0.25">
      <c r="A26" s="3">
        <v>46148</v>
      </c>
      <c r="B26" s="3">
        <v>46148</v>
      </c>
      <c r="C26" s="4" t="s">
        <v>47</v>
      </c>
      <c r="D26" s="4" t="s">
        <v>63</v>
      </c>
      <c r="E26" s="4" t="s">
        <v>10</v>
      </c>
      <c r="F26" s="5">
        <v>1500000</v>
      </c>
      <c r="G26" s="5">
        <v>0</v>
      </c>
      <c r="H26" s="5">
        <v>0</v>
      </c>
      <c r="I26" s="5">
        <v>2648285</v>
      </c>
      <c r="J26" s="4" t="s">
        <v>64</v>
      </c>
    </row>
    <row r="27" spans="1:10" ht="41.25" customHeight="1" x14ac:dyDescent="0.25">
      <c r="A27" s="3">
        <v>46157</v>
      </c>
      <c r="B27" s="3">
        <v>46157</v>
      </c>
      <c r="C27" s="4" t="s">
        <v>29</v>
      </c>
      <c r="D27" s="4" t="s">
        <v>65</v>
      </c>
      <c r="E27" s="4" t="s">
        <v>10</v>
      </c>
      <c r="F27" s="5">
        <v>1500000</v>
      </c>
      <c r="G27" s="5">
        <v>0</v>
      </c>
      <c r="H27" s="5">
        <v>0</v>
      </c>
      <c r="I27" s="5">
        <v>1148285</v>
      </c>
      <c r="J27" s="4" t="s">
        <v>64</v>
      </c>
    </row>
    <row r="28" spans="1:10" ht="41.25" customHeight="1" x14ac:dyDescent="0.25">
      <c r="A28" s="3">
        <v>46161</v>
      </c>
      <c r="B28" s="3">
        <v>46161</v>
      </c>
      <c r="C28" s="4" t="s">
        <v>66</v>
      </c>
      <c r="D28" s="4" t="s">
        <v>67</v>
      </c>
      <c r="E28" s="4" t="s">
        <v>10</v>
      </c>
      <c r="F28" s="5">
        <v>3000000</v>
      </c>
      <c r="G28" s="5">
        <v>0</v>
      </c>
      <c r="H28" s="5">
        <v>0</v>
      </c>
      <c r="I28" s="5">
        <v>28407550</v>
      </c>
      <c r="J28" s="4" t="s">
        <v>68</v>
      </c>
    </row>
    <row r="29" spans="1:10" ht="41.25" customHeight="1" x14ac:dyDescent="0.25">
      <c r="A29" s="3">
        <v>46159</v>
      </c>
      <c r="B29" s="3">
        <v>46159</v>
      </c>
      <c r="C29" s="4" t="s">
        <v>38</v>
      </c>
      <c r="D29" s="4" t="s">
        <v>69</v>
      </c>
      <c r="E29" s="4" t="s">
        <v>10</v>
      </c>
      <c r="F29" s="5">
        <v>3000000</v>
      </c>
      <c r="G29" s="5">
        <v>0</v>
      </c>
      <c r="H29" s="5">
        <v>0</v>
      </c>
      <c r="I29" s="5">
        <v>23942946</v>
      </c>
      <c r="J29" s="4" t="s">
        <v>70</v>
      </c>
    </row>
    <row r="30" spans="1:10" ht="41.25" customHeight="1" x14ac:dyDescent="0.25">
      <c r="A30" s="3">
        <v>46143</v>
      </c>
      <c r="B30" s="3">
        <v>46143</v>
      </c>
      <c r="C30" s="4" t="s">
        <v>71</v>
      </c>
      <c r="D30" s="4" t="s">
        <v>72</v>
      </c>
      <c r="E30" s="4" t="s">
        <v>10</v>
      </c>
      <c r="F30" s="5">
        <v>1500000</v>
      </c>
      <c r="G30" s="5">
        <v>0</v>
      </c>
      <c r="H30" s="5">
        <v>0</v>
      </c>
      <c r="I30" s="5">
        <v>31814479</v>
      </c>
      <c r="J30" s="4" t="s">
        <v>73</v>
      </c>
    </row>
    <row r="31" spans="1:10" ht="41.25" customHeight="1" x14ac:dyDescent="0.25">
      <c r="A31" s="3">
        <v>46150</v>
      </c>
      <c r="B31" s="3">
        <v>46150</v>
      </c>
      <c r="C31" s="4" t="s">
        <v>8</v>
      </c>
      <c r="D31" s="4" t="s">
        <v>74</v>
      </c>
      <c r="E31" s="4" t="s">
        <v>10</v>
      </c>
      <c r="F31" s="5">
        <v>1500000</v>
      </c>
      <c r="G31" s="5">
        <v>0</v>
      </c>
      <c r="H31" s="5">
        <v>0</v>
      </c>
      <c r="I31" s="5">
        <v>30314479</v>
      </c>
      <c r="J31" s="4" t="s">
        <v>73</v>
      </c>
    </row>
    <row r="32" spans="1:10" ht="41.25" customHeight="1" x14ac:dyDescent="0.25">
      <c r="A32" s="3">
        <v>46158</v>
      </c>
      <c r="B32" s="3">
        <v>46158</v>
      </c>
      <c r="C32" s="4" t="s">
        <v>75</v>
      </c>
      <c r="D32" s="4" t="s">
        <v>76</v>
      </c>
      <c r="E32" s="4" t="s">
        <v>10</v>
      </c>
      <c r="F32" s="5">
        <v>1500000</v>
      </c>
      <c r="G32" s="5">
        <v>0</v>
      </c>
      <c r="H32" s="5">
        <v>0</v>
      </c>
      <c r="I32" s="5">
        <v>13830550</v>
      </c>
      <c r="J32" s="4" t="s">
        <v>73</v>
      </c>
    </row>
    <row r="33" spans="1:10" ht="41.25" customHeight="1" x14ac:dyDescent="0.25">
      <c r="A33" s="3">
        <v>46165</v>
      </c>
      <c r="B33" s="3">
        <v>46165</v>
      </c>
      <c r="C33" s="4" t="s">
        <v>77</v>
      </c>
      <c r="D33" s="4" t="s">
        <v>78</v>
      </c>
      <c r="E33" s="4" t="s">
        <v>10</v>
      </c>
      <c r="F33" s="5">
        <v>1500000</v>
      </c>
      <c r="G33" s="5">
        <v>0</v>
      </c>
      <c r="H33" s="5">
        <v>0</v>
      </c>
      <c r="I33" s="5">
        <v>12330550</v>
      </c>
      <c r="J33" s="4" t="s">
        <v>73</v>
      </c>
    </row>
    <row r="34" spans="1:10" ht="41.25" customHeight="1" x14ac:dyDescent="0.25">
      <c r="A34" s="3">
        <v>46156</v>
      </c>
      <c r="B34" s="3">
        <v>46156</v>
      </c>
      <c r="C34" s="4" t="s">
        <v>58</v>
      </c>
      <c r="D34" s="4" t="s">
        <v>79</v>
      </c>
      <c r="E34" s="4" t="s">
        <v>10</v>
      </c>
      <c r="F34" s="5">
        <v>3000000</v>
      </c>
      <c r="G34" s="5">
        <v>0</v>
      </c>
      <c r="H34" s="5">
        <v>0</v>
      </c>
      <c r="I34" s="5">
        <v>26356500</v>
      </c>
      <c r="J34" s="4" t="s">
        <v>80</v>
      </c>
    </row>
    <row r="35" spans="1:10" ht="41.25" customHeight="1" x14ac:dyDescent="0.25">
      <c r="A35" s="3">
        <v>46168</v>
      </c>
      <c r="B35" s="3">
        <v>46168</v>
      </c>
      <c r="C35" s="4" t="s">
        <v>81</v>
      </c>
      <c r="D35" s="4" t="s">
        <v>82</v>
      </c>
      <c r="E35" s="4" t="s">
        <v>10</v>
      </c>
      <c r="F35" s="5">
        <v>3000000</v>
      </c>
      <c r="G35" s="5">
        <v>0</v>
      </c>
      <c r="H35" s="5">
        <v>0</v>
      </c>
      <c r="I35" s="5">
        <v>23356500</v>
      </c>
      <c r="J35" s="4" t="s">
        <v>80</v>
      </c>
    </row>
    <row r="36" spans="1:10" ht="41.25" customHeight="1" x14ac:dyDescent="0.25">
      <c r="A36" s="3">
        <v>46156</v>
      </c>
      <c r="B36" s="3">
        <v>46156</v>
      </c>
      <c r="C36" s="4" t="s">
        <v>58</v>
      </c>
      <c r="D36" s="4" t="s">
        <v>83</v>
      </c>
      <c r="E36" s="4" t="s">
        <v>10</v>
      </c>
      <c r="F36" s="5">
        <v>3000000</v>
      </c>
      <c r="G36" s="5">
        <v>0</v>
      </c>
      <c r="H36" s="5">
        <v>0</v>
      </c>
      <c r="I36" s="5">
        <v>26356500</v>
      </c>
      <c r="J36" s="4" t="s">
        <v>84</v>
      </c>
    </row>
    <row r="37" spans="1:10" ht="41.25" customHeight="1" x14ac:dyDescent="0.25">
      <c r="A37" s="3">
        <v>46168</v>
      </c>
      <c r="B37" s="3">
        <v>46168</v>
      </c>
      <c r="C37" s="4" t="s">
        <v>81</v>
      </c>
      <c r="D37" s="4" t="s">
        <v>85</v>
      </c>
      <c r="E37" s="4" t="s">
        <v>10</v>
      </c>
      <c r="F37" s="5">
        <v>3000000</v>
      </c>
      <c r="G37" s="5">
        <v>0</v>
      </c>
      <c r="H37" s="5">
        <v>0</v>
      </c>
      <c r="I37" s="5">
        <v>23356500</v>
      </c>
      <c r="J37" s="4" t="s">
        <v>84</v>
      </c>
    </row>
    <row r="38" spans="1:10" ht="41.25" customHeight="1" x14ac:dyDescent="0.25">
      <c r="A38" s="3">
        <v>46147</v>
      </c>
      <c r="B38" s="3">
        <v>46147</v>
      </c>
      <c r="C38" s="4" t="s">
        <v>42</v>
      </c>
      <c r="D38" s="4" t="s">
        <v>86</v>
      </c>
      <c r="E38" s="4" t="s">
        <v>10</v>
      </c>
      <c r="F38" s="5">
        <v>1500000</v>
      </c>
      <c r="G38" s="5">
        <v>0</v>
      </c>
      <c r="H38" s="5">
        <v>0</v>
      </c>
      <c r="I38" s="5">
        <v>25144478</v>
      </c>
      <c r="J38" s="4" t="s">
        <v>87</v>
      </c>
    </row>
    <row r="39" spans="1:10" ht="41.25" customHeight="1" x14ac:dyDescent="0.25">
      <c r="A39" s="3">
        <v>46157</v>
      </c>
      <c r="B39" s="3">
        <v>46157</v>
      </c>
      <c r="C39" s="4" t="s">
        <v>29</v>
      </c>
      <c r="D39" s="4" t="s">
        <v>88</v>
      </c>
      <c r="E39" s="4" t="s">
        <v>10</v>
      </c>
      <c r="F39" s="5">
        <v>1500000</v>
      </c>
      <c r="G39" s="5">
        <v>0</v>
      </c>
      <c r="H39" s="5">
        <v>0</v>
      </c>
      <c r="I39" s="5">
        <v>11811887</v>
      </c>
      <c r="J39" s="4" t="s">
        <v>87</v>
      </c>
    </row>
    <row r="40" spans="1:10" ht="41.25" customHeight="1" x14ac:dyDescent="0.25">
      <c r="A40" s="3">
        <v>46172</v>
      </c>
      <c r="B40" s="3">
        <v>46172</v>
      </c>
      <c r="C40" s="4" t="s">
        <v>40</v>
      </c>
      <c r="D40" s="4" t="s">
        <v>89</v>
      </c>
      <c r="E40" s="4" t="s">
        <v>10</v>
      </c>
      <c r="F40" s="5">
        <v>1500000</v>
      </c>
      <c r="G40" s="5">
        <v>0</v>
      </c>
      <c r="H40" s="5">
        <v>0</v>
      </c>
      <c r="I40" s="5">
        <v>5311887</v>
      </c>
      <c r="J40" s="4" t="s">
        <v>87</v>
      </c>
    </row>
    <row r="41" spans="1:10" ht="41.25" customHeight="1" x14ac:dyDescent="0.25">
      <c r="A41" s="3">
        <v>46149</v>
      </c>
      <c r="B41" s="3">
        <v>46149</v>
      </c>
      <c r="C41" s="4" t="s">
        <v>33</v>
      </c>
      <c r="D41" s="4" t="s">
        <v>90</v>
      </c>
      <c r="E41" s="4" t="s">
        <v>10</v>
      </c>
      <c r="F41" s="5">
        <v>1500000</v>
      </c>
      <c r="G41" s="5">
        <v>0</v>
      </c>
      <c r="H41" s="5">
        <v>0</v>
      </c>
      <c r="I41" s="5">
        <v>10104185</v>
      </c>
      <c r="J41" s="4" t="s">
        <v>91</v>
      </c>
    </row>
    <row r="42" spans="1:10" ht="41.25" customHeight="1" x14ac:dyDescent="0.25">
      <c r="A42" s="3">
        <v>46155</v>
      </c>
      <c r="B42" s="3">
        <v>46155</v>
      </c>
      <c r="C42" s="4" t="s">
        <v>36</v>
      </c>
      <c r="D42" s="4" t="s">
        <v>92</v>
      </c>
      <c r="E42" s="4" t="s">
        <v>10</v>
      </c>
      <c r="F42" s="5">
        <v>1500000</v>
      </c>
      <c r="G42" s="5">
        <v>0</v>
      </c>
      <c r="H42" s="5">
        <v>0</v>
      </c>
      <c r="I42" s="5">
        <v>8604185</v>
      </c>
      <c r="J42" s="4" t="s">
        <v>91</v>
      </c>
    </row>
    <row r="43" spans="1:10" ht="41.25" customHeight="1" x14ac:dyDescent="0.25">
      <c r="A43" s="3">
        <v>46159</v>
      </c>
      <c r="B43" s="3">
        <v>46159</v>
      </c>
      <c r="C43" s="4" t="s">
        <v>38</v>
      </c>
      <c r="D43" s="4" t="s">
        <v>93</v>
      </c>
      <c r="E43" s="4" t="s">
        <v>10</v>
      </c>
      <c r="F43" s="5">
        <v>1500000</v>
      </c>
      <c r="G43" s="5">
        <v>0</v>
      </c>
      <c r="H43" s="5">
        <v>0</v>
      </c>
      <c r="I43" s="5">
        <v>7104185</v>
      </c>
      <c r="J43" s="4" t="s">
        <v>91</v>
      </c>
    </row>
    <row r="44" spans="1:10" ht="41.25" customHeight="1" x14ac:dyDescent="0.25">
      <c r="A44" s="3">
        <v>46172</v>
      </c>
      <c r="B44" s="3">
        <v>46172</v>
      </c>
      <c r="C44" s="4" t="s">
        <v>40</v>
      </c>
      <c r="D44" s="4" t="s">
        <v>94</v>
      </c>
      <c r="E44" s="4" t="s">
        <v>10</v>
      </c>
      <c r="F44" s="5">
        <v>1500000</v>
      </c>
      <c r="G44" s="5">
        <v>0</v>
      </c>
      <c r="H44" s="5">
        <v>0</v>
      </c>
      <c r="I44" s="5">
        <v>604185</v>
      </c>
      <c r="J44" s="4" t="s">
        <v>91</v>
      </c>
    </row>
    <row r="45" spans="1:10" ht="41.25" customHeight="1" x14ac:dyDescent="0.25">
      <c r="A45" s="3">
        <v>46148</v>
      </c>
      <c r="B45" s="3">
        <v>46148</v>
      </c>
      <c r="C45" s="4" t="s">
        <v>47</v>
      </c>
      <c r="D45" s="4" t="s">
        <v>95</v>
      </c>
      <c r="E45" s="4" t="s">
        <v>10</v>
      </c>
      <c r="F45" s="5">
        <v>1500000</v>
      </c>
      <c r="G45" s="5">
        <v>0</v>
      </c>
      <c r="H45" s="5">
        <v>0</v>
      </c>
      <c r="I45" s="5">
        <v>42204006</v>
      </c>
      <c r="J45" s="4" t="s">
        <v>96</v>
      </c>
    </row>
    <row r="46" spans="1:10" ht="41.25" customHeight="1" x14ac:dyDescent="0.25">
      <c r="A46" s="3">
        <v>46157</v>
      </c>
      <c r="B46" s="3">
        <v>46157</v>
      </c>
      <c r="C46" s="4" t="s">
        <v>29</v>
      </c>
      <c r="D46" s="4" t="s">
        <v>97</v>
      </c>
      <c r="E46" s="4" t="s">
        <v>10</v>
      </c>
      <c r="F46" s="5">
        <v>1500000</v>
      </c>
      <c r="G46" s="5">
        <v>0</v>
      </c>
      <c r="H46" s="5">
        <v>0</v>
      </c>
      <c r="I46" s="5">
        <v>12834058</v>
      </c>
      <c r="J46" s="4" t="s">
        <v>96</v>
      </c>
    </row>
    <row r="47" spans="1:10" ht="41.25" customHeight="1" x14ac:dyDescent="0.25">
      <c r="A47" s="3">
        <v>46154</v>
      </c>
      <c r="B47" s="3">
        <v>46154</v>
      </c>
      <c r="C47" s="4" t="s">
        <v>98</v>
      </c>
      <c r="D47" s="4" t="s">
        <v>99</v>
      </c>
      <c r="E47" s="4" t="s">
        <v>10</v>
      </c>
      <c r="F47" s="5">
        <v>1500000</v>
      </c>
      <c r="G47" s="5">
        <v>0</v>
      </c>
      <c r="H47" s="5">
        <v>1500000</v>
      </c>
      <c r="I47" s="5">
        <v>0</v>
      </c>
      <c r="J47" s="4" t="s">
        <v>100</v>
      </c>
    </row>
    <row r="48" spans="1:10" ht="41.25" customHeight="1" x14ac:dyDescent="0.25">
      <c r="A48" s="3">
        <v>46160</v>
      </c>
      <c r="B48" s="3">
        <v>46160</v>
      </c>
      <c r="C48" s="4" t="s">
        <v>20</v>
      </c>
      <c r="D48" s="4" t="s">
        <v>101</v>
      </c>
      <c r="E48" s="4" t="s">
        <v>10</v>
      </c>
      <c r="F48" s="5">
        <v>1500000</v>
      </c>
      <c r="G48" s="5">
        <v>0</v>
      </c>
      <c r="H48" s="5">
        <v>3000000</v>
      </c>
      <c r="I48" s="5">
        <v>0</v>
      </c>
      <c r="J48" s="4" t="s">
        <v>100</v>
      </c>
    </row>
    <row r="49" spans="1:10" ht="41.25" customHeight="1" x14ac:dyDescent="0.25">
      <c r="A49" s="3">
        <v>46165</v>
      </c>
      <c r="B49" s="3">
        <v>46165</v>
      </c>
      <c r="C49" s="4" t="s">
        <v>77</v>
      </c>
      <c r="D49" s="4" t="s">
        <v>102</v>
      </c>
      <c r="E49" s="4" t="s">
        <v>10</v>
      </c>
      <c r="F49" s="5">
        <v>1500000</v>
      </c>
      <c r="G49" s="5">
        <v>0</v>
      </c>
      <c r="H49" s="5">
        <v>4500000</v>
      </c>
      <c r="I49" s="5">
        <v>0</v>
      </c>
      <c r="J49" s="4" t="s">
        <v>100</v>
      </c>
    </row>
    <row r="50" spans="1:10" ht="41.25" customHeight="1" x14ac:dyDescent="0.25">
      <c r="A50" s="3">
        <v>46170</v>
      </c>
      <c r="B50" s="3">
        <v>46170</v>
      </c>
      <c r="C50" s="4" t="s">
        <v>103</v>
      </c>
      <c r="D50" s="4" t="s">
        <v>104</v>
      </c>
      <c r="E50" s="4" t="s">
        <v>10</v>
      </c>
      <c r="F50" s="5">
        <v>1500000</v>
      </c>
      <c r="G50" s="5">
        <v>0</v>
      </c>
      <c r="H50" s="5">
        <v>6000000</v>
      </c>
      <c r="I50" s="5">
        <v>0</v>
      </c>
      <c r="J50" s="4" t="s">
        <v>100</v>
      </c>
    </row>
    <row r="51" spans="1:10" ht="41.25" customHeight="1" x14ac:dyDescent="0.25">
      <c r="A51" s="3">
        <v>46146</v>
      </c>
      <c r="B51" s="3">
        <v>46146</v>
      </c>
      <c r="C51" s="4" t="s">
        <v>105</v>
      </c>
      <c r="D51" s="4" t="s">
        <v>106</v>
      </c>
      <c r="E51" s="4" t="s">
        <v>10</v>
      </c>
      <c r="F51" s="5">
        <v>1500000</v>
      </c>
      <c r="G51" s="5">
        <v>0</v>
      </c>
      <c r="H51" s="5">
        <v>0</v>
      </c>
      <c r="I51" s="5">
        <v>30022797</v>
      </c>
      <c r="J51" s="4" t="s">
        <v>107</v>
      </c>
    </row>
    <row r="52" spans="1:10" ht="41.25" customHeight="1" x14ac:dyDescent="0.25">
      <c r="A52" s="3">
        <v>46155</v>
      </c>
      <c r="B52" s="3">
        <v>46155</v>
      </c>
      <c r="C52" s="4" t="s">
        <v>36</v>
      </c>
      <c r="D52" s="4" t="s">
        <v>108</v>
      </c>
      <c r="E52" s="4" t="s">
        <v>10</v>
      </c>
      <c r="F52" s="5">
        <v>3000000</v>
      </c>
      <c r="G52" s="5">
        <v>0</v>
      </c>
      <c r="H52" s="5">
        <v>0</v>
      </c>
      <c r="I52" s="5">
        <v>44287274</v>
      </c>
      <c r="J52" s="4" t="s">
        <v>109</v>
      </c>
    </row>
    <row r="53" spans="1:10" ht="41.25" customHeight="1" x14ac:dyDescent="0.25">
      <c r="A53" s="3">
        <v>46164</v>
      </c>
      <c r="B53" s="3">
        <v>46164</v>
      </c>
      <c r="C53" s="4" t="s">
        <v>110</v>
      </c>
      <c r="D53" s="4" t="s">
        <v>111</v>
      </c>
      <c r="E53" s="4" t="s">
        <v>10</v>
      </c>
      <c r="F53" s="5">
        <v>3000000</v>
      </c>
      <c r="G53" s="5">
        <v>0</v>
      </c>
      <c r="H53" s="5">
        <v>0</v>
      </c>
      <c r="I53" s="5">
        <v>24562269</v>
      </c>
      <c r="J53" s="4" t="s">
        <v>109</v>
      </c>
    </row>
    <row r="54" spans="1:10" ht="41.25" customHeight="1" x14ac:dyDescent="0.25">
      <c r="A54" s="3">
        <v>46147</v>
      </c>
      <c r="B54" s="3">
        <v>46147</v>
      </c>
      <c r="C54" s="4" t="s">
        <v>42</v>
      </c>
      <c r="D54" s="4" t="s">
        <v>112</v>
      </c>
      <c r="E54" s="4" t="s">
        <v>10</v>
      </c>
      <c r="F54" s="5">
        <v>1500000</v>
      </c>
      <c r="G54" s="5">
        <v>0</v>
      </c>
      <c r="H54" s="5">
        <v>0</v>
      </c>
      <c r="I54" s="5">
        <v>27833279</v>
      </c>
      <c r="J54" s="4" t="s">
        <v>113</v>
      </c>
    </row>
    <row r="55" spans="1:10" ht="41.25" customHeight="1" x14ac:dyDescent="0.25">
      <c r="A55" s="3">
        <v>46154</v>
      </c>
      <c r="B55" s="3">
        <v>46154</v>
      </c>
      <c r="C55" s="4" t="s">
        <v>98</v>
      </c>
      <c r="D55" s="4" t="s">
        <v>114</v>
      </c>
      <c r="E55" s="4" t="s">
        <v>10</v>
      </c>
      <c r="F55" s="5">
        <v>1500000</v>
      </c>
      <c r="G55" s="5">
        <v>0</v>
      </c>
      <c r="H55" s="5">
        <v>0</v>
      </c>
      <c r="I55" s="5">
        <v>26333279</v>
      </c>
      <c r="J55" s="4" t="s">
        <v>113</v>
      </c>
    </row>
    <row r="56" spans="1:10" ht="41.25" customHeight="1" x14ac:dyDescent="0.25">
      <c r="A56" s="3">
        <v>46165</v>
      </c>
      <c r="B56" s="3">
        <v>46165</v>
      </c>
      <c r="C56" s="4" t="s">
        <v>77</v>
      </c>
      <c r="D56" s="4" t="s">
        <v>115</v>
      </c>
      <c r="E56" s="4" t="s">
        <v>10</v>
      </c>
      <c r="F56" s="5">
        <v>1500000</v>
      </c>
      <c r="G56" s="5">
        <v>0</v>
      </c>
      <c r="H56" s="5">
        <v>0</v>
      </c>
      <c r="I56" s="5">
        <v>12672700</v>
      </c>
      <c r="J56" s="4" t="s">
        <v>113</v>
      </c>
    </row>
    <row r="57" spans="1:10" ht="41.25" customHeight="1" x14ac:dyDescent="0.25">
      <c r="A57" s="3">
        <v>46149</v>
      </c>
      <c r="B57" s="3">
        <v>46149</v>
      </c>
      <c r="C57" s="4" t="s">
        <v>33</v>
      </c>
      <c r="D57" s="4" t="s">
        <v>116</v>
      </c>
      <c r="E57" s="4" t="s">
        <v>10</v>
      </c>
      <c r="F57" s="5">
        <v>1500000</v>
      </c>
      <c r="G57" s="5">
        <v>0</v>
      </c>
      <c r="H57" s="5">
        <v>0</v>
      </c>
      <c r="I57" s="5">
        <v>33213649</v>
      </c>
      <c r="J57" s="4" t="s">
        <v>117</v>
      </c>
    </row>
    <row r="58" spans="1:10" ht="41.25" customHeight="1" x14ac:dyDescent="0.25">
      <c r="A58" s="3">
        <v>46154</v>
      </c>
      <c r="B58" s="3">
        <v>46154</v>
      </c>
      <c r="C58" s="4" t="s">
        <v>98</v>
      </c>
      <c r="D58" s="4" t="s">
        <v>118</v>
      </c>
      <c r="E58" s="4" t="s">
        <v>10</v>
      </c>
      <c r="F58" s="5">
        <v>1500000</v>
      </c>
      <c r="G58" s="5">
        <v>0</v>
      </c>
      <c r="H58" s="5">
        <v>0</v>
      </c>
      <c r="I58" s="5">
        <v>31713649</v>
      </c>
      <c r="J58" s="4" t="s">
        <v>117</v>
      </c>
    </row>
    <row r="59" spans="1:10" ht="41.25" customHeight="1" x14ac:dyDescent="0.25">
      <c r="A59" s="3">
        <v>46162</v>
      </c>
      <c r="B59" s="3">
        <v>46162</v>
      </c>
      <c r="C59" s="4" t="s">
        <v>119</v>
      </c>
      <c r="D59" s="4" t="s">
        <v>120</v>
      </c>
      <c r="E59" s="4" t="s">
        <v>10</v>
      </c>
      <c r="F59" s="5">
        <v>1500000</v>
      </c>
      <c r="G59" s="5">
        <v>0</v>
      </c>
      <c r="H59" s="5">
        <v>0</v>
      </c>
      <c r="I59" s="5">
        <v>14914732</v>
      </c>
      <c r="J59" s="4" t="s">
        <v>117</v>
      </c>
    </row>
    <row r="60" spans="1:10" ht="41.25" customHeight="1" x14ac:dyDescent="0.25">
      <c r="A60" s="3">
        <v>46172</v>
      </c>
      <c r="B60" s="3">
        <v>46172</v>
      </c>
      <c r="C60" s="4" t="s">
        <v>40</v>
      </c>
      <c r="D60" s="4" t="s">
        <v>121</v>
      </c>
      <c r="E60" s="4" t="s">
        <v>10</v>
      </c>
      <c r="F60" s="5">
        <v>1500000</v>
      </c>
      <c r="G60" s="5">
        <v>0</v>
      </c>
      <c r="H60" s="5">
        <v>0</v>
      </c>
      <c r="I60" s="5">
        <v>8414732</v>
      </c>
      <c r="J60" s="4" t="s">
        <v>117</v>
      </c>
    </row>
    <row r="61" spans="1:10" ht="41.25" customHeight="1" x14ac:dyDescent="0.25">
      <c r="A61" s="3">
        <v>46154</v>
      </c>
      <c r="B61" s="3">
        <v>46154</v>
      </c>
      <c r="C61" s="4" t="s">
        <v>98</v>
      </c>
      <c r="D61" s="4" t="s">
        <v>122</v>
      </c>
      <c r="E61" s="4" t="s">
        <v>10</v>
      </c>
      <c r="F61" s="5">
        <v>1500000</v>
      </c>
      <c r="G61" s="5">
        <v>0</v>
      </c>
      <c r="H61" s="5">
        <v>0</v>
      </c>
      <c r="I61" s="5">
        <v>17837950</v>
      </c>
      <c r="J61" s="4" t="s">
        <v>123</v>
      </c>
    </row>
    <row r="62" spans="1:10" ht="41.25" customHeight="1" x14ac:dyDescent="0.25">
      <c r="A62" s="3">
        <v>46163</v>
      </c>
      <c r="B62" s="3">
        <v>46163</v>
      </c>
      <c r="C62" s="4" t="s">
        <v>55</v>
      </c>
      <c r="D62" s="4" t="s">
        <v>124</v>
      </c>
      <c r="E62" s="4" t="s">
        <v>10</v>
      </c>
      <c r="F62" s="5">
        <v>1500000</v>
      </c>
      <c r="G62" s="5">
        <v>0</v>
      </c>
      <c r="H62" s="5">
        <v>0</v>
      </c>
      <c r="I62" s="5">
        <v>12114148</v>
      </c>
      <c r="J62" s="4" t="s">
        <v>123</v>
      </c>
    </row>
    <row r="63" spans="1:10" ht="41.25" customHeight="1" x14ac:dyDescent="0.25">
      <c r="A63" s="3">
        <v>46172</v>
      </c>
      <c r="B63" s="3">
        <v>46172</v>
      </c>
      <c r="C63" s="4" t="s">
        <v>125</v>
      </c>
      <c r="D63" s="4" t="s">
        <v>126</v>
      </c>
      <c r="E63" s="4" t="s">
        <v>10</v>
      </c>
      <c r="F63" s="5">
        <v>1500000</v>
      </c>
      <c r="G63" s="5">
        <v>0</v>
      </c>
      <c r="H63" s="5">
        <v>0</v>
      </c>
      <c r="I63" s="5">
        <v>5614148</v>
      </c>
      <c r="J63" s="4" t="s">
        <v>123</v>
      </c>
    </row>
    <row r="64" spans="1:10" ht="41.25" customHeight="1" x14ac:dyDescent="0.25">
      <c r="A64" s="3">
        <v>46149</v>
      </c>
      <c r="B64" s="3">
        <v>46149</v>
      </c>
      <c r="C64" s="4" t="s">
        <v>33</v>
      </c>
      <c r="D64" s="4" t="s">
        <v>127</v>
      </c>
      <c r="E64" s="4" t="s">
        <v>10</v>
      </c>
      <c r="F64" s="5">
        <v>1500000</v>
      </c>
      <c r="G64" s="5">
        <v>0</v>
      </c>
      <c r="H64" s="5">
        <v>0</v>
      </c>
      <c r="I64" s="5">
        <v>31289799</v>
      </c>
      <c r="J64" s="4" t="s">
        <v>128</v>
      </c>
    </row>
    <row r="65" spans="1:10" ht="41.25" customHeight="1" x14ac:dyDescent="0.25">
      <c r="A65" s="3">
        <v>46154</v>
      </c>
      <c r="B65" s="3">
        <v>46154</v>
      </c>
      <c r="C65" s="4" t="s">
        <v>98</v>
      </c>
      <c r="D65" s="4" t="s">
        <v>129</v>
      </c>
      <c r="E65" s="4" t="s">
        <v>10</v>
      </c>
      <c r="F65" s="5">
        <v>1500000</v>
      </c>
      <c r="G65" s="5">
        <v>0</v>
      </c>
      <c r="H65" s="5">
        <v>0</v>
      </c>
      <c r="I65" s="5">
        <v>29789799</v>
      </c>
      <c r="J65" s="4" t="s">
        <v>128</v>
      </c>
    </row>
    <row r="66" spans="1:10" ht="41.25" customHeight="1" x14ac:dyDescent="0.25">
      <c r="A66" s="3">
        <v>46162</v>
      </c>
      <c r="B66" s="3">
        <v>46162</v>
      </c>
      <c r="C66" s="4" t="s">
        <v>119</v>
      </c>
      <c r="D66" s="4" t="s">
        <v>130</v>
      </c>
      <c r="E66" s="4" t="s">
        <v>10</v>
      </c>
      <c r="F66" s="5">
        <v>1500000</v>
      </c>
      <c r="G66" s="5">
        <v>0</v>
      </c>
      <c r="H66" s="5">
        <v>0</v>
      </c>
      <c r="I66" s="5">
        <v>14438995</v>
      </c>
      <c r="J66" s="4" t="s">
        <v>128</v>
      </c>
    </row>
    <row r="67" spans="1:10" ht="41.25" customHeight="1" x14ac:dyDescent="0.25">
      <c r="A67" s="3">
        <v>46172</v>
      </c>
      <c r="B67" s="3">
        <v>46172</v>
      </c>
      <c r="C67" s="4" t="s">
        <v>40</v>
      </c>
      <c r="D67" s="4" t="s">
        <v>131</v>
      </c>
      <c r="E67" s="4" t="s">
        <v>10</v>
      </c>
      <c r="F67" s="5">
        <v>1500000</v>
      </c>
      <c r="G67" s="5">
        <v>0</v>
      </c>
      <c r="H67" s="5">
        <v>0</v>
      </c>
      <c r="I67" s="5">
        <v>7938995</v>
      </c>
      <c r="J67" s="4" t="s">
        <v>128</v>
      </c>
    </row>
    <row r="68" spans="1:10" ht="41.25" customHeight="1" x14ac:dyDescent="0.25">
      <c r="A68" s="3">
        <v>46146</v>
      </c>
      <c r="B68" s="3">
        <v>46146</v>
      </c>
      <c r="C68" s="4" t="s">
        <v>105</v>
      </c>
      <c r="D68" s="4" t="s">
        <v>132</v>
      </c>
      <c r="E68" s="4" t="s">
        <v>10</v>
      </c>
      <c r="F68" s="5">
        <v>1500000</v>
      </c>
      <c r="G68" s="5">
        <v>0</v>
      </c>
      <c r="H68" s="5">
        <v>0</v>
      </c>
      <c r="I68" s="5">
        <v>12599220</v>
      </c>
      <c r="J68" s="4" t="s">
        <v>133</v>
      </c>
    </row>
    <row r="69" spans="1:10" ht="41.25" customHeight="1" x14ac:dyDescent="0.25">
      <c r="A69" s="3">
        <v>46152</v>
      </c>
      <c r="B69" s="3">
        <v>46152</v>
      </c>
      <c r="C69" s="4" t="s">
        <v>134</v>
      </c>
      <c r="D69" s="4" t="s">
        <v>135</v>
      </c>
      <c r="E69" s="4" t="s">
        <v>10</v>
      </c>
      <c r="F69" s="5">
        <v>1500000</v>
      </c>
      <c r="G69" s="5">
        <v>0</v>
      </c>
      <c r="H69" s="5">
        <v>0</v>
      </c>
      <c r="I69" s="5">
        <v>11099220</v>
      </c>
      <c r="J69" s="4" t="s">
        <v>133</v>
      </c>
    </row>
    <row r="70" spans="1:10" ht="41.25" customHeight="1" x14ac:dyDescent="0.25">
      <c r="A70" s="3">
        <v>46160</v>
      </c>
      <c r="B70" s="3">
        <v>46160</v>
      </c>
      <c r="C70" s="4" t="s">
        <v>20</v>
      </c>
      <c r="D70" s="4" t="s">
        <v>136</v>
      </c>
      <c r="E70" s="4" t="s">
        <v>10</v>
      </c>
      <c r="F70" s="5">
        <v>1500000</v>
      </c>
      <c r="G70" s="5">
        <v>0</v>
      </c>
      <c r="H70" s="5">
        <v>0</v>
      </c>
      <c r="I70" s="5">
        <v>9599220</v>
      </c>
      <c r="J70" s="4" t="s">
        <v>133</v>
      </c>
    </row>
    <row r="71" spans="1:10" ht="41.25" customHeight="1" x14ac:dyDescent="0.25">
      <c r="A71" s="3">
        <v>46158</v>
      </c>
      <c r="B71" s="3">
        <v>46158</v>
      </c>
      <c r="C71" s="4" t="s">
        <v>75</v>
      </c>
      <c r="D71" s="4" t="s">
        <v>137</v>
      </c>
      <c r="E71" s="4" t="s">
        <v>10</v>
      </c>
      <c r="F71" s="5">
        <v>3000000</v>
      </c>
      <c r="G71" s="5">
        <v>0</v>
      </c>
      <c r="H71" s="5">
        <v>0</v>
      </c>
      <c r="I71" s="5">
        <v>29284800</v>
      </c>
      <c r="J71" s="4" t="s">
        <v>138</v>
      </c>
    </row>
    <row r="72" spans="1:10" ht="41.25" customHeight="1" x14ac:dyDescent="0.25">
      <c r="A72" s="3">
        <v>46149</v>
      </c>
      <c r="B72" s="3">
        <v>46149</v>
      </c>
      <c r="C72" s="4" t="s">
        <v>33</v>
      </c>
      <c r="D72" s="4" t="s">
        <v>139</v>
      </c>
      <c r="E72" s="4" t="s">
        <v>10</v>
      </c>
      <c r="F72" s="5">
        <v>1500000</v>
      </c>
      <c r="G72" s="5">
        <v>0</v>
      </c>
      <c r="H72" s="5">
        <v>0</v>
      </c>
      <c r="I72" s="5">
        <v>23968457</v>
      </c>
      <c r="J72" s="4" t="s">
        <v>140</v>
      </c>
    </row>
    <row r="73" spans="1:10" ht="41.25" customHeight="1" x14ac:dyDescent="0.25">
      <c r="A73" s="3">
        <v>46153</v>
      </c>
      <c r="B73" s="3">
        <v>46153</v>
      </c>
      <c r="C73" s="4" t="s">
        <v>12</v>
      </c>
      <c r="D73" s="4" t="s">
        <v>141</v>
      </c>
      <c r="E73" s="4" t="s">
        <v>10</v>
      </c>
      <c r="F73" s="5">
        <v>1500000</v>
      </c>
      <c r="G73" s="5">
        <v>0</v>
      </c>
      <c r="H73" s="5">
        <v>0</v>
      </c>
      <c r="I73" s="5">
        <v>22468457</v>
      </c>
      <c r="J73" s="4" t="s">
        <v>140</v>
      </c>
    </row>
    <row r="74" spans="1:10" ht="41.25" customHeight="1" x14ac:dyDescent="0.25">
      <c r="A74" s="3">
        <v>46157</v>
      </c>
      <c r="B74" s="3">
        <v>46157</v>
      </c>
      <c r="C74" s="4" t="s">
        <v>29</v>
      </c>
      <c r="D74" s="4" t="s">
        <v>142</v>
      </c>
      <c r="E74" s="4" t="s">
        <v>10</v>
      </c>
      <c r="F74" s="5">
        <v>1500000</v>
      </c>
      <c r="G74" s="5">
        <v>0</v>
      </c>
      <c r="H74" s="5">
        <v>0</v>
      </c>
      <c r="I74" s="5">
        <v>10967062</v>
      </c>
      <c r="J74" s="4" t="s">
        <v>140</v>
      </c>
    </row>
    <row r="75" spans="1:10" ht="41.25" customHeight="1" x14ac:dyDescent="0.25">
      <c r="A75" s="3">
        <v>46167</v>
      </c>
      <c r="B75" s="3">
        <v>46167</v>
      </c>
      <c r="C75" s="4" t="s">
        <v>31</v>
      </c>
      <c r="D75" s="4" t="s">
        <v>143</v>
      </c>
      <c r="E75" s="4" t="s">
        <v>10</v>
      </c>
      <c r="F75" s="5">
        <v>1500000</v>
      </c>
      <c r="G75" s="5">
        <v>0</v>
      </c>
      <c r="H75" s="5">
        <v>0</v>
      </c>
      <c r="I75" s="5">
        <v>9467062</v>
      </c>
      <c r="J75" s="4" t="s">
        <v>140</v>
      </c>
    </row>
    <row r="76" spans="1:10" ht="41.25" customHeight="1" x14ac:dyDescent="0.25">
      <c r="A76" s="3">
        <v>46147</v>
      </c>
      <c r="B76" s="3">
        <v>46147</v>
      </c>
      <c r="C76" s="4" t="s">
        <v>42</v>
      </c>
      <c r="D76" s="4" t="s">
        <v>144</v>
      </c>
      <c r="E76" s="4" t="s">
        <v>10</v>
      </c>
      <c r="F76" s="5">
        <v>1500000</v>
      </c>
      <c r="G76" s="5">
        <v>0</v>
      </c>
      <c r="H76" s="5">
        <v>0</v>
      </c>
      <c r="I76" s="5">
        <v>24431427</v>
      </c>
      <c r="J76" s="4" t="s">
        <v>145</v>
      </c>
    </row>
    <row r="77" spans="1:10" ht="41.25" customHeight="1" x14ac:dyDescent="0.25">
      <c r="A77" s="3">
        <v>46160</v>
      </c>
      <c r="B77" s="3">
        <v>46160</v>
      </c>
      <c r="C77" s="4" t="s">
        <v>20</v>
      </c>
      <c r="D77" s="4" t="s">
        <v>146</v>
      </c>
      <c r="E77" s="4" t="s">
        <v>10</v>
      </c>
      <c r="F77" s="5">
        <v>1500000</v>
      </c>
      <c r="G77" s="5">
        <v>0</v>
      </c>
      <c r="H77" s="5">
        <v>0</v>
      </c>
      <c r="I77" s="5">
        <v>14092739</v>
      </c>
      <c r="J77" s="4" t="s">
        <v>145</v>
      </c>
    </row>
    <row r="78" spans="1:10" ht="41.25" customHeight="1" x14ac:dyDescent="0.25">
      <c r="A78" s="3">
        <v>46170</v>
      </c>
      <c r="B78" s="3">
        <v>46170</v>
      </c>
      <c r="C78" s="4" t="s">
        <v>103</v>
      </c>
      <c r="D78" s="4" t="s">
        <v>147</v>
      </c>
      <c r="E78" s="4" t="s">
        <v>10</v>
      </c>
      <c r="F78" s="5">
        <v>1500000</v>
      </c>
      <c r="G78" s="5">
        <v>0</v>
      </c>
      <c r="H78" s="5">
        <v>0</v>
      </c>
      <c r="I78" s="5">
        <v>12592739</v>
      </c>
      <c r="J78" s="4" t="s">
        <v>145</v>
      </c>
    </row>
    <row r="79" spans="1:10" ht="41.25" customHeight="1" x14ac:dyDescent="0.25">
      <c r="A79" s="3">
        <v>46169</v>
      </c>
      <c r="B79" s="3">
        <v>46169</v>
      </c>
      <c r="C79" s="4" t="s">
        <v>148</v>
      </c>
      <c r="D79" s="4" t="s">
        <v>149</v>
      </c>
      <c r="E79" s="4" t="s">
        <v>10</v>
      </c>
      <c r="F79" s="5">
        <v>1500000</v>
      </c>
      <c r="G79" s="5">
        <v>0</v>
      </c>
      <c r="H79" s="5">
        <v>0</v>
      </c>
      <c r="I79" s="5">
        <v>15940343</v>
      </c>
      <c r="J79" s="4" t="s">
        <v>150</v>
      </c>
    </row>
    <row r="80" spans="1:10" ht="41.25" customHeight="1" x14ac:dyDescent="0.25">
      <c r="A80" s="3">
        <v>46169</v>
      </c>
      <c r="B80" s="3">
        <v>46169</v>
      </c>
      <c r="C80" s="4" t="s">
        <v>148</v>
      </c>
      <c r="D80" s="4" t="s">
        <v>151</v>
      </c>
      <c r="E80" s="4" t="s">
        <v>10</v>
      </c>
      <c r="F80" s="5">
        <v>1500000</v>
      </c>
      <c r="G80" s="5">
        <v>0</v>
      </c>
      <c r="H80" s="5">
        <v>0</v>
      </c>
      <c r="I80" s="5">
        <v>14440343</v>
      </c>
      <c r="J80" s="4" t="s">
        <v>150</v>
      </c>
    </row>
    <row r="81" spans="1:10" ht="41.25" customHeight="1" x14ac:dyDescent="0.25">
      <c r="A81" s="3">
        <v>46150</v>
      </c>
      <c r="B81" s="3">
        <v>46150</v>
      </c>
      <c r="C81" s="4" t="s">
        <v>8</v>
      </c>
      <c r="D81" s="4" t="s">
        <v>152</v>
      </c>
      <c r="E81" s="4" t="s">
        <v>10</v>
      </c>
      <c r="F81" s="5">
        <v>1500000</v>
      </c>
      <c r="G81" s="5">
        <v>0</v>
      </c>
      <c r="H81" s="5">
        <v>0</v>
      </c>
      <c r="I81" s="5">
        <v>29838874</v>
      </c>
      <c r="J81" s="4" t="s">
        <v>153</v>
      </c>
    </row>
    <row r="82" spans="1:10" ht="41.25" customHeight="1" x14ac:dyDescent="0.25">
      <c r="A82" s="3">
        <v>46156</v>
      </c>
      <c r="B82" s="3">
        <v>46156</v>
      </c>
      <c r="C82" s="4" t="s">
        <v>58</v>
      </c>
      <c r="D82" s="4" t="s">
        <v>154</v>
      </c>
      <c r="E82" s="4" t="s">
        <v>10</v>
      </c>
      <c r="F82" s="5">
        <v>1500000</v>
      </c>
      <c r="G82" s="5">
        <v>0</v>
      </c>
      <c r="H82" s="5">
        <v>0</v>
      </c>
      <c r="I82" s="5">
        <v>14525800</v>
      </c>
      <c r="J82" s="4" t="s">
        <v>153</v>
      </c>
    </row>
    <row r="83" spans="1:10" ht="41.25" customHeight="1" x14ac:dyDescent="0.25">
      <c r="A83" s="3">
        <v>46163</v>
      </c>
      <c r="B83" s="3">
        <v>46163</v>
      </c>
      <c r="C83" s="4" t="s">
        <v>55</v>
      </c>
      <c r="D83" s="4" t="s">
        <v>155</v>
      </c>
      <c r="E83" s="4" t="s">
        <v>10</v>
      </c>
      <c r="F83" s="5">
        <v>1500000</v>
      </c>
      <c r="G83" s="5">
        <v>0</v>
      </c>
      <c r="H83" s="5">
        <v>0</v>
      </c>
      <c r="I83" s="5">
        <v>13025800</v>
      </c>
      <c r="J83" s="4" t="s">
        <v>153</v>
      </c>
    </row>
    <row r="84" spans="1:10" ht="41.25" customHeight="1" x14ac:dyDescent="0.25">
      <c r="A84" s="3">
        <v>46144</v>
      </c>
      <c r="B84" s="3">
        <v>46144</v>
      </c>
      <c r="C84" s="4" t="s">
        <v>15</v>
      </c>
      <c r="D84" s="4" t="s">
        <v>156</v>
      </c>
      <c r="E84" s="4" t="s">
        <v>10</v>
      </c>
      <c r="F84" s="5">
        <v>1500000</v>
      </c>
      <c r="G84" s="5">
        <v>0</v>
      </c>
      <c r="H84" s="5">
        <v>0</v>
      </c>
      <c r="I84" s="5">
        <v>8643806</v>
      </c>
      <c r="J84" s="4" t="s">
        <v>157</v>
      </c>
    </row>
    <row r="85" spans="1:10" ht="41.25" customHeight="1" x14ac:dyDescent="0.25">
      <c r="A85" s="3">
        <v>46154</v>
      </c>
      <c r="B85" s="3">
        <v>46154</v>
      </c>
      <c r="C85" s="4" t="s">
        <v>18</v>
      </c>
      <c r="D85" s="4" t="s">
        <v>158</v>
      </c>
      <c r="E85" s="4" t="s">
        <v>10</v>
      </c>
      <c r="F85" s="5">
        <v>1500000</v>
      </c>
      <c r="G85" s="5">
        <v>0</v>
      </c>
      <c r="H85" s="5">
        <v>0</v>
      </c>
      <c r="I85" s="5">
        <v>7143806</v>
      </c>
      <c r="J85" s="4" t="s">
        <v>157</v>
      </c>
    </row>
    <row r="86" spans="1:10" ht="41.25" customHeight="1" x14ac:dyDescent="0.25">
      <c r="A86" s="3">
        <v>46160</v>
      </c>
      <c r="B86" s="3">
        <v>46160</v>
      </c>
      <c r="C86" s="4" t="s">
        <v>20</v>
      </c>
      <c r="D86" s="4" t="s">
        <v>159</v>
      </c>
      <c r="E86" s="4" t="s">
        <v>10</v>
      </c>
      <c r="F86" s="5">
        <v>1500000</v>
      </c>
      <c r="G86" s="5">
        <v>0</v>
      </c>
      <c r="H86" s="5">
        <v>0</v>
      </c>
      <c r="I86" s="5">
        <v>5643806</v>
      </c>
      <c r="J86" s="4" t="s">
        <v>157</v>
      </c>
    </row>
    <row r="87" spans="1:10" ht="41.25" customHeight="1" x14ac:dyDescent="0.25">
      <c r="A87" s="3">
        <v>46150</v>
      </c>
      <c r="B87" s="3">
        <v>46150</v>
      </c>
      <c r="C87" s="4" t="s">
        <v>8</v>
      </c>
      <c r="D87" s="4" t="s">
        <v>160</v>
      </c>
      <c r="E87" s="4" t="s">
        <v>10</v>
      </c>
      <c r="F87" s="5">
        <v>1500000</v>
      </c>
      <c r="G87" s="5">
        <v>0</v>
      </c>
      <c r="H87" s="5">
        <v>0</v>
      </c>
      <c r="I87" s="5">
        <v>28685286</v>
      </c>
      <c r="J87" s="4" t="s">
        <v>161</v>
      </c>
    </row>
    <row r="88" spans="1:10" ht="41.25" customHeight="1" x14ac:dyDescent="0.25">
      <c r="A88" s="3">
        <v>46156</v>
      </c>
      <c r="B88" s="3">
        <v>46156</v>
      </c>
      <c r="C88" s="4" t="s">
        <v>58</v>
      </c>
      <c r="D88" s="4" t="s">
        <v>162</v>
      </c>
      <c r="E88" s="4" t="s">
        <v>10</v>
      </c>
      <c r="F88" s="5">
        <v>1500000</v>
      </c>
      <c r="G88" s="5">
        <v>0</v>
      </c>
      <c r="H88" s="5">
        <v>0</v>
      </c>
      <c r="I88" s="5">
        <v>13812865</v>
      </c>
      <c r="J88" s="4" t="s">
        <v>161</v>
      </c>
    </row>
    <row r="89" spans="1:10" ht="41.25" customHeight="1" x14ac:dyDescent="0.25">
      <c r="A89" s="3">
        <v>46163</v>
      </c>
      <c r="B89" s="3">
        <v>46163</v>
      </c>
      <c r="C89" s="4" t="s">
        <v>55</v>
      </c>
      <c r="D89" s="4" t="s">
        <v>163</v>
      </c>
      <c r="E89" s="4" t="s">
        <v>10</v>
      </c>
      <c r="F89" s="5">
        <v>1500000</v>
      </c>
      <c r="G89" s="5">
        <v>0</v>
      </c>
      <c r="H89" s="5">
        <v>0</v>
      </c>
      <c r="I89" s="5">
        <v>12312865</v>
      </c>
      <c r="J89" s="4" t="s">
        <v>161</v>
      </c>
    </row>
    <row r="90" spans="1:10" ht="41.25" customHeight="1" x14ac:dyDescent="0.25">
      <c r="A90" s="3">
        <v>46144</v>
      </c>
      <c r="B90" s="3">
        <v>46144</v>
      </c>
      <c r="C90" s="4" t="s">
        <v>15</v>
      </c>
      <c r="D90" s="4" t="s">
        <v>164</v>
      </c>
      <c r="E90" s="4" t="s">
        <v>10</v>
      </c>
      <c r="F90" s="5">
        <v>1500000</v>
      </c>
      <c r="G90" s="5">
        <v>0</v>
      </c>
      <c r="H90" s="5">
        <v>0</v>
      </c>
      <c r="I90" s="5">
        <v>10594605</v>
      </c>
      <c r="J90" s="4" t="s">
        <v>165</v>
      </c>
    </row>
    <row r="91" spans="1:10" ht="41.25" customHeight="1" x14ac:dyDescent="0.25">
      <c r="A91" s="3">
        <v>46150</v>
      </c>
      <c r="B91" s="3">
        <v>46150</v>
      </c>
      <c r="C91" s="4" t="s">
        <v>8</v>
      </c>
      <c r="D91" s="4" t="s">
        <v>166</v>
      </c>
      <c r="E91" s="4" t="s">
        <v>10</v>
      </c>
      <c r="F91" s="5">
        <v>1500000</v>
      </c>
      <c r="G91" s="5">
        <v>0</v>
      </c>
      <c r="H91" s="5">
        <v>0</v>
      </c>
      <c r="I91" s="5">
        <v>9094605</v>
      </c>
      <c r="J91" s="4" t="s">
        <v>165</v>
      </c>
    </row>
    <row r="92" spans="1:10" ht="41.25" customHeight="1" x14ac:dyDescent="0.25">
      <c r="A92" s="3">
        <v>46155</v>
      </c>
      <c r="B92" s="3">
        <v>46155</v>
      </c>
      <c r="C92" s="4" t="s">
        <v>36</v>
      </c>
      <c r="D92" s="4" t="s">
        <v>167</v>
      </c>
      <c r="E92" s="4" t="s">
        <v>10</v>
      </c>
      <c r="F92" s="5">
        <v>1500000</v>
      </c>
      <c r="G92" s="5">
        <v>0</v>
      </c>
      <c r="H92" s="5">
        <v>0</v>
      </c>
      <c r="I92" s="5">
        <v>7594605</v>
      </c>
      <c r="J92" s="4" t="s">
        <v>165</v>
      </c>
    </row>
    <row r="93" spans="1:10" ht="41.25" customHeight="1" x14ac:dyDescent="0.25">
      <c r="A93" s="3">
        <v>46164</v>
      </c>
      <c r="B93" s="3">
        <v>46164</v>
      </c>
      <c r="C93" s="4" t="s">
        <v>110</v>
      </c>
      <c r="D93" s="4" t="s">
        <v>168</v>
      </c>
      <c r="E93" s="4" t="s">
        <v>10</v>
      </c>
      <c r="F93" s="5">
        <v>1500000</v>
      </c>
      <c r="G93" s="5">
        <v>0</v>
      </c>
      <c r="H93" s="5">
        <v>0</v>
      </c>
      <c r="I93" s="5">
        <v>5330945</v>
      </c>
      <c r="J93" s="4" t="s">
        <v>165</v>
      </c>
    </row>
    <row r="94" spans="1:10" ht="41.25" customHeight="1" x14ac:dyDescent="0.25">
      <c r="A94" s="3">
        <v>46147</v>
      </c>
      <c r="B94" s="3">
        <v>46147</v>
      </c>
      <c r="C94" s="4" t="s">
        <v>42</v>
      </c>
      <c r="D94" s="4" t="s">
        <v>169</v>
      </c>
      <c r="E94" s="4" t="s">
        <v>10</v>
      </c>
      <c r="F94" s="5">
        <v>1500000</v>
      </c>
      <c r="G94" s="5">
        <v>0</v>
      </c>
      <c r="H94" s="5">
        <v>0</v>
      </c>
      <c r="I94" s="5">
        <v>24631427</v>
      </c>
      <c r="J94" s="4" t="s">
        <v>170</v>
      </c>
    </row>
    <row r="95" spans="1:10" ht="41.25" customHeight="1" x14ac:dyDescent="0.25">
      <c r="A95" s="3">
        <v>46160</v>
      </c>
      <c r="B95" s="3">
        <v>46160</v>
      </c>
      <c r="C95" s="4" t="s">
        <v>20</v>
      </c>
      <c r="D95" s="4" t="s">
        <v>171</v>
      </c>
      <c r="E95" s="4" t="s">
        <v>10</v>
      </c>
      <c r="F95" s="5">
        <v>1500000</v>
      </c>
      <c r="G95" s="5">
        <v>0</v>
      </c>
      <c r="H95" s="5">
        <v>0</v>
      </c>
      <c r="I95" s="5">
        <v>14092739</v>
      </c>
      <c r="J95" s="4" t="s">
        <v>170</v>
      </c>
    </row>
    <row r="96" spans="1:10" ht="41.25" customHeight="1" x14ac:dyDescent="0.25">
      <c r="A96" s="3">
        <v>46170</v>
      </c>
      <c r="B96" s="3">
        <v>46170</v>
      </c>
      <c r="C96" s="4" t="s">
        <v>103</v>
      </c>
      <c r="D96" s="4" t="s">
        <v>172</v>
      </c>
      <c r="E96" s="4" t="s">
        <v>10</v>
      </c>
      <c r="F96" s="5">
        <v>1500000</v>
      </c>
      <c r="G96" s="5">
        <v>0</v>
      </c>
      <c r="H96" s="5">
        <v>0</v>
      </c>
      <c r="I96" s="5">
        <v>12592739</v>
      </c>
      <c r="J96" s="4" t="s">
        <v>170</v>
      </c>
    </row>
    <row r="97" spans="1:10" ht="41.25" customHeight="1" x14ac:dyDescent="0.25">
      <c r="A97" s="3">
        <v>46145</v>
      </c>
      <c r="B97" s="3">
        <v>46145</v>
      </c>
      <c r="C97" s="4" t="s">
        <v>173</v>
      </c>
      <c r="D97" s="4" t="s">
        <v>174</v>
      </c>
      <c r="E97" s="4" t="s">
        <v>10</v>
      </c>
      <c r="F97" s="5">
        <v>1500000</v>
      </c>
      <c r="G97" s="5">
        <v>0</v>
      </c>
      <c r="H97" s="5">
        <v>0</v>
      </c>
      <c r="I97" s="5">
        <v>28359793</v>
      </c>
      <c r="J97" s="4" t="s">
        <v>175</v>
      </c>
    </row>
    <row r="98" spans="1:10" ht="41.25" customHeight="1" x14ac:dyDescent="0.25">
      <c r="A98" s="3">
        <v>46156</v>
      </c>
      <c r="B98" s="3">
        <v>46156</v>
      </c>
      <c r="C98" s="4" t="s">
        <v>58</v>
      </c>
      <c r="D98" s="4" t="s">
        <v>176</v>
      </c>
      <c r="E98" s="4" t="s">
        <v>10</v>
      </c>
      <c r="F98" s="5">
        <v>1500000</v>
      </c>
      <c r="G98" s="5">
        <v>0</v>
      </c>
      <c r="H98" s="5">
        <v>0</v>
      </c>
      <c r="I98" s="5">
        <v>16087119</v>
      </c>
      <c r="J98" s="4" t="s">
        <v>175</v>
      </c>
    </row>
    <row r="99" spans="1:10" ht="41.25" customHeight="1" x14ac:dyDescent="0.25">
      <c r="A99" s="3">
        <v>46165</v>
      </c>
      <c r="B99" s="3">
        <v>46165</v>
      </c>
      <c r="C99" s="4" t="s">
        <v>61</v>
      </c>
      <c r="D99" s="4" t="s">
        <v>177</v>
      </c>
      <c r="E99" s="4" t="s">
        <v>10</v>
      </c>
      <c r="F99" s="5">
        <v>1500000</v>
      </c>
      <c r="G99" s="5">
        <v>0</v>
      </c>
      <c r="H99" s="5">
        <v>0</v>
      </c>
      <c r="I99" s="5">
        <v>14587119</v>
      </c>
      <c r="J99" s="4" t="s">
        <v>175</v>
      </c>
    </row>
    <row r="100" spans="1:10" ht="41.25" customHeight="1" x14ac:dyDescent="0.25">
      <c r="A100" s="3">
        <v>46149</v>
      </c>
      <c r="B100" s="3">
        <v>46149</v>
      </c>
      <c r="C100" s="4" t="s">
        <v>33</v>
      </c>
      <c r="D100" s="4" t="s">
        <v>178</v>
      </c>
      <c r="E100" s="4" t="s">
        <v>10</v>
      </c>
      <c r="F100" s="5">
        <v>1500000</v>
      </c>
      <c r="G100" s="5">
        <v>0</v>
      </c>
      <c r="H100" s="5">
        <v>0</v>
      </c>
      <c r="I100" s="5">
        <v>24278457</v>
      </c>
      <c r="J100" s="4" t="s">
        <v>179</v>
      </c>
    </row>
    <row r="101" spans="1:10" ht="41.25" customHeight="1" x14ac:dyDescent="0.25">
      <c r="A101" s="3">
        <v>46153</v>
      </c>
      <c r="B101" s="3">
        <v>46153</v>
      </c>
      <c r="C101" s="4" t="s">
        <v>12</v>
      </c>
      <c r="D101" s="4" t="s">
        <v>180</v>
      </c>
      <c r="E101" s="4" t="s">
        <v>10</v>
      </c>
      <c r="F101" s="5">
        <v>1500000</v>
      </c>
      <c r="G101" s="5">
        <v>0</v>
      </c>
      <c r="H101" s="5">
        <v>0</v>
      </c>
      <c r="I101" s="5">
        <v>22778457</v>
      </c>
      <c r="J101" s="4" t="s">
        <v>179</v>
      </c>
    </row>
    <row r="102" spans="1:10" ht="41.25" customHeight="1" x14ac:dyDescent="0.25">
      <c r="A102" s="3">
        <v>46157</v>
      </c>
      <c r="B102" s="3">
        <v>46157</v>
      </c>
      <c r="C102" s="4" t="s">
        <v>29</v>
      </c>
      <c r="D102" s="4" t="s">
        <v>181</v>
      </c>
      <c r="E102" s="4" t="s">
        <v>10</v>
      </c>
      <c r="F102" s="5">
        <v>1500000</v>
      </c>
      <c r="G102" s="5">
        <v>0</v>
      </c>
      <c r="H102" s="5">
        <v>0</v>
      </c>
      <c r="I102" s="5">
        <v>11277062</v>
      </c>
      <c r="J102" s="4" t="s">
        <v>179</v>
      </c>
    </row>
    <row r="103" spans="1:10" ht="41.25" customHeight="1" x14ac:dyDescent="0.25">
      <c r="A103" s="3">
        <v>46167</v>
      </c>
      <c r="B103" s="3">
        <v>46167</v>
      </c>
      <c r="C103" s="4" t="s">
        <v>31</v>
      </c>
      <c r="D103" s="4" t="s">
        <v>182</v>
      </c>
      <c r="E103" s="4" t="s">
        <v>10</v>
      </c>
      <c r="F103" s="5">
        <v>1500000</v>
      </c>
      <c r="G103" s="5">
        <v>0</v>
      </c>
      <c r="H103" s="5">
        <v>0</v>
      </c>
      <c r="I103" s="5">
        <v>9777062</v>
      </c>
      <c r="J103" s="4" t="s">
        <v>179</v>
      </c>
    </row>
    <row r="104" spans="1:10" ht="41.25" customHeight="1" x14ac:dyDescent="0.25">
      <c r="A104" s="3">
        <v>46169</v>
      </c>
      <c r="B104" s="3">
        <v>46169</v>
      </c>
      <c r="C104" s="4" t="s">
        <v>148</v>
      </c>
      <c r="D104" s="4" t="s">
        <v>183</v>
      </c>
      <c r="E104" s="4" t="s">
        <v>10</v>
      </c>
      <c r="F104" s="5">
        <v>1500000</v>
      </c>
      <c r="G104" s="5">
        <v>0</v>
      </c>
      <c r="H104" s="5">
        <v>1500000</v>
      </c>
      <c r="I104" s="5">
        <v>0</v>
      </c>
      <c r="J104" s="4" t="s">
        <v>184</v>
      </c>
    </row>
    <row r="105" spans="1:10" ht="41.25" customHeight="1" x14ac:dyDescent="0.25">
      <c r="A105" s="3">
        <v>46169</v>
      </c>
      <c r="B105" s="3">
        <v>46169</v>
      </c>
      <c r="C105" s="4" t="s">
        <v>148</v>
      </c>
      <c r="D105" s="4" t="s">
        <v>185</v>
      </c>
      <c r="E105" s="4" t="s">
        <v>10</v>
      </c>
      <c r="F105" s="5">
        <v>1500000</v>
      </c>
      <c r="G105" s="5">
        <v>0</v>
      </c>
      <c r="H105" s="5">
        <v>3000000</v>
      </c>
      <c r="I105" s="5">
        <v>0</v>
      </c>
      <c r="J105" s="4" t="s">
        <v>184</v>
      </c>
    </row>
    <row r="106" spans="1:10" ht="41.25" customHeight="1" x14ac:dyDescent="0.25">
      <c r="A106" s="3">
        <v>46143</v>
      </c>
      <c r="B106" s="3">
        <v>46143</v>
      </c>
      <c r="C106" s="4" t="s">
        <v>71</v>
      </c>
      <c r="D106" s="4" t="s">
        <v>186</v>
      </c>
      <c r="E106" s="4" t="s">
        <v>10</v>
      </c>
      <c r="F106" s="5">
        <v>1500000</v>
      </c>
      <c r="G106" s="5">
        <v>0</v>
      </c>
      <c r="H106" s="5">
        <v>0</v>
      </c>
      <c r="I106" s="5">
        <v>14517225</v>
      </c>
      <c r="J106" s="4" t="s">
        <v>187</v>
      </c>
    </row>
    <row r="107" spans="1:10" ht="41.25" customHeight="1" x14ac:dyDescent="0.25">
      <c r="A107" s="3">
        <v>46150</v>
      </c>
      <c r="B107" s="3">
        <v>46150</v>
      </c>
      <c r="C107" s="4" t="s">
        <v>8</v>
      </c>
      <c r="D107" s="4" t="s">
        <v>188</v>
      </c>
      <c r="E107" s="4" t="s">
        <v>10</v>
      </c>
      <c r="F107" s="5">
        <v>1500000</v>
      </c>
      <c r="G107" s="5">
        <v>0</v>
      </c>
      <c r="H107" s="5">
        <v>0</v>
      </c>
      <c r="I107" s="5">
        <v>13017225</v>
      </c>
      <c r="J107" s="4" t="s">
        <v>187</v>
      </c>
    </row>
    <row r="108" spans="1:10" ht="41.25" customHeight="1" x14ac:dyDescent="0.25">
      <c r="A108" s="3">
        <v>46158</v>
      </c>
      <c r="B108" s="3">
        <v>46158</v>
      </c>
      <c r="C108" s="4" t="s">
        <v>75</v>
      </c>
      <c r="D108" s="4" t="s">
        <v>189</v>
      </c>
      <c r="E108" s="4" t="s">
        <v>10</v>
      </c>
      <c r="F108" s="5">
        <v>1500000</v>
      </c>
      <c r="G108" s="5">
        <v>0</v>
      </c>
      <c r="H108" s="5">
        <v>0</v>
      </c>
      <c r="I108" s="5">
        <v>8036572</v>
      </c>
      <c r="J108" s="4" t="s">
        <v>187</v>
      </c>
    </row>
    <row r="109" spans="1:10" ht="41.25" customHeight="1" x14ac:dyDescent="0.25">
      <c r="A109" s="3">
        <v>46165</v>
      </c>
      <c r="B109" s="3">
        <v>46165</v>
      </c>
      <c r="C109" s="4" t="s">
        <v>77</v>
      </c>
      <c r="D109" s="4" t="s">
        <v>190</v>
      </c>
      <c r="E109" s="4" t="s">
        <v>10</v>
      </c>
      <c r="F109" s="5">
        <v>1500000</v>
      </c>
      <c r="G109" s="5">
        <v>0</v>
      </c>
      <c r="H109" s="5">
        <v>0</v>
      </c>
      <c r="I109" s="5">
        <v>6536572</v>
      </c>
      <c r="J109" s="4" t="s">
        <v>187</v>
      </c>
    </row>
    <row r="110" spans="1:10" ht="41.25" customHeight="1" x14ac:dyDescent="0.25">
      <c r="A110" s="3">
        <v>46154</v>
      </c>
      <c r="B110" s="3">
        <v>46154</v>
      </c>
      <c r="C110" s="4" t="s">
        <v>98</v>
      </c>
      <c r="D110" s="4" t="s">
        <v>191</v>
      </c>
      <c r="E110" s="4" t="s">
        <v>10</v>
      </c>
      <c r="F110" s="5">
        <v>1500000</v>
      </c>
      <c r="G110" s="5">
        <v>0</v>
      </c>
      <c r="H110" s="5">
        <v>0</v>
      </c>
      <c r="I110" s="5">
        <v>29139776</v>
      </c>
      <c r="J110" s="4" t="s">
        <v>192</v>
      </c>
    </row>
    <row r="111" spans="1:10" ht="41.25" customHeight="1" x14ac:dyDescent="0.25">
      <c r="A111" s="3">
        <v>46163</v>
      </c>
      <c r="B111" s="3">
        <v>46163</v>
      </c>
      <c r="C111" s="4" t="s">
        <v>55</v>
      </c>
      <c r="D111" s="4" t="s">
        <v>193</v>
      </c>
      <c r="E111" s="4" t="s">
        <v>10</v>
      </c>
      <c r="F111" s="5">
        <v>1500000</v>
      </c>
      <c r="G111" s="5">
        <v>0</v>
      </c>
      <c r="H111" s="5">
        <v>0</v>
      </c>
      <c r="I111" s="5">
        <v>13264148</v>
      </c>
      <c r="J111" s="4" t="s">
        <v>192</v>
      </c>
    </row>
    <row r="112" spans="1:10" ht="41.25" customHeight="1" x14ac:dyDescent="0.25">
      <c r="A112" s="3">
        <v>46172</v>
      </c>
      <c r="B112" s="3">
        <v>46172</v>
      </c>
      <c r="C112" s="4" t="s">
        <v>125</v>
      </c>
      <c r="D112" s="4" t="s">
        <v>194</v>
      </c>
      <c r="E112" s="4" t="s">
        <v>10</v>
      </c>
      <c r="F112" s="5">
        <v>1500000</v>
      </c>
      <c r="G112" s="5">
        <v>0</v>
      </c>
      <c r="H112" s="5">
        <v>0</v>
      </c>
      <c r="I112" s="5">
        <v>6764148</v>
      </c>
      <c r="J112" s="4" t="s">
        <v>192</v>
      </c>
    </row>
    <row r="113" spans="1:10" ht="41.25" customHeight="1" x14ac:dyDescent="0.25">
      <c r="A113" s="3">
        <v>46156</v>
      </c>
      <c r="B113" s="3">
        <v>46156</v>
      </c>
      <c r="C113" s="4" t="s">
        <v>58</v>
      </c>
      <c r="D113" s="4" t="s">
        <v>195</v>
      </c>
      <c r="E113" s="4" t="s">
        <v>10</v>
      </c>
      <c r="F113" s="5">
        <v>3000000</v>
      </c>
      <c r="G113" s="5">
        <v>0</v>
      </c>
      <c r="H113" s="5">
        <v>0</v>
      </c>
      <c r="I113" s="5">
        <v>20583213</v>
      </c>
      <c r="J113" s="4" t="s">
        <v>196</v>
      </c>
    </row>
    <row r="114" spans="1:10" ht="41.25" customHeight="1" x14ac:dyDescent="0.25">
      <c r="A114" s="3">
        <v>46166</v>
      </c>
      <c r="B114" s="3">
        <v>46166</v>
      </c>
      <c r="C114" s="4" t="s">
        <v>53</v>
      </c>
      <c r="D114" s="4" t="s">
        <v>197</v>
      </c>
      <c r="E114" s="4" t="s">
        <v>10</v>
      </c>
      <c r="F114" s="5">
        <v>3000000</v>
      </c>
      <c r="G114" s="5">
        <v>0</v>
      </c>
      <c r="H114" s="5">
        <v>0</v>
      </c>
      <c r="I114" s="5">
        <v>17583213</v>
      </c>
      <c r="J114" s="4" t="s">
        <v>196</v>
      </c>
    </row>
    <row r="115" spans="1:10" ht="41.25" customHeight="1" x14ac:dyDescent="0.25">
      <c r="A115" s="3">
        <v>46144</v>
      </c>
      <c r="B115" s="3">
        <v>46144</v>
      </c>
      <c r="C115" s="4" t="s">
        <v>15</v>
      </c>
      <c r="D115" s="4" t="s">
        <v>198</v>
      </c>
      <c r="E115" s="4" t="s">
        <v>10</v>
      </c>
      <c r="F115" s="5">
        <v>1500000</v>
      </c>
      <c r="G115" s="5">
        <v>0</v>
      </c>
      <c r="H115" s="5">
        <v>0</v>
      </c>
      <c r="I115" s="5">
        <v>30878811</v>
      </c>
      <c r="J115" s="4" t="s">
        <v>199</v>
      </c>
    </row>
    <row r="116" spans="1:10" ht="41.25" customHeight="1" x14ac:dyDescent="0.25">
      <c r="A116" s="3">
        <v>46153</v>
      </c>
      <c r="B116" s="3">
        <v>46153</v>
      </c>
      <c r="C116" s="4" t="s">
        <v>12</v>
      </c>
      <c r="D116" s="4" t="s">
        <v>200</v>
      </c>
      <c r="E116" s="4" t="s">
        <v>10</v>
      </c>
      <c r="F116" s="5">
        <v>1500000</v>
      </c>
      <c r="G116" s="5">
        <v>0</v>
      </c>
      <c r="H116" s="5">
        <v>0</v>
      </c>
      <c r="I116" s="5">
        <v>29378811</v>
      </c>
      <c r="J116" s="4" t="s">
        <v>199</v>
      </c>
    </row>
    <row r="117" spans="1:10" ht="41.25" customHeight="1" x14ac:dyDescent="0.25">
      <c r="A117" s="3">
        <v>46159</v>
      </c>
      <c r="B117" s="3">
        <v>46159</v>
      </c>
      <c r="C117" s="4" t="s">
        <v>38</v>
      </c>
      <c r="D117" s="4" t="s">
        <v>201</v>
      </c>
      <c r="E117" s="4" t="s">
        <v>10</v>
      </c>
      <c r="F117" s="5">
        <v>3000000</v>
      </c>
      <c r="G117" s="5">
        <v>0</v>
      </c>
      <c r="H117" s="5">
        <v>0</v>
      </c>
      <c r="I117" s="5">
        <v>24103102</v>
      </c>
      <c r="J117" s="4" t="s">
        <v>202</v>
      </c>
    </row>
    <row r="118" spans="1:10" ht="41.25" customHeight="1" x14ac:dyDescent="0.25">
      <c r="A118" s="3">
        <v>46145</v>
      </c>
      <c r="B118" s="3">
        <v>46145</v>
      </c>
      <c r="C118" s="4" t="s">
        <v>173</v>
      </c>
      <c r="D118" s="4" t="s">
        <v>203</v>
      </c>
      <c r="E118" s="4" t="s">
        <v>10</v>
      </c>
      <c r="F118" s="5">
        <v>1500000</v>
      </c>
      <c r="G118" s="5">
        <v>0</v>
      </c>
      <c r="H118" s="5">
        <v>0</v>
      </c>
      <c r="I118" s="5">
        <v>8232851</v>
      </c>
      <c r="J118" s="4" t="s">
        <v>204</v>
      </c>
    </row>
    <row r="119" spans="1:10" ht="41.25" customHeight="1" x14ac:dyDescent="0.25">
      <c r="A119" s="3">
        <v>46151</v>
      </c>
      <c r="B119" s="3">
        <v>46151</v>
      </c>
      <c r="C119" s="4" t="s">
        <v>24</v>
      </c>
      <c r="D119" s="4" t="s">
        <v>205</v>
      </c>
      <c r="E119" s="4" t="s">
        <v>10</v>
      </c>
      <c r="F119" s="5">
        <v>1500000</v>
      </c>
      <c r="G119" s="5">
        <v>0</v>
      </c>
      <c r="H119" s="5">
        <v>0</v>
      </c>
      <c r="I119" s="5">
        <v>6732851</v>
      </c>
      <c r="J119" s="4" t="s">
        <v>204</v>
      </c>
    </row>
    <row r="120" spans="1:10" ht="41.25" customHeight="1" x14ac:dyDescent="0.25">
      <c r="A120" s="3">
        <v>46158</v>
      </c>
      <c r="B120" s="3">
        <v>46158</v>
      </c>
      <c r="C120" s="4" t="s">
        <v>75</v>
      </c>
      <c r="D120" s="4" t="s">
        <v>206</v>
      </c>
      <c r="E120" s="4" t="s">
        <v>10</v>
      </c>
      <c r="F120" s="5">
        <v>1500000</v>
      </c>
      <c r="G120" s="5">
        <v>0</v>
      </c>
      <c r="H120" s="5">
        <v>0</v>
      </c>
      <c r="I120" s="5">
        <v>5232851</v>
      </c>
      <c r="J120" s="4" t="s">
        <v>204</v>
      </c>
    </row>
    <row r="121" spans="1:10" ht="41.25" customHeight="1" x14ac:dyDescent="0.25">
      <c r="A121" s="3">
        <v>46170</v>
      </c>
      <c r="B121" s="3">
        <v>46170</v>
      </c>
      <c r="C121" s="4" t="s">
        <v>103</v>
      </c>
      <c r="D121" s="4" t="s">
        <v>207</v>
      </c>
      <c r="E121" s="4" t="s">
        <v>10</v>
      </c>
      <c r="F121" s="5">
        <v>1500000</v>
      </c>
      <c r="G121" s="5">
        <v>0</v>
      </c>
      <c r="H121" s="5">
        <v>0</v>
      </c>
      <c r="I121" s="5">
        <v>3732851</v>
      </c>
      <c r="J121" s="4" t="s">
        <v>204</v>
      </c>
    </row>
    <row r="122" spans="1:10" ht="41.25" customHeight="1" x14ac:dyDescent="0.25">
      <c r="A122" s="3">
        <v>46148</v>
      </c>
      <c r="B122" s="3">
        <v>46148</v>
      </c>
      <c r="C122" s="4" t="s">
        <v>47</v>
      </c>
      <c r="D122" s="4" t="s">
        <v>208</v>
      </c>
      <c r="E122" s="4" t="s">
        <v>10</v>
      </c>
      <c r="F122" s="5">
        <v>1500000</v>
      </c>
      <c r="G122" s="5">
        <v>0</v>
      </c>
      <c r="H122" s="5">
        <v>0</v>
      </c>
      <c r="I122" s="5">
        <v>18152642</v>
      </c>
      <c r="J122" s="4" t="s">
        <v>209</v>
      </c>
    </row>
    <row r="123" spans="1:10" ht="41.25" customHeight="1" x14ac:dyDescent="0.25">
      <c r="A123" s="3">
        <v>46155</v>
      </c>
      <c r="B123" s="3">
        <v>46155</v>
      </c>
      <c r="C123" s="4" t="s">
        <v>36</v>
      </c>
      <c r="D123" s="4" t="s">
        <v>210</v>
      </c>
      <c r="E123" s="4" t="s">
        <v>10</v>
      </c>
      <c r="F123" s="5">
        <v>1500000</v>
      </c>
      <c r="G123" s="5">
        <v>0</v>
      </c>
      <c r="H123" s="5">
        <v>0</v>
      </c>
      <c r="I123" s="5">
        <v>16652642</v>
      </c>
      <c r="J123" s="4" t="s">
        <v>209</v>
      </c>
    </row>
    <row r="124" spans="1:10" ht="41.25" customHeight="1" x14ac:dyDescent="0.25">
      <c r="A124" s="3">
        <v>46146</v>
      </c>
      <c r="B124" s="3">
        <v>46146</v>
      </c>
      <c r="C124" s="4" t="s">
        <v>105</v>
      </c>
      <c r="D124" s="4" t="s">
        <v>211</v>
      </c>
      <c r="E124" s="4" t="s">
        <v>10</v>
      </c>
      <c r="F124" s="5">
        <v>1500000</v>
      </c>
      <c r="G124" s="5">
        <v>0</v>
      </c>
      <c r="H124" s="5">
        <v>0</v>
      </c>
      <c r="I124" s="5">
        <v>30661149</v>
      </c>
      <c r="J124" s="4" t="s">
        <v>212</v>
      </c>
    </row>
    <row r="125" spans="1:10" ht="41.25" customHeight="1" x14ac:dyDescent="0.25">
      <c r="A125" s="3">
        <v>46154</v>
      </c>
      <c r="B125" s="3">
        <v>46154</v>
      </c>
      <c r="C125" s="4" t="s">
        <v>98</v>
      </c>
      <c r="D125" s="4" t="s">
        <v>213</v>
      </c>
      <c r="E125" s="4" t="s">
        <v>10</v>
      </c>
      <c r="F125" s="5">
        <v>1500000</v>
      </c>
      <c r="G125" s="5">
        <v>0</v>
      </c>
      <c r="H125" s="5">
        <v>0</v>
      </c>
      <c r="I125" s="5">
        <v>29161149</v>
      </c>
      <c r="J125" s="4" t="s">
        <v>212</v>
      </c>
    </row>
    <row r="126" spans="1:10" ht="41.25" customHeight="1" x14ac:dyDescent="0.25">
      <c r="A126" s="3">
        <v>46163</v>
      </c>
      <c r="B126" s="3">
        <v>46163</v>
      </c>
      <c r="C126" s="4" t="s">
        <v>55</v>
      </c>
      <c r="D126" s="4" t="s">
        <v>214</v>
      </c>
      <c r="E126" s="4" t="s">
        <v>10</v>
      </c>
      <c r="F126" s="5">
        <v>1500000</v>
      </c>
      <c r="G126" s="5">
        <v>0</v>
      </c>
      <c r="H126" s="5">
        <v>0</v>
      </c>
      <c r="I126" s="5">
        <v>13781198</v>
      </c>
      <c r="J126" s="4" t="s">
        <v>212</v>
      </c>
    </row>
    <row r="127" spans="1:10" ht="41.25" customHeight="1" x14ac:dyDescent="0.25">
      <c r="A127" s="3">
        <v>46170</v>
      </c>
      <c r="B127" s="3">
        <v>46170</v>
      </c>
      <c r="C127" s="4" t="s">
        <v>103</v>
      </c>
      <c r="D127" s="4" t="s">
        <v>215</v>
      </c>
      <c r="E127" s="4" t="s">
        <v>10</v>
      </c>
      <c r="F127" s="5">
        <v>1500000</v>
      </c>
      <c r="G127" s="5">
        <v>0</v>
      </c>
      <c r="H127" s="5">
        <v>0</v>
      </c>
      <c r="I127" s="5">
        <v>12281198</v>
      </c>
      <c r="J127" s="4" t="s">
        <v>212</v>
      </c>
    </row>
    <row r="128" spans="1:10" ht="41.25" customHeight="1" x14ac:dyDescent="0.25">
      <c r="A128" s="3">
        <v>46154</v>
      </c>
      <c r="B128" s="3">
        <v>46154</v>
      </c>
      <c r="C128" s="4" t="s">
        <v>98</v>
      </c>
      <c r="D128" s="4" t="s">
        <v>216</v>
      </c>
      <c r="E128" s="4" t="s">
        <v>10</v>
      </c>
      <c r="F128" s="5">
        <v>1500000</v>
      </c>
      <c r="G128" s="5">
        <v>0</v>
      </c>
      <c r="H128" s="5">
        <v>1500000</v>
      </c>
      <c r="I128" s="5">
        <v>0</v>
      </c>
      <c r="J128" s="4" t="s">
        <v>217</v>
      </c>
    </row>
    <row r="129" spans="1:10" ht="41.25" customHeight="1" x14ac:dyDescent="0.25">
      <c r="A129" s="3">
        <v>46160</v>
      </c>
      <c r="B129" s="3">
        <v>46160</v>
      </c>
      <c r="C129" s="4" t="s">
        <v>20</v>
      </c>
      <c r="D129" s="4" t="s">
        <v>218</v>
      </c>
      <c r="E129" s="4" t="s">
        <v>10</v>
      </c>
      <c r="F129" s="5">
        <v>1500000</v>
      </c>
      <c r="G129" s="5">
        <v>0</v>
      </c>
      <c r="H129" s="5">
        <v>3000000</v>
      </c>
      <c r="I129" s="5">
        <v>0</v>
      </c>
      <c r="J129" s="4" t="s">
        <v>217</v>
      </c>
    </row>
    <row r="130" spans="1:10" ht="41.25" customHeight="1" x14ac:dyDescent="0.25">
      <c r="A130" s="3">
        <v>46165</v>
      </c>
      <c r="B130" s="3">
        <v>46165</v>
      </c>
      <c r="C130" s="4" t="s">
        <v>77</v>
      </c>
      <c r="D130" s="4" t="s">
        <v>219</v>
      </c>
      <c r="E130" s="4" t="s">
        <v>10</v>
      </c>
      <c r="F130" s="5">
        <v>1500000</v>
      </c>
      <c r="G130" s="5">
        <v>0</v>
      </c>
      <c r="H130" s="5">
        <v>4500000</v>
      </c>
      <c r="I130" s="5">
        <v>0</v>
      </c>
      <c r="J130" s="4" t="s">
        <v>217</v>
      </c>
    </row>
    <row r="131" spans="1:10" ht="41.25" customHeight="1" x14ac:dyDescent="0.25">
      <c r="A131" s="3">
        <v>46170</v>
      </c>
      <c r="B131" s="3">
        <v>46170</v>
      </c>
      <c r="C131" s="4" t="s">
        <v>103</v>
      </c>
      <c r="D131" s="4" t="s">
        <v>220</v>
      </c>
      <c r="E131" s="4" t="s">
        <v>10</v>
      </c>
      <c r="F131" s="5">
        <v>1500000</v>
      </c>
      <c r="G131" s="5">
        <v>0</v>
      </c>
      <c r="H131" s="5">
        <v>6000000</v>
      </c>
      <c r="I131" s="5">
        <v>0</v>
      </c>
      <c r="J131" s="4" t="s">
        <v>217</v>
      </c>
    </row>
    <row r="132" spans="1:10" ht="41.25" customHeight="1" x14ac:dyDescent="0.25">
      <c r="A132" s="3">
        <v>46146</v>
      </c>
      <c r="B132" s="3">
        <v>46146</v>
      </c>
      <c r="C132" s="4" t="s">
        <v>105</v>
      </c>
      <c r="D132" s="4" t="s">
        <v>221</v>
      </c>
      <c r="E132" s="4" t="s">
        <v>10</v>
      </c>
      <c r="F132" s="5">
        <v>1500000</v>
      </c>
      <c r="G132" s="5">
        <v>0</v>
      </c>
      <c r="H132" s="5">
        <v>0</v>
      </c>
      <c r="I132" s="5">
        <v>31262779</v>
      </c>
      <c r="J132" s="4" t="s">
        <v>222</v>
      </c>
    </row>
    <row r="133" spans="1:10" ht="41.25" customHeight="1" x14ac:dyDescent="0.25">
      <c r="A133" s="3">
        <v>46151</v>
      </c>
      <c r="B133" s="3">
        <v>46151</v>
      </c>
      <c r="C133" s="4" t="s">
        <v>24</v>
      </c>
      <c r="D133" s="4" t="s">
        <v>223</v>
      </c>
      <c r="E133" s="4" t="s">
        <v>10</v>
      </c>
      <c r="F133" s="5">
        <v>1500000</v>
      </c>
      <c r="G133" s="5">
        <v>0</v>
      </c>
      <c r="H133" s="5">
        <v>0</v>
      </c>
      <c r="I133" s="5">
        <v>29762779</v>
      </c>
      <c r="J133" s="4" t="s">
        <v>222</v>
      </c>
    </row>
    <row r="134" spans="1:10" ht="41.25" customHeight="1" x14ac:dyDescent="0.25">
      <c r="A134" s="3">
        <v>46159</v>
      </c>
      <c r="B134" s="3">
        <v>46159</v>
      </c>
      <c r="C134" s="4" t="s">
        <v>38</v>
      </c>
      <c r="D134" s="4" t="s">
        <v>224</v>
      </c>
      <c r="E134" s="4" t="s">
        <v>10</v>
      </c>
      <c r="F134" s="5">
        <v>1500000</v>
      </c>
      <c r="G134" s="5">
        <v>0</v>
      </c>
      <c r="H134" s="5">
        <v>0</v>
      </c>
      <c r="I134" s="5">
        <v>15897262</v>
      </c>
      <c r="J134" s="4" t="s">
        <v>222</v>
      </c>
    </row>
    <row r="135" spans="1:10" ht="41.25" customHeight="1" x14ac:dyDescent="0.25">
      <c r="A135" s="3">
        <v>46147</v>
      </c>
      <c r="B135" s="3">
        <v>46147</v>
      </c>
      <c r="C135" s="4" t="s">
        <v>42</v>
      </c>
      <c r="D135" s="4" t="s">
        <v>225</v>
      </c>
      <c r="E135" s="4" t="s">
        <v>10</v>
      </c>
      <c r="F135" s="5">
        <v>1500000</v>
      </c>
      <c r="G135" s="5">
        <v>0</v>
      </c>
      <c r="H135" s="5">
        <v>0</v>
      </c>
      <c r="I135" s="5">
        <v>12369815</v>
      </c>
      <c r="J135" s="4" t="s">
        <v>226</v>
      </c>
    </row>
    <row r="136" spans="1:10" ht="41.25" customHeight="1" x14ac:dyDescent="0.25">
      <c r="A136" s="3">
        <v>46153</v>
      </c>
      <c r="B136" s="3">
        <v>46153</v>
      </c>
      <c r="C136" s="4" t="s">
        <v>12</v>
      </c>
      <c r="D136" s="4" t="s">
        <v>227</v>
      </c>
      <c r="E136" s="4" t="s">
        <v>10</v>
      </c>
      <c r="F136" s="5">
        <v>1500000</v>
      </c>
      <c r="G136" s="5">
        <v>0</v>
      </c>
      <c r="H136" s="5">
        <v>0</v>
      </c>
      <c r="I136" s="5">
        <v>10869815</v>
      </c>
      <c r="J136" s="4" t="s">
        <v>226</v>
      </c>
    </row>
    <row r="137" spans="1:10" ht="41.25" customHeight="1" x14ac:dyDescent="0.25">
      <c r="A137" s="3">
        <v>46162</v>
      </c>
      <c r="B137" s="3">
        <v>46162</v>
      </c>
      <c r="C137" s="4" t="s">
        <v>119</v>
      </c>
      <c r="D137" s="4" t="s">
        <v>228</v>
      </c>
      <c r="E137" s="4" t="s">
        <v>10</v>
      </c>
      <c r="F137" s="5">
        <v>1500000</v>
      </c>
      <c r="G137" s="5">
        <v>0</v>
      </c>
      <c r="H137" s="5">
        <v>0</v>
      </c>
      <c r="I137" s="5">
        <v>6747634</v>
      </c>
      <c r="J137" s="4" t="s">
        <v>226</v>
      </c>
    </row>
    <row r="138" spans="1:10" ht="41.25" customHeight="1" x14ac:dyDescent="0.25">
      <c r="A138" s="3">
        <v>46170</v>
      </c>
      <c r="B138" s="3">
        <v>46170</v>
      </c>
      <c r="C138" s="4" t="s">
        <v>103</v>
      </c>
      <c r="D138" s="4" t="s">
        <v>229</v>
      </c>
      <c r="E138" s="4" t="s">
        <v>10</v>
      </c>
      <c r="F138" s="5">
        <v>1500000</v>
      </c>
      <c r="G138" s="5">
        <v>0</v>
      </c>
      <c r="H138" s="5">
        <v>0</v>
      </c>
      <c r="I138" s="5">
        <v>5247634</v>
      </c>
      <c r="J138" s="4" t="s">
        <v>226</v>
      </c>
    </row>
    <row r="139" spans="1:10" ht="41.25" customHeight="1" x14ac:dyDescent="0.25">
      <c r="A139" s="3">
        <v>46148</v>
      </c>
      <c r="B139" s="3">
        <v>46148</v>
      </c>
      <c r="C139" s="4" t="s">
        <v>47</v>
      </c>
      <c r="D139" s="4" t="s">
        <v>230</v>
      </c>
      <c r="E139" s="4" t="s">
        <v>10</v>
      </c>
      <c r="F139" s="5">
        <v>3000000</v>
      </c>
      <c r="G139" s="5">
        <v>0</v>
      </c>
      <c r="H139" s="5">
        <v>0</v>
      </c>
      <c r="I139" s="5">
        <v>40586829</v>
      </c>
      <c r="J139" s="4" t="s">
        <v>231</v>
      </c>
    </row>
    <row r="140" spans="1:10" ht="41.25" customHeight="1" x14ac:dyDescent="0.25">
      <c r="A140" s="3">
        <v>46169</v>
      </c>
      <c r="B140" s="3">
        <v>46169</v>
      </c>
      <c r="C140" s="4" t="s">
        <v>148</v>
      </c>
      <c r="D140" s="4" t="s">
        <v>232</v>
      </c>
      <c r="E140" s="4" t="s">
        <v>10</v>
      </c>
      <c r="F140" s="5">
        <v>3000000</v>
      </c>
      <c r="G140" s="5">
        <v>0</v>
      </c>
      <c r="H140" s="5">
        <v>0</v>
      </c>
      <c r="I140" s="5">
        <v>21559479</v>
      </c>
      <c r="J140" s="4" t="s">
        <v>231</v>
      </c>
    </row>
    <row r="141" spans="1:10" ht="41.25" customHeight="1" x14ac:dyDescent="0.25">
      <c r="A141" s="3">
        <v>46147</v>
      </c>
      <c r="B141" s="3">
        <v>46147</v>
      </c>
      <c r="C141" s="4" t="s">
        <v>42</v>
      </c>
      <c r="D141" s="4" t="s">
        <v>233</v>
      </c>
      <c r="E141" s="4" t="s">
        <v>10</v>
      </c>
      <c r="F141" s="5">
        <v>1500000</v>
      </c>
      <c r="G141" s="5">
        <v>0</v>
      </c>
      <c r="H141" s="5">
        <v>0</v>
      </c>
      <c r="I141" s="5">
        <v>12302433</v>
      </c>
      <c r="J141" s="4" t="s">
        <v>234</v>
      </c>
    </row>
    <row r="142" spans="1:10" ht="41.25" customHeight="1" x14ac:dyDescent="0.25">
      <c r="A142" s="3">
        <v>46153</v>
      </c>
      <c r="B142" s="3">
        <v>46153</v>
      </c>
      <c r="C142" s="4" t="s">
        <v>12</v>
      </c>
      <c r="D142" s="4" t="s">
        <v>235</v>
      </c>
      <c r="E142" s="4" t="s">
        <v>10</v>
      </c>
      <c r="F142" s="5">
        <v>1500000</v>
      </c>
      <c r="G142" s="5">
        <v>0</v>
      </c>
      <c r="H142" s="5">
        <v>0</v>
      </c>
      <c r="I142" s="5">
        <v>10802433</v>
      </c>
      <c r="J142" s="4" t="s">
        <v>234</v>
      </c>
    </row>
    <row r="143" spans="1:10" ht="41.25" customHeight="1" x14ac:dyDescent="0.25">
      <c r="A143" s="3">
        <v>46162</v>
      </c>
      <c r="B143" s="3">
        <v>46162</v>
      </c>
      <c r="C143" s="4" t="s">
        <v>119</v>
      </c>
      <c r="D143" s="4" t="s">
        <v>236</v>
      </c>
      <c r="E143" s="4" t="s">
        <v>10</v>
      </c>
      <c r="F143" s="5">
        <v>1500000</v>
      </c>
      <c r="G143" s="5">
        <v>0</v>
      </c>
      <c r="H143" s="5">
        <v>0</v>
      </c>
      <c r="I143" s="5">
        <v>6680252</v>
      </c>
      <c r="J143" s="4" t="s">
        <v>234</v>
      </c>
    </row>
    <row r="144" spans="1:10" ht="41.25" customHeight="1" x14ac:dyDescent="0.25">
      <c r="A144" s="3">
        <v>46151</v>
      </c>
      <c r="B144" s="3">
        <v>46151</v>
      </c>
      <c r="C144" s="4" t="s">
        <v>24</v>
      </c>
      <c r="D144" s="4" t="s">
        <v>237</v>
      </c>
      <c r="E144" s="4" t="s">
        <v>10</v>
      </c>
      <c r="F144" s="5">
        <v>1500000</v>
      </c>
      <c r="G144" s="5">
        <v>0</v>
      </c>
      <c r="H144" s="5">
        <v>0</v>
      </c>
      <c r="I144" s="5">
        <v>30246543</v>
      </c>
      <c r="J144" s="4" t="s">
        <v>238</v>
      </c>
    </row>
    <row r="145" spans="1:10" ht="41.25" customHeight="1" x14ac:dyDescent="0.25">
      <c r="A145" s="3">
        <v>46159</v>
      </c>
      <c r="B145" s="3">
        <v>46159</v>
      </c>
      <c r="C145" s="4" t="s">
        <v>38</v>
      </c>
      <c r="D145" s="4" t="s">
        <v>239</v>
      </c>
      <c r="E145" s="4" t="s">
        <v>10</v>
      </c>
      <c r="F145" s="5">
        <v>1500000</v>
      </c>
      <c r="G145" s="5">
        <v>0</v>
      </c>
      <c r="H145" s="5">
        <v>0</v>
      </c>
      <c r="I145" s="5">
        <v>17401247</v>
      </c>
      <c r="J145" s="4" t="s">
        <v>238</v>
      </c>
    </row>
    <row r="146" spans="1:10" ht="41.25" customHeight="1" x14ac:dyDescent="0.25">
      <c r="A146" s="3">
        <v>46161</v>
      </c>
      <c r="B146" s="3">
        <v>46161</v>
      </c>
      <c r="C146" s="4" t="s">
        <v>66</v>
      </c>
      <c r="D146" s="4" t="s">
        <v>241</v>
      </c>
      <c r="E146" s="4" t="s">
        <v>10</v>
      </c>
      <c r="F146" s="5">
        <v>1500000</v>
      </c>
      <c r="G146" s="5">
        <v>0</v>
      </c>
      <c r="H146" s="5">
        <v>1500000</v>
      </c>
      <c r="I146" s="5">
        <v>0</v>
      </c>
      <c r="J146" s="4" t="s">
        <v>240</v>
      </c>
    </row>
    <row r="147" spans="1:10" ht="41.25" customHeight="1" x14ac:dyDescent="0.25">
      <c r="A147" s="3">
        <v>46172</v>
      </c>
      <c r="B147" s="3">
        <v>46172</v>
      </c>
      <c r="C147" s="4" t="s">
        <v>125</v>
      </c>
      <c r="D147" s="4" t="s">
        <v>242</v>
      </c>
      <c r="E147" s="4" t="s">
        <v>10</v>
      </c>
      <c r="F147" s="5">
        <v>1500000</v>
      </c>
      <c r="G147" s="5">
        <v>0</v>
      </c>
      <c r="H147" s="5">
        <v>3000000</v>
      </c>
      <c r="I147" s="5">
        <v>0</v>
      </c>
      <c r="J147" s="4" t="s">
        <v>240</v>
      </c>
    </row>
    <row r="148" spans="1:10" ht="41.25" customHeight="1" x14ac:dyDescent="0.25">
      <c r="A148" s="3">
        <v>46155</v>
      </c>
      <c r="B148" s="3">
        <v>46155</v>
      </c>
      <c r="C148" s="4" t="s">
        <v>36</v>
      </c>
      <c r="D148" s="4" t="s">
        <v>243</v>
      </c>
      <c r="E148" s="4" t="s">
        <v>10</v>
      </c>
      <c r="F148" s="5">
        <v>1500000</v>
      </c>
      <c r="G148" s="5">
        <v>0</v>
      </c>
      <c r="H148" s="5">
        <v>1500000</v>
      </c>
      <c r="I148" s="5">
        <v>0</v>
      </c>
      <c r="J148" s="4" t="s">
        <v>244</v>
      </c>
    </row>
    <row r="149" spans="1:10" ht="41.25" customHeight="1" x14ac:dyDescent="0.25">
      <c r="A149" s="3">
        <v>46163</v>
      </c>
      <c r="B149" s="3">
        <v>46163</v>
      </c>
      <c r="C149" s="4" t="s">
        <v>55</v>
      </c>
      <c r="D149" s="4" t="s">
        <v>245</v>
      </c>
      <c r="E149" s="4" t="s">
        <v>10</v>
      </c>
      <c r="F149" s="5">
        <v>1500000</v>
      </c>
      <c r="G149" s="5">
        <v>0</v>
      </c>
      <c r="H149" s="5">
        <v>3000000</v>
      </c>
      <c r="I149" s="5">
        <v>0</v>
      </c>
      <c r="J149" s="4" t="s">
        <v>244</v>
      </c>
    </row>
    <row r="150" spans="1:10" ht="41.25" customHeight="1" x14ac:dyDescent="0.25">
      <c r="A150" s="3">
        <v>46167</v>
      </c>
      <c r="B150" s="3">
        <v>46167</v>
      </c>
      <c r="C150" s="4" t="s">
        <v>31</v>
      </c>
      <c r="D150" s="4" t="s">
        <v>246</v>
      </c>
      <c r="E150" s="4" t="s">
        <v>10</v>
      </c>
      <c r="F150" s="5">
        <v>1500000</v>
      </c>
      <c r="G150" s="5">
        <v>0</v>
      </c>
      <c r="H150" s="5">
        <v>4500000</v>
      </c>
      <c r="I150" s="5">
        <v>0</v>
      </c>
      <c r="J150" s="4" t="s">
        <v>244</v>
      </c>
    </row>
    <row r="151" spans="1:10" ht="41.25" customHeight="1" x14ac:dyDescent="0.25">
      <c r="A151" s="3">
        <v>46161</v>
      </c>
      <c r="B151" s="3">
        <v>46161</v>
      </c>
      <c r="C151" s="4" t="s">
        <v>247</v>
      </c>
      <c r="D151" s="4" t="s">
        <v>248</v>
      </c>
      <c r="E151" s="4" t="s">
        <v>10</v>
      </c>
      <c r="F151" s="5">
        <v>3000000</v>
      </c>
      <c r="G151" s="5">
        <v>0</v>
      </c>
      <c r="H151" s="5">
        <v>0</v>
      </c>
      <c r="I151" s="5">
        <v>28644788</v>
      </c>
      <c r="J151" s="4" t="s">
        <v>249</v>
      </c>
    </row>
    <row r="152" spans="1:10" ht="41.25" customHeight="1" x14ac:dyDescent="0.25">
      <c r="A152" s="3">
        <v>46148</v>
      </c>
      <c r="B152" s="3">
        <v>46148</v>
      </c>
      <c r="C152" s="4" t="s">
        <v>47</v>
      </c>
      <c r="D152" s="4" t="s">
        <v>250</v>
      </c>
      <c r="E152" s="4" t="s">
        <v>10</v>
      </c>
      <c r="F152" s="5">
        <v>3000000</v>
      </c>
      <c r="G152" s="5">
        <v>0</v>
      </c>
      <c r="H152" s="5">
        <v>0</v>
      </c>
      <c r="I152" s="5">
        <v>39940975</v>
      </c>
      <c r="J152" s="4" t="s">
        <v>251</v>
      </c>
    </row>
    <row r="153" spans="1:10" ht="41.25" customHeight="1" x14ac:dyDescent="0.25">
      <c r="A153" s="3">
        <v>46160</v>
      </c>
      <c r="B153" s="3">
        <v>46160</v>
      </c>
      <c r="C153" s="4" t="s">
        <v>20</v>
      </c>
      <c r="D153" s="4" t="s">
        <v>252</v>
      </c>
      <c r="E153" s="4" t="s">
        <v>10</v>
      </c>
      <c r="F153" s="5">
        <v>3000000</v>
      </c>
      <c r="G153" s="5">
        <v>0</v>
      </c>
      <c r="H153" s="5">
        <v>0</v>
      </c>
      <c r="I153" s="5">
        <v>20562376</v>
      </c>
      <c r="J153" s="4" t="s">
        <v>251</v>
      </c>
    </row>
    <row r="154" spans="1:10" ht="41.25" customHeight="1" x14ac:dyDescent="0.25">
      <c r="A154" s="3">
        <v>46145</v>
      </c>
      <c r="B154" s="3">
        <v>46145</v>
      </c>
      <c r="C154" s="4" t="s">
        <v>173</v>
      </c>
      <c r="D154" s="4" t="s">
        <v>253</v>
      </c>
      <c r="E154" s="4" t="s">
        <v>10</v>
      </c>
      <c r="F154" s="5">
        <v>1500000</v>
      </c>
      <c r="G154" s="5">
        <v>0</v>
      </c>
      <c r="H154" s="5">
        <v>0</v>
      </c>
      <c r="I154" s="5">
        <v>30866543</v>
      </c>
      <c r="J154" s="4" t="s">
        <v>254</v>
      </c>
    </row>
    <row r="155" spans="1:10" ht="41.25" customHeight="1" x14ac:dyDescent="0.25">
      <c r="A155" s="3">
        <v>46151</v>
      </c>
      <c r="B155" s="3">
        <v>46151</v>
      </c>
      <c r="C155" s="4" t="s">
        <v>24</v>
      </c>
      <c r="D155" s="4" t="s">
        <v>255</v>
      </c>
      <c r="E155" s="4" t="s">
        <v>10</v>
      </c>
      <c r="F155" s="5">
        <v>1500000</v>
      </c>
      <c r="G155" s="5">
        <v>0</v>
      </c>
      <c r="H155" s="5">
        <v>0</v>
      </c>
      <c r="I155" s="5">
        <v>29366543</v>
      </c>
      <c r="J155" s="4" t="s">
        <v>254</v>
      </c>
    </row>
    <row r="156" spans="1:10" ht="41.25" customHeight="1" x14ac:dyDescent="0.25">
      <c r="A156" s="3">
        <v>46158</v>
      </c>
      <c r="B156" s="3">
        <v>46158</v>
      </c>
      <c r="C156" s="4" t="s">
        <v>75</v>
      </c>
      <c r="D156" s="4" t="s">
        <v>256</v>
      </c>
      <c r="E156" s="4" t="s">
        <v>10</v>
      </c>
      <c r="F156" s="5">
        <v>1500000</v>
      </c>
      <c r="G156" s="5">
        <v>0</v>
      </c>
      <c r="H156" s="5">
        <v>0</v>
      </c>
      <c r="I156" s="5">
        <v>15250744</v>
      </c>
      <c r="J156" s="4" t="s">
        <v>254</v>
      </c>
    </row>
    <row r="157" spans="1:10" ht="41.25" customHeight="1" x14ac:dyDescent="0.25">
      <c r="A157" s="3">
        <v>46170</v>
      </c>
      <c r="B157" s="3">
        <v>46170</v>
      </c>
      <c r="C157" s="4" t="s">
        <v>103</v>
      </c>
      <c r="D157" s="4" t="s">
        <v>257</v>
      </c>
      <c r="E157" s="4" t="s">
        <v>10</v>
      </c>
      <c r="F157" s="5">
        <v>1500000</v>
      </c>
      <c r="G157" s="5">
        <v>0</v>
      </c>
      <c r="H157" s="5">
        <v>0</v>
      </c>
      <c r="I157" s="5">
        <v>13750744</v>
      </c>
      <c r="J157" s="4" t="s">
        <v>254</v>
      </c>
    </row>
    <row r="158" spans="1:10" ht="41.25" customHeight="1" x14ac:dyDescent="0.25">
      <c r="A158" s="3">
        <v>46158</v>
      </c>
      <c r="B158" s="3">
        <v>46158</v>
      </c>
      <c r="C158" s="4" t="s">
        <v>75</v>
      </c>
      <c r="D158" s="4" t="s">
        <v>258</v>
      </c>
      <c r="E158" s="4" t="s">
        <v>10</v>
      </c>
      <c r="F158" s="5">
        <v>3000000</v>
      </c>
      <c r="G158" s="5">
        <v>0</v>
      </c>
      <c r="H158" s="5">
        <v>0</v>
      </c>
      <c r="I158" s="5">
        <v>28626320</v>
      </c>
      <c r="J158" s="4" t="s">
        <v>259</v>
      </c>
    </row>
    <row r="159" spans="1:10" ht="41.25" customHeight="1" x14ac:dyDescent="0.25">
      <c r="A159" s="3">
        <v>46161</v>
      </c>
      <c r="B159" s="3">
        <v>46161</v>
      </c>
      <c r="C159" s="4" t="s">
        <v>66</v>
      </c>
      <c r="D159" s="4" t="s">
        <v>260</v>
      </c>
      <c r="E159" s="4" t="s">
        <v>10</v>
      </c>
      <c r="F159" s="5">
        <v>3000000</v>
      </c>
      <c r="G159" s="5">
        <v>0</v>
      </c>
      <c r="H159" s="5">
        <v>0</v>
      </c>
      <c r="I159" s="5">
        <v>22878116</v>
      </c>
      <c r="J159" s="4" t="s">
        <v>261</v>
      </c>
    </row>
    <row r="160" spans="1:10" ht="41.25" customHeight="1" x14ac:dyDescent="0.25">
      <c r="A160" s="3">
        <v>46172</v>
      </c>
      <c r="B160" s="3">
        <v>46172</v>
      </c>
      <c r="C160" s="4" t="s">
        <v>125</v>
      </c>
      <c r="D160" s="4" t="s">
        <v>262</v>
      </c>
      <c r="E160" s="4" t="s">
        <v>10</v>
      </c>
      <c r="F160" s="5">
        <v>3000000</v>
      </c>
      <c r="G160" s="5">
        <v>0</v>
      </c>
      <c r="H160" s="5">
        <v>0</v>
      </c>
      <c r="I160" s="5">
        <v>14878116</v>
      </c>
      <c r="J160" s="4" t="s">
        <v>261</v>
      </c>
    </row>
    <row r="161" spans="1:10" ht="41.25" customHeight="1" x14ac:dyDescent="0.25">
      <c r="A161" s="3">
        <v>46148</v>
      </c>
      <c r="B161" s="3">
        <v>46148</v>
      </c>
      <c r="C161" s="4" t="s">
        <v>47</v>
      </c>
      <c r="D161" s="4" t="s">
        <v>263</v>
      </c>
      <c r="E161" s="4" t="s">
        <v>10</v>
      </c>
      <c r="F161" s="5">
        <v>3000000</v>
      </c>
      <c r="G161" s="5">
        <v>0</v>
      </c>
      <c r="H161" s="5">
        <v>0</v>
      </c>
      <c r="I161" s="5">
        <v>39291399</v>
      </c>
      <c r="J161" s="4" t="s">
        <v>264</v>
      </c>
    </row>
    <row r="162" spans="1:10" ht="41.25" customHeight="1" x14ac:dyDescent="0.25">
      <c r="A162" s="3">
        <v>46162</v>
      </c>
      <c r="B162" s="3">
        <v>46162</v>
      </c>
      <c r="C162" s="4" t="s">
        <v>119</v>
      </c>
      <c r="D162" s="4" t="s">
        <v>265</v>
      </c>
      <c r="E162" s="4" t="s">
        <v>10</v>
      </c>
      <c r="F162" s="5">
        <v>3000000</v>
      </c>
      <c r="G162" s="5">
        <v>0</v>
      </c>
      <c r="H162" s="5">
        <v>0</v>
      </c>
      <c r="I162" s="5">
        <v>20771293</v>
      </c>
      <c r="J162" s="4" t="s">
        <v>264</v>
      </c>
    </row>
    <row r="163" spans="1:10" ht="41.25" customHeight="1" x14ac:dyDescent="0.25">
      <c r="A163" s="3">
        <v>46169</v>
      </c>
      <c r="B163" s="3">
        <v>46169</v>
      </c>
      <c r="C163" s="4" t="s">
        <v>148</v>
      </c>
      <c r="D163" s="4" t="s">
        <v>266</v>
      </c>
      <c r="E163" s="4" t="s">
        <v>10</v>
      </c>
      <c r="F163" s="5">
        <v>3000000</v>
      </c>
      <c r="G163" s="5">
        <v>0</v>
      </c>
      <c r="H163" s="5">
        <v>3000000</v>
      </c>
      <c r="I163" s="5">
        <v>0</v>
      </c>
      <c r="J163" s="4" t="s">
        <v>267</v>
      </c>
    </row>
    <row r="164" spans="1:10" ht="41.25" customHeight="1" x14ac:dyDescent="0.25">
      <c r="A164" s="3">
        <v>46146</v>
      </c>
      <c r="B164" s="3">
        <v>46146</v>
      </c>
      <c r="C164" s="4" t="s">
        <v>105</v>
      </c>
      <c r="D164" s="4" t="s">
        <v>268</v>
      </c>
      <c r="E164" s="4" t="s">
        <v>10</v>
      </c>
      <c r="F164" s="5">
        <v>1500000</v>
      </c>
      <c r="G164" s="5">
        <v>0</v>
      </c>
      <c r="H164" s="5">
        <v>0</v>
      </c>
      <c r="I164" s="5">
        <v>25731667</v>
      </c>
      <c r="J164" s="4" t="s">
        <v>269</v>
      </c>
    </row>
    <row r="165" spans="1:10" ht="41.25" customHeight="1" x14ac:dyDescent="0.25">
      <c r="A165" s="3">
        <v>46154</v>
      </c>
      <c r="B165" s="3">
        <v>46154</v>
      </c>
      <c r="C165" s="4" t="s">
        <v>98</v>
      </c>
      <c r="D165" s="4" t="s">
        <v>270</v>
      </c>
      <c r="E165" s="4" t="s">
        <v>10</v>
      </c>
      <c r="F165" s="5">
        <v>1500000</v>
      </c>
      <c r="G165" s="5">
        <v>0</v>
      </c>
      <c r="H165" s="5">
        <v>0</v>
      </c>
      <c r="I165" s="5">
        <v>24231667</v>
      </c>
      <c r="J165" s="4" t="s">
        <v>269</v>
      </c>
    </row>
    <row r="166" spans="1:10" ht="41.25" customHeight="1" x14ac:dyDescent="0.25">
      <c r="A166" s="3">
        <v>46169</v>
      </c>
      <c r="B166" s="3">
        <v>46169</v>
      </c>
      <c r="C166" s="4" t="s">
        <v>148</v>
      </c>
      <c r="D166" s="4" t="s">
        <v>271</v>
      </c>
      <c r="E166" s="4" t="s">
        <v>10</v>
      </c>
      <c r="F166" s="5">
        <v>1500000</v>
      </c>
      <c r="G166" s="5">
        <v>0</v>
      </c>
      <c r="H166" s="5">
        <v>0</v>
      </c>
      <c r="I166" s="5">
        <v>13681199</v>
      </c>
      <c r="J166" s="4" t="s">
        <v>269</v>
      </c>
    </row>
    <row r="167" spans="1:10" ht="41.25" customHeight="1" x14ac:dyDescent="0.25">
      <c r="A167" s="3">
        <v>46150</v>
      </c>
      <c r="B167" s="3">
        <v>46150</v>
      </c>
      <c r="C167" s="4" t="s">
        <v>8</v>
      </c>
      <c r="D167" s="4" t="s">
        <v>272</v>
      </c>
      <c r="E167" s="4" t="s">
        <v>10</v>
      </c>
      <c r="F167" s="5">
        <v>1500000</v>
      </c>
      <c r="G167" s="5">
        <v>0</v>
      </c>
      <c r="H167" s="5">
        <v>0</v>
      </c>
      <c r="I167" s="5">
        <v>28148645</v>
      </c>
      <c r="J167" s="4" t="s">
        <v>273</v>
      </c>
    </row>
    <row r="168" spans="1:10" ht="41.25" customHeight="1" x14ac:dyDescent="0.25">
      <c r="A168" s="3">
        <v>46169</v>
      </c>
      <c r="B168" s="3">
        <v>46169</v>
      </c>
      <c r="C168" s="4" t="s">
        <v>148</v>
      </c>
      <c r="D168" s="4" t="s">
        <v>274</v>
      </c>
      <c r="E168" s="4" t="s">
        <v>10</v>
      </c>
      <c r="F168" s="5">
        <v>1500000</v>
      </c>
      <c r="G168" s="5">
        <v>0</v>
      </c>
      <c r="H168" s="5">
        <v>0</v>
      </c>
      <c r="I168" s="5">
        <v>26648645</v>
      </c>
      <c r="J168" s="4" t="s">
        <v>273</v>
      </c>
    </row>
    <row r="169" spans="1:10" ht="41.25" customHeight="1" x14ac:dyDescent="0.25">
      <c r="A169" s="3">
        <v>46143</v>
      </c>
      <c r="B169" s="3">
        <v>46143</v>
      </c>
      <c r="C169" s="4" t="s">
        <v>71</v>
      </c>
      <c r="D169" s="4" t="s">
        <v>275</v>
      </c>
      <c r="E169" s="4" t="s">
        <v>10</v>
      </c>
      <c r="F169" s="5">
        <v>1500000</v>
      </c>
      <c r="G169" s="5">
        <v>0</v>
      </c>
      <c r="H169" s="5">
        <v>0</v>
      </c>
      <c r="I169" s="5">
        <v>34074012</v>
      </c>
      <c r="J169" s="4" t="s">
        <v>276</v>
      </c>
    </row>
    <row r="170" spans="1:10" ht="41.25" customHeight="1" x14ac:dyDescent="0.25">
      <c r="A170" s="3">
        <v>46144</v>
      </c>
      <c r="B170" s="3">
        <v>46144</v>
      </c>
      <c r="C170" s="4" t="s">
        <v>15</v>
      </c>
      <c r="D170" s="4" t="s">
        <v>277</v>
      </c>
      <c r="E170" s="4" t="s">
        <v>10</v>
      </c>
      <c r="F170" s="5">
        <v>1500000</v>
      </c>
      <c r="G170" s="5">
        <v>0</v>
      </c>
      <c r="H170" s="5">
        <v>0</v>
      </c>
      <c r="I170" s="5">
        <v>27901135</v>
      </c>
      <c r="J170" s="4" t="s">
        <v>278</v>
      </c>
    </row>
    <row r="171" spans="1:10" ht="41.25" customHeight="1" x14ac:dyDescent="0.25">
      <c r="A171" s="3">
        <v>46150</v>
      </c>
      <c r="B171" s="3">
        <v>46150</v>
      </c>
      <c r="C171" s="4" t="s">
        <v>8</v>
      </c>
      <c r="D171" s="4" t="s">
        <v>279</v>
      </c>
      <c r="E171" s="4" t="s">
        <v>10</v>
      </c>
      <c r="F171" s="5">
        <v>1500000</v>
      </c>
      <c r="G171" s="5">
        <v>0</v>
      </c>
      <c r="H171" s="5">
        <v>0</v>
      </c>
      <c r="I171" s="5">
        <v>26401135</v>
      </c>
      <c r="J171" s="4" t="s">
        <v>278</v>
      </c>
    </row>
    <row r="172" spans="1:10" ht="41.25" customHeight="1" x14ac:dyDescent="0.25">
      <c r="A172" s="3">
        <v>46155</v>
      </c>
      <c r="B172" s="3">
        <v>46155</v>
      </c>
      <c r="C172" s="4" t="s">
        <v>36</v>
      </c>
      <c r="D172" s="4" t="s">
        <v>280</v>
      </c>
      <c r="E172" s="4" t="s">
        <v>10</v>
      </c>
      <c r="F172" s="5">
        <v>1500000</v>
      </c>
      <c r="G172" s="5">
        <v>0</v>
      </c>
      <c r="H172" s="5">
        <v>0</v>
      </c>
      <c r="I172" s="5">
        <v>24901135</v>
      </c>
      <c r="J172" s="4" t="s">
        <v>278</v>
      </c>
    </row>
    <row r="173" spans="1:10" ht="41.25" customHeight="1" x14ac:dyDescent="0.25">
      <c r="A173" s="3">
        <v>46164</v>
      </c>
      <c r="B173" s="3">
        <v>46164</v>
      </c>
      <c r="C173" s="4" t="s">
        <v>110</v>
      </c>
      <c r="D173" s="4" t="s">
        <v>281</v>
      </c>
      <c r="E173" s="4" t="s">
        <v>10</v>
      </c>
      <c r="F173" s="5">
        <v>1500000</v>
      </c>
      <c r="G173" s="5">
        <v>0</v>
      </c>
      <c r="H173" s="5">
        <v>0</v>
      </c>
      <c r="I173" s="5">
        <v>10549229</v>
      </c>
      <c r="J173" s="4" t="s">
        <v>278</v>
      </c>
    </row>
    <row r="174" spans="1:10" ht="41.25" customHeight="1" x14ac:dyDescent="0.25">
      <c r="A174" s="3">
        <v>46167</v>
      </c>
      <c r="B174" s="3">
        <v>46167</v>
      </c>
      <c r="C174" s="4" t="s">
        <v>31</v>
      </c>
      <c r="D174" s="4" t="s">
        <v>282</v>
      </c>
      <c r="E174" s="4" t="s">
        <v>10</v>
      </c>
      <c r="F174" s="5">
        <v>1500000</v>
      </c>
      <c r="G174" s="5">
        <v>0</v>
      </c>
      <c r="H174" s="5">
        <v>0</v>
      </c>
      <c r="I174" s="5">
        <v>15620713</v>
      </c>
      <c r="J174" s="4" t="s">
        <v>283</v>
      </c>
    </row>
    <row r="175" spans="1:10" ht="41.25" customHeight="1" x14ac:dyDescent="0.25">
      <c r="A175" s="3">
        <v>46169</v>
      </c>
      <c r="B175" s="3">
        <v>46169</v>
      </c>
      <c r="C175" s="4" t="s">
        <v>148</v>
      </c>
      <c r="D175" s="4" t="s">
        <v>284</v>
      </c>
      <c r="E175" s="4" t="s">
        <v>10</v>
      </c>
      <c r="F175" s="5">
        <v>1500000</v>
      </c>
      <c r="G175" s="5">
        <v>0</v>
      </c>
      <c r="H175" s="5">
        <v>0</v>
      </c>
      <c r="I175" s="5">
        <v>14120713</v>
      </c>
      <c r="J175" s="4" t="s">
        <v>283</v>
      </c>
    </row>
    <row r="176" spans="1:10" ht="41.25" customHeight="1" x14ac:dyDescent="0.25">
      <c r="A176" s="3">
        <v>46169</v>
      </c>
      <c r="B176" s="3">
        <v>46169</v>
      </c>
      <c r="C176" s="4" t="s">
        <v>148</v>
      </c>
      <c r="D176" s="4" t="s">
        <v>285</v>
      </c>
      <c r="E176" s="4" t="s">
        <v>10</v>
      </c>
      <c r="F176" s="5">
        <v>1500000</v>
      </c>
      <c r="G176" s="5">
        <v>0</v>
      </c>
      <c r="H176" s="5">
        <v>0</v>
      </c>
      <c r="I176" s="5">
        <v>12620713</v>
      </c>
      <c r="J176" s="4" t="s">
        <v>283</v>
      </c>
    </row>
    <row r="177" spans="1:10" ht="41.25" customHeight="1" x14ac:dyDescent="0.25">
      <c r="A177" s="3">
        <v>46148</v>
      </c>
      <c r="B177" s="3">
        <v>46148</v>
      </c>
      <c r="C177" s="4" t="s">
        <v>47</v>
      </c>
      <c r="D177" s="4" t="s">
        <v>286</v>
      </c>
      <c r="E177" s="4" t="s">
        <v>10</v>
      </c>
      <c r="F177" s="5">
        <v>1500000</v>
      </c>
      <c r="G177" s="5">
        <v>0</v>
      </c>
      <c r="H177" s="5">
        <v>0</v>
      </c>
      <c r="I177" s="5">
        <v>24382160</v>
      </c>
      <c r="J177" s="4" t="s">
        <v>287</v>
      </c>
    </row>
    <row r="178" spans="1:10" ht="41.25" customHeight="1" x14ac:dyDescent="0.25">
      <c r="A178" s="3">
        <v>46155</v>
      </c>
      <c r="B178" s="3">
        <v>46155</v>
      </c>
      <c r="C178" s="4" t="s">
        <v>36</v>
      </c>
      <c r="D178" s="4" t="s">
        <v>288</v>
      </c>
      <c r="E178" s="4" t="s">
        <v>10</v>
      </c>
      <c r="F178" s="5">
        <v>1500000</v>
      </c>
      <c r="G178" s="5">
        <v>0</v>
      </c>
      <c r="H178" s="5">
        <v>0</v>
      </c>
      <c r="I178" s="5">
        <v>22882160</v>
      </c>
      <c r="J178" s="4" t="s">
        <v>287</v>
      </c>
    </row>
    <row r="179" spans="1:10" ht="41.25" customHeight="1" x14ac:dyDescent="0.25">
      <c r="A179" s="3">
        <v>46161</v>
      </c>
      <c r="B179" s="3">
        <v>46161</v>
      </c>
      <c r="C179" s="4" t="s">
        <v>66</v>
      </c>
      <c r="D179" s="4" t="s">
        <v>289</v>
      </c>
      <c r="E179" s="4" t="s">
        <v>10</v>
      </c>
      <c r="F179" s="5">
        <v>1500000</v>
      </c>
      <c r="G179" s="5">
        <v>0</v>
      </c>
      <c r="H179" s="5">
        <v>0</v>
      </c>
      <c r="I179" s="5">
        <v>11655946</v>
      </c>
      <c r="J179" s="4" t="s">
        <v>287</v>
      </c>
    </row>
    <row r="180" spans="1:10" ht="41.25" customHeight="1" x14ac:dyDescent="0.25">
      <c r="A180" s="3">
        <v>46167</v>
      </c>
      <c r="B180" s="3">
        <v>46167</v>
      </c>
      <c r="C180" s="4" t="s">
        <v>31</v>
      </c>
      <c r="D180" s="4" t="s">
        <v>290</v>
      </c>
      <c r="E180" s="4" t="s">
        <v>10</v>
      </c>
      <c r="F180" s="5">
        <v>1500000</v>
      </c>
      <c r="G180" s="5">
        <v>0</v>
      </c>
      <c r="H180" s="5">
        <v>0</v>
      </c>
      <c r="I180" s="5">
        <v>10155946</v>
      </c>
      <c r="J180" s="4" t="s">
        <v>287</v>
      </c>
    </row>
    <row r="181" spans="1:10" ht="41.25" customHeight="1" x14ac:dyDescent="0.25">
      <c r="A181" s="3">
        <v>46169</v>
      </c>
      <c r="B181" s="3">
        <v>46169</v>
      </c>
      <c r="C181" s="4" t="s">
        <v>148</v>
      </c>
      <c r="D181" s="4" t="s">
        <v>291</v>
      </c>
      <c r="E181" s="4" t="s">
        <v>10</v>
      </c>
      <c r="F181" s="5">
        <v>1500000</v>
      </c>
      <c r="G181" s="5">
        <v>0</v>
      </c>
      <c r="H181" s="5">
        <v>1500000</v>
      </c>
      <c r="I181" s="5">
        <v>0</v>
      </c>
      <c r="J181" s="4" t="s">
        <v>292</v>
      </c>
    </row>
    <row r="182" spans="1:10" ht="41.25" customHeight="1" x14ac:dyDescent="0.25">
      <c r="A182" s="3">
        <v>46161</v>
      </c>
      <c r="B182" s="3">
        <v>46161</v>
      </c>
      <c r="C182" s="4" t="s">
        <v>247</v>
      </c>
      <c r="D182" s="4" t="s">
        <v>293</v>
      </c>
      <c r="E182" s="4" t="s">
        <v>10</v>
      </c>
      <c r="F182" s="5">
        <v>3000000</v>
      </c>
      <c r="G182" s="5">
        <v>0</v>
      </c>
      <c r="H182" s="5">
        <v>0</v>
      </c>
      <c r="I182" s="5">
        <v>23797507</v>
      </c>
      <c r="J182" s="4" t="s">
        <v>294</v>
      </c>
    </row>
    <row r="183" spans="1:10" ht="41.25" customHeight="1" x14ac:dyDescent="0.25">
      <c r="A183" s="3">
        <v>46161</v>
      </c>
      <c r="B183" s="3">
        <v>46161</v>
      </c>
      <c r="C183" s="4" t="s">
        <v>247</v>
      </c>
      <c r="D183" s="4" t="s">
        <v>633</v>
      </c>
      <c r="E183" s="4" t="s">
        <v>10</v>
      </c>
      <c r="F183" s="5">
        <v>3000000</v>
      </c>
      <c r="G183" s="5">
        <v>0</v>
      </c>
      <c r="H183" s="5">
        <v>0</v>
      </c>
      <c r="I183" s="5">
        <v>23950007</v>
      </c>
      <c r="J183" s="4" t="s">
        <v>382</v>
      </c>
    </row>
    <row r="184" spans="1:10" ht="41.25" customHeight="1" x14ac:dyDescent="0.25">
      <c r="A184" s="3">
        <v>46163</v>
      </c>
      <c r="B184" s="3">
        <v>46163</v>
      </c>
      <c r="C184" s="4" t="s">
        <v>55</v>
      </c>
      <c r="D184" s="4" t="s">
        <v>295</v>
      </c>
      <c r="E184" s="4" t="s">
        <v>10</v>
      </c>
      <c r="F184" s="5">
        <v>3000000</v>
      </c>
      <c r="G184" s="5">
        <v>0</v>
      </c>
      <c r="H184" s="5">
        <v>0</v>
      </c>
      <c r="I184" s="5">
        <v>19867940</v>
      </c>
      <c r="J184" s="4" t="s">
        <v>296</v>
      </c>
    </row>
    <row r="185" spans="1:10" ht="41.25" customHeight="1" x14ac:dyDescent="0.25">
      <c r="A185" s="3">
        <v>46143</v>
      </c>
      <c r="B185" s="3">
        <v>46143</v>
      </c>
      <c r="C185" s="4" t="s">
        <v>71</v>
      </c>
      <c r="D185" s="4" t="s">
        <v>297</v>
      </c>
      <c r="E185" s="4" t="s">
        <v>10</v>
      </c>
      <c r="F185" s="5">
        <v>1500000</v>
      </c>
      <c r="G185" s="5">
        <v>0</v>
      </c>
      <c r="H185" s="5">
        <v>0</v>
      </c>
      <c r="I185" s="5">
        <v>34916321</v>
      </c>
      <c r="J185" s="4" t="s">
        <v>298</v>
      </c>
    </row>
    <row r="186" spans="1:10" ht="41.25" customHeight="1" x14ac:dyDescent="0.25">
      <c r="A186" s="3">
        <v>46168</v>
      </c>
      <c r="B186" s="3">
        <v>46168</v>
      </c>
      <c r="C186" s="4" t="s">
        <v>81</v>
      </c>
      <c r="D186" s="4" t="s">
        <v>299</v>
      </c>
      <c r="E186" s="4" t="s">
        <v>10</v>
      </c>
      <c r="F186" s="5">
        <v>1500000</v>
      </c>
      <c r="G186" s="5">
        <v>0</v>
      </c>
      <c r="H186" s="5">
        <v>0</v>
      </c>
      <c r="I186" s="5">
        <v>16465304</v>
      </c>
      <c r="J186" s="4" t="s">
        <v>298</v>
      </c>
    </row>
    <row r="187" spans="1:10" ht="41.25" customHeight="1" x14ac:dyDescent="0.25">
      <c r="A187" s="3">
        <v>46147</v>
      </c>
      <c r="B187" s="3">
        <v>46147</v>
      </c>
      <c r="C187" s="4" t="s">
        <v>42</v>
      </c>
      <c r="D187" s="4" t="s">
        <v>300</v>
      </c>
      <c r="E187" s="4" t="s">
        <v>10</v>
      </c>
      <c r="F187" s="5">
        <v>1500000</v>
      </c>
      <c r="G187" s="5">
        <v>0</v>
      </c>
      <c r="H187" s="5">
        <v>0</v>
      </c>
      <c r="I187" s="5">
        <v>34748168</v>
      </c>
      <c r="J187" s="4" t="s">
        <v>301</v>
      </c>
    </row>
    <row r="188" spans="1:10" ht="41.25" customHeight="1" x14ac:dyDescent="0.25">
      <c r="A188" s="3">
        <v>46154</v>
      </c>
      <c r="B188" s="3">
        <v>46154</v>
      </c>
      <c r="C188" s="4" t="s">
        <v>98</v>
      </c>
      <c r="D188" s="4" t="s">
        <v>302</v>
      </c>
      <c r="E188" s="4" t="s">
        <v>10</v>
      </c>
      <c r="F188" s="5">
        <v>1500000</v>
      </c>
      <c r="G188" s="5">
        <v>0</v>
      </c>
      <c r="H188" s="5">
        <v>0</v>
      </c>
      <c r="I188" s="5">
        <v>33248168</v>
      </c>
      <c r="J188" s="4" t="s">
        <v>301</v>
      </c>
    </row>
    <row r="189" spans="1:10" ht="41.25" customHeight="1" x14ac:dyDescent="0.25">
      <c r="A189" s="3">
        <v>46160</v>
      </c>
      <c r="B189" s="3">
        <v>46160</v>
      </c>
      <c r="C189" s="4" t="s">
        <v>20</v>
      </c>
      <c r="D189" s="4" t="s">
        <v>303</v>
      </c>
      <c r="E189" s="4" t="s">
        <v>10</v>
      </c>
      <c r="F189" s="5">
        <v>1500000</v>
      </c>
      <c r="G189" s="5">
        <v>0</v>
      </c>
      <c r="H189" s="5">
        <v>0</v>
      </c>
      <c r="I189" s="5">
        <v>16020071</v>
      </c>
      <c r="J189" s="4" t="s">
        <v>301</v>
      </c>
    </row>
    <row r="190" spans="1:10" ht="41.25" customHeight="1" x14ac:dyDescent="0.25">
      <c r="A190" s="3">
        <v>46144</v>
      </c>
      <c r="B190" s="3">
        <v>46144</v>
      </c>
      <c r="C190" s="4" t="s">
        <v>15</v>
      </c>
      <c r="D190" s="4" t="s">
        <v>304</v>
      </c>
      <c r="E190" s="4" t="s">
        <v>10</v>
      </c>
      <c r="F190" s="5">
        <v>1500000</v>
      </c>
      <c r="G190" s="5">
        <v>0</v>
      </c>
      <c r="H190" s="5">
        <v>0</v>
      </c>
      <c r="I190" s="5">
        <v>31856903</v>
      </c>
      <c r="J190" s="4" t="s">
        <v>305</v>
      </c>
    </row>
    <row r="191" spans="1:10" ht="41.25" customHeight="1" x14ac:dyDescent="0.25">
      <c r="A191" s="3">
        <v>46153</v>
      </c>
      <c r="B191" s="3">
        <v>46153</v>
      </c>
      <c r="C191" s="4" t="s">
        <v>12</v>
      </c>
      <c r="D191" s="64" t="s">
        <v>306</v>
      </c>
      <c r="E191" s="4" t="s">
        <v>10</v>
      </c>
      <c r="F191" s="5">
        <v>1500000</v>
      </c>
      <c r="G191" s="5">
        <v>0</v>
      </c>
      <c r="H191" s="5">
        <v>0</v>
      </c>
      <c r="I191" s="5">
        <v>30356903</v>
      </c>
      <c r="J191" s="4" t="s">
        <v>305</v>
      </c>
    </row>
    <row r="192" spans="1:10" ht="41.25" customHeight="1" x14ac:dyDescent="0.25">
      <c r="A192" s="3">
        <v>46161</v>
      </c>
      <c r="B192" s="3">
        <v>46161</v>
      </c>
      <c r="C192" s="4" t="s">
        <v>66</v>
      </c>
      <c r="D192" s="4" t="s">
        <v>307</v>
      </c>
      <c r="E192" s="4" t="s">
        <v>10</v>
      </c>
      <c r="F192" s="5">
        <v>1500000</v>
      </c>
      <c r="G192" s="5">
        <v>0</v>
      </c>
      <c r="H192" s="5">
        <v>0</v>
      </c>
      <c r="I192" s="5">
        <v>12774493</v>
      </c>
      <c r="J192" s="4" t="s">
        <v>305</v>
      </c>
    </row>
    <row r="193" spans="1:10" ht="41.25" customHeight="1" x14ac:dyDescent="0.25">
      <c r="A193" s="3">
        <v>46172</v>
      </c>
      <c r="B193" s="3">
        <v>46172</v>
      </c>
      <c r="C193" s="4" t="s">
        <v>125</v>
      </c>
      <c r="D193" s="64" t="s">
        <v>308</v>
      </c>
      <c r="E193" s="4" t="s">
        <v>10</v>
      </c>
      <c r="F193" s="5">
        <v>1500000</v>
      </c>
      <c r="G193" s="5">
        <v>0</v>
      </c>
      <c r="H193" s="5">
        <v>0</v>
      </c>
      <c r="I193" s="5">
        <v>6274493</v>
      </c>
      <c r="J193" s="4" t="s">
        <v>305</v>
      </c>
    </row>
    <row r="194" spans="1:10" ht="41.25" customHeight="1" x14ac:dyDescent="0.25">
      <c r="A194" s="3">
        <v>46143</v>
      </c>
      <c r="B194" s="3">
        <v>46143</v>
      </c>
      <c r="C194" s="4" t="s">
        <v>71</v>
      </c>
      <c r="D194" s="64" t="s">
        <v>309</v>
      </c>
      <c r="E194" s="4" t="s">
        <v>10</v>
      </c>
      <c r="F194" s="5">
        <v>1500000</v>
      </c>
      <c r="G194" s="5">
        <v>0</v>
      </c>
      <c r="H194" s="5">
        <v>0</v>
      </c>
      <c r="I194" s="5">
        <v>24682926</v>
      </c>
      <c r="J194" s="4" t="s">
        <v>310</v>
      </c>
    </row>
    <row r="195" spans="1:10" ht="41.25" customHeight="1" x14ac:dyDescent="0.25">
      <c r="A195" s="3">
        <v>46150</v>
      </c>
      <c r="B195" s="3">
        <v>46150</v>
      </c>
      <c r="C195" s="4" t="s">
        <v>8</v>
      </c>
      <c r="D195" s="64" t="s">
        <v>311</v>
      </c>
      <c r="E195" s="4" t="s">
        <v>10</v>
      </c>
      <c r="F195" s="5">
        <v>1500000</v>
      </c>
      <c r="G195" s="5">
        <v>0</v>
      </c>
      <c r="H195" s="5">
        <v>0</v>
      </c>
      <c r="I195" s="5">
        <v>23182926</v>
      </c>
      <c r="J195" s="4" t="s">
        <v>310</v>
      </c>
    </row>
    <row r="196" spans="1:10" ht="41.25" customHeight="1" x14ac:dyDescent="0.25">
      <c r="A196" s="3">
        <v>46155</v>
      </c>
      <c r="B196" s="3">
        <v>46155</v>
      </c>
      <c r="C196" s="4" t="s">
        <v>36</v>
      </c>
      <c r="D196" s="4" t="s">
        <v>312</v>
      </c>
      <c r="E196" s="4" t="s">
        <v>10</v>
      </c>
      <c r="F196" s="5">
        <v>1500000</v>
      </c>
      <c r="G196" s="5">
        <v>0</v>
      </c>
      <c r="H196" s="5">
        <v>0</v>
      </c>
      <c r="I196" s="5">
        <v>21682926</v>
      </c>
      <c r="J196" s="4" t="s">
        <v>310</v>
      </c>
    </row>
    <row r="197" spans="1:10" ht="41.25" customHeight="1" x14ac:dyDescent="0.25">
      <c r="A197" s="3">
        <v>46163</v>
      </c>
      <c r="B197" s="3">
        <v>46163</v>
      </c>
      <c r="C197" s="4" t="s">
        <v>55</v>
      </c>
      <c r="D197" s="4" t="s">
        <v>313</v>
      </c>
      <c r="E197" s="4" t="s">
        <v>10</v>
      </c>
      <c r="F197" s="5">
        <v>1500000</v>
      </c>
      <c r="G197" s="5">
        <v>0</v>
      </c>
      <c r="H197" s="5">
        <v>0</v>
      </c>
      <c r="I197" s="5">
        <v>8888682</v>
      </c>
      <c r="J197" s="4" t="s">
        <v>310</v>
      </c>
    </row>
    <row r="198" spans="1:10" ht="41.25" customHeight="1" x14ac:dyDescent="0.25">
      <c r="A198" s="3">
        <v>46170</v>
      </c>
      <c r="B198" s="3">
        <v>46170</v>
      </c>
      <c r="C198" s="4" t="s">
        <v>103</v>
      </c>
      <c r="D198" s="4" t="s">
        <v>314</v>
      </c>
      <c r="E198" s="4" t="s">
        <v>10</v>
      </c>
      <c r="F198" s="5">
        <v>1500000</v>
      </c>
      <c r="G198" s="5">
        <v>0</v>
      </c>
      <c r="H198" s="5">
        <v>0</v>
      </c>
      <c r="I198" s="5">
        <v>7388682</v>
      </c>
      <c r="J198" s="4" t="s">
        <v>310</v>
      </c>
    </row>
    <row r="199" spans="1:10" ht="41.25" customHeight="1" x14ac:dyDescent="0.25">
      <c r="A199" s="3">
        <v>46146</v>
      </c>
      <c r="B199" s="3">
        <v>46146</v>
      </c>
      <c r="C199" s="4" t="s">
        <v>105</v>
      </c>
      <c r="D199" s="4" t="s">
        <v>315</v>
      </c>
      <c r="E199" s="4" t="s">
        <v>10</v>
      </c>
      <c r="F199" s="5">
        <v>1500000</v>
      </c>
      <c r="G199" s="5">
        <v>0</v>
      </c>
      <c r="H199" s="5">
        <v>0</v>
      </c>
      <c r="I199" s="5">
        <v>24878902</v>
      </c>
      <c r="J199" s="4" t="s">
        <v>316</v>
      </c>
    </row>
    <row r="200" spans="1:10" ht="41.25" customHeight="1" x14ac:dyDescent="0.25">
      <c r="A200" s="3">
        <v>46152</v>
      </c>
      <c r="B200" s="3">
        <v>46152</v>
      </c>
      <c r="C200" s="4" t="s">
        <v>134</v>
      </c>
      <c r="D200" s="4" t="s">
        <v>317</v>
      </c>
      <c r="E200" s="4" t="s">
        <v>10</v>
      </c>
      <c r="F200" s="5">
        <v>1500000</v>
      </c>
      <c r="G200" s="5">
        <v>0</v>
      </c>
      <c r="H200" s="5">
        <v>0</v>
      </c>
      <c r="I200" s="5">
        <v>23378902</v>
      </c>
      <c r="J200" s="4" t="s">
        <v>316</v>
      </c>
    </row>
    <row r="201" spans="1:10" ht="41.25" customHeight="1" x14ac:dyDescent="0.25">
      <c r="A201" s="3">
        <v>46160</v>
      </c>
      <c r="B201" s="3">
        <v>46160</v>
      </c>
      <c r="C201" s="4" t="s">
        <v>20</v>
      </c>
      <c r="D201" s="4" t="s">
        <v>318</v>
      </c>
      <c r="E201" s="4" t="s">
        <v>10</v>
      </c>
      <c r="F201" s="5">
        <v>1500000</v>
      </c>
      <c r="G201" s="5">
        <v>0</v>
      </c>
      <c r="H201" s="5">
        <v>0</v>
      </c>
      <c r="I201" s="5">
        <v>10611479</v>
      </c>
      <c r="J201" s="4" t="s">
        <v>316</v>
      </c>
    </row>
    <row r="202" spans="1:10" ht="41.25" customHeight="1" x14ac:dyDescent="0.25">
      <c r="A202" s="3">
        <v>46150</v>
      </c>
      <c r="B202" s="3">
        <v>46150</v>
      </c>
      <c r="C202" s="4" t="s">
        <v>8</v>
      </c>
      <c r="D202" s="4" t="s">
        <v>319</v>
      </c>
      <c r="E202" s="4" t="s">
        <v>10</v>
      </c>
      <c r="F202" s="5">
        <v>1500000</v>
      </c>
      <c r="G202" s="5">
        <v>0</v>
      </c>
      <c r="H202" s="5">
        <v>0</v>
      </c>
      <c r="I202" s="5">
        <v>12529131</v>
      </c>
      <c r="J202" s="4" t="s">
        <v>320</v>
      </c>
    </row>
    <row r="203" spans="1:10" ht="41.25" customHeight="1" x14ac:dyDescent="0.25">
      <c r="A203" s="3">
        <v>46157</v>
      </c>
      <c r="B203" s="3">
        <v>46157</v>
      </c>
      <c r="C203" s="4" t="s">
        <v>29</v>
      </c>
      <c r="D203" s="4" t="s">
        <v>321</v>
      </c>
      <c r="E203" s="4" t="s">
        <v>10</v>
      </c>
      <c r="F203" s="5">
        <v>1500000</v>
      </c>
      <c r="G203" s="5">
        <v>0</v>
      </c>
      <c r="H203" s="5">
        <v>0</v>
      </c>
      <c r="I203" s="5">
        <v>10344206</v>
      </c>
      <c r="J203" s="4" t="s">
        <v>320</v>
      </c>
    </row>
    <row r="204" spans="1:10" ht="41.25" customHeight="1" x14ac:dyDescent="0.25">
      <c r="A204" s="3">
        <v>46148</v>
      </c>
      <c r="B204" s="3">
        <v>46148</v>
      </c>
      <c r="C204" s="4" t="s">
        <v>47</v>
      </c>
      <c r="D204" s="4" t="s">
        <v>322</v>
      </c>
      <c r="E204" s="4" t="s">
        <v>10</v>
      </c>
      <c r="F204" s="5">
        <v>3000000</v>
      </c>
      <c r="G204" s="5">
        <v>0</v>
      </c>
      <c r="H204" s="5">
        <v>0</v>
      </c>
      <c r="I204" s="5">
        <v>39091947</v>
      </c>
      <c r="J204" s="4" t="s">
        <v>323</v>
      </c>
    </row>
    <row r="205" spans="1:10" ht="41.25" customHeight="1" x14ac:dyDescent="0.25">
      <c r="A205" s="3">
        <v>46164</v>
      </c>
      <c r="B205" s="3">
        <v>46164</v>
      </c>
      <c r="C205" s="4" t="s">
        <v>110</v>
      </c>
      <c r="D205" s="4" t="s">
        <v>324</v>
      </c>
      <c r="E205" s="4" t="s">
        <v>10</v>
      </c>
      <c r="F205" s="5">
        <v>3000000</v>
      </c>
      <c r="G205" s="5">
        <v>0</v>
      </c>
      <c r="H205" s="5">
        <v>0</v>
      </c>
      <c r="I205" s="5">
        <v>14559499</v>
      </c>
      <c r="J205" s="4" t="s">
        <v>323</v>
      </c>
    </row>
    <row r="206" spans="1:10" ht="41.25" customHeight="1" x14ac:dyDescent="0.25">
      <c r="A206" s="3">
        <v>46145</v>
      </c>
      <c r="B206" s="3">
        <v>46145</v>
      </c>
      <c r="C206" s="4" t="s">
        <v>173</v>
      </c>
      <c r="D206" s="4" t="s">
        <v>325</v>
      </c>
      <c r="E206" s="4" t="s">
        <v>10</v>
      </c>
      <c r="F206" s="5">
        <v>1500000</v>
      </c>
      <c r="G206" s="5">
        <v>0</v>
      </c>
      <c r="H206" s="5">
        <v>0</v>
      </c>
      <c r="I206" s="5">
        <v>28359793</v>
      </c>
      <c r="J206" s="4" t="s">
        <v>326</v>
      </c>
    </row>
    <row r="207" spans="1:10" ht="41.25" customHeight="1" x14ac:dyDescent="0.25">
      <c r="A207" s="3">
        <v>46156</v>
      </c>
      <c r="B207" s="3">
        <v>46156</v>
      </c>
      <c r="C207" s="4" t="s">
        <v>58</v>
      </c>
      <c r="D207" s="4" t="s">
        <v>327</v>
      </c>
      <c r="E207" s="4" t="s">
        <v>10</v>
      </c>
      <c r="F207" s="5">
        <v>1500000</v>
      </c>
      <c r="G207" s="5">
        <v>0</v>
      </c>
      <c r="H207" s="5">
        <v>0</v>
      </c>
      <c r="I207" s="5">
        <v>16087119</v>
      </c>
      <c r="J207" s="4" t="s">
        <v>326</v>
      </c>
    </row>
    <row r="208" spans="1:10" ht="41.25" customHeight="1" x14ac:dyDescent="0.25">
      <c r="A208" s="3">
        <v>46165</v>
      </c>
      <c r="B208" s="3">
        <v>46165</v>
      </c>
      <c r="C208" s="4" t="s">
        <v>61</v>
      </c>
      <c r="D208" s="4" t="s">
        <v>328</v>
      </c>
      <c r="E208" s="4" t="s">
        <v>10</v>
      </c>
      <c r="F208" s="5">
        <v>1500000</v>
      </c>
      <c r="G208" s="5">
        <v>0</v>
      </c>
      <c r="H208" s="5">
        <v>0</v>
      </c>
      <c r="I208" s="5">
        <v>14587119</v>
      </c>
      <c r="J208" s="4" t="s">
        <v>326</v>
      </c>
    </row>
    <row r="209" spans="1:10" ht="41.25" customHeight="1" x14ac:dyDescent="0.25">
      <c r="A209" s="3">
        <v>46161</v>
      </c>
      <c r="B209" s="3">
        <v>46161</v>
      </c>
      <c r="C209" s="4" t="s">
        <v>66</v>
      </c>
      <c r="D209" s="4" t="s">
        <v>329</v>
      </c>
      <c r="E209" s="4" t="s">
        <v>10</v>
      </c>
      <c r="F209" s="5">
        <v>3000000</v>
      </c>
      <c r="G209" s="5">
        <v>0</v>
      </c>
      <c r="H209" s="5">
        <v>0</v>
      </c>
      <c r="I209" s="5">
        <v>22034005</v>
      </c>
      <c r="J209" s="4" t="s">
        <v>330</v>
      </c>
    </row>
    <row r="210" spans="1:10" ht="41.25" customHeight="1" x14ac:dyDescent="0.25">
      <c r="A210" s="3">
        <v>46172</v>
      </c>
      <c r="B210" s="3">
        <v>46172</v>
      </c>
      <c r="C210" s="4" t="s">
        <v>40</v>
      </c>
      <c r="D210" s="4" t="s">
        <v>331</v>
      </c>
      <c r="E210" s="4" t="s">
        <v>10</v>
      </c>
      <c r="F210" s="5">
        <v>3000000</v>
      </c>
      <c r="G210" s="5">
        <v>0</v>
      </c>
      <c r="H210" s="5">
        <v>0</v>
      </c>
      <c r="I210" s="5">
        <v>14034005</v>
      </c>
      <c r="J210" s="4" t="s">
        <v>330</v>
      </c>
    </row>
    <row r="211" spans="1:10" ht="41.25" customHeight="1" x14ac:dyDescent="0.25">
      <c r="A211" s="3">
        <v>46148</v>
      </c>
      <c r="B211" s="3">
        <v>46148</v>
      </c>
      <c r="C211" s="4" t="s">
        <v>47</v>
      </c>
      <c r="D211" s="4" t="s">
        <v>332</v>
      </c>
      <c r="E211" s="4" t="s">
        <v>10</v>
      </c>
      <c r="F211" s="5">
        <v>3000000</v>
      </c>
      <c r="G211" s="5">
        <v>0</v>
      </c>
      <c r="H211" s="5">
        <v>0</v>
      </c>
      <c r="I211" s="5">
        <v>45470258</v>
      </c>
      <c r="J211" s="4" t="s">
        <v>333</v>
      </c>
    </row>
    <row r="212" spans="1:10" ht="41.25" customHeight="1" x14ac:dyDescent="0.25">
      <c r="A212" s="3">
        <v>46164</v>
      </c>
      <c r="B212" s="3">
        <v>46164</v>
      </c>
      <c r="C212" s="4" t="s">
        <v>110</v>
      </c>
      <c r="D212" s="4" t="s">
        <v>334</v>
      </c>
      <c r="E212" s="4" t="s">
        <v>10</v>
      </c>
      <c r="F212" s="5">
        <v>3000000</v>
      </c>
      <c r="G212" s="5">
        <v>0</v>
      </c>
      <c r="H212" s="5">
        <v>0</v>
      </c>
      <c r="I212" s="5">
        <v>21324499</v>
      </c>
      <c r="J212" s="4" t="s">
        <v>333</v>
      </c>
    </row>
  </sheetData>
  <autoFilter ref="A1:J1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C89B7-83B6-429C-A1FB-01C5D3223990}">
  <dimension ref="A3:G89"/>
  <sheetViews>
    <sheetView topLeftCell="A58" workbookViewId="0">
      <selection activeCell="D3" sqref="D3:E87"/>
    </sheetView>
  </sheetViews>
  <sheetFormatPr defaultRowHeight="15" x14ac:dyDescent="0.25"/>
  <cols>
    <col min="1" max="1" width="14.5703125" style="6" bestFit="1" customWidth="1"/>
    <col min="2" max="2" width="17.85546875" style="6" bestFit="1" customWidth="1"/>
    <col min="4" max="4" width="13.5703125" customWidth="1"/>
    <col min="5" max="5" width="21" style="6" customWidth="1"/>
    <col min="6" max="6" width="18.140625" style="6" customWidth="1"/>
    <col min="7" max="7" width="19.7109375" style="6" customWidth="1"/>
  </cols>
  <sheetData>
    <row r="3" spans="1:7" x14ac:dyDescent="0.25">
      <c r="A3" s="65" t="s">
        <v>625</v>
      </c>
      <c r="B3" s="7" t="s">
        <v>628</v>
      </c>
      <c r="D3" t="s">
        <v>629</v>
      </c>
      <c r="E3" s="6" t="s">
        <v>630</v>
      </c>
      <c r="F3" s="6" t="s">
        <v>631</v>
      </c>
      <c r="G3" s="6" t="s">
        <v>632</v>
      </c>
    </row>
    <row r="4" spans="1:7" x14ac:dyDescent="0.25">
      <c r="A4" s="66" t="s">
        <v>298</v>
      </c>
      <c r="B4" s="7">
        <v>3000000</v>
      </c>
      <c r="D4" t="s">
        <v>298</v>
      </c>
      <c r="E4" s="6">
        <v>3000000</v>
      </c>
      <c r="F4" s="6">
        <f>+SUMIFS('Kế toán'!$F$2:$F$212,'Kế toán'!$J$2:$J$212,Sheet4!D4)</f>
        <v>3000000</v>
      </c>
      <c r="G4">
        <f>+E4-F4</f>
        <v>0</v>
      </c>
    </row>
    <row r="5" spans="1:7" x14ac:dyDescent="0.25">
      <c r="A5" s="66" t="s">
        <v>70</v>
      </c>
      <c r="B5" s="7">
        <v>3000000</v>
      </c>
      <c r="D5" t="s">
        <v>70</v>
      </c>
      <c r="E5" s="6">
        <v>3000000</v>
      </c>
      <c r="F5" s="6">
        <f>+SUMIFS('Kế toán'!$F$2:$F$212,'Kế toán'!$J$2:$J$212,Sheet4!D5)</f>
        <v>3000000</v>
      </c>
      <c r="G5">
        <f t="shared" ref="G5:G68" si="0">+E5-F5</f>
        <v>0</v>
      </c>
    </row>
    <row r="6" spans="1:7" x14ac:dyDescent="0.25">
      <c r="A6" s="66" t="s">
        <v>202</v>
      </c>
      <c r="B6" s="7">
        <v>3000000</v>
      </c>
      <c r="D6" t="s">
        <v>202</v>
      </c>
      <c r="E6" s="6">
        <v>3000000</v>
      </c>
      <c r="F6" s="6">
        <f>+SUMIFS('Kế toán'!$F$2:$F$212,'Kế toán'!$J$2:$J$212,Sheet4!D6)</f>
        <v>3000000</v>
      </c>
      <c r="G6">
        <f t="shared" si="0"/>
        <v>0</v>
      </c>
    </row>
    <row r="7" spans="1:7" x14ac:dyDescent="0.25">
      <c r="A7" s="66" t="s">
        <v>109</v>
      </c>
      <c r="B7" s="7">
        <v>6000000</v>
      </c>
      <c r="D7" t="s">
        <v>109</v>
      </c>
      <c r="E7" s="6">
        <v>6000000</v>
      </c>
      <c r="F7" s="6">
        <f>+SUMIFS('Kế toán'!$F$2:$F$212,'Kế toán'!$J$2:$J$212,Sheet4!D7)</f>
        <v>6000000</v>
      </c>
      <c r="G7">
        <f t="shared" si="0"/>
        <v>0</v>
      </c>
    </row>
    <row r="8" spans="1:7" x14ac:dyDescent="0.25">
      <c r="A8" s="66" t="s">
        <v>251</v>
      </c>
      <c r="B8" s="7">
        <v>6000000</v>
      </c>
      <c r="D8" t="s">
        <v>251</v>
      </c>
      <c r="E8" s="6">
        <v>6000000</v>
      </c>
      <c r="F8" s="6">
        <f>+SUMIFS('Kế toán'!$F$2:$F$212,'Kế toán'!$J$2:$J$212,Sheet4!D8)</f>
        <v>6000000</v>
      </c>
      <c r="G8">
        <f t="shared" si="0"/>
        <v>0</v>
      </c>
    </row>
    <row r="9" spans="1:7" x14ac:dyDescent="0.25">
      <c r="A9" s="66" t="s">
        <v>68</v>
      </c>
      <c r="B9" s="7">
        <v>3000000</v>
      </c>
      <c r="D9" t="s">
        <v>68</v>
      </c>
      <c r="E9" s="6">
        <v>3000000</v>
      </c>
      <c r="F9" s="6">
        <f>+SUMIFS('Kế toán'!$F$2:$F$212,'Kế toán'!$J$2:$J$212,Sheet4!D9)</f>
        <v>3000000</v>
      </c>
      <c r="G9">
        <f t="shared" si="0"/>
        <v>0</v>
      </c>
    </row>
    <row r="10" spans="1:7" x14ac:dyDescent="0.25">
      <c r="A10" s="66" t="s">
        <v>60</v>
      </c>
      <c r="B10" s="7">
        <v>6000000</v>
      </c>
      <c r="D10" t="s">
        <v>60</v>
      </c>
      <c r="E10" s="6">
        <v>6000000</v>
      </c>
      <c r="F10" s="6">
        <f>+SUMIFS('Kế toán'!$F$2:$F$212,'Kế toán'!$J$2:$J$212,Sheet4!D10)</f>
        <v>6000000</v>
      </c>
      <c r="G10">
        <f t="shared" si="0"/>
        <v>0</v>
      </c>
    </row>
    <row r="11" spans="1:7" x14ac:dyDescent="0.25">
      <c r="A11" s="66" t="s">
        <v>261</v>
      </c>
      <c r="B11" s="7">
        <v>6000000</v>
      </c>
      <c r="D11" t="s">
        <v>261</v>
      </c>
      <c r="E11" s="6">
        <v>6000000</v>
      </c>
      <c r="F11" s="6">
        <f>+SUMIFS('Kế toán'!$F$2:$F$212,'Kế toán'!$J$2:$J$212,Sheet4!D11)</f>
        <v>6000000</v>
      </c>
      <c r="G11">
        <f t="shared" si="0"/>
        <v>0</v>
      </c>
    </row>
    <row r="12" spans="1:7" x14ac:dyDescent="0.25">
      <c r="A12" s="66" t="s">
        <v>96</v>
      </c>
      <c r="B12" s="7">
        <v>3000000</v>
      </c>
      <c r="D12" t="s">
        <v>96</v>
      </c>
      <c r="E12" s="6">
        <v>3000000</v>
      </c>
      <c r="F12" s="6">
        <f>+SUMIFS('Kế toán'!$F$2:$F$212,'Kế toán'!$J$2:$J$212,Sheet4!D12)</f>
        <v>3000000</v>
      </c>
      <c r="G12">
        <f t="shared" si="0"/>
        <v>0</v>
      </c>
    </row>
    <row r="13" spans="1:7" x14ac:dyDescent="0.25">
      <c r="A13" s="66" t="s">
        <v>323</v>
      </c>
      <c r="B13" s="7">
        <v>6000000</v>
      </c>
      <c r="D13" t="s">
        <v>323</v>
      </c>
      <c r="E13" s="6">
        <v>6000000</v>
      </c>
      <c r="F13" s="6">
        <f>+SUMIFS('Kế toán'!$F$2:$F$212,'Kế toán'!$J$2:$J$212,Sheet4!D13)</f>
        <v>6000000</v>
      </c>
      <c r="G13">
        <f t="shared" si="0"/>
        <v>0</v>
      </c>
    </row>
    <row r="14" spans="1:7" x14ac:dyDescent="0.25">
      <c r="A14" s="66" t="s">
        <v>249</v>
      </c>
      <c r="B14" s="7">
        <v>3000000</v>
      </c>
      <c r="D14" t="s">
        <v>249</v>
      </c>
      <c r="E14" s="6">
        <v>3000000</v>
      </c>
      <c r="F14" s="6">
        <f>+SUMIFS('Kế toán'!$F$2:$F$212,'Kế toán'!$J$2:$J$212,Sheet4!D14)</f>
        <v>3000000</v>
      </c>
      <c r="G14">
        <f t="shared" si="0"/>
        <v>0</v>
      </c>
    </row>
    <row r="15" spans="1:7" x14ac:dyDescent="0.25">
      <c r="A15" s="66" t="s">
        <v>80</v>
      </c>
      <c r="B15" s="7">
        <v>6000000</v>
      </c>
      <c r="D15" t="s">
        <v>80</v>
      </c>
      <c r="E15" s="6">
        <v>6000000</v>
      </c>
      <c r="F15" s="6">
        <f>+SUMIFS('Kế toán'!$F$2:$F$212,'Kế toán'!$J$2:$J$212,Sheet4!D15)</f>
        <v>6000000</v>
      </c>
      <c r="G15">
        <f t="shared" si="0"/>
        <v>0</v>
      </c>
    </row>
    <row r="16" spans="1:7" x14ac:dyDescent="0.25">
      <c r="A16" s="66" t="s">
        <v>84</v>
      </c>
      <c r="B16" s="7">
        <v>6000000</v>
      </c>
      <c r="D16" t="s">
        <v>84</v>
      </c>
      <c r="E16" s="6">
        <v>6000000</v>
      </c>
      <c r="F16" s="6">
        <f>+SUMIFS('Kế toán'!$F$2:$F$212,'Kế toán'!$J$2:$J$212,Sheet4!D16)</f>
        <v>6000000</v>
      </c>
      <c r="G16">
        <f t="shared" si="0"/>
        <v>0</v>
      </c>
    </row>
    <row r="17" spans="1:7" x14ac:dyDescent="0.25">
      <c r="A17" s="66" t="s">
        <v>296</v>
      </c>
      <c r="B17" s="7">
        <v>3000000</v>
      </c>
      <c r="D17" t="s">
        <v>296</v>
      </c>
      <c r="E17" s="6">
        <v>3000000</v>
      </c>
      <c r="F17" s="6">
        <f>+SUMIFS('Kế toán'!$F$2:$F$212,'Kế toán'!$J$2:$J$212,Sheet4!D17)</f>
        <v>3000000</v>
      </c>
      <c r="G17">
        <f t="shared" si="0"/>
        <v>0</v>
      </c>
    </row>
    <row r="18" spans="1:7" x14ac:dyDescent="0.25">
      <c r="A18" s="66" t="s">
        <v>57</v>
      </c>
      <c r="B18" s="7">
        <v>3000000</v>
      </c>
      <c r="D18" t="s">
        <v>57</v>
      </c>
      <c r="E18" s="6">
        <v>3000000</v>
      </c>
      <c r="F18" s="6">
        <f>+SUMIFS('Kế toán'!$F$2:$F$212,'Kế toán'!$J$2:$J$212,Sheet4!D18)</f>
        <v>3000000</v>
      </c>
      <c r="G18">
        <f t="shared" si="0"/>
        <v>0</v>
      </c>
    </row>
    <row r="19" spans="1:7" x14ac:dyDescent="0.25">
      <c r="A19" s="66" t="s">
        <v>276</v>
      </c>
      <c r="B19" s="7">
        <v>1500000</v>
      </c>
      <c r="D19" t="s">
        <v>276</v>
      </c>
      <c r="E19" s="6">
        <v>1500000</v>
      </c>
      <c r="F19" s="6">
        <f>+SUMIFS('Kế toán'!$F$2:$F$212,'Kế toán'!$J$2:$J$212,Sheet4!D19)</f>
        <v>1500000</v>
      </c>
      <c r="G19">
        <f t="shared" si="0"/>
        <v>0</v>
      </c>
    </row>
    <row r="20" spans="1:7" x14ac:dyDescent="0.25">
      <c r="A20" s="66" t="s">
        <v>231</v>
      </c>
      <c r="B20" s="7">
        <v>6000000</v>
      </c>
      <c r="D20" t="s">
        <v>231</v>
      </c>
      <c r="E20" s="6">
        <v>6000000</v>
      </c>
      <c r="F20" s="6">
        <f>+SUMIFS('Kế toán'!$F$2:$F$212,'Kế toán'!$J$2:$J$212,Sheet4!D20)</f>
        <v>6000000</v>
      </c>
      <c r="G20">
        <f t="shared" si="0"/>
        <v>0</v>
      </c>
    </row>
    <row r="21" spans="1:7" x14ac:dyDescent="0.25">
      <c r="A21" s="66" t="s">
        <v>330</v>
      </c>
      <c r="B21" s="7">
        <v>6000000</v>
      </c>
      <c r="D21" t="s">
        <v>330</v>
      </c>
      <c r="E21" s="6">
        <v>6000000</v>
      </c>
      <c r="F21" s="6">
        <f>+SUMIFS('Kế toán'!$F$2:$F$212,'Kế toán'!$J$2:$J$212,Sheet4!D21)</f>
        <v>6000000</v>
      </c>
      <c r="G21">
        <f t="shared" si="0"/>
        <v>0</v>
      </c>
    </row>
    <row r="22" spans="1:7" x14ac:dyDescent="0.25">
      <c r="A22" s="66" t="s">
        <v>49</v>
      </c>
      <c r="B22" s="7">
        <v>6000000</v>
      </c>
      <c r="D22" t="s">
        <v>49</v>
      </c>
      <c r="E22" s="6">
        <v>6000000</v>
      </c>
      <c r="F22" s="6">
        <f>+SUMIFS('Kế toán'!$F$2:$F$212,'Kế toán'!$J$2:$J$212,Sheet4!D22)</f>
        <v>6000000</v>
      </c>
      <c r="G22">
        <f t="shared" si="0"/>
        <v>0</v>
      </c>
    </row>
    <row r="23" spans="1:7" x14ac:dyDescent="0.25">
      <c r="A23" s="66" t="s">
        <v>199</v>
      </c>
      <c r="B23" s="7">
        <v>3000000</v>
      </c>
      <c r="D23" t="s">
        <v>199</v>
      </c>
      <c r="E23" s="6">
        <v>3000000</v>
      </c>
      <c r="F23" s="6">
        <f>+SUMIFS('Kế toán'!$F$2:$F$212,'Kế toán'!$J$2:$J$212,Sheet4!D23)</f>
        <v>3000000</v>
      </c>
      <c r="G23">
        <f t="shared" si="0"/>
        <v>0</v>
      </c>
    </row>
    <row r="24" spans="1:7" x14ac:dyDescent="0.25">
      <c r="A24" s="66" t="s">
        <v>333</v>
      </c>
      <c r="B24" s="7">
        <v>6000000</v>
      </c>
      <c r="D24" t="s">
        <v>333</v>
      </c>
      <c r="E24" s="6">
        <v>6000000</v>
      </c>
      <c r="F24" s="6">
        <f>+SUMIFS('Kế toán'!$F$2:$F$212,'Kế toán'!$J$2:$J$212,Sheet4!D24)</f>
        <v>6000000</v>
      </c>
      <c r="G24">
        <f t="shared" si="0"/>
        <v>0</v>
      </c>
    </row>
    <row r="25" spans="1:7" x14ac:dyDescent="0.25">
      <c r="A25" s="66" t="s">
        <v>138</v>
      </c>
      <c r="B25" s="7">
        <v>3000000</v>
      </c>
      <c r="D25" t="s">
        <v>138</v>
      </c>
      <c r="E25" s="6">
        <v>3000000</v>
      </c>
      <c r="F25" s="6">
        <f>+SUMIFS('Kế toán'!$F$2:$F$212,'Kế toán'!$J$2:$J$212,Sheet4!D25)</f>
        <v>3000000</v>
      </c>
      <c r="G25">
        <f t="shared" si="0"/>
        <v>0</v>
      </c>
    </row>
    <row r="26" spans="1:7" x14ac:dyDescent="0.25">
      <c r="A26" s="66" t="s">
        <v>259</v>
      </c>
      <c r="B26" s="7">
        <v>3000000</v>
      </c>
      <c r="D26" t="s">
        <v>259</v>
      </c>
      <c r="E26" s="6">
        <v>3000000</v>
      </c>
      <c r="F26" s="6">
        <f>+SUMIFS('Kế toán'!$F$2:$F$212,'Kế toán'!$J$2:$J$212,Sheet4!D26)</f>
        <v>3000000</v>
      </c>
      <c r="G26">
        <f t="shared" si="0"/>
        <v>0</v>
      </c>
    </row>
    <row r="27" spans="1:7" x14ac:dyDescent="0.25">
      <c r="A27" s="66" t="s">
        <v>278</v>
      </c>
      <c r="B27" s="7">
        <v>6000000</v>
      </c>
      <c r="D27" t="s">
        <v>278</v>
      </c>
      <c r="E27" s="6">
        <v>6000000</v>
      </c>
      <c r="F27" s="6">
        <f>+SUMIFS('Kế toán'!$F$2:$F$212,'Kế toán'!$J$2:$J$212,Sheet4!D27)</f>
        <v>6000000</v>
      </c>
      <c r="G27">
        <f t="shared" si="0"/>
        <v>0</v>
      </c>
    </row>
    <row r="28" spans="1:7" x14ac:dyDescent="0.25">
      <c r="A28" s="66" t="s">
        <v>117</v>
      </c>
      <c r="B28" s="7">
        <v>6000000</v>
      </c>
      <c r="D28" t="s">
        <v>117</v>
      </c>
      <c r="E28" s="6">
        <v>6000000</v>
      </c>
      <c r="F28" s="6">
        <f>+SUMIFS('Kế toán'!$F$2:$F$212,'Kế toán'!$J$2:$J$212,Sheet4!D28)</f>
        <v>6000000</v>
      </c>
      <c r="G28">
        <f t="shared" si="0"/>
        <v>0</v>
      </c>
    </row>
    <row r="29" spans="1:7" x14ac:dyDescent="0.25">
      <c r="A29" s="66" t="s">
        <v>269</v>
      </c>
      <c r="B29" s="7">
        <v>4500000</v>
      </c>
      <c r="D29" t="s">
        <v>269</v>
      </c>
      <c r="E29" s="6">
        <v>4500000</v>
      </c>
      <c r="F29" s="6">
        <f>+SUMIFS('Kế toán'!$F$2:$F$212,'Kế toán'!$J$2:$J$212,Sheet4!D29)</f>
        <v>4500000</v>
      </c>
      <c r="G29">
        <f t="shared" si="0"/>
        <v>0</v>
      </c>
    </row>
    <row r="30" spans="1:7" x14ac:dyDescent="0.25">
      <c r="A30" s="66" t="s">
        <v>305</v>
      </c>
      <c r="B30" s="7">
        <v>6000000</v>
      </c>
      <c r="D30" t="s">
        <v>305</v>
      </c>
      <c r="E30" s="6">
        <v>6000000</v>
      </c>
      <c r="F30" s="6">
        <f>+SUMIFS('Kế toán'!$F$2:$F$212,'Kế toán'!$J$2:$J$212,Sheet4!D30)</f>
        <v>6000000</v>
      </c>
      <c r="G30" s="6">
        <f t="shared" si="0"/>
        <v>0</v>
      </c>
    </row>
    <row r="31" spans="1:7" x14ac:dyDescent="0.25">
      <c r="A31" s="66" t="s">
        <v>212</v>
      </c>
      <c r="B31" s="7">
        <v>6000000</v>
      </c>
      <c r="D31" t="s">
        <v>212</v>
      </c>
      <c r="E31" s="6">
        <v>6000000</v>
      </c>
      <c r="F31" s="6">
        <f>+SUMIFS('Kế toán'!$F$2:$F$212,'Kế toán'!$J$2:$J$212,Sheet4!D31)</f>
        <v>6000000</v>
      </c>
      <c r="G31">
        <f t="shared" si="0"/>
        <v>0</v>
      </c>
    </row>
    <row r="32" spans="1:7" x14ac:dyDescent="0.25">
      <c r="A32" s="66" t="s">
        <v>238</v>
      </c>
      <c r="B32" s="7">
        <v>3000000</v>
      </c>
      <c r="D32" t="s">
        <v>238</v>
      </c>
      <c r="E32" s="6">
        <v>3000000</v>
      </c>
      <c r="F32" s="6">
        <f>+SUMIFS('Kế toán'!$F$2:$F$212,'Kế toán'!$J$2:$J$212,Sheet4!D32)</f>
        <v>3000000</v>
      </c>
      <c r="G32">
        <f t="shared" si="0"/>
        <v>0</v>
      </c>
    </row>
    <row r="33" spans="1:7" x14ac:dyDescent="0.25">
      <c r="A33" s="66" t="s">
        <v>301</v>
      </c>
      <c r="B33" s="7">
        <v>4500000</v>
      </c>
      <c r="D33" t="s">
        <v>301</v>
      </c>
      <c r="E33" s="6">
        <v>4500000</v>
      </c>
      <c r="F33" s="6">
        <f>+SUMIFS('Kế toán'!$F$2:$F$212,'Kế toán'!$J$2:$J$212,Sheet4!D33)</f>
        <v>4500000</v>
      </c>
      <c r="G33">
        <f t="shared" si="0"/>
        <v>0</v>
      </c>
    </row>
    <row r="34" spans="1:7" x14ac:dyDescent="0.25">
      <c r="A34" s="66" t="s">
        <v>52</v>
      </c>
      <c r="B34" s="7">
        <v>6000000</v>
      </c>
      <c r="D34" t="s">
        <v>52</v>
      </c>
      <c r="E34" s="6">
        <v>6000000</v>
      </c>
      <c r="F34" s="6">
        <f>+SUMIFS('Kế toán'!$F$2:$F$212,'Kế toán'!$J$2:$J$212,Sheet4!D34)</f>
        <v>6000000</v>
      </c>
      <c r="G34">
        <f t="shared" si="0"/>
        <v>0</v>
      </c>
    </row>
    <row r="35" spans="1:7" x14ac:dyDescent="0.25">
      <c r="A35" s="66" t="s">
        <v>175</v>
      </c>
      <c r="B35" s="7">
        <v>4500000</v>
      </c>
      <c r="D35" t="s">
        <v>175</v>
      </c>
      <c r="E35" s="6">
        <v>4500000</v>
      </c>
      <c r="F35" s="6">
        <f>+SUMIFS('Kế toán'!$F$2:$F$212,'Kế toán'!$J$2:$J$212,Sheet4!D35)</f>
        <v>4500000</v>
      </c>
      <c r="G35">
        <f t="shared" si="0"/>
        <v>0</v>
      </c>
    </row>
    <row r="36" spans="1:7" x14ac:dyDescent="0.25">
      <c r="A36" s="66" t="s">
        <v>326</v>
      </c>
      <c r="B36" s="7">
        <v>4500000</v>
      </c>
      <c r="D36" t="s">
        <v>326</v>
      </c>
      <c r="E36" s="6">
        <v>4500000</v>
      </c>
      <c r="F36" s="6">
        <f>+SUMIFS('Kế toán'!$F$2:$F$212,'Kế toán'!$J$2:$J$212,Sheet4!D36)</f>
        <v>4500000</v>
      </c>
      <c r="G36">
        <f t="shared" si="0"/>
        <v>0</v>
      </c>
    </row>
    <row r="37" spans="1:7" x14ac:dyDescent="0.25">
      <c r="A37" s="66" t="s">
        <v>264</v>
      </c>
      <c r="B37" s="7">
        <v>6000000</v>
      </c>
      <c r="D37" t="s">
        <v>264</v>
      </c>
      <c r="E37" s="6">
        <v>6000000</v>
      </c>
      <c r="F37" s="6">
        <f>+SUMIFS('Kế toán'!$F$2:$F$212,'Kế toán'!$J$2:$J$212,Sheet4!D37)</f>
        <v>6000000</v>
      </c>
      <c r="G37">
        <f t="shared" si="0"/>
        <v>0</v>
      </c>
    </row>
    <row r="38" spans="1:7" x14ac:dyDescent="0.25">
      <c r="A38" s="66" t="s">
        <v>128</v>
      </c>
      <c r="B38" s="7">
        <v>6000000</v>
      </c>
      <c r="D38" t="s">
        <v>128</v>
      </c>
      <c r="E38" s="6">
        <v>6000000</v>
      </c>
      <c r="F38" s="6">
        <f>+SUMIFS('Kế toán'!$F$2:$F$212,'Kế toán'!$J$2:$J$212,Sheet4!D38)</f>
        <v>6000000</v>
      </c>
      <c r="G38">
        <f t="shared" si="0"/>
        <v>0</v>
      </c>
    </row>
    <row r="39" spans="1:7" x14ac:dyDescent="0.25">
      <c r="A39" s="66" t="s">
        <v>192</v>
      </c>
      <c r="B39" s="7">
        <v>4500000</v>
      </c>
      <c r="D39" t="s">
        <v>192</v>
      </c>
      <c r="E39" s="6">
        <v>4500000</v>
      </c>
      <c r="F39" s="6">
        <f>+SUMIFS('Kế toán'!$F$2:$F$212,'Kế toán'!$J$2:$J$212,Sheet4!D39)</f>
        <v>4500000</v>
      </c>
      <c r="G39">
        <f t="shared" si="0"/>
        <v>0</v>
      </c>
    </row>
    <row r="40" spans="1:7" x14ac:dyDescent="0.25">
      <c r="A40" s="66" t="s">
        <v>153</v>
      </c>
      <c r="B40" s="7">
        <v>4500000</v>
      </c>
      <c r="D40" t="s">
        <v>153</v>
      </c>
      <c r="E40" s="6">
        <v>4500000</v>
      </c>
      <c r="F40" s="6">
        <f>+SUMIFS('Kế toán'!$F$2:$F$212,'Kế toán'!$J$2:$J$212,Sheet4!D40)</f>
        <v>4500000</v>
      </c>
      <c r="G40">
        <f t="shared" si="0"/>
        <v>0</v>
      </c>
    </row>
    <row r="41" spans="1:7" x14ac:dyDescent="0.25">
      <c r="A41" s="66" t="s">
        <v>161</v>
      </c>
      <c r="B41" s="7">
        <v>4500000</v>
      </c>
      <c r="D41" t="s">
        <v>161</v>
      </c>
      <c r="E41" s="6">
        <v>4500000</v>
      </c>
      <c r="F41" s="6">
        <f>+SUMIFS('Kế toán'!$F$2:$F$212,'Kế toán'!$J$2:$J$212,Sheet4!D41)</f>
        <v>4500000</v>
      </c>
      <c r="G41">
        <f t="shared" si="0"/>
        <v>0</v>
      </c>
    </row>
    <row r="42" spans="1:7" x14ac:dyDescent="0.25">
      <c r="A42" s="66" t="s">
        <v>17</v>
      </c>
      <c r="B42" s="7">
        <v>4500000</v>
      </c>
      <c r="D42" t="s">
        <v>17</v>
      </c>
      <c r="E42" s="6">
        <v>4500000</v>
      </c>
      <c r="F42" s="6">
        <f>+SUMIFS('Kế toán'!$F$2:$F$212,'Kế toán'!$J$2:$J$212,Sheet4!D42)</f>
        <v>4500000</v>
      </c>
      <c r="G42">
        <f t="shared" si="0"/>
        <v>0</v>
      </c>
    </row>
    <row r="43" spans="1:7" x14ac:dyDescent="0.25">
      <c r="A43" s="66" t="s">
        <v>254</v>
      </c>
      <c r="B43" s="7">
        <v>6000000</v>
      </c>
      <c r="D43" t="s">
        <v>254</v>
      </c>
      <c r="E43" s="6">
        <v>6000000</v>
      </c>
      <c r="F43" s="6">
        <f>+SUMIFS('Kế toán'!$F$2:$F$212,'Kế toán'!$J$2:$J$212,Sheet4!D43)</f>
        <v>6000000</v>
      </c>
      <c r="G43">
        <f t="shared" si="0"/>
        <v>0</v>
      </c>
    </row>
    <row r="44" spans="1:7" x14ac:dyDescent="0.25">
      <c r="A44" s="66" t="s">
        <v>310</v>
      </c>
      <c r="B44" s="7">
        <v>7500000</v>
      </c>
      <c r="D44" t="s">
        <v>310</v>
      </c>
      <c r="E44" s="6">
        <v>7500000</v>
      </c>
      <c r="F44" s="6">
        <f>+SUMIFS('Kế toán'!$F$2:$F$212,'Kế toán'!$J$2:$J$212,Sheet4!D44)</f>
        <v>7500000</v>
      </c>
      <c r="G44">
        <f t="shared" si="0"/>
        <v>0</v>
      </c>
    </row>
    <row r="45" spans="1:7" x14ac:dyDescent="0.25">
      <c r="A45" s="66" t="s">
        <v>35</v>
      </c>
      <c r="B45" s="7">
        <v>6000000</v>
      </c>
      <c r="D45" t="s">
        <v>35</v>
      </c>
      <c r="E45" s="6">
        <v>6000000</v>
      </c>
      <c r="F45" s="6">
        <f>+SUMIFS('Kế toán'!$F$2:$F$212,'Kế toán'!$J$2:$J$212,Sheet4!D45)</f>
        <v>6000000</v>
      </c>
      <c r="G45">
        <f t="shared" si="0"/>
        <v>0</v>
      </c>
    </row>
    <row r="46" spans="1:7" x14ac:dyDescent="0.25">
      <c r="A46" s="66" t="s">
        <v>222</v>
      </c>
      <c r="B46" s="7">
        <v>4500000</v>
      </c>
      <c r="D46" t="s">
        <v>222</v>
      </c>
      <c r="E46" s="6">
        <v>4500000</v>
      </c>
      <c r="F46" s="6">
        <f>+SUMIFS('Kế toán'!$F$2:$F$212,'Kế toán'!$J$2:$J$212,Sheet4!D46)</f>
        <v>4500000</v>
      </c>
      <c r="G46">
        <f t="shared" si="0"/>
        <v>0</v>
      </c>
    </row>
    <row r="47" spans="1:7" x14ac:dyDescent="0.25">
      <c r="A47" s="66" t="s">
        <v>107</v>
      </c>
      <c r="B47" s="7">
        <v>1500000</v>
      </c>
      <c r="D47" t="s">
        <v>107</v>
      </c>
      <c r="E47" s="6">
        <v>1500000</v>
      </c>
      <c r="F47" s="6">
        <f>+SUMIFS('Kế toán'!$F$2:$F$212,'Kế toán'!$J$2:$J$212,Sheet4!D47)</f>
        <v>1500000</v>
      </c>
      <c r="G47">
        <f t="shared" si="0"/>
        <v>0</v>
      </c>
    </row>
    <row r="48" spans="1:7" x14ac:dyDescent="0.25">
      <c r="A48" s="66" t="s">
        <v>294</v>
      </c>
      <c r="B48" s="7">
        <v>3000000</v>
      </c>
      <c r="D48" t="s">
        <v>294</v>
      </c>
      <c r="E48" s="6">
        <v>3000000</v>
      </c>
      <c r="F48" s="6">
        <f>+SUMIFS('Kế toán'!$F$2:$F$212,'Kế toán'!$J$2:$J$212,Sheet4!D48)</f>
        <v>3000000</v>
      </c>
      <c r="G48">
        <f t="shared" si="0"/>
        <v>0</v>
      </c>
    </row>
    <row r="49" spans="1:7" x14ac:dyDescent="0.25">
      <c r="A49" s="66" t="s">
        <v>382</v>
      </c>
      <c r="B49" s="7">
        <v>3000000</v>
      </c>
      <c r="D49" t="s">
        <v>382</v>
      </c>
      <c r="E49" s="6">
        <v>3000000</v>
      </c>
      <c r="F49" s="6">
        <f>+SUMIFS('Kế toán'!$F$2:$F$212,'Kế toán'!$J$2:$J$212,Sheet4!D49)</f>
        <v>3000000</v>
      </c>
      <c r="G49" s="6">
        <f t="shared" si="0"/>
        <v>0</v>
      </c>
    </row>
    <row r="50" spans="1:7" x14ac:dyDescent="0.25">
      <c r="A50" s="66" t="s">
        <v>73</v>
      </c>
      <c r="B50" s="7">
        <v>6000000</v>
      </c>
      <c r="D50" t="s">
        <v>73</v>
      </c>
      <c r="E50" s="6">
        <v>6000000</v>
      </c>
      <c r="F50" s="6">
        <f>+SUMIFS('Kế toán'!$F$2:$F$212,'Kế toán'!$J$2:$J$212,Sheet4!D50)</f>
        <v>6000000</v>
      </c>
      <c r="G50">
        <f t="shared" si="0"/>
        <v>0</v>
      </c>
    </row>
    <row r="51" spans="1:7" x14ac:dyDescent="0.25">
      <c r="A51" s="66" t="s">
        <v>150</v>
      </c>
      <c r="B51" s="7">
        <v>3000000</v>
      </c>
      <c r="D51" t="s">
        <v>150</v>
      </c>
      <c r="E51" s="6">
        <v>3000000</v>
      </c>
      <c r="F51" s="6">
        <f>+SUMIFS('Kế toán'!$F$2:$F$212,'Kế toán'!$J$2:$J$212,Sheet4!D51)</f>
        <v>3000000</v>
      </c>
      <c r="G51">
        <f t="shared" si="0"/>
        <v>0</v>
      </c>
    </row>
    <row r="52" spans="1:7" x14ac:dyDescent="0.25">
      <c r="A52" s="66" t="s">
        <v>283</v>
      </c>
      <c r="B52" s="7">
        <v>4500000</v>
      </c>
      <c r="D52" t="s">
        <v>283</v>
      </c>
      <c r="E52" s="6">
        <v>4500000</v>
      </c>
      <c r="F52" s="6">
        <f>+SUMIFS('Kế toán'!$F$2:$F$212,'Kế toán'!$J$2:$J$212,Sheet4!D52)</f>
        <v>4500000</v>
      </c>
      <c r="G52">
        <f t="shared" si="0"/>
        <v>0</v>
      </c>
    </row>
    <row r="53" spans="1:7" x14ac:dyDescent="0.25">
      <c r="A53" s="66" t="s">
        <v>23</v>
      </c>
      <c r="B53" s="7">
        <v>1500000</v>
      </c>
      <c r="D53" t="s">
        <v>23</v>
      </c>
      <c r="E53" s="6">
        <v>1500000</v>
      </c>
      <c r="F53" s="6">
        <f>+SUMIFS('Kế toán'!$F$2:$F$212,'Kế toán'!$J$2:$J$212,Sheet4!D53)</f>
        <v>1500000</v>
      </c>
      <c r="G53">
        <f t="shared" si="0"/>
        <v>0</v>
      </c>
    </row>
    <row r="54" spans="1:7" x14ac:dyDescent="0.25">
      <c r="A54" s="66" t="s">
        <v>87</v>
      </c>
      <c r="B54" s="7">
        <v>4500000</v>
      </c>
      <c r="D54" t="s">
        <v>87</v>
      </c>
      <c r="E54" s="6">
        <v>4500000</v>
      </c>
      <c r="F54" s="6">
        <f>+SUMIFS('Kế toán'!$F$2:$F$212,'Kế toán'!$J$2:$J$212,Sheet4!D54)</f>
        <v>4500000</v>
      </c>
      <c r="G54">
        <f t="shared" si="0"/>
        <v>0</v>
      </c>
    </row>
    <row r="55" spans="1:7" x14ac:dyDescent="0.25">
      <c r="A55" s="66" t="s">
        <v>44</v>
      </c>
      <c r="B55" s="7">
        <v>4500000</v>
      </c>
      <c r="D55" t="s">
        <v>44</v>
      </c>
      <c r="E55" s="6">
        <v>4500000</v>
      </c>
      <c r="F55" s="6">
        <f>+SUMIFS('Kế toán'!$F$2:$F$212,'Kế toán'!$J$2:$J$212,Sheet4!D55)</f>
        <v>4500000</v>
      </c>
      <c r="G55">
        <f t="shared" si="0"/>
        <v>0</v>
      </c>
    </row>
    <row r="56" spans="1:7" x14ac:dyDescent="0.25">
      <c r="A56" s="66" t="s">
        <v>287</v>
      </c>
      <c r="B56" s="7">
        <v>6000000</v>
      </c>
      <c r="D56" t="s">
        <v>287</v>
      </c>
      <c r="E56" s="6">
        <v>6000000</v>
      </c>
      <c r="F56" s="6">
        <f>+SUMIFS('Kế toán'!$F$2:$F$212,'Kế toán'!$J$2:$J$212,Sheet4!D56)</f>
        <v>6000000</v>
      </c>
      <c r="G56">
        <f t="shared" si="0"/>
        <v>0</v>
      </c>
    </row>
    <row r="57" spans="1:7" x14ac:dyDescent="0.25">
      <c r="A57" s="66" t="s">
        <v>273</v>
      </c>
      <c r="B57" s="7">
        <v>3000000</v>
      </c>
      <c r="D57" t="s">
        <v>273</v>
      </c>
      <c r="E57" s="6">
        <v>3000000</v>
      </c>
      <c r="F57" s="6">
        <f>+SUMIFS('Kế toán'!$F$2:$F$212,'Kế toán'!$J$2:$J$212,Sheet4!D57)</f>
        <v>3000000</v>
      </c>
      <c r="G57">
        <f t="shared" si="0"/>
        <v>0</v>
      </c>
    </row>
    <row r="58" spans="1:7" x14ac:dyDescent="0.25">
      <c r="A58" s="66" t="s">
        <v>123</v>
      </c>
      <c r="B58" s="7">
        <v>4500000</v>
      </c>
      <c r="D58" t="s">
        <v>123</v>
      </c>
      <c r="E58" s="6">
        <v>4500000</v>
      </c>
      <c r="F58" s="6">
        <f>+SUMIFS('Kế toán'!$F$2:$F$212,'Kế toán'!$J$2:$J$212,Sheet4!D58)</f>
        <v>4500000</v>
      </c>
      <c r="G58">
        <f t="shared" si="0"/>
        <v>0</v>
      </c>
    </row>
    <row r="59" spans="1:7" x14ac:dyDescent="0.25">
      <c r="A59" s="66" t="s">
        <v>196</v>
      </c>
      <c r="B59" s="7">
        <v>6000000</v>
      </c>
      <c r="D59" t="s">
        <v>196</v>
      </c>
      <c r="E59" s="6">
        <v>6000000</v>
      </c>
      <c r="F59" s="6">
        <f>+SUMIFS('Kế toán'!$F$2:$F$212,'Kế toán'!$J$2:$J$212,Sheet4!D59)</f>
        <v>6000000</v>
      </c>
      <c r="G59">
        <f t="shared" si="0"/>
        <v>0</v>
      </c>
    </row>
    <row r="60" spans="1:7" x14ac:dyDescent="0.25">
      <c r="A60" s="66" t="s">
        <v>113</v>
      </c>
      <c r="B60" s="7">
        <v>4500000</v>
      </c>
      <c r="D60" t="s">
        <v>113</v>
      </c>
      <c r="E60" s="6">
        <v>4500000</v>
      </c>
      <c r="F60" s="6">
        <f>+SUMIFS('Kế toán'!$F$2:$F$212,'Kế toán'!$J$2:$J$212,Sheet4!D60)</f>
        <v>4500000</v>
      </c>
      <c r="G60">
        <f t="shared" si="0"/>
        <v>0</v>
      </c>
    </row>
    <row r="61" spans="1:7" x14ac:dyDescent="0.25">
      <c r="A61" s="66" t="s">
        <v>316</v>
      </c>
      <c r="B61" s="7">
        <v>4500000</v>
      </c>
      <c r="D61" t="s">
        <v>316</v>
      </c>
      <c r="E61" s="6">
        <v>4500000</v>
      </c>
      <c r="F61" s="6">
        <f>+SUMIFS('Kế toán'!$F$2:$F$212,'Kế toán'!$J$2:$J$212,Sheet4!D61)</f>
        <v>4500000</v>
      </c>
      <c r="G61">
        <f t="shared" si="0"/>
        <v>0</v>
      </c>
    </row>
    <row r="62" spans="1:7" x14ac:dyDescent="0.25">
      <c r="A62" s="66" t="s">
        <v>170</v>
      </c>
      <c r="B62" s="7">
        <v>4500000</v>
      </c>
      <c r="D62" t="s">
        <v>170</v>
      </c>
      <c r="E62" s="6">
        <v>4500000</v>
      </c>
      <c r="F62" s="6">
        <f>+SUMIFS('Kế toán'!$F$2:$F$212,'Kế toán'!$J$2:$J$212,Sheet4!D62)</f>
        <v>4500000</v>
      </c>
      <c r="G62">
        <f t="shared" si="0"/>
        <v>0</v>
      </c>
    </row>
    <row r="63" spans="1:7" x14ac:dyDescent="0.25">
      <c r="A63" s="66" t="s">
        <v>145</v>
      </c>
      <c r="B63" s="7">
        <v>4500000</v>
      </c>
      <c r="D63" t="s">
        <v>145</v>
      </c>
      <c r="E63" s="6">
        <v>4500000</v>
      </c>
      <c r="F63" s="6">
        <f>+SUMIFS('Kế toán'!$F$2:$F$212,'Kế toán'!$J$2:$J$212,Sheet4!D63)</f>
        <v>4500000</v>
      </c>
      <c r="G63">
        <f t="shared" si="0"/>
        <v>0</v>
      </c>
    </row>
    <row r="64" spans="1:7" x14ac:dyDescent="0.25">
      <c r="A64" s="66" t="s">
        <v>140</v>
      </c>
      <c r="B64" s="7">
        <v>6000000</v>
      </c>
      <c r="D64" t="s">
        <v>140</v>
      </c>
      <c r="E64" s="6">
        <v>6000000</v>
      </c>
      <c r="F64" s="6">
        <f>+SUMIFS('Kế toán'!$F$2:$F$212,'Kế toán'!$J$2:$J$212,Sheet4!D64)</f>
        <v>6000000</v>
      </c>
      <c r="G64">
        <f t="shared" si="0"/>
        <v>0</v>
      </c>
    </row>
    <row r="65" spans="1:7" x14ac:dyDescent="0.25">
      <c r="A65" s="66" t="s">
        <v>179</v>
      </c>
      <c r="B65" s="7">
        <v>6000000</v>
      </c>
      <c r="D65" t="s">
        <v>179</v>
      </c>
      <c r="E65" s="6">
        <v>6000000</v>
      </c>
      <c r="F65" s="6">
        <f>+SUMIFS('Kế toán'!$F$2:$F$212,'Kế toán'!$J$2:$J$212,Sheet4!D65)</f>
        <v>6000000</v>
      </c>
      <c r="G65">
        <f t="shared" si="0"/>
        <v>0</v>
      </c>
    </row>
    <row r="66" spans="1:7" x14ac:dyDescent="0.25">
      <c r="A66" s="66" t="s">
        <v>11</v>
      </c>
      <c r="B66" s="7">
        <v>1500000</v>
      </c>
      <c r="D66" t="s">
        <v>11</v>
      </c>
      <c r="E66" s="6">
        <v>1500000</v>
      </c>
      <c r="F66" s="6">
        <f>+SUMIFS('Kế toán'!$F$2:$F$212,'Kế toán'!$J$2:$J$212,Sheet4!D66)</f>
        <v>1500000</v>
      </c>
      <c r="G66">
        <f t="shared" si="0"/>
        <v>0</v>
      </c>
    </row>
    <row r="67" spans="1:7" x14ac:dyDescent="0.25">
      <c r="A67" s="66" t="s">
        <v>209</v>
      </c>
      <c r="B67" s="7">
        <v>3000000</v>
      </c>
      <c r="D67" t="s">
        <v>209</v>
      </c>
      <c r="E67" s="6">
        <v>3000000</v>
      </c>
      <c r="F67" s="6">
        <f>+SUMIFS('Kế toán'!$F$2:$F$212,'Kế toán'!$J$2:$J$212,Sheet4!D67)</f>
        <v>3000000</v>
      </c>
      <c r="G67">
        <f t="shared" si="0"/>
        <v>0</v>
      </c>
    </row>
    <row r="68" spans="1:7" x14ac:dyDescent="0.25">
      <c r="A68" s="66" t="s">
        <v>226</v>
      </c>
      <c r="B68" s="7">
        <v>6000000</v>
      </c>
      <c r="D68" t="s">
        <v>226</v>
      </c>
      <c r="E68" s="6">
        <v>6000000</v>
      </c>
      <c r="F68" s="6">
        <f>+SUMIFS('Kế toán'!$F$2:$F$212,'Kế toán'!$J$2:$J$212,Sheet4!D68)</f>
        <v>6000000</v>
      </c>
      <c r="G68">
        <f t="shared" si="0"/>
        <v>0</v>
      </c>
    </row>
    <row r="69" spans="1:7" x14ac:dyDescent="0.25">
      <c r="A69" s="66" t="s">
        <v>234</v>
      </c>
      <c r="B69" s="7">
        <v>4500000</v>
      </c>
      <c r="D69" t="s">
        <v>234</v>
      </c>
      <c r="E69" s="6">
        <v>4500000</v>
      </c>
      <c r="F69" s="6">
        <f>+SUMIFS('Kế toán'!$F$2:$F$212,'Kế toán'!$J$2:$J$212,Sheet4!D69)</f>
        <v>4500000</v>
      </c>
      <c r="G69">
        <f t="shared" ref="G69:G87" si="1">+E69-F69</f>
        <v>0</v>
      </c>
    </row>
    <row r="70" spans="1:7" x14ac:dyDescent="0.25">
      <c r="A70" s="66" t="s">
        <v>28</v>
      </c>
      <c r="B70" s="7">
        <v>4500000</v>
      </c>
      <c r="D70" t="s">
        <v>28</v>
      </c>
      <c r="E70" s="6">
        <v>4500000</v>
      </c>
      <c r="F70" s="6">
        <f>+SUMIFS('Kế toán'!$F$2:$F$212,'Kế toán'!$J$2:$J$212,Sheet4!D70)</f>
        <v>4500000</v>
      </c>
      <c r="G70">
        <f t="shared" si="1"/>
        <v>0</v>
      </c>
    </row>
    <row r="71" spans="1:7" x14ac:dyDescent="0.25">
      <c r="A71" s="66" t="s">
        <v>26</v>
      </c>
      <c r="B71" s="7">
        <v>1500000</v>
      </c>
      <c r="D71" t="s">
        <v>26</v>
      </c>
      <c r="E71" s="6">
        <v>1500000</v>
      </c>
      <c r="F71" s="6">
        <f>+SUMIFS('Kế toán'!$F$2:$F$212,'Kế toán'!$J$2:$J$212,Sheet4!D71)</f>
        <v>1500000</v>
      </c>
      <c r="G71">
        <f t="shared" si="1"/>
        <v>0</v>
      </c>
    </row>
    <row r="72" spans="1:7" x14ac:dyDescent="0.25">
      <c r="A72" s="66" t="s">
        <v>187</v>
      </c>
      <c r="B72" s="7">
        <v>6000000</v>
      </c>
      <c r="D72" t="s">
        <v>187</v>
      </c>
      <c r="E72" s="6">
        <v>6000000</v>
      </c>
      <c r="F72" s="6">
        <f>+SUMIFS('Kế toán'!$F$2:$F$212,'Kế toán'!$J$2:$J$212,Sheet4!D72)</f>
        <v>6000000</v>
      </c>
      <c r="G72">
        <f t="shared" si="1"/>
        <v>0</v>
      </c>
    </row>
    <row r="73" spans="1:7" x14ac:dyDescent="0.25">
      <c r="A73" s="66" t="s">
        <v>165</v>
      </c>
      <c r="B73" s="7">
        <v>6000000</v>
      </c>
      <c r="D73" t="s">
        <v>165</v>
      </c>
      <c r="E73" s="6">
        <v>6000000</v>
      </c>
      <c r="F73" s="6">
        <f>+SUMIFS('Kế toán'!$F$2:$F$212,'Kế toán'!$J$2:$J$212,Sheet4!D73)</f>
        <v>6000000</v>
      </c>
      <c r="G73">
        <f t="shared" si="1"/>
        <v>0</v>
      </c>
    </row>
    <row r="74" spans="1:7" x14ac:dyDescent="0.25">
      <c r="A74" s="66" t="s">
        <v>320</v>
      </c>
      <c r="B74" s="7">
        <v>3000000</v>
      </c>
      <c r="D74" t="s">
        <v>320</v>
      </c>
      <c r="E74" s="6">
        <v>3000000</v>
      </c>
      <c r="F74" s="6">
        <f>+SUMIFS('Kế toán'!$F$2:$F$212,'Kế toán'!$J$2:$J$212,Sheet4!D74)</f>
        <v>3000000</v>
      </c>
      <c r="G74">
        <f t="shared" si="1"/>
        <v>0</v>
      </c>
    </row>
    <row r="75" spans="1:7" x14ac:dyDescent="0.25">
      <c r="A75" s="66" t="s">
        <v>133</v>
      </c>
      <c r="B75" s="7">
        <v>4500000</v>
      </c>
      <c r="D75" t="s">
        <v>133</v>
      </c>
      <c r="E75" s="6">
        <v>4500000</v>
      </c>
      <c r="F75" s="6">
        <f>+SUMIFS('Kế toán'!$F$2:$F$212,'Kế toán'!$J$2:$J$212,Sheet4!D75)</f>
        <v>4500000</v>
      </c>
      <c r="G75">
        <f t="shared" si="1"/>
        <v>0</v>
      </c>
    </row>
    <row r="76" spans="1:7" x14ac:dyDescent="0.25">
      <c r="A76" s="66" t="s">
        <v>204</v>
      </c>
      <c r="B76" s="7">
        <v>6000000</v>
      </c>
      <c r="D76" t="s">
        <v>204</v>
      </c>
      <c r="E76" s="6">
        <v>6000000</v>
      </c>
      <c r="F76" s="6">
        <f>+SUMIFS('Kế toán'!$F$2:$F$212,'Kế toán'!$J$2:$J$212,Sheet4!D76)</f>
        <v>6000000</v>
      </c>
      <c r="G76">
        <f t="shared" si="1"/>
        <v>0</v>
      </c>
    </row>
    <row r="77" spans="1:7" x14ac:dyDescent="0.25">
      <c r="A77" s="66" t="s">
        <v>157</v>
      </c>
      <c r="B77" s="7">
        <v>4500000</v>
      </c>
      <c r="D77" t="s">
        <v>157</v>
      </c>
      <c r="E77" s="6">
        <v>4500000</v>
      </c>
      <c r="F77" s="6">
        <f>+SUMIFS('Kế toán'!$F$2:$F$212,'Kế toán'!$J$2:$J$212,Sheet4!D77)</f>
        <v>4500000</v>
      </c>
      <c r="G77">
        <f t="shared" si="1"/>
        <v>0</v>
      </c>
    </row>
    <row r="78" spans="1:7" x14ac:dyDescent="0.25">
      <c r="A78" s="66" t="s">
        <v>14</v>
      </c>
      <c r="B78" s="7">
        <v>1500000</v>
      </c>
      <c r="D78" t="s">
        <v>14</v>
      </c>
      <c r="E78" s="6">
        <v>1500000</v>
      </c>
      <c r="F78" s="6">
        <f>+SUMIFS('Kế toán'!$F$2:$F$212,'Kế toán'!$J$2:$J$212,Sheet4!D78)</f>
        <v>1500000</v>
      </c>
      <c r="G78">
        <f t="shared" si="1"/>
        <v>0</v>
      </c>
    </row>
    <row r="79" spans="1:7" x14ac:dyDescent="0.25">
      <c r="A79" s="66" t="s">
        <v>91</v>
      </c>
      <c r="B79" s="7">
        <v>6000000</v>
      </c>
      <c r="D79" t="s">
        <v>91</v>
      </c>
      <c r="E79" s="6">
        <v>6000000</v>
      </c>
      <c r="F79" s="6">
        <f>+SUMIFS('Kế toán'!$F$2:$F$212,'Kế toán'!$J$2:$J$212,Sheet4!D79)</f>
        <v>6000000</v>
      </c>
      <c r="G79">
        <f t="shared" si="1"/>
        <v>0</v>
      </c>
    </row>
    <row r="80" spans="1:7" x14ac:dyDescent="0.25">
      <c r="A80" s="66" t="s">
        <v>64</v>
      </c>
      <c r="B80" s="7">
        <v>3000000</v>
      </c>
      <c r="D80" t="s">
        <v>64</v>
      </c>
      <c r="E80" s="6">
        <v>3000000</v>
      </c>
      <c r="F80" s="6">
        <f>+SUMIFS('Kế toán'!$F$2:$F$212,'Kế toán'!$J$2:$J$212,Sheet4!D80)</f>
        <v>3000000</v>
      </c>
      <c r="G80">
        <f t="shared" si="1"/>
        <v>0</v>
      </c>
    </row>
    <row r="81" spans="1:7" x14ac:dyDescent="0.25">
      <c r="A81" s="66" t="s">
        <v>100</v>
      </c>
      <c r="B81" s="7">
        <v>6000000</v>
      </c>
      <c r="D81" t="s">
        <v>100</v>
      </c>
      <c r="E81" s="6">
        <v>6000000</v>
      </c>
      <c r="F81" s="6">
        <f>+SUMIFS('Kế toán'!$F$2:$F$212,'Kế toán'!$J$2:$J$212,Sheet4!D81)</f>
        <v>6000000</v>
      </c>
      <c r="G81">
        <f t="shared" si="1"/>
        <v>0</v>
      </c>
    </row>
    <row r="82" spans="1:7" x14ac:dyDescent="0.25">
      <c r="A82" s="66" t="s">
        <v>217</v>
      </c>
      <c r="B82" s="7">
        <v>6000000</v>
      </c>
      <c r="D82" t="s">
        <v>217</v>
      </c>
      <c r="E82" s="6">
        <v>6000000</v>
      </c>
      <c r="F82" s="6">
        <f>+SUMIFS('Kế toán'!$F$2:$F$212,'Kế toán'!$J$2:$J$212,Sheet4!D82)</f>
        <v>6000000</v>
      </c>
      <c r="G82">
        <f t="shared" si="1"/>
        <v>0</v>
      </c>
    </row>
    <row r="83" spans="1:7" x14ac:dyDescent="0.25">
      <c r="A83" s="66" t="s">
        <v>244</v>
      </c>
      <c r="B83" s="7">
        <v>4500000</v>
      </c>
      <c r="D83" t="s">
        <v>244</v>
      </c>
      <c r="E83" s="6">
        <v>4500000</v>
      </c>
      <c r="F83" s="6">
        <f>+SUMIFS('Kế toán'!$F$2:$F$212,'Kế toán'!$J$2:$J$212,Sheet4!D83)</f>
        <v>4500000</v>
      </c>
      <c r="G83">
        <f t="shared" si="1"/>
        <v>0</v>
      </c>
    </row>
    <row r="84" spans="1:7" x14ac:dyDescent="0.25">
      <c r="A84" s="66" t="s">
        <v>184</v>
      </c>
      <c r="B84" s="7">
        <v>3000000</v>
      </c>
      <c r="D84" t="s">
        <v>184</v>
      </c>
      <c r="E84" s="6">
        <v>3000000</v>
      </c>
      <c r="F84" s="6">
        <f>+SUMIFS('Kế toán'!$F$2:$F$212,'Kế toán'!$J$2:$J$212,Sheet4!D84)</f>
        <v>3000000</v>
      </c>
      <c r="G84">
        <f t="shared" si="1"/>
        <v>0</v>
      </c>
    </row>
    <row r="85" spans="1:7" x14ac:dyDescent="0.25">
      <c r="A85" s="66" t="s">
        <v>292</v>
      </c>
      <c r="B85" s="7">
        <v>1500000</v>
      </c>
      <c r="D85" t="s">
        <v>292</v>
      </c>
      <c r="E85" s="6">
        <v>1500000</v>
      </c>
      <c r="F85" s="6">
        <f>+SUMIFS('Kế toán'!$F$2:$F$212,'Kế toán'!$J$2:$J$212,Sheet4!D85)</f>
        <v>1500000</v>
      </c>
      <c r="G85">
        <f t="shared" si="1"/>
        <v>0</v>
      </c>
    </row>
    <row r="86" spans="1:7" x14ac:dyDescent="0.25">
      <c r="A86" s="66" t="s">
        <v>240</v>
      </c>
      <c r="B86" s="7">
        <v>3000000</v>
      </c>
      <c r="D86" t="s">
        <v>240</v>
      </c>
      <c r="E86" s="6">
        <v>3000000</v>
      </c>
      <c r="F86" s="6">
        <f>+SUMIFS('Kế toán'!$F$2:$F$212,'Kế toán'!$J$2:$J$212,Sheet4!D86)</f>
        <v>3000000</v>
      </c>
      <c r="G86" s="6">
        <f t="shared" si="1"/>
        <v>0</v>
      </c>
    </row>
    <row r="87" spans="1:7" x14ac:dyDescent="0.25">
      <c r="A87" s="66" t="s">
        <v>267</v>
      </c>
      <c r="B87" s="7">
        <v>3000000</v>
      </c>
      <c r="D87" t="s">
        <v>267</v>
      </c>
      <c r="E87" s="6">
        <v>3000000</v>
      </c>
      <c r="F87" s="6">
        <f>+SUMIFS('Kế toán'!$F$2:$F$212,'Kế toán'!$J$2:$J$212,Sheet4!D87)</f>
        <v>3000000</v>
      </c>
      <c r="G87">
        <f t="shared" si="1"/>
        <v>0</v>
      </c>
    </row>
    <row r="88" spans="1:7" x14ac:dyDescent="0.25">
      <c r="A88" s="66" t="s">
        <v>626</v>
      </c>
      <c r="B88" s="7"/>
      <c r="E88" s="6">
        <f>SUM(E4:E87)</f>
        <v>375000000</v>
      </c>
      <c r="F88" s="6">
        <f t="shared" ref="F88:G88" si="2">SUM(F4:F87)</f>
        <v>375000000</v>
      </c>
      <c r="G88" s="6">
        <f t="shared" si="2"/>
        <v>0</v>
      </c>
    </row>
    <row r="89" spans="1:7" x14ac:dyDescent="0.25">
      <c r="A89" s="66" t="s">
        <v>627</v>
      </c>
      <c r="B89" s="7">
        <v>375000000</v>
      </c>
    </row>
  </sheetData>
  <autoFilter ref="D3:G88" xr:uid="{E32C89B7-83B6-429C-A1FB-01C5D322399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96774-366E-4349-97F7-D4D9217612BB}">
  <dimension ref="A1:I213"/>
  <sheetViews>
    <sheetView workbookViewId="0">
      <selection activeCell="G16" sqref="G16"/>
    </sheetView>
  </sheetViews>
  <sheetFormatPr defaultRowHeight="15" x14ac:dyDescent="0.25"/>
  <cols>
    <col min="1" max="1" width="20.28515625" customWidth="1"/>
    <col min="2" max="2" width="16.7109375" customWidth="1"/>
    <col min="4" max="4" width="26.5703125" customWidth="1"/>
    <col min="5" max="5" width="30.28515625" customWidth="1"/>
    <col min="7" max="7" width="25.85546875" customWidth="1"/>
    <col min="8" max="8" width="20" customWidth="1"/>
    <col min="9" max="9" width="22.28515625" customWidth="1"/>
  </cols>
  <sheetData>
    <row r="1" spans="1:9" ht="47.25" x14ac:dyDescent="0.25">
      <c r="A1" s="8" t="s">
        <v>422</v>
      </c>
      <c r="B1" s="9" t="s">
        <v>423</v>
      </c>
      <c r="C1" s="9" t="s">
        <v>424</v>
      </c>
      <c r="D1" s="9" t="s">
        <v>425</v>
      </c>
      <c r="E1" s="9" t="s">
        <v>336</v>
      </c>
      <c r="F1" s="9" t="s">
        <v>335</v>
      </c>
      <c r="G1" s="10" t="s">
        <v>426</v>
      </c>
      <c r="H1" s="11" t="s">
        <v>427</v>
      </c>
      <c r="I1" s="10" t="s">
        <v>428</v>
      </c>
    </row>
    <row r="2" spans="1:9" x14ac:dyDescent="0.25">
      <c r="A2" s="12" t="s">
        <v>429</v>
      </c>
      <c r="B2" s="13">
        <v>46143</v>
      </c>
      <c r="C2" s="14" t="s">
        <v>430</v>
      </c>
      <c r="D2" s="15" t="s">
        <v>431</v>
      </c>
      <c r="E2" s="16" t="s">
        <v>377</v>
      </c>
      <c r="F2" s="17" t="s">
        <v>310</v>
      </c>
      <c r="G2" s="18">
        <v>23956793979</v>
      </c>
      <c r="H2" s="19" t="s">
        <v>432</v>
      </c>
      <c r="I2" s="20">
        <v>1500000</v>
      </c>
    </row>
    <row r="3" spans="1:9" x14ac:dyDescent="0.25">
      <c r="A3" s="12" t="s">
        <v>429</v>
      </c>
      <c r="B3" s="13">
        <v>46143</v>
      </c>
      <c r="C3" s="14" t="s">
        <v>430</v>
      </c>
      <c r="D3" s="15" t="s">
        <v>431</v>
      </c>
      <c r="E3" s="16" t="s">
        <v>433</v>
      </c>
      <c r="F3" s="17"/>
      <c r="G3" s="17"/>
      <c r="H3" s="19"/>
      <c r="I3" s="20"/>
    </row>
    <row r="4" spans="1:9" x14ac:dyDescent="0.25">
      <c r="A4" s="12" t="s">
        <v>429</v>
      </c>
      <c r="B4" s="13">
        <v>46143</v>
      </c>
      <c r="C4" s="21" t="s">
        <v>434</v>
      </c>
      <c r="D4" s="22" t="s">
        <v>435</v>
      </c>
      <c r="E4" s="16" t="s">
        <v>384</v>
      </c>
      <c r="F4" s="17" t="s">
        <v>73</v>
      </c>
      <c r="G4" s="17" t="s">
        <v>436</v>
      </c>
      <c r="H4" s="19" t="s">
        <v>437</v>
      </c>
      <c r="I4" s="20">
        <v>1500000</v>
      </c>
    </row>
    <row r="5" spans="1:9" x14ac:dyDescent="0.25">
      <c r="A5" s="12" t="s">
        <v>429</v>
      </c>
      <c r="B5" s="13">
        <v>46143</v>
      </c>
      <c r="C5" s="21" t="s">
        <v>434</v>
      </c>
      <c r="D5" s="22" t="s">
        <v>435</v>
      </c>
      <c r="E5" s="16" t="s">
        <v>406</v>
      </c>
      <c r="F5" s="19" t="s">
        <v>187</v>
      </c>
      <c r="G5" s="17">
        <v>4118927</v>
      </c>
      <c r="H5" s="19" t="s">
        <v>438</v>
      </c>
      <c r="I5" s="20">
        <v>1500000</v>
      </c>
    </row>
    <row r="6" spans="1:9" x14ac:dyDescent="0.25">
      <c r="A6" s="12" t="s">
        <v>429</v>
      </c>
      <c r="B6" s="13">
        <v>46143</v>
      </c>
      <c r="C6" s="21" t="s">
        <v>439</v>
      </c>
      <c r="D6" s="22" t="s">
        <v>440</v>
      </c>
      <c r="E6" s="16" t="s">
        <v>337</v>
      </c>
      <c r="F6" s="17" t="s">
        <v>298</v>
      </c>
      <c r="G6" s="18" t="s">
        <v>441</v>
      </c>
      <c r="H6" s="19" t="s">
        <v>437</v>
      </c>
      <c r="I6" s="20">
        <v>1500000</v>
      </c>
    </row>
    <row r="7" spans="1:9" x14ac:dyDescent="0.25">
      <c r="A7" s="12" t="s">
        <v>429</v>
      </c>
      <c r="B7" s="13">
        <v>46143</v>
      </c>
      <c r="C7" s="21" t="s">
        <v>439</v>
      </c>
      <c r="D7" s="22" t="s">
        <v>440</v>
      </c>
      <c r="E7" s="16" t="s">
        <v>352</v>
      </c>
      <c r="F7" s="17" t="s">
        <v>276</v>
      </c>
      <c r="G7" s="18">
        <v>51010000845882</v>
      </c>
      <c r="H7" s="19" t="s">
        <v>442</v>
      </c>
      <c r="I7" s="20">
        <v>1500000</v>
      </c>
    </row>
    <row r="8" spans="1:9" x14ac:dyDescent="0.25">
      <c r="A8" s="12" t="s">
        <v>443</v>
      </c>
      <c r="B8" s="13">
        <v>46143</v>
      </c>
      <c r="C8" s="21" t="s">
        <v>444</v>
      </c>
      <c r="D8" s="22" t="s">
        <v>445</v>
      </c>
      <c r="E8" s="16" t="s">
        <v>386</v>
      </c>
      <c r="F8" s="17" t="s">
        <v>283</v>
      </c>
      <c r="G8" s="17">
        <v>9804092001</v>
      </c>
      <c r="H8" s="19" t="s">
        <v>446</v>
      </c>
      <c r="I8" s="20">
        <v>1500000</v>
      </c>
    </row>
    <row r="9" spans="1:9" x14ac:dyDescent="0.25">
      <c r="A9" s="12" t="s">
        <v>443</v>
      </c>
      <c r="B9" s="13">
        <v>46143</v>
      </c>
      <c r="C9" s="21" t="s">
        <v>444</v>
      </c>
      <c r="D9" s="22" t="s">
        <v>445</v>
      </c>
      <c r="E9" s="16" t="s">
        <v>385</v>
      </c>
      <c r="F9" s="17" t="s">
        <v>150</v>
      </c>
      <c r="G9" s="17">
        <v>1038672108</v>
      </c>
      <c r="H9" s="19" t="s">
        <v>447</v>
      </c>
      <c r="I9" s="20">
        <v>1500000</v>
      </c>
    </row>
    <row r="10" spans="1:9" x14ac:dyDescent="0.25">
      <c r="A10" s="12" t="s">
        <v>448</v>
      </c>
      <c r="B10" s="13">
        <v>46144</v>
      </c>
      <c r="C10" s="21" t="s">
        <v>449</v>
      </c>
      <c r="D10" s="22" t="s">
        <v>450</v>
      </c>
      <c r="E10" s="16" t="s">
        <v>375</v>
      </c>
      <c r="F10" s="17" t="s">
        <v>17</v>
      </c>
      <c r="G10" s="18">
        <v>1012732996</v>
      </c>
      <c r="H10" s="19" t="s">
        <v>437</v>
      </c>
      <c r="I10" s="20">
        <v>1500000</v>
      </c>
    </row>
    <row r="11" spans="1:9" x14ac:dyDescent="0.25">
      <c r="A11" s="12" t="s">
        <v>448</v>
      </c>
      <c r="B11" s="13">
        <v>46144</v>
      </c>
      <c r="C11" s="21" t="s">
        <v>449</v>
      </c>
      <c r="D11" s="22" t="s">
        <v>450</v>
      </c>
      <c r="E11" s="16" t="s">
        <v>411</v>
      </c>
      <c r="F11" s="17" t="s">
        <v>157</v>
      </c>
      <c r="G11" s="17">
        <v>3615205296080</v>
      </c>
      <c r="H11" s="19" t="s">
        <v>451</v>
      </c>
      <c r="I11" s="20">
        <v>1500000</v>
      </c>
    </row>
    <row r="12" spans="1:9" x14ac:dyDescent="0.25">
      <c r="A12" s="12" t="s">
        <v>448</v>
      </c>
      <c r="B12" s="13">
        <v>46144</v>
      </c>
      <c r="C12" s="21" t="s">
        <v>434</v>
      </c>
      <c r="D12" s="22" t="s">
        <v>452</v>
      </c>
      <c r="E12" s="16" t="s">
        <v>356</v>
      </c>
      <c r="F12" s="17" t="s">
        <v>199</v>
      </c>
      <c r="G12" s="18" t="s">
        <v>453</v>
      </c>
      <c r="H12" s="19" t="s">
        <v>454</v>
      </c>
      <c r="I12" s="20">
        <v>1500000</v>
      </c>
    </row>
    <row r="13" spans="1:9" x14ac:dyDescent="0.25">
      <c r="A13" s="12" t="s">
        <v>448</v>
      </c>
      <c r="B13" s="13">
        <v>46144</v>
      </c>
      <c r="C13" s="21" t="s">
        <v>434</v>
      </c>
      <c r="D13" s="22" t="s">
        <v>452</v>
      </c>
      <c r="E13" s="16" t="s">
        <v>363</v>
      </c>
      <c r="F13" s="17" t="s">
        <v>305</v>
      </c>
      <c r="G13" s="18">
        <v>102871393941</v>
      </c>
      <c r="H13" s="19" t="s">
        <v>455</v>
      </c>
      <c r="I13" s="20">
        <v>1500000</v>
      </c>
    </row>
    <row r="14" spans="1:9" x14ac:dyDescent="0.25">
      <c r="A14" s="12" t="s">
        <v>448</v>
      </c>
      <c r="B14" s="13">
        <v>46144</v>
      </c>
      <c r="C14" s="21" t="s">
        <v>456</v>
      </c>
      <c r="D14" s="22" t="s">
        <v>457</v>
      </c>
      <c r="E14" s="16" t="s">
        <v>360</v>
      </c>
      <c r="F14" s="17" t="s">
        <v>278</v>
      </c>
      <c r="G14" s="18" t="s">
        <v>458</v>
      </c>
      <c r="H14" s="19" t="s">
        <v>446</v>
      </c>
      <c r="I14" s="20">
        <v>1500000</v>
      </c>
    </row>
    <row r="15" spans="1:9" x14ac:dyDescent="0.25">
      <c r="A15" s="12" t="s">
        <v>448</v>
      </c>
      <c r="B15" s="13">
        <v>46144</v>
      </c>
      <c r="C15" s="21" t="s">
        <v>456</v>
      </c>
      <c r="D15" s="22" t="s">
        <v>457</v>
      </c>
      <c r="E15" s="16" t="s">
        <v>407</v>
      </c>
      <c r="F15" s="17" t="s">
        <v>165</v>
      </c>
      <c r="G15" s="17">
        <v>109873271749</v>
      </c>
      <c r="H15" s="19" t="s">
        <v>455</v>
      </c>
      <c r="I15" s="20">
        <v>1500000</v>
      </c>
    </row>
    <row r="16" spans="1:9" x14ac:dyDescent="0.25">
      <c r="A16" s="12" t="s">
        <v>459</v>
      </c>
      <c r="B16" s="13">
        <v>46145</v>
      </c>
      <c r="C16" s="21" t="s">
        <v>456</v>
      </c>
      <c r="D16" s="22" t="s">
        <v>460</v>
      </c>
      <c r="E16" s="16" t="s">
        <v>376</v>
      </c>
      <c r="F16" s="17" t="s">
        <v>254</v>
      </c>
      <c r="G16" s="18">
        <v>1061644437</v>
      </c>
      <c r="H16" s="19" t="s">
        <v>437</v>
      </c>
      <c r="I16" s="20">
        <v>1500000</v>
      </c>
    </row>
    <row r="17" spans="1:9" x14ac:dyDescent="0.25">
      <c r="A17" s="12" t="s">
        <v>459</v>
      </c>
      <c r="B17" s="13">
        <v>46145</v>
      </c>
      <c r="C17" s="21" t="s">
        <v>456</v>
      </c>
      <c r="D17" s="22" t="s">
        <v>460</v>
      </c>
      <c r="E17" s="16" t="s">
        <v>410</v>
      </c>
      <c r="F17" s="17" t="s">
        <v>204</v>
      </c>
      <c r="G17" s="17">
        <v>797908032000</v>
      </c>
      <c r="H17" s="19" t="s">
        <v>432</v>
      </c>
      <c r="I17" s="20">
        <v>1500000</v>
      </c>
    </row>
    <row r="18" spans="1:9" x14ac:dyDescent="0.25">
      <c r="A18" s="12" t="s">
        <v>459</v>
      </c>
      <c r="B18" s="13">
        <v>46145</v>
      </c>
      <c r="C18" s="21" t="s">
        <v>434</v>
      </c>
      <c r="D18" s="22" t="s">
        <v>461</v>
      </c>
      <c r="E18" s="16" t="s">
        <v>368</v>
      </c>
      <c r="F18" s="17" t="s">
        <v>175</v>
      </c>
      <c r="G18" s="18" t="s">
        <v>462</v>
      </c>
      <c r="H18" s="19" t="s">
        <v>432</v>
      </c>
      <c r="I18" s="20">
        <v>1500000</v>
      </c>
    </row>
    <row r="19" spans="1:9" x14ac:dyDescent="0.25">
      <c r="A19" s="12" t="s">
        <v>459</v>
      </c>
      <c r="B19" s="13">
        <v>46145</v>
      </c>
      <c r="C19" s="21" t="s">
        <v>434</v>
      </c>
      <c r="D19" s="22" t="s">
        <v>461</v>
      </c>
      <c r="E19" s="16" t="s">
        <v>369</v>
      </c>
      <c r="F19" s="17" t="s">
        <v>326</v>
      </c>
      <c r="G19" s="18" t="s">
        <v>463</v>
      </c>
      <c r="H19" s="19" t="s">
        <v>455</v>
      </c>
      <c r="I19" s="20">
        <v>1500000</v>
      </c>
    </row>
    <row r="20" spans="1:9" x14ac:dyDescent="0.25">
      <c r="A20" s="12" t="s">
        <v>464</v>
      </c>
      <c r="B20" s="13">
        <v>46146</v>
      </c>
      <c r="C20" s="21" t="s">
        <v>465</v>
      </c>
      <c r="D20" s="22" t="s">
        <v>466</v>
      </c>
      <c r="E20" s="16" t="s">
        <v>364</v>
      </c>
      <c r="F20" s="17" t="s">
        <v>212</v>
      </c>
      <c r="G20" s="18" t="s">
        <v>467</v>
      </c>
      <c r="H20" s="19" t="s">
        <v>442</v>
      </c>
      <c r="I20" s="20">
        <v>1500000</v>
      </c>
    </row>
    <row r="21" spans="1:9" x14ac:dyDescent="0.25">
      <c r="A21" s="12" t="s">
        <v>464</v>
      </c>
      <c r="B21" s="13">
        <v>46146</v>
      </c>
      <c r="C21" s="21" t="s">
        <v>465</v>
      </c>
      <c r="D21" s="22" t="s">
        <v>466</v>
      </c>
      <c r="E21" s="16" t="s">
        <v>362</v>
      </c>
      <c r="F21" s="17" t="s">
        <v>269</v>
      </c>
      <c r="G21" s="18" t="s">
        <v>468</v>
      </c>
      <c r="H21" s="19" t="s">
        <v>432</v>
      </c>
      <c r="I21" s="20">
        <v>1500000</v>
      </c>
    </row>
    <row r="22" spans="1:9" x14ac:dyDescent="0.25">
      <c r="A22" s="12" t="s">
        <v>464</v>
      </c>
      <c r="B22" s="13">
        <v>46146</v>
      </c>
      <c r="C22" s="21" t="s">
        <v>434</v>
      </c>
      <c r="D22" s="22" t="s">
        <v>469</v>
      </c>
      <c r="E22" s="16" t="s">
        <v>395</v>
      </c>
      <c r="F22" s="17" t="s">
        <v>316</v>
      </c>
      <c r="G22" s="17">
        <v>9977002907</v>
      </c>
      <c r="H22" s="19" t="s">
        <v>437</v>
      </c>
      <c r="I22" s="20">
        <v>1500000</v>
      </c>
    </row>
    <row r="23" spans="1:9" x14ac:dyDescent="0.25">
      <c r="A23" s="12" t="s">
        <v>464</v>
      </c>
      <c r="B23" s="13">
        <v>46146</v>
      </c>
      <c r="C23" s="21" t="s">
        <v>434</v>
      </c>
      <c r="D23" s="22" t="s">
        <v>469</v>
      </c>
      <c r="E23" s="16" t="s">
        <v>409</v>
      </c>
      <c r="F23" s="17" t="s">
        <v>133</v>
      </c>
      <c r="G23" s="17" t="s">
        <v>470</v>
      </c>
      <c r="H23" s="19" t="s">
        <v>446</v>
      </c>
      <c r="I23" s="20">
        <v>1500000</v>
      </c>
    </row>
    <row r="24" spans="1:9" x14ac:dyDescent="0.25">
      <c r="A24" s="12" t="s">
        <v>464</v>
      </c>
      <c r="B24" s="13">
        <v>46146</v>
      </c>
      <c r="C24" s="21" t="s">
        <v>434</v>
      </c>
      <c r="D24" s="22" t="s">
        <v>471</v>
      </c>
      <c r="E24" s="16" t="s">
        <v>380</v>
      </c>
      <c r="F24" s="17" t="s">
        <v>107</v>
      </c>
      <c r="G24" s="18">
        <v>77999911032002</v>
      </c>
      <c r="H24" s="19" t="s">
        <v>472</v>
      </c>
      <c r="I24" s="20">
        <v>1500000</v>
      </c>
    </row>
    <row r="25" spans="1:9" x14ac:dyDescent="0.25">
      <c r="A25" s="12" t="s">
        <v>464</v>
      </c>
      <c r="B25" s="13">
        <v>46146</v>
      </c>
      <c r="C25" s="21" t="s">
        <v>434</v>
      </c>
      <c r="D25" s="22" t="s">
        <v>471</v>
      </c>
      <c r="E25" s="16" t="s">
        <v>379</v>
      </c>
      <c r="F25" s="17" t="s">
        <v>222</v>
      </c>
      <c r="G25" s="18" t="s">
        <v>473</v>
      </c>
      <c r="H25" s="19" t="s">
        <v>474</v>
      </c>
      <c r="I25" s="20">
        <v>1500000</v>
      </c>
    </row>
    <row r="26" spans="1:9" x14ac:dyDescent="0.25">
      <c r="A26" s="12" t="s">
        <v>475</v>
      </c>
      <c r="B26" s="13">
        <v>46147</v>
      </c>
      <c r="C26" s="21" t="s">
        <v>476</v>
      </c>
      <c r="D26" s="22" t="s">
        <v>477</v>
      </c>
      <c r="E26" s="16" t="s">
        <v>396</v>
      </c>
      <c r="F26" s="17" t="s">
        <v>170</v>
      </c>
      <c r="G26" s="17" t="s">
        <v>478</v>
      </c>
      <c r="H26" s="19" t="s">
        <v>437</v>
      </c>
      <c r="I26" s="20">
        <v>1500000</v>
      </c>
    </row>
    <row r="27" spans="1:9" x14ac:dyDescent="0.25">
      <c r="A27" s="12" t="s">
        <v>475</v>
      </c>
      <c r="B27" s="13">
        <v>46147</v>
      </c>
      <c r="C27" s="21" t="s">
        <v>476</v>
      </c>
      <c r="D27" s="22" t="s">
        <v>477</v>
      </c>
      <c r="E27" s="16" t="s">
        <v>397</v>
      </c>
      <c r="F27" s="19" t="s">
        <v>145</v>
      </c>
      <c r="G27" s="17" t="s">
        <v>479</v>
      </c>
      <c r="H27" s="19" t="s">
        <v>432</v>
      </c>
      <c r="I27" s="20">
        <v>1500000</v>
      </c>
    </row>
    <row r="28" spans="1:9" x14ac:dyDescent="0.25">
      <c r="A28" s="12" t="s">
        <v>475</v>
      </c>
      <c r="B28" s="13">
        <v>46147</v>
      </c>
      <c r="C28" s="21" t="s">
        <v>434</v>
      </c>
      <c r="D28" s="22" t="s">
        <v>480</v>
      </c>
      <c r="E28" s="23" t="s">
        <v>388</v>
      </c>
      <c r="F28" s="17" t="s">
        <v>87</v>
      </c>
      <c r="G28" s="17">
        <v>866086379</v>
      </c>
      <c r="H28" s="19" t="s">
        <v>432</v>
      </c>
      <c r="I28" s="20">
        <v>1500000</v>
      </c>
    </row>
    <row r="29" spans="1:9" x14ac:dyDescent="0.25">
      <c r="A29" s="12" t="s">
        <v>475</v>
      </c>
      <c r="B29" s="13">
        <v>46147</v>
      </c>
      <c r="C29" s="21" t="s">
        <v>434</v>
      </c>
      <c r="D29" s="22" t="s">
        <v>480</v>
      </c>
      <c r="E29" s="23" t="s">
        <v>389</v>
      </c>
      <c r="F29" s="17" t="s">
        <v>44</v>
      </c>
      <c r="G29" s="17">
        <v>957979779</v>
      </c>
      <c r="H29" s="19" t="s">
        <v>481</v>
      </c>
      <c r="I29" s="20">
        <v>1500000</v>
      </c>
    </row>
    <row r="30" spans="1:9" x14ac:dyDescent="0.25">
      <c r="A30" s="12" t="s">
        <v>475</v>
      </c>
      <c r="B30" s="13">
        <v>46147</v>
      </c>
      <c r="C30" s="21" t="s">
        <v>456</v>
      </c>
      <c r="D30" s="22" t="s">
        <v>482</v>
      </c>
      <c r="E30" s="16" t="s">
        <v>366</v>
      </c>
      <c r="F30" s="17" t="s">
        <v>301</v>
      </c>
      <c r="G30" s="18">
        <v>9343825206</v>
      </c>
      <c r="H30" s="19" t="s">
        <v>437</v>
      </c>
      <c r="I30" s="20">
        <v>1500000</v>
      </c>
    </row>
    <row r="31" spans="1:9" x14ac:dyDescent="0.25">
      <c r="A31" s="12" t="s">
        <v>475</v>
      </c>
      <c r="B31" s="13">
        <v>46147</v>
      </c>
      <c r="C31" s="21" t="s">
        <v>456</v>
      </c>
      <c r="D31" s="22" t="s">
        <v>482</v>
      </c>
      <c r="E31" s="16" t="s">
        <v>394</v>
      </c>
      <c r="F31" s="17" t="s">
        <v>113</v>
      </c>
      <c r="G31" s="17" t="s">
        <v>483</v>
      </c>
      <c r="H31" s="19" t="s">
        <v>432</v>
      </c>
      <c r="I31" s="20">
        <v>1500000</v>
      </c>
    </row>
    <row r="32" spans="1:9" x14ac:dyDescent="0.25">
      <c r="A32" s="12" t="s">
        <v>475</v>
      </c>
      <c r="B32" s="13">
        <v>46147</v>
      </c>
      <c r="C32" s="21" t="s">
        <v>484</v>
      </c>
      <c r="D32" s="22" t="s">
        <v>485</v>
      </c>
      <c r="E32" s="16" t="s">
        <v>402</v>
      </c>
      <c r="F32" s="17" t="s">
        <v>226</v>
      </c>
      <c r="G32" s="17">
        <v>109872813241</v>
      </c>
      <c r="H32" s="19" t="s">
        <v>455</v>
      </c>
      <c r="I32" s="20">
        <v>1500000</v>
      </c>
    </row>
    <row r="33" spans="1:9" x14ac:dyDescent="0.25">
      <c r="A33" s="12" t="s">
        <v>475</v>
      </c>
      <c r="B33" s="13">
        <v>46147</v>
      </c>
      <c r="C33" s="21" t="s">
        <v>484</v>
      </c>
      <c r="D33" s="22" t="s">
        <v>485</v>
      </c>
      <c r="E33" s="16" t="s">
        <v>403</v>
      </c>
      <c r="F33" s="17" t="s">
        <v>234</v>
      </c>
      <c r="G33" s="17">
        <v>63333266789</v>
      </c>
      <c r="H33" s="19" t="s">
        <v>446</v>
      </c>
      <c r="I33" s="20">
        <v>1500000</v>
      </c>
    </row>
    <row r="34" spans="1:9" x14ac:dyDescent="0.25">
      <c r="A34" s="12" t="s">
        <v>486</v>
      </c>
      <c r="B34" s="13">
        <v>46148</v>
      </c>
      <c r="C34" s="21" t="s">
        <v>434</v>
      </c>
      <c r="D34" s="22" t="s">
        <v>487</v>
      </c>
      <c r="E34" s="16" t="s">
        <v>345</v>
      </c>
      <c r="F34" s="19" t="s">
        <v>96</v>
      </c>
      <c r="G34" s="18" t="s">
        <v>488</v>
      </c>
      <c r="H34" s="19" t="s">
        <v>442</v>
      </c>
      <c r="I34" s="20">
        <v>1500000</v>
      </c>
    </row>
    <row r="35" spans="1:9" x14ac:dyDescent="0.25">
      <c r="A35" s="12" t="s">
        <v>486</v>
      </c>
      <c r="B35" s="13">
        <v>46148</v>
      </c>
      <c r="C35" s="21" t="s">
        <v>434</v>
      </c>
      <c r="D35" s="22" t="s">
        <v>487</v>
      </c>
      <c r="E35" s="16" t="s">
        <v>414</v>
      </c>
      <c r="F35" s="19" t="s">
        <v>64</v>
      </c>
      <c r="G35" s="17">
        <v>102344298888</v>
      </c>
      <c r="H35" s="19" t="s">
        <v>455</v>
      </c>
      <c r="I35" s="20">
        <v>1500000</v>
      </c>
    </row>
    <row r="36" spans="1:9" x14ac:dyDescent="0.25">
      <c r="A36" s="12" t="s">
        <v>486</v>
      </c>
      <c r="B36" s="13">
        <v>46148</v>
      </c>
      <c r="C36" s="21" t="s">
        <v>439</v>
      </c>
      <c r="D36" s="22" t="s">
        <v>489</v>
      </c>
      <c r="E36" s="16" t="s">
        <v>390</v>
      </c>
      <c r="F36" s="19" t="s">
        <v>287</v>
      </c>
      <c r="G36" s="17" t="s">
        <v>490</v>
      </c>
      <c r="H36" s="19" t="s">
        <v>491</v>
      </c>
      <c r="I36" s="20">
        <v>1500000</v>
      </c>
    </row>
    <row r="37" spans="1:9" x14ac:dyDescent="0.25">
      <c r="A37" s="12" t="s">
        <v>486</v>
      </c>
      <c r="B37" s="13">
        <v>46148</v>
      </c>
      <c r="C37" s="21" t="s">
        <v>439</v>
      </c>
      <c r="D37" s="22" t="s">
        <v>489</v>
      </c>
      <c r="E37" s="16" t="s">
        <v>401</v>
      </c>
      <c r="F37" s="19" t="s">
        <v>209</v>
      </c>
      <c r="G37" s="17">
        <v>5590206300663</v>
      </c>
      <c r="H37" s="19" t="s">
        <v>451</v>
      </c>
      <c r="I37" s="20">
        <v>1500000</v>
      </c>
    </row>
    <row r="38" spans="1:9" x14ac:dyDescent="0.25">
      <c r="A38" s="12" t="s">
        <v>486</v>
      </c>
      <c r="B38" s="13">
        <v>46148</v>
      </c>
      <c r="C38" s="21" t="s">
        <v>492</v>
      </c>
      <c r="D38" s="22" t="s">
        <v>493</v>
      </c>
      <c r="E38" s="16" t="s">
        <v>355</v>
      </c>
      <c r="F38" s="19" t="s">
        <v>49</v>
      </c>
      <c r="G38" s="18" t="s">
        <v>494</v>
      </c>
      <c r="H38" s="19" t="s">
        <v>437</v>
      </c>
      <c r="I38" s="20">
        <v>3000000</v>
      </c>
    </row>
    <row r="39" spans="1:9" x14ac:dyDescent="0.25">
      <c r="A39" s="12" t="s">
        <v>486</v>
      </c>
      <c r="B39" s="13">
        <v>46148</v>
      </c>
      <c r="C39" s="21" t="s">
        <v>492</v>
      </c>
      <c r="D39" s="22" t="s">
        <v>493</v>
      </c>
      <c r="E39" s="16" t="s">
        <v>341</v>
      </c>
      <c r="F39" s="19" t="s">
        <v>251</v>
      </c>
      <c r="G39" s="18" t="s">
        <v>495</v>
      </c>
      <c r="H39" s="19" t="s">
        <v>437</v>
      </c>
      <c r="I39" s="20">
        <v>3000000</v>
      </c>
    </row>
    <row r="40" spans="1:9" x14ac:dyDescent="0.25">
      <c r="A40" s="12" t="s">
        <v>486</v>
      </c>
      <c r="B40" s="13">
        <v>46148</v>
      </c>
      <c r="C40" s="21" t="s">
        <v>492</v>
      </c>
      <c r="D40" s="22" t="s">
        <v>496</v>
      </c>
      <c r="E40" s="16" t="s">
        <v>370</v>
      </c>
      <c r="F40" s="19" t="s">
        <v>264</v>
      </c>
      <c r="G40" s="18">
        <v>48810000602191</v>
      </c>
      <c r="H40" s="19" t="s">
        <v>442</v>
      </c>
      <c r="I40" s="20">
        <v>3000000</v>
      </c>
    </row>
    <row r="41" spans="1:9" x14ac:dyDescent="0.25">
      <c r="A41" s="12" t="s">
        <v>486</v>
      </c>
      <c r="B41" s="13">
        <v>46148</v>
      </c>
      <c r="C41" s="21" t="s">
        <v>492</v>
      </c>
      <c r="D41" s="22" t="s">
        <v>496</v>
      </c>
      <c r="E41" s="16" t="s">
        <v>353</v>
      </c>
      <c r="F41" s="17" t="s">
        <v>231</v>
      </c>
      <c r="G41" s="18" t="s">
        <v>497</v>
      </c>
      <c r="H41" s="19" t="s">
        <v>438</v>
      </c>
      <c r="I41" s="20">
        <v>3000000</v>
      </c>
    </row>
    <row r="42" spans="1:9" x14ac:dyDescent="0.25">
      <c r="A42" s="12" t="s">
        <v>486</v>
      </c>
      <c r="B42" s="13">
        <v>46148</v>
      </c>
      <c r="C42" s="21" t="s">
        <v>498</v>
      </c>
      <c r="D42" s="22" t="s">
        <v>499</v>
      </c>
      <c r="E42" s="16" t="s">
        <v>357</v>
      </c>
      <c r="F42" s="19" t="s">
        <v>333</v>
      </c>
      <c r="G42" s="18" t="s">
        <v>500</v>
      </c>
      <c r="H42" s="19" t="s">
        <v>442</v>
      </c>
      <c r="I42" s="20">
        <v>3000000</v>
      </c>
    </row>
    <row r="43" spans="1:9" x14ac:dyDescent="0.25">
      <c r="A43" s="12" t="s">
        <v>486</v>
      </c>
      <c r="B43" s="13">
        <v>46148</v>
      </c>
      <c r="C43" s="21" t="s">
        <v>498</v>
      </c>
      <c r="D43" s="22" t="s">
        <v>499</v>
      </c>
      <c r="E43" s="16" t="s">
        <v>346</v>
      </c>
      <c r="F43" s="19" t="s">
        <v>323</v>
      </c>
      <c r="G43" s="18" t="s">
        <v>501</v>
      </c>
      <c r="H43" s="19" t="s">
        <v>442</v>
      </c>
      <c r="I43" s="20">
        <v>3000000</v>
      </c>
    </row>
    <row r="44" spans="1:9" x14ac:dyDescent="0.25">
      <c r="A44" s="12" t="s">
        <v>502</v>
      </c>
      <c r="B44" s="24">
        <v>46149</v>
      </c>
      <c r="C44" s="21" t="s">
        <v>492</v>
      </c>
      <c r="D44" s="22" t="s">
        <v>503</v>
      </c>
      <c r="E44" s="16" t="s">
        <v>361</v>
      </c>
      <c r="F44" s="19" t="s">
        <v>117</v>
      </c>
      <c r="G44" s="18" t="s">
        <v>504</v>
      </c>
      <c r="H44" s="19" t="s">
        <v>437</v>
      </c>
      <c r="I44" s="20">
        <v>1500000</v>
      </c>
    </row>
    <row r="45" spans="1:9" x14ac:dyDescent="0.25">
      <c r="A45" s="12" t="s">
        <v>502</v>
      </c>
      <c r="B45" s="24">
        <v>46149</v>
      </c>
      <c r="C45" s="21" t="s">
        <v>492</v>
      </c>
      <c r="D45" s="22" t="s">
        <v>503</v>
      </c>
      <c r="E45" s="25" t="s">
        <v>371</v>
      </c>
      <c r="F45" s="26" t="s">
        <v>128</v>
      </c>
      <c r="G45" s="27">
        <v>9374264292</v>
      </c>
      <c r="H45" s="26" t="s">
        <v>505</v>
      </c>
      <c r="I45" s="20">
        <v>1500000</v>
      </c>
    </row>
    <row r="46" spans="1:9" x14ac:dyDescent="0.25">
      <c r="A46" s="12" t="s">
        <v>502</v>
      </c>
      <c r="B46" s="24">
        <v>46149</v>
      </c>
      <c r="C46" s="21" t="s">
        <v>434</v>
      </c>
      <c r="D46" s="22" t="s">
        <v>506</v>
      </c>
      <c r="E46" s="16" t="s">
        <v>398</v>
      </c>
      <c r="F46" s="17" t="s">
        <v>140</v>
      </c>
      <c r="G46" s="17" t="s">
        <v>507</v>
      </c>
      <c r="H46" s="19" t="s">
        <v>474</v>
      </c>
      <c r="I46" s="20">
        <v>1500000</v>
      </c>
    </row>
    <row r="47" spans="1:9" x14ac:dyDescent="0.25">
      <c r="A47" s="12" t="s">
        <v>502</v>
      </c>
      <c r="B47" s="24">
        <v>46149</v>
      </c>
      <c r="C47" s="21" t="s">
        <v>434</v>
      </c>
      <c r="D47" s="22" t="s">
        <v>506</v>
      </c>
      <c r="E47" s="16" t="s">
        <v>399</v>
      </c>
      <c r="F47" s="17" t="s">
        <v>179</v>
      </c>
      <c r="G47" s="17" t="s">
        <v>508</v>
      </c>
      <c r="H47" s="19" t="s">
        <v>474</v>
      </c>
      <c r="I47" s="20">
        <v>1500000</v>
      </c>
    </row>
    <row r="48" spans="1:9" x14ac:dyDescent="0.25">
      <c r="A48" s="12" t="s">
        <v>502</v>
      </c>
      <c r="B48" s="24">
        <v>46149</v>
      </c>
      <c r="C48" s="21" t="s">
        <v>509</v>
      </c>
      <c r="D48" s="22" t="s">
        <v>510</v>
      </c>
      <c r="E48" s="16" t="s">
        <v>378</v>
      </c>
      <c r="F48" s="19" t="s">
        <v>35</v>
      </c>
      <c r="G48" s="18">
        <v>1019710505</v>
      </c>
      <c r="H48" s="19" t="s">
        <v>437</v>
      </c>
      <c r="I48" s="20">
        <v>1500000</v>
      </c>
    </row>
    <row r="49" spans="1:9" x14ac:dyDescent="0.25">
      <c r="A49" s="12" t="s">
        <v>502</v>
      </c>
      <c r="B49" s="24">
        <v>46149</v>
      </c>
      <c r="C49" s="21" t="s">
        <v>509</v>
      </c>
      <c r="D49" s="22" t="s">
        <v>510</v>
      </c>
      <c r="E49" s="16" t="s">
        <v>413</v>
      </c>
      <c r="F49" s="19" t="s">
        <v>91</v>
      </c>
      <c r="G49" s="17">
        <v>7985712377</v>
      </c>
      <c r="H49" s="19" t="s">
        <v>505</v>
      </c>
      <c r="I49" s="20">
        <v>1500000</v>
      </c>
    </row>
    <row r="50" spans="1:9" x14ac:dyDescent="0.25">
      <c r="A50" s="12" t="s">
        <v>511</v>
      </c>
      <c r="B50" s="24">
        <v>46150</v>
      </c>
      <c r="C50" s="21" t="s">
        <v>512</v>
      </c>
      <c r="D50" s="22" t="s">
        <v>513</v>
      </c>
      <c r="E50" s="16" t="s">
        <v>374</v>
      </c>
      <c r="F50" s="19" t="s">
        <v>161</v>
      </c>
      <c r="G50" s="18">
        <v>1029818132</v>
      </c>
      <c r="H50" s="19" t="s">
        <v>437</v>
      </c>
      <c r="I50" s="20">
        <v>1500000</v>
      </c>
    </row>
    <row r="51" spans="1:9" x14ac:dyDescent="0.25">
      <c r="A51" s="12" t="s">
        <v>511</v>
      </c>
      <c r="B51" s="24">
        <v>46150</v>
      </c>
      <c r="C51" s="21" t="s">
        <v>512</v>
      </c>
      <c r="D51" s="22" t="s">
        <v>513</v>
      </c>
      <c r="E51" s="16" t="s">
        <v>373</v>
      </c>
      <c r="F51" s="19" t="s">
        <v>153</v>
      </c>
      <c r="G51" s="18">
        <v>4962874377</v>
      </c>
      <c r="H51" s="19" t="s">
        <v>472</v>
      </c>
      <c r="I51" s="20">
        <v>1500000</v>
      </c>
    </row>
    <row r="52" spans="1:9" x14ac:dyDescent="0.25">
      <c r="A52" s="12" t="s">
        <v>511</v>
      </c>
      <c r="B52" s="24">
        <v>46150</v>
      </c>
      <c r="C52" s="28" t="s">
        <v>514</v>
      </c>
      <c r="D52" s="29" t="s">
        <v>515</v>
      </c>
      <c r="E52" s="30" t="s">
        <v>400</v>
      </c>
      <c r="F52" s="31" t="s">
        <v>11</v>
      </c>
      <c r="G52" s="31">
        <v>24663181</v>
      </c>
      <c r="H52" s="32" t="s">
        <v>438</v>
      </c>
      <c r="I52" s="20">
        <v>1500000</v>
      </c>
    </row>
    <row r="53" spans="1:9" x14ac:dyDescent="0.25">
      <c r="A53" s="12" t="s">
        <v>511</v>
      </c>
      <c r="B53" s="24">
        <v>46150</v>
      </c>
      <c r="C53" s="28" t="s">
        <v>514</v>
      </c>
      <c r="D53" s="29" t="s">
        <v>515</v>
      </c>
      <c r="E53" s="30" t="s">
        <v>408</v>
      </c>
      <c r="F53" s="31" t="s">
        <v>320</v>
      </c>
      <c r="G53" s="31" t="s">
        <v>516</v>
      </c>
      <c r="H53" s="32" t="s">
        <v>474</v>
      </c>
      <c r="I53" s="20">
        <v>1500000</v>
      </c>
    </row>
    <row r="54" spans="1:9" x14ac:dyDescent="0.25">
      <c r="A54" s="12" t="s">
        <v>511</v>
      </c>
      <c r="B54" s="24">
        <v>46150</v>
      </c>
      <c r="C54" s="21" t="s">
        <v>434</v>
      </c>
      <c r="D54" s="29" t="s">
        <v>435</v>
      </c>
      <c r="E54" s="30" t="s">
        <v>384</v>
      </c>
      <c r="F54" s="31" t="s">
        <v>73</v>
      </c>
      <c r="G54" s="31" t="s">
        <v>436</v>
      </c>
      <c r="H54" s="32" t="s">
        <v>437</v>
      </c>
      <c r="I54" s="20">
        <v>1500000</v>
      </c>
    </row>
    <row r="55" spans="1:9" x14ac:dyDescent="0.25">
      <c r="A55" s="12" t="s">
        <v>511</v>
      </c>
      <c r="B55" s="24">
        <v>46150</v>
      </c>
      <c r="C55" s="21" t="s">
        <v>434</v>
      </c>
      <c r="D55" s="29" t="s">
        <v>435</v>
      </c>
      <c r="E55" s="30" t="s">
        <v>406</v>
      </c>
      <c r="F55" s="31" t="s">
        <v>187</v>
      </c>
      <c r="G55" s="31">
        <v>4118927</v>
      </c>
      <c r="H55" s="32" t="s">
        <v>438</v>
      </c>
      <c r="I55" s="20">
        <v>1500000</v>
      </c>
    </row>
    <row r="56" spans="1:9" x14ac:dyDescent="0.25">
      <c r="A56" s="12" t="s">
        <v>511</v>
      </c>
      <c r="B56" s="24">
        <v>46150</v>
      </c>
      <c r="C56" s="21" t="s">
        <v>517</v>
      </c>
      <c r="D56" s="29" t="s">
        <v>431</v>
      </c>
      <c r="E56" s="30" t="s">
        <v>377</v>
      </c>
      <c r="F56" s="31" t="s">
        <v>310</v>
      </c>
      <c r="G56" s="33">
        <v>23956793979</v>
      </c>
      <c r="H56" s="32" t="s">
        <v>432</v>
      </c>
      <c r="I56" s="20">
        <v>1500000</v>
      </c>
    </row>
    <row r="57" spans="1:9" x14ac:dyDescent="0.25">
      <c r="A57" s="12" t="s">
        <v>511</v>
      </c>
      <c r="B57" s="24">
        <v>46150</v>
      </c>
      <c r="C57" s="21" t="s">
        <v>517</v>
      </c>
      <c r="D57" s="29" t="s">
        <v>431</v>
      </c>
      <c r="E57" s="30" t="s">
        <v>391</v>
      </c>
      <c r="F57" s="31" t="s">
        <v>273</v>
      </c>
      <c r="G57" s="31">
        <v>4491966778899</v>
      </c>
      <c r="H57" s="32" t="s">
        <v>446</v>
      </c>
      <c r="I57" s="20">
        <v>1500000</v>
      </c>
    </row>
    <row r="58" spans="1:9" x14ac:dyDescent="0.25">
      <c r="A58" s="12" t="s">
        <v>511</v>
      </c>
      <c r="B58" s="24">
        <v>46150</v>
      </c>
      <c r="C58" s="28" t="s">
        <v>518</v>
      </c>
      <c r="D58" s="29" t="s">
        <v>457</v>
      </c>
      <c r="E58" s="30" t="s">
        <v>360</v>
      </c>
      <c r="F58" s="31" t="s">
        <v>278</v>
      </c>
      <c r="G58" s="33" t="s">
        <v>458</v>
      </c>
      <c r="H58" s="32" t="s">
        <v>446</v>
      </c>
      <c r="I58" s="20">
        <v>1500000</v>
      </c>
    </row>
    <row r="59" spans="1:9" x14ac:dyDescent="0.25">
      <c r="A59" s="12" t="s">
        <v>511</v>
      </c>
      <c r="B59" s="24">
        <v>46150</v>
      </c>
      <c r="C59" s="28" t="s">
        <v>518</v>
      </c>
      <c r="D59" s="29" t="s">
        <v>457</v>
      </c>
      <c r="E59" s="30" t="s">
        <v>407</v>
      </c>
      <c r="F59" s="31" t="s">
        <v>165</v>
      </c>
      <c r="G59" s="31">
        <v>109873271749</v>
      </c>
      <c r="H59" s="32" t="s">
        <v>455</v>
      </c>
      <c r="I59" s="20">
        <v>1500000</v>
      </c>
    </row>
    <row r="60" spans="1:9" x14ac:dyDescent="0.25">
      <c r="A60" s="12" t="s">
        <v>443</v>
      </c>
      <c r="B60" s="34">
        <v>46151</v>
      </c>
      <c r="C60" s="28" t="s">
        <v>519</v>
      </c>
      <c r="D60" s="29" t="s">
        <v>445</v>
      </c>
      <c r="E60" s="35" t="s">
        <v>386</v>
      </c>
      <c r="F60" s="32" t="s">
        <v>283</v>
      </c>
      <c r="G60" s="32">
        <v>9804092001</v>
      </c>
      <c r="H60" s="32" t="s">
        <v>446</v>
      </c>
      <c r="I60" s="20">
        <v>1500000</v>
      </c>
    </row>
    <row r="61" spans="1:9" x14ac:dyDescent="0.25">
      <c r="A61" s="12" t="s">
        <v>443</v>
      </c>
      <c r="B61" s="34">
        <v>46151</v>
      </c>
      <c r="C61" s="28" t="s">
        <v>519</v>
      </c>
      <c r="D61" s="29" t="s">
        <v>445</v>
      </c>
      <c r="E61" s="30" t="s">
        <v>385</v>
      </c>
      <c r="F61" s="31" t="s">
        <v>150</v>
      </c>
      <c r="G61" s="31">
        <v>1038672108</v>
      </c>
      <c r="H61" s="32" t="s">
        <v>447</v>
      </c>
      <c r="I61" s="20">
        <v>1500000</v>
      </c>
    </row>
    <row r="62" spans="1:9" x14ac:dyDescent="0.25">
      <c r="A62" s="12" t="s">
        <v>520</v>
      </c>
      <c r="B62" s="34">
        <v>46151</v>
      </c>
      <c r="C62" s="36" t="s">
        <v>521</v>
      </c>
      <c r="D62" s="37" t="s">
        <v>471</v>
      </c>
      <c r="E62" s="38" t="s">
        <v>379</v>
      </c>
      <c r="F62" s="32" t="s">
        <v>222</v>
      </c>
      <c r="G62" s="33" t="s">
        <v>473</v>
      </c>
      <c r="H62" s="32" t="s">
        <v>474</v>
      </c>
      <c r="I62" s="20">
        <v>1500000</v>
      </c>
    </row>
    <row r="63" spans="1:9" x14ac:dyDescent="0.25">
      <c r="A63" s="12" t="s">
        <v>520</v>
      </c>
      <c r="B63" s="34">
        <v>46151</v>
      </c>
      <c r="C63" s="36" t="s">
        <v>521</v>
      </c>
      <c r="D63" s="37" t="s">
        <v>471</v>
      </c>
      <c r="E63" s="38" t="s">
        <v>365</v>
      </c>
      <c r="F63" s="31" t="s">
        <v>238</v>
      </c>
      <c r="G63" s="33">
        <v>9967519257</v>
      </c>
      <c r="H63" s="32" t="s">
        <v>437</v>
      </c>
      <c r="I63" s="20">
        <v>1500000</v>
      </c>
    </row>
    <row r="64" spans="1:9" x14ac:dyDescent="0.25">
      <c r="A64" s="12" t="s">
        <v>520</v>
      </c>
      <c r="B64" s="34">
        <v>46151</v>
      </c>
      <c r="C64" s="21" t="s">
        <v>434</v>
      </c>
      <c r="D64" s="29" t="s">
        <v>460</v>
      </c>
      <c r="E64" s="30" t="s">
        <v>376</v>
      </c>
      <c r="F64" s="31" t="s">
        <v>254</v>
      </c>
      <c r="G64" s="33">
        <v>1061644437</v>
      </c>
      <c r="H64" s="32" t="s">
        <v>437</v>
      </c>
      <c r="I64" s="20">
        <v>1500000</v>
      </c>
    </row>
    <row r="65" spans="1:9" x14ac:dyDescent="0.25">
      <c r="A65" s="12" t="s">
        <v>520</v>
      </c>
      <c r="B65" s="34">
        <v>46151</v>
      </c>
      <c r="C65" s="21" t="s">
        <v>434</v>
      </c>
      <c r="D65" s="29" t="s">
        <v>460</v>
      </c>
      <c r="E65" s="30" t="s">
        <v>410</v>
      </c>
      <c r="F65" s="31" t="s">
        <v>204</v>
      </c>
      <c r="G65" s="31">
        <v>797908032000</v>
      </c>
      <c r="H65" s="32" t="s">
        <v>432</v>
      </c>
      <c r="I65" s="20">
        <v>1500000</v>
      </c>
    </row>
    <row r="66" spans="1:9" x14ac:dyDescent="0.25">
      <c r="A66" s="12" t="s">
        <v>520</v>
      </c>
      <c r="B66" s="34">
        <v>46151</v>
      </c>
      <c r="C66" s="21" t="s">
        <v>522</v>
      </c>
      <c r="D66" s="22" t="s">
        <v>523</v>
      </c>
      <c r="E66" s="16" t="s">
        <v>404</v>
      </c>
      <c r="F66" s="17" t="s">
        <v>28</v>
      </c>
      <c r="G66" s="17">
        <v>104882044622</v>
      </c>
      <c r="H66" s="19" t="s">
        <v>524</v>
      </c>
      <c r="I66" s="20">
        <v>1500000</v>
      </c>
    </row>
    <row r="67" spans="1:9" x14ac:dyDescent="0.25">
      <c r="A67" s="12" t="s">
        <v>520</v>
      </c>
      <c r="B67" s="34">
        <v>46151</v>
      </c>
      <c r="C67" s="21" t="s">
        <v>522</v>
      </c>
      <c r="D67" s="22" t="s">
        <v>523</v>
      </c>
      <c r="E67" s="16" t="s">
        <v>405</v>
      </c>
      <c r="F67" s="17" t="s">
        <v>26</v>
      </c>
      <c r="G67" s="17">
        <v>105882575493</v>
      </c>
      <c r="H67" s="19" t="s">
        <v>455</v>
      </c>
      <c r="I67" s="20">
        <v>1500000</v>
      </c>
    </row>
    <row r="68" spans="1:9" x14ac:dyDescent="0.25">
      <c r="A68" s="12" t="s">
        <v>525</v>
      </c>
      <c r="B68" s="24">
        <v>46152</v>
      </c>
      <c r="C68" s="21" t="s">
        <v>434</v>
      </c>
      <c r="D68" s="22" t="s">
        <v>469</v>
      </c>
      <c r="E68" s="16" t="s">
        <v>395</v>
      </c>
      <c r="F68" s="17" t="s">
        <v>316</v>
      </c>
      <c r="G68" s="17">
        <v>9977002907</v>
      </c>
      <c r="H68" s="19" t="s">
        <v>437</v>
      </c>
      <c r="I68" s="20">
        <v>1500000</v>
      </c>
    </row>
    <row r="69" spans="1:9" x14ac:dyDescent="0.25">
      <c r="A69" s="12" t="s">
        <v>525</v>
      </c>
      <c r="B69" s="24">
        <v>46152</v>
      </c>
      <c r="C69" s="21" t="s">
        <v>434</v>
      </c>
      <c r="D69" s="22" t="s">
        <v>469</v>
      </c>
      <c r="E69" s="16" t="s">
        <v>409</v>
      </c>
      <c r="F69" s="17" t="s">
        <v>133</v>
      </c>
      <c r="G69" s="17" t="s">
        <v>470</v>
      </c>
      <c r="H69" s="19" t="s">
        <v>446</v>
      </c>
      <c r="I69" s="20">
        <v>1500000</v>
      </c>
    </row>
    <row r="70" spans="1:9" x14ac:dyDescent="0.25">
      <c r="A70" s="12" t="s">
        <v>526</v>
      </c>
      <c r="B70" s="24">
        <v>46153</v>
      </c>
      <c r="C70" s="21" t="s">
        <v>456</v>
      </c>
      <c r="D70" s="22" t="s">
        <v>527</v>
      </c>
      <c r="E70" s="16" t="s">
        <v>387</v>
      </c>
      <c r="F70" s="17" t="s">
        <v>23</v>
      </c>
      <c r="G70" s="17">
        <v>1963667</v>
      </c>
      <c r="H70" s="19" t="s">
        <v>438</v>
      </c>
      <c r="I70" s="20">
        <v>1500000</v>
      </c>
    </row>
    <row r="71" spans="1:9" x14ac:dyDescent="0.25">
      <c r="A71" s="12" t="s">
        <v>526</v>
      </c>
      <c r="B71" s="24">
        <v>46153</v>
      </c>
      <c r="C71" s="21" t="s">
        <v>456</v>
      </c>
      <c r="D71" s="22" t="s">
        <v>527</v>
      </c>
      <c r="E71" s="16" t="s">
        <v>412</v>
      </c>
      <c r="F71" s="17" t="s">
        <v>14</v>
      </c>
      <c r="G71" s="17">
        <v>657704060157408</v>
      </c>
      <c r="H71" s="19" t="s">
        <v>528</v>
      </c>
      <c r="I71" s="20">
        <v>1500000</v>
      </c>
    </row>
    <row r="72" spans="1:9" x14ac:dyDescent="0.25">
      <c r="A72" s="12" t="s">
        <v>526</v>
      </c>
      <c r="B72" s="24">
        <v>46153</v>
      </c>
      <c r="C72" s="21" t="s">
        <v>434</v>
      </c>
      <c r="D72" s="22" t="s">
        <v>485</v>
      </c>
      <c r="E72" s="16" t="s">
        <v>402</v>
      </c>
      <c r="F72" s="17" t="s">
        <v>226</v>
      </c>
      <c r="G72" s="17">
        <v>109872813241</v>
      </c>
      <c r="H72" s="19" t="s">
        <v>455</v>
      </c>
      <c r="I72" s="20">
        <v>1500000</v>
      </c>
    </row>
    <row r="73" spans="1:9" x14ac:dyDescent="0.25">
      <c r="A73" s="12" t="s">
        <v>526</v>
      </c>
      <c r="B73" s="24">
        <v>46153</v>
      </c>
      <c r="C73" s="21" t="s">
        <v>434</v>
      </c>
      <c r="D73" s="22" t="s">
        <v>485</v>
      </c>
      <c r="E73" s="16" t="s">
        <v>403</v>
      </c>
      <c r="F73" s="17" t="s">
        <v>234</v>
      </c>
      <c r="G73" s="17">
        <v>63333266789</v>
      </c>
      <c r="H73" s="19" t="s">
        <v>446</v>
      </c>
      <c r="I73" s="20">
        <v>1500000</v>
      </c>
    </row>
    <row r="74" spans="1:9" x14ac:dyDescent="0.25">
      <c r="A74" s="12" t="s">
        <v>526</v>
      </c>
      <c r="B74" s="24">
        <v>46153</v>
      </c>
      <c r="C74" s="21" t="s">
        <v>529</v>
      </c>
      <c r="D74" s="22" t="s">
        <v>452</v>
      </c>
      <c r="E74" s="16" t="s">
        <v>356</v>
      </c>
      <c r="F74" s="17" t="s">
        <v>199</v>
      </c>
      <c r="G74" s="18" t="s">
        <v>453</v>
      </c>
      <c r="H74" s="19" t="s">
        <v>454</v>
      </c>
      <c r="I74" s="20">
        <v>1500000</v>
      </c>
    </row>
    <row r="75" spans="1:9" x14ac:dyDescent="0.25">
      <c r="A75" s="12" t="s">
        <v>526</v>
      </c>
      <c r="B75" s="24">
        <v>46153</v>
      </c>
      <c r="C75" s="21" t="s">
        <v>529</v>
      </c>
      <c r="D75" s="22" t="s">
        <v>452</v>
      </c>
      <c r="E75" s="16" t="s">
        <v>363</v>
      </c>
      <c r="F75" s="17" t="s">
        <v>305</v>
      </c>
      <c r="G75" s="18">
        <v>102871393941</v>
      </c>
      <c r="H75" s="19" t="s">
        <v>455</v>
      </c>
      <c r="I75" s="20">
        <v>1500000</v>
      </c>
    </row>
    <row r="76" spans="1:9" x14ac:dyDescent="0.25">
      <c r="A76" s="12" t="s">
        <v>526</v>
      </c>
      <c r="B76" s="24">
        <v>46153</v>
      </c>
      <c r="C76" s="21" t="s">
        <v>530</v>
      </c>
      <c r="D76" s="22" t="s">
        <v>506</v>
      </c>
      <c r="E76" s="16" t="s">
        <v>398</v>
      </c>
      <c r="F76" s="17" t="s">
        <v>140</v>
      </c>
      <c r="G76" s="17" t="s">
        <v>507</v>
      </c>
      <c r="H76" s="19" t="s">
        <v>474</v>
      </c>
      <c r="I76" s="20">
        <v>1500000</v>
      </c>
    </row>
    <row r="77" spans="1:9" x14ac:dyDescent="0.25">
      <c r="A77" s="12" t="s">
        <v>526</v>
      </c>
      <c r="B77" s="24">
        <v>46153</v>
      </c>
      <c r="C77" s="21" t="s">
        <v>530</v>
      </c>
      <c r="D77" s="22" t="s">
        <v>506</v>
      </c>
      <c r="E77" s="39" t="s">
        <v>531</v>
      </c>
      <c r="F77" s="19" t="s">
        <v>179</v>
      </c>
      <c r="G77" s="19" t="s">
        <v>508</v>
      </c>
      <c r="H77" s="19" t="s">
        <v>474</v>
      </c>
      <c r="I77" s="20">
        <v>1500000</v>
      </c>
    </row>
    <row r="78" spans="1:9" x14ac:dyDescent="0.25">
      <c r="A78" s="12" t="s">
        <v>532</v>
      </c>
      <c r="B78" s="40">
        <v>46154</v>
      </c>
      <c r="C78" s="41" t="s">
        <v>529</v>
      </c>
      <c r="D78" s="22" t="s">
        <v>533</v>
      </c>
      <c r="E78" s="39" t="s">
        <v>415</v>
      </c>
      <c r="F78" s="19" t="s">
        <v>100</v>
      </c>
      <c r="G78" s="19">
        <v>83862288888</v>
      </c>
      <c r="H78" s="19" t="s">
        <v>432</v>
      </c>
      <c r="I78" s="20">
        <v>1500000</v>
      </c>
    </row>
    <row r="79" spans="1:9" x14ac:dyDescent="0.25">
      <c r="A79" s="12" t="s">
        <v>532</v>
      </c>
      <c r="B79" s="40">
        <v>46154</v>
      </c>
      <c r="C79" s="41" t="s">
        <v>529</v>
      </c>
      <c r="D79" s="22" t="s">
        <v>533</v>
      </c>
      <c r="E79" s="39" t="s">
        <v>416</v>
      </c>
      <c r="F79" s="19" t="s">
        <v>217</v>
      </c>
      <c r="G79" s="19">
        <v>7777720033333</v>
      </c>
      <c r="H79" s="19" t="s">
        <v>432</v>
      </c>
      <c r="I79" s="20">
        <v>1500000</v>
      </c>
    </row>
    <row r="80" spans="1:9" x14ac:dyDescent="0.25">
      <c r="A80" s="12" t="s">
        <v>532</v>
      </c>
      <c r="B80" s="40">
        <v>46154</v>
      </c>
      <c r="C80" s="41" t="s">
        <v>456</v>
      </c>
      <c r="D80" s="22" t="s">
        <v>503</v>
      </c>
      <c r="E80" s="39" t="s">
        <v>361</v>
      </c>
      <c r="F80" s="19" t="s">
        <v>117</v>
      </c>
      <c r="G80" s="42" t="s">
        <v>504</v>
      </c>
      <c r="H80" s="19" t="s">
        <v>437</v>
      </c>
      <c r="I80" s="20">
        <v>1500000</v>
      </c>
    </row>
    <row r="81" spans="1:9" x14ac:dyDescent="0.25">
      <c r="A81" s="12" t="s">
        <v>532</v>
      </c>
      <c r="B81" s="40">
        <v>46154</v>
      </c>
      <c r="C81" s="41" t="s">
        <v>456</v>
      </c>
      <c r="D81" s="22" t="s">
        <v>503</v>
      </c>
      <c r="E81" s="39" t="s">
        <v>371</v>
      </c>
      <c r="F81" s="19" t="s">
        <v>128</v>
      </c>
      <c r="G81" s="42">
        <v>9374264292</v>
      </c>
      <c r="H81" s="19" t="s">
        <v>505</v>
      </c>
      <c r="I81" s="20">
        <v>1500000</v>
      </c>
    </row>
    <row r="82" spans="1:9" x14ac:dyDescent="0.25">
      <c r="A82" s="12" t="s">
        <v>532</v>
      </c>
      <c r="B82" s="40">
        <v>46154</v>
      </c>
      <c r="C82" s="43" t="s">
        <v>434</v>
      </c>
      <c r="D82" s="44" t="s">
        <v>466</v>
      </c>
      <c r="E82" s="45" t="s">
        <v>364</v>
      </c>
      <c r="F82" s="19" t="s">
        <v>212</v>
      </c>
      <c r="G82" s="42" t="s">
        <v>467</v>
      </c>
      <c r="H82" s="19" t="s">
        <v>442</v>
      </c>
      <c r="I82" s="46">
        <v>1500000</v>
      </c>
    </row>
    <row r="83" spans="1:9" x14ac:dyDescent="0.25">
      <c r="A83" s="12" t="s">
        <v>532</v>
      </c>
      <c r="B83" s="40">
        <v>46154</v>
      </c>
      <c r="C83" s="43" t="s">
        <v>434</v>
      </c>
      <c r="D83" s="44" t="s">
        <v>466</v>
      </c>
      <c r="E83" s="45" t="s">
        <v>362</v>
      </c>
      <c r="F83" s="19" t="s">
        <v>269</v>
      </c>
      <c r="G83" s="42" t="s">
        <v>468</v>
      </c>
      <c r="H83" s="19" t="s">
        <v>432</v>
      </c>
      <c r="I83" s="46">
        <v>1500000</v>
      </c>
    </row>
    <row r="84" spans="1:9" x14ac:dyDescent="0.25">
      <c r="A84" s="12" t="s">
        <v>532</v>
      </c>
      <c r="B84" s="40">
        <v>46154</v>
      </c>
      <c r="C84" s="47" t="s">
        <v>521</v>
      </c>
      <c r="D84" s="48" t="s">
        <v>534</v>
      </c>
      <c r="E84" s="45" t="s">
        <v>372</v>
      </c>
      <c r="F84" s="19" t="s">
        <v>192</v>
      </c>
      <c r="G84" s="42" t="s">
        <v>535</v>
      </c>
      <c r="H84" s="19" t="s">
        <v>536</v>
      </c>
      <c r="I84" s="46">
        <v>1500000</v>
      </c>
    </row>
    <row r="85" spans="1:9" x14ac:dyDescent="0.25">
      <c r="A85" s="12" t="s">
        <v>532</v>
      </c>
      <c r="B85" s="40">
        <v>46154</v>
      </c>
      <c r="C85" s="47" t="s">
        <v>521</v>
      </c>
      <c r="D85" s="48" t="s">
        <v>534</v>
      </c>
      <c r="E85" s="45" t="s">
        <v>392</v>
      </c>
      <c r="F85" s="19" t="s">
        <v>123</v>
      </c>
      <c r="G85" s="19">
        <v>4706205245990</v>
      </c>
      <c r="H85" s="19" t="s">
        <v>451</v>
      </c>
      <c r="I85" s="46">
        <v>1500000</v>
      </c>
    </row>
    <row r="86" spans="1:9" x14ac:dyDescent="0.25">
      <c r="A86" s="12" t="s">
        <v>532</v>
      </c>
      <c r="B86" s="40">
        <v>46154</v>
      </c>
      <c r="C86" s="47" t="s">
        <v>537</v>
      </c>
      <c r="D86" s="44" t="s">
        <v>482</v>
      </c>
      <c r="E86" s="45" t="s">
        <v>366</v>
      </c>
      <c r="F86" s="19" t="s">
        <v>301</v>
      </c>
      <c r="G86" s="42">
        <v>9343825206</v>
      </c>
      <c r="H86" s="19" t="s">
        <v>437</v>
      </c>
      <c r="I86" s="46">
        <v>1500000</v>
      </c>
    </row>
    <row r="87" spans="1:9" x14ac:dyDescent="0.25">
      <c r="A87" s="12" t="s">
        <v>532</v>
      </c>
      <c r="B87" s="40">
        <v>46154</v>
      </c>
      <c r="C87" s="47" t="s">
        <v>537</v>
      </c>
      <c r="D87" s="44" t="s">
        <v>482</v>
      </c>
      <c r="E87" s="45" t="s">
        <v>394</v>
      </c>
      <c r="F87" s="19" t="s">
        <v>113</v>
      </c>
      <c r="G87" s="19" t="s">
        <v>483</v>
      </c>
      <c r="H87" s="19" t="s">
        <v>432</v>
      </c>
      <c r="I87" s="46">
        <v>1500000</v>
      </c>
    </row>
    <row r="88" spans="1:9" x14ac:dyDescent="0.25">
      <c r="A88" s="12" t="s">
        <v>538</v>
      </c>
      <c r="B88" s="40">
        <v>46155</v>
      </c>
      <c r="C88" s="47" t="s">
        <v>456</v>
      </c>
      <c r="D88" s="44" t="s">
        <v>431</v>
      </c>
      <c r="E88" s="45" t="s">
        <v>377</v>
      </c>
      <c r="F88" s="19" t="s">
        <v>310</v>
      </c>
      <c r="G88" s="42">
        <v>23956793979</v>
      </c>
      <c r="H88" s="19" t="s">
        <v>432</v>
      </c>
      <c r="I88" s="46">
        <v>1500000</v>
      </c>
    </row>
    <row r="89" spans="1:9" x14ac:dyDescent="0.25">
      <c r="A89" s="12" t="s">
        <v>538</v>
      </c>
      <c r="B89" s="40">
        <v>46155</v>
      </c>
      <c r="C89" s="47" t="s">
        <v>456</v>
      </c>
      <c r="D89" s="44" t="s">
        <v>431</v>
      </c>
      <c r="E89" s="39" t="s">
        <v>417</v>
      </c>
      <c r="F89" s="19" t="s">
        <v>244</v>
      </c>
      <c r="G89" s="19" t="s">
        <v>539</v>
      </c>
      <c r="H89" s="19" t="s">
        <v>540</v>
      </c>
      <c r="I89" s="46">
        <v>1500000</v>
      </c>
    </row>
    <row r="90" spans="1:9" x14ac:dyDescent="0.25">
      <c r="A90" s="12" t="s">
        <v>538</v>
      </c>
      <c r="B90" s="40">
        <v>46155</v>
      </c>
      <c r="C90" s="47" t="s">
        <v>521</v>
      </c>
      <c r="D90" s="22" t="s">
        <v>457</v>
      </c>
      <c r="E90" s="16" t="s">
        <v>360</v>
      </c>
      <c r="F90" s="17" t="s">
        <v>278</v>
      </c>
      <c r="G90" s="18" t="s">
        <v>458</v>
      </c>
      <c r="H90" s="19" t="s">
        <v>446</v>
      </c>
      <c r="I90" s="46">
        <v>1500000</v>
      </c>
    </row>
    <row r="91" spans="1:9" x14ac:dyDescent="0.25">
      <c r="A91" s="12" t="s">
        <v>538</v>
      </c>
      <c r="B91" s="40">
        <v>46155</v>
      </c>
      <c r="C91" s="47" t="s">
        <v>521</v>
      </c>
      <c r="D91" s="22" t="s">
        <v>457</v>
      </c>
      <c r="E91" s="16" t="s">
        <v>407</v>
      </c>
      <c r="F91" s="17" t="s">
        <v>165</v>
      </c>
      <c r="G91" s="17">
        <v>109873271749</v>
      </c>
      <c r="H91" s="19" t="s">
        <v>455</v>
      </c>
      <c r="I91" s="46">
        <v>1500000</v>
      </c>
    </row>
    <row r="92" spans="1:9" x14ac:dyDescent="0.25">
      <c r="A92" s="12" t="s">
        <v>538</v>
      </c>
      <c r="B92" s="40">
        <v>46155</v>
      </c>
      <c r="C92" s="43" t="s">
        <v>434</v>
      </c>
      <c r="D92" s="22" t="s">
        <v>489</v>
      </c>
      <c r="E92" s="16" t="s">
        <v>390</v>
      </c>
      <c r="F92" s="17" t="s">
        <v>287</v>
      </c>
      <c r="G92" s="17" t="s">
        <v>490</v>
      </c>
      <c r="H92" s="19" t="s">
        <v>491</v>
      </c>
      <c r="I92" s="46">
        <v>1500000</v>
      </c>
    </row>
    <row r="93" spans="1:9" x14ac:dyDescent="0.25">
      <c r="A93" s="12" t="s">
        <v>538</v>
      </c>
      <c r="B93" s="40">
        <v>46155</v>
      </c>
      <c r="C93" s="43" t="s">
        <v>434</v>
      </c>
      <c r="D93" s="22" t="s">
        <v>489</v>
      </c>
      <c r="E93" s="16" t="s">
        <v>401</v>
      </c>
      <c r="F93" s="17" t="s">
        <v>209</v>
      </c>
      <c r="G93" s="17">
        <v>5590206300663</v>
      </c>
      <c r="H93" s="19" t="s">
        <v>451</v>
      </c>
      <c r="I93" s="46">
        <v>1500000</v>
      </c>
    </row>
    <row r="94" spans="1:9" x14ac:dyDescent="0.25">
      <c r="A94" s="12" t="s">
        <v>538</v>
      </c>
      <c r="B94" s="40">
        <v>46155</v>
      </c>
      <c r="C94" s="21" t="s">
        <v>541</v>
      </c>
      <c r="D94" s="22" t="s">
        <v>510</v>
      </c>
      <c r="E94" s="23" t="s">
        <v>378</v>
      </c>
      <c r="F94" s="17" t="s">
        <v>35</v>
      </c>
      <c r="G94" s="18">
        <v>1019710505</v>
      </c>
      <c r="H94" s="19" t="s">
        <v>437</v>
      </c>
      <c r="I94" s="46">
        <v>1500000</v>
      </c>
    </row>
    <row r="95" spans="1:9" x14ac:dyDescent="0.25">
      <c r="A95" s="12" t="s">
        <v>538</v>
      </c>
      <c r="B95" s="40">
        <v>46155</v>
      </c>
      <c r="C95" s="21" t="s">
        <v>541</v>
      </c>
      <c r="D95" s="22" t="s">
        <v>510</v>
      </c>
      <c r="E95" s="16" t="s">
        <v>413</v>
      </c>
      <c r="F95" s="17" t="s">
        <v>91</v>
      </c>
      <c r="G95" s="17">
        <v>7985712377</v>
      </c>
      <c r="H95" s="19" t="s">
        <v>505</v>
      </c>
      <c r="I95" s="46">
        <v>1500000</v>
      </c>
    </row>
    <row r="96" spans="1:9" x14ac:dyDescent="0.25">
      <c r="A96" s="12" t="s">
        <v>542</v>
      </c>
      <c r="B96" s="40">
        <v>46155</v>
      </c>
      <c r="C96" s="21" t="s">
        <v>543</v>
      </c>
      <c r="D96" s="44" t="s">
        <v>544</v>
      </c>
      <c r="E96" s="49" t="s">
        <v>381</v>
      </c>
      <c r="F96" s="17" t="s">
        <v>294</v>
      </c>
      <c r="G96" s="18">
        <v>2810829999</v>
      </c>
      <c r="H96" s="19" t="s">
        <v>545</v>
      </c>
      <c r="I96" s="20">
        <v>3000000</v>
      </c>
    </row>
    <row r="97" spans="1:9" x14ac:dyDescent="0.25">
      <c r="A97" s="12" t="s">
        <v>542</v>
      </c>
      <c r="B97" s="40">
        <v>46155</v>
      </c>
      <c r="C97" s="21" t="s">
        <v>543</v>
      </c>
      <c r="D97" s="44" t="s">
        <v>544</v>
      </c>
      <c r="E97" s="49" t="s">
        <v>383</v>
      </c>
      <c r="F97" s="17" t="s">
        <v>382</v>
      </c>
      <c r="G97" s="18">
        <v>101003695322</v>
      </c>
      <c r="H97" s="19" t="s">
        <v>455</v>
      </c>
      <c r="I97" s="20">
        <v>3000000</v>
      </c>
    </row>
    <row r="98" spans="1:9" x14ac:dyDescent="0.25">
      <c r="A98" s="12" t="s">
        <v>538</v>
      </c>
      <c r="B98" s="40">
        <v>46155</v>
      </c>
      <c r="C98" s="21" t="s">
        <v>492</v>
      </c>
      <c r="D98" s="44" t="s">
        <v>546</v>
      </c>
      <c r="E98" s="49" t="s">
        <v>340</v>
      </c>
      <c r="F98" s="17" t="s">
        <v>109</v>
      </c>
      <c r="G98" s="18" t="s">
        <v>547</v>
      </c>
      <c r="H98" s="19" t="s">
        <v>437</v>
      </c>
      <c r="I98" s="20">
        <v>3000000</v>
      </c>
    </row>
    <row r="99" spans="1:9" x14ac:dyDescent="0.25">
      <c r="A99" s="12" t="s">
        <v>538</v>
      </c>
      <c r="B99" s="40">
        <v>46155</v>
      </c>
      <c r="C99" s="21" t="s">
        <v>492</v>
      </c>
      <c r="D99" s="44" t="s">
        <v>546</v>
      </c>
      <c r="E99" s="49" t="s">
        <v>367</v>
      </c>
      <c r="F99" s="17" t="s">
        <v>52</v>
      </c>
      <c r="G99" s="18">
        <v>5810108918888</v>
      </c>
      <c r="H99" s="19" t="s">
        <v>432</v>
      </c>
      <c r="I99" s="20">
        <v>3000000</v>
      </c>
    </row>
    <row r="100" spans="1:9" x14ac:dyDescent="0.25">
      <c r="A100" s="12" t="s">
        <v>548</v>
      </c>
      <c r="B100" s="24">
        <v>46156</v>
      </c>
      <c r="C100" s="21" t="s">
        <v>549</v>
      </c>
      <c r="D100" s="22" t="s">
        <v>550</v>
      </c>
      <c r="E100" s="16" t="s">
        <v>343</v>
      </c>
      <c r="F100" s="17" t="s">
        <v>60</v>
      </c>
      <c r="G100" s="18" t="s">
        <v>551</v>
      </c>
      <c r="H100" s="19" t="s">
        <v>451</v>
      </c>
      <c r="I100" s="20">
        <v>3000000</v>
      </c>
    </row>
    <row r="101" spans="1:9" x14ac:dyDescent="0.25">
      <c r="A101" s="12" t="s">
        <v>548</v>
      </c>
      <c r="B101" s="24">
        <v>46156</v>
      </c>
      <c r="C101" s="21" t="s">
        <v>549</v>
      </c>
      <c r="D101" s="22" t="s">
        <v>550</v>
      </c>
      <c r="E101" s="49" t="s">
        <v>393</v>
      </c>
      <c r="F101" s="17" t="s">
        <v>196</v>
      </c>
      <c r="G101" s="17">
        <v>31169222</v>
      </c>
      <c r="H101" s="19" t="s">
        <v>432</v>
      </c>
      <c r="I101" s="20">
        <v>3000000</v>
      </c>
    </row>
    <row r="102" spans="1:9" x14ac:dyDescent="0.25">
      <c r="A102" s="12" t="s">
        <v>548</v>
      </c>
      <c r="B102" s="24">
        <v>46156</v>
      </c>
      <c r="C102" s="21" t="s">
        <v>549</v>
      </c>
      <c r="D102" s="22" t="s">
        <v>552</v>
      </c>
      <c r="E102" s="16" t="s">
        <v>348</v>
      </c>
      <c r="F102" s="19" t="s">
        <v>80</v>
      </c>
      <c r="G102" s="18" t="s">
        <v>553</v>
      </c>
      <c r="H102" s="19" t="s">
        <v>528</v>
      </c>
      <c r="I102" s="20">
        <v>3000000</v>
      </c>
    </row>
    <row r="103" spans="1:9" x14ac:dyDescent="0.25">
      <c r="A103" s="12" t="s">
        <v>548</v>
      </c>
      <c r="B103" s="24">
        <v>46156</v>
      </c>
      <c r="C103" s="21" t="s">
        <v>549</v>
      </c>
      <c r="D103" s="22" t="s">
        <v>552</v>
      </c>
      <c r="E103" s="16" t="s">
        <v>349</v>
      </c>
      <c r="F103" s="17" t="s">
        <v>84</v>
      </c>
      <c r="G103" s="18" t="s">
        <v>554</v>
      </c>
      <c r="H103" s="19" t="s">
        <v>442</v>
      </c>
      <c r="I103" s="20">
        <v>3000000</v>
      </c>
    </row>
    <row r="104" spans="1:9" x14ac:dyDescent="0.25">
      <c r="A104" s="12" t="s">
        <v>548</v>
      </c>
      <c r="B104" s="24">
        <v>46156</v>
      </c>
      <c r="C104" s="21" t="s">
        <v>456</v>
      </c>
      <c r="D104" s="22" t="s">
        <v>513</v>
      </c>
      <c r="E104" s="16" t="s">
        <v>374</v>
      </c>
      <c r="F104" s="17" t="s">
        <v>161</v>
      </c>
      <c r="G104" s="18">
        <v>1029818132</v>
      </c>
      <c r="H104" s="19" t="s">
        <v>437</v>
      </c>
      <c r="I104" s="20">
        <v>1500000</v>
      </c>
    </row>
    <row r="105" spans="1:9" x14ac:dyDescent="0.25">
      <c r="A105" s="12" t="s">
        <v>548</v>
      </c>
      <c r="B105" s="24">
        <v>46156</v>
      </c>
      <c r="C105" s="21" t="s">
        <v>456</v>
      </c>
      <c r="D105" s="22" t="s">
        <v>513</v>
      </c>
      <c r="E105" s="16" t="s">
        <v>373</v>
      </c>
      <c r="F105" s="17" t="s">
        <v>153</v>
      </c>
      <c r="G105" s="18">
        <v>4962874377</v>
      </c>
      <c r="H105" s="19" t="s">
        <v>472</v>
      </c>
      <c r="I105" s="20">
        <v>1500000</v>
      </c>
    </row>
    <row r="106" spans="1:9" x14ac:dyDescent="0.25">
      <c r="A106" s="12" t="s">
        <v>548</v>
      </c>
      <c r="B106" s="24">
        <v>46156</v>
      </c>
      <c r="C106" s="43" t="s">
        <v>434</v>
      </c>
      <c r="D106" s="22" t="s">
        <v>555</v>
      </c>
      <c r="E106" s="16" t="s">
        <v>368</v>
      </c>
      <c r="F106" s="17" t="s">
        <v>175</v>
      </c>
      <c r="G106" s="18" t="s">
        <v>462</v>
      </c>
      <c r="H106" s="19" t="s">
        <v>432</v>
      </c>
      <c r="I106" s="20">
        <v>1500000</v>
      </c>
    </row>
    <row r="107" spans="1:9" x14ac:dyDescent="0.25">
      <c r="A107" s="12" t="s">
        <v>548</v>
      </c>
      <c r="B107" s="24">
        <v>46156</v>
      </c>
      <c r="C107" s="43" t="s">
        <v>434</v>
      </c>
      <c r="D107" s="22" t="s">
        <v>555</v>
      </c>
      <c r="E107" s="16" t="s">
        <v>369</v>
      </c>
      <c r="F107" s="17" t="s">
        <v>326</v>
      </c>
      <c r="G107" s="18" t="s">
        <v>463</v>
      </c>
      <c r="H107" s="19" t="s">
        <v>455</v>
      </c>
      <c r="I107" s="20">
        <v>1500000</v>
      </c>
    </row>
    <row r="108" spans="1:9" x14ac:dyDescent="0.25">
      <c r="A108" s="12" t="s">
        <v>556</v>
      </c>
      <c r="B108" s="24">
        <v>46157</v>
      </c>
      <c r="C108" s="21" t="s">
        <v>557</v>
      </c>
      <c r="D108" s="22" t="s">
        <v>480</v>
      </c>
      <c r="E108" s="16" t="s">
        <v>558</v>
      </c>
      <c r="F108" s="17" t="s">
        <v>87</v>
      </c>
      <c r="G108" s="17">
        <v>866086379</v>
      </c>
      <c r="H108" s="19" t="s">
        <v>432</v>
      </c>
      <c r="I108" s="20">
        <v>1500000</v>
      </c>
    </row>
    <row r="109" spans="1:9" x14ac:dyDescent="0.25">
      <c r="A109" s="12" t="s">
        <v>556</v>
      </c>
      <c r="B109" s="24">
        <v>46157</v>
      </c>
      <c r="C109" s="21" t="s">
        <v>557</v>
      </c>
      <c r="D109" s="22" t="s">
        <v>480</v>
      </c>
      <c r="E109" s="16" t="s">
        <v>389</v>
      </c>
      <c r="F109" s="17" t="s">
        <v>44</v>
      </c>
      <c r="G109" s="17">
        <v>957979779</v>
      </c>
      <c r="H109" s="19" t="s">
        <v>481</v>
      </c>
      <c r="I109" s="20">
        <v>1500000</v>
      </c>
    </row>
    <row r="110" spans="1:9" x14ac:dyDescent="0.25">
      <c r="A110" s="12" t="s">
        <v>556</v>
      </c>
      <c r="B110" s="24">
        <v>46157</v>
      </c>
      <c r="C110" s="21" t="s">
        <v>559</v>
      </c>
      <c r="D110" s="22" t="s">
        <v>506</v>
      </c>
      <c r="E110" s="16" t="s">
        <v>398</v>
      </c>
      <c r="F110" s="17" t="s">
        <v>140</v>
      </c>
      <c r="G110" s="17" t="s">
        <v>507</v>
      </c>
      <c r="H110" s="19" t="s">
        <v>474</v>
      </c>
      <c r="I110" s="20">
        <v>1500000</v>
      </c>
    </row>
    <row r="111" spans="1:9" x14ac:dyDescent="0.25">
      <c r="A111" s="12" t="s">
        <v>556</v>
      </c>
      <c r="B111" s="24">
        <v>46157</v>
      </c>
      <c r="C111" s="21" t="s">
        <v>559</v>
      </c>
      <c r="D111" s="22" t="s">
        <v>506</v>
      </c>
      <c r="E111" s="16" t="s">
        <v>399</v>
      </c>
      <c r="F111" s="17" t="s">
        <v>179</v>
      </c>
      <c r="G111" s="17" t="s">
        <v>508</v>
      </c>
      <c r="H111" s="19" t="s">
        <v>474</v>
      </c>
      <c r="I111" s="20">
        <v>1500000</v>
      </c>
    </row>
    <row r="112" spans="1:9" x14ac:dyDescent="0.25">
      <c r="A112" s="12" t="s">
        <v>556</v>
      </c>
      <c r="B112" s="24">
        <v>46157</v>
      </c>
      <c r="C112" s="21" t="s">
        <v>456</v>
      </c>
      <c r="D112" s="22" t="s">
        <v>560</v>
      </c>
      <c r="E112" s="16" t="s">
        <v>345</v>
      </c>
      <c r="F112" s="17" t="s">
        <v>96</v>
      </c>
      <c r="G112" s="18" t="s">
        <v>488</v>
      </c>
      <c r="H112" s="19" t="s">
        <v>442</v>
      </c>
      <c r="I112" s="20">
        <v>1500000</v>
      </c>
    </row>
    <row r="113" spans="1:9" x14ac:dyDescent="0.25">
      <c r="A113" s="12" t="s">
        <v>556</v>
      </c>
      <c r="B113" s="24">
        <v>46157</v>
      </c>
      <c r="C113" s="21" t="s">
        <v>456</v>
      </c>
      <c r="D113" s="22" t="s">
        <v>560</v>
      </c>
      <c r="E113" s="16" t="s">
        <v>414</v>
      </c>
      <c r="F113" s="19" t="s">
        <v>64</v>
      </c>
      <c r="G113" s="17">
        <v>102344298888</v>
      </c>
      <c r="H113" s="19" t="s">
        <v>455</v>
      </c>
      <c r="I113" s="20">
        <v>1500000</v>
      </c>
    </row>
    <row r="114" spans="1:9" x14ac:dyDescent="0.25">
      <c r="A114" s="12" t="s">
        <v>556</v>
      </c>
      <c r="B114" s="24">
        <v>46157</v>
      </c>
      <c r="C114" s="43" t="s">
        <v>434</v>
      </c>
      <c r="D114" s="22" t="s">
        <v>515</v>
      </c>
      <c r="E114" s="16" t="s">
        <v>408</v>
      </c>
      <c r="F114" s="17" t="s">
        <v>320</v>
      </c>
      <c r="G114" s="17" t="s">
        <v>516</v>
      </c>
      <c r="H114" s="19" t="s">
        <v>474</v>
      </c>
      <c r="I114" s="20">
        <v>1500000</v>
      </c>
    </row>
    <row r="115" spans="1:9" ht="45" x14ac:dyDescent="0.25">
      <c r="A115" s="12" t="s">
        <v>556</v>
      </c>
      <c r="B115" s="24">
        <v>46157</v>
      </c>
      <c r="C115" s="50" t="s">
        <v>561</v>
      </c>
      <c r="D115" s="51" t="s">
        <v>523</v>
      </c>
      <c r="E115" s="52" t="s">
        <v>404</v>
      </c>
      <c r="F115" s="17" t="s">
        <v>28</v>
      </c>
      <c r="G115" s="17">
        <v>104882044622</v>
      </c>
      <c r="H115" s="19" t="s">
        <v>524</v>
      </c>
      <c r="I115" s="20">
        <v>1500000</v>
      </c>
    </row>
    <row r="116" spans="1:9" ht="31.5" x14ac:dyDescent="0.25">
      <c r="A116" s="12" t="s">
        <v>562</v>
      </c>
      <c r="B116" s="24">
        <v>46158</v>
      </c>
      <c r="C116" s="50" t="s">
        <v>563</v>
      </c>
      <c r="D116" s="51" t="s">
        <v>460</v>
      </c>
      <c r="E116" s="52" t="s">
        <v>376</v>
      </c>
      <c r="F116" s="17" t="s">
        <v>254</v>
      </c>
      <c r="G116" s="18">
        <v>1061644437</v>
      </c>
      <c r="H116" s="19" t="s">
        <v>437</v>
      </c>
      <c r="I116" s="20">
        <v>1500000</v>
      </c>
    </row>
    <row r="117" spans="1:9" ht="31.5" x14ac:dyDescent="0.25">
      <c r="A117" s="12" t="s">
        <v>562</v>
      </c>
      <c r="B117" s="24">
        <v>46158</v>
      </c>
      <c r="C117" s="50" t="s">
        <v>563</v>
      </c>
      <c r="D117" s="51" t="s">
        <v>460</v>
      </c>
      <c r="E117" s="53" t="s">
        <v>410</v>
      </c>
      <c r="F117" s="17" t="s">
        <v>204</v>
      </c>
      <c r="G117" s="17">
        <v>797908032000</v>
      </c>
      <c r="H117" s="19" t="s">
        <v>432</v>
      </c>
      <c r="I117" s="20">
        <v>1500000</v>
      </c>
    </row>
    <row r="118" spans="1:9" ht="45" x14ac:dyDescent="0.25">
      <c r="A118" s="12" t="s">
        <v>562</v>
      </c>
      <c r="B118" s="24">
        <v>46158</v>
      </c>
      <c r="C118" s="50" t="s">
        <v>564</v>
      </c>
      <c r="D118" s="54" t="s">
        <v>565</v>
      </c>
      <c r="E118" s="53" t="s">
        <v>359</v>
      </c>
      <c r="F118" s="17" t="s">
        <v>259</v>
      </c>
      <c r="G118" s="18" t="s">
        <v>566</v>
      </c>
      <c r="H118" s="19" t="s">
        <v>446</v>
      </c>
      <c r="I118" s="55">
        <v>3000000</v>
      </c>
    </row>
    <row r="119" spans="1:9" ht="45" x14ac:dyDescent="0.25">
      <c r="A119" s="12" t="s">
        <v>562</v>
      </c>
      <c r="B119" s="24">
        <v>46158</v>
      </c>
      <c r="C119" s="50" t="s">
        <v>564</v>
      </c>
      <c r="D119" s="54" t="s">
        <v>565</v>
      </c>
      <c r="E119" s="53" t="s">
        <v>358</v>
      </c>
      <c r="F119" s="17" t="s">
        <v>138</v>
      </c>
      <c r="G119" s="18" t="s">
        <v>567</v>
      </c>
      <c r="H119" s="19" t="s">
        <v>437</v>
      </c>
      <c r="I119" s="55">
        <v>3000000</v>
      </c>
    </row>
    <row r="120" spans="1:9" ht="31.5" x14ac:dyDescent="0.25">
      <c r="A120" s="12" t="s">
        <v>443</v>
      </c>
      <c r="B120" s="24">
        <v>46158</v>
      </c>
      <c r="C120" s="50" t="s">
        <v>568</v>
      </c>
      <c r="D120" s="54" t="s">
        <v>440</v>
      </c>
      <c r="E120" s="56" t="s">
        <v>418</v>
      </c>
      <c r="F120" s="17" t="s">
        <v>184</v>
      </c>
      <c r="G120" s="17">
        <v>19038442831015</v>
      </c>
      <c r="H120" s="19" t="s">
        <v>472</v>
      </c>
      <c r="I120" s="55">
        <v>1500000</v>
      </c>
    </row>
    <row r="121" spans="1:9" ht="31.5" x14ac:dyDescent="0.25">
      <c r="A121" s="12" t="s">
        <v>443</v>
      </c>
      <c r="B121" s="24">
        <v>46158</v>
      </c>
      <c r="C121" s="50" t="s">
        <v>568</v>
      </c>
      <c r="D121" s="54" t="s">
        <v>440</v>
      </c>
      <c r="E121" s="56" t="s">
        <v>419</v>
      </c>
      <c r="F121" s="17" t="s">
        <v>292</v>
      </c>
      <c r="G121" s="17" t="s">
        <v>569</v>
      </c>
      <c r="H121" s="19" t="s">
        <v>455</v>
      </c>
      <c r="I121" s="55">
        <v>1500000</v>
      </c>
    </row>
    <row r="122" spans="1:9" ht="60" x14ac:dyDescent="0.25">
      <c r="A122" s="12" t="s">
        <v>562</v>
      </c>
      <c r="B122" s="24">
        <v>46158</v>
      </c>
      <c r="C122" s="50" t="s">
        <v>434</v>
      </c>
      <c r="D122" s="57" t="s">
        <v>435</v>
      </c>
      <c r="E122" s="52" t="s">
        <v>384</v>
      </c>
      <c r="F122" s="17" t="s">
        <v>73</v>
      </c>
      <c r="G122" s="17" t="s">
        <v>436</v>
      </c>
      <c r="H122" s="19" t="s">
        <v>437</v>
      </c>
      <c r="I122" s="55">
        <v>1500000</v>
      </c>
    </row>
    <row r="123" spans="1:9" ht="60" x14ac:dyDescent="0.25">
      <c r="A123" s="12" t="s">
        <v>562</v>
      </c>
      <c r="B123" s="24">
        <v>46158</v>
      </c>
      <c r="C123" s="50" t="s">
        <v>434</v>
      </c>
      <c r="D123" s="57" t="s">
        <v>435</v>
      </c>
      <c r="E123" s="52" t="s">
        <v>406</v>
      </c>
      <c r="F123" s="17" t="s">
        <v>187</v>
      </c>
      <c r="G123" s="17">
        <v>4118927</v>
      </c>
      <c r="H123" s="19" t="s">
        <v>438</v>
      </c>
      <c r="I123" s="55">
        <v>1500000</v>
      </c>
    </row>
    <row r="124" spans="1:9" ht="60" x14ac:dyDescent="0.25">
      <c r="A124" s="12" t="s">
        <v>570</v>
      </c>
      <c r="B124" s="24">
        <v>46159</v>
      </c>
      <c r="C124" s="50" t="s">
        <v>434</v>
      </c>
      <c r="D124" s="57" t="s">
        <v>510</v>
      </c>
      <c r="E124" s="52" t="s">
        <v>378</v>
      </c>
      <c r="F124" s="17" t="s">
        <v>35</v>
      </c>
      <c r="G124" s="18">
        <v>1019710505</v>
      </c>
      <c r="H124" s="19" t="s">
        <v>437</v>
      </c>
      <c r="I124" s="58">
        <v>1500000</v>
      </c>
    </row>
    <row r="125" spans="1:9" ht="60" x14ac:dyDescent="0.25">
      <c r="A125" s="12" t="s">
        <v>570</v>
      </c>
      <c r="B125" s="24">
        <v>46159</v>
      </c>
      <c r="C125" s="50" t="s">
        <v>434</v>
      </c>
      <c r="D125" s="57" t="s">
        <v>510</v>
      </c>
      <c r="E125" s="52" t="s">
        <v>413</v>
      </c>
      <c r="F125" s="17" t="s">
        <v>91</v>
      </c>
      <c r="G125" s="17">
        <v>7985712377</v>
      </c>
      <c r="H125" s="19" t="s">
        <v>505</v>
      </c>
      <c r="I125" s="58">
        <v>1500000</v>
      </c>
    </row>
    <row r="126" spans="1:9" ht="45" x14ac:dyDescent="0.25">
      <c r="A126" s="12" t="s">
        <v>570</v>
      </c>
      <c r="B126" s="24">
        <v>46159</v>
      </c>
      <c r="C126" s="50" t="s">
        <v>456</v>
      </c>
      <c r="D126" s="51" t="s">
        <v>471</v>
      </c>
      <c r="E126" s="52" t="s">
        <v>379</v>
      </c>
      <c r="F126" s="17" t="s">
        <v>222</v>
      </c>
      <c r="G126" s="18" t="s">
        <v>473</v>
      </c>
      <c r="H126" s="19" t="s">
        <v>474</v>
      </c>
      <c r="I126" s="58">
        <v>1500000</v>
      </c>
    </row>
    <row r="127" spans="1:9" ht="45" x14ac:dyDescent="0.25">
      <c r="A127" s="12" t="s">
        <v>570</v>
      </c>
      <c r="B127" s="24">
        <v>46159</v>
      </c>
      <c r="C127" s="50" t="s">
        <v>456</v>
      </c>
      <c r="D127" s="51" t="s">
        <v>471</v>
      </c>
      <c r="E127" s="52" t="s">
        <v>365</v>
      </c>
      <c r="F127" s="17" t="s">
        <v>238</v>
      </c>
      <c r="G127" s="18">
        <v>9967519257</v>
      </c>
      <c r="H127" s="19" t="s">
        <v>437</v>
      </c>
      <c r="I127" s="58">
        <v>1500000</v>
      </c>
    </row>
    <row r="128" spans="1:9" ht="60" x14ac:dyDescent="0.25">
      <c r="A128" s="12" t="s">
        <v>570</v>
      </c>
      <c r="B128" s="24">
        <v>46159</v>
      </c>
      <c r="C128" s="50" t="s">
        <v>571</v>
      </c>
      <c r="D128" s="51" t="s">
        <v>572</v>
      </c>
      <c r="E128" s="52" t="s">
        <v>339</v>
      </c>
      <c r="F128" s="17" t="s">
        <v>202</v>
      </c>
      <c r="G128" s="18" t="s">
        <v>573</v>
      </c>
      <c r="H128" s="19" t="s">
        <v>474</v>
      </c>
      <c r="I128" s="58">
        <v>3000000</v>
      </c>
    </row>
    <row r="129" spans="1:9" ht="60" x14ac:dyDescent="0.25">
      <c r="A129" s="12" t="s">
        <v>570</v>
      </c>
      <c r="B129" s="24">
        <v>46159</v>
      </c>
      <c r="C129" s="50" t="s">
        <v>571</v>
      </c>
      <c r="D129" s="51" t="s">
        <v>572</v>
      </c>
      <c r="E129" s="52" t="s">
        <v>338</v>
      </c>
      <c r="F129" s="17" t="s">
        <v>70</v>
      </c>
      <c r="G129" s="18" t="s">
        <v>574</v>
      </c>
      <c r="H129" s="19" t="s">
        <v>451</v>
      </c>
      <c r="I129" s="58">
        <v>3000000</v>
      </c>
    </row>
    <row r="130" spans="1:9" ht="60" x14ac:dyDescent="0.25">
      <c r="A130" s="12" t="s">
        <v>575</v>
      </c>
      <c r="B130" s="40">
        <v>46160</v>
      </c>
      <c r="C130" s="50" t="s">
        <v>576</v>
      </c>
      <c r="D130" s="51" t="s">
        <v>450</v>
      </c>
      <c r="E130" s="52" t="s">
        <v>375</v>
      </c>
      <c r="F130" s="17" t="s">
        <v>17</v>
      </c>
      <c r="G130" s="18">
        <v>1012732996</v>
      </c>
      <c r="H130" s="19" t="s">
        <v>437</v>
      </c>
      <c r="I130" s="58">
        <v>1500000</v>
      </c>
    </row>
    <row r="131" spans="1:9" ht="60" x14ac:dyDescent="0.25">
      <c r="A131" s="12" t="s">
        <v>575</v>
      </c>
      <c r="B131" s="40">
        <v>46160</v>
      </c>
      <c r="C131" s="50" t="s">
        <v>576</v>
      </c>
      <c r="D131" s="51" t="s">
        <v>450</v>
      </c>
      <c r="E131" s="52" t="s">
        <v>411</v>
      </c>
      <c r="F131" s="17" t="s">
        <v>157</v>
      </c>
      <c r="G131" s="17">
        <v>3615205296080</v>
      </c>
      <c r="H131" s="19" t="s">
        <v>451</v>
      </c>
      <c r="I131" s="58">
        <v>1500000</v>
      </c>
    </row>
    <row r="132" spans="1:9" ht="45" x14ac:dyDescent="0.25">
      <c r="A132" s="12" t="s">
        <v>575</v>
      </c>
      <c r="B132" s="40">
        <v>46160</v>
      </c>
      <c r="C132" s="50" t="s">
        <v>456</v>
      </c>
      <c r="D132" s="54" t="s">
        <v>533</v>
      </c>
      <c r="E132" s="53" t="s">
        <v>415</v>
      </c>
      <c r="F132" s="19" t="s">
        <v>100</v>
      </c>
      <c r="G132" s="17">
        <v>83862288888</v>
      </c>
      <c r="H132" s="19" t="s">
        <v>432</v>
      </c>
      <c r="I132" s="58">
        <v>1500000</v>
      </c>
    </row>
    <row r="133" spans="1:9" ht="45" x14ac:dyDescent="0.25">
      <c r="A133" s="12" t="s">
        <v>575</v>
      </c>
      <c r="B133" s="40">
        <v>46160</v>
      </c>
      <c r="C133" s="50" t="s">
        <v>456</v>
      </c>
      <c r="D133" s="54" t="s">
        <v>533</v>
      </c>
      <c r="E133" s="53" t="s">
        <v>416</v>
      </c>
      <c r="F133" s="19" t="s">
        <v>217</v>
      </c>
      <c r="G133" s="17">
        <v>7777720033333</v>
      </c>
      <c r="H133" s="19" t="s">
        <v>432</v>
      </c>
      <c r="I133" s="58">
        <v>1500000</v>
      </c>
    </row>
    <row r="134" spans="1:9" ht="60" x14ac:dyDescent="0.25">
      <c r="A134" s="12" t="s">
        <v>575</v>
      </c>
      <c r="B134" s="40">
        <v>46160</v>
      </c>
      <c r="C134" s="50" t="s">
        <v>434</v>
      </c>
      <c r="D134" s="51" t="s">
        <v>482</v>
      </c>
      <c r="E134" s="52" t="s">
        <v>366</v>
      </c>
      <c r="F134" s="17" t="s">
        <v>301</v>
      </c>
      <c r="G134" s="18">
        <v>9343825206</v>
      </c>
      <c r="H134" s="19" t="s">
        <v>437</v>
      </c>
      <c r="I134" s="58">
        <v>1500000</v>
      </c>
    </row>
    <row r="135" spans="1:9" ht="60" x14ac:dyDescent="0.25">
      <c r="A135" s="12" t="s">
        <v>577</v>
      </c>
      <c r="B135" s="40">
        <v>46160</v>
      </c>
      <c r="C135" s="50" t="s">
        <v>434</v>
      </c>
      <c r="D135" s="51" t="s">
        <v>482</v>
      </c>
      <c r="E135" s="52" t="s">
        <v>394</v>
      </c>
      <c r="F135" s="17" t="s">
        <v>113</v>
      </c>
      <c r="G135" s="17" t="s">
        <v>483</v>
      </c>
      <c r="H135" s="19" t="s">
        <v>432</v>
      </c>
      <c r="I135" s="58">
        <v>1500000</v>
      </c>
    </row>
    <row r="136" spans="1:9" ht="75" x14ac:dyDescent="0.25">
      <c r="A136" s="12" t="s">
        <v>575</v>
      </c>
      <c r="B136" s="40">
        <v>46160</v>
      </c>
      <c r="C136" s="50" t="s">
        <v>578</v>
      </c>
      <c r="D136" s="51" t="s">
        <v>487</v>
      </c>
      <c r="E136" s="52" t="s">
        <v>396</v>
      </c>
      <c r="F136" s="17" t="s">
        <v>170</v>
      </c>
      <c r="G136" s="17" t="s">
        <v>478</v>
      </c>
      <c r="H136" s="19" t="s">
        <v>437</v>
      </c>
      <c r="I136" s="58">
        <v>1500000</v>
      </c>
    </row>
    <row r="137" spans="1:9" ht="75" x14ac:dyDescent="0.25">
      <c r="A137" s="12" t="s">
        <v>575</v>
      </c>
      <c r="B137" s="40">
        <v>46160</v>
      </c>
      <c r="C137" s="50" t="s">
        <v>578</v>
      </c>
      <c r="D137" s="51" t="s">
        <v>487</v>
      </c>
      <c r="E137" s="52" t="s">
        <v>397</v>
      </c>
      <c r="F137" s="17" t="s">
        <v>145</v>
      </c>
      <c r="G137" s="17" t="s">
        <v>479</v>
      </c>
      <c r="H137" s="19" t="s">
        <v>432</v>
      </c>
      <c r="I137" s="58">
        <v>1500000</v>
      </c>
    </row>
    <row r="138" spans="1:9" ht="105" x14ac:dyDescent="0.25">
      <c r="A138" s="12" t="s">
        <v>575</v>
      </c>
      <c r="B138" s="40">
        <v>46160</v>
      </c>
      <c r="C138" s="50" t="s">
        <v>579</v>
      </c>
      <c r="D138" s="51" t="s">
        <v>469</v>
      </c>
      <c r="E138" s="52" t="s">
        <v>395</v>
      </c>
      <c r="F138" s="17" t="s">
        <v>316</v>
      </c>
      <c r="G138" s="17">
        <v>9977002907</v>
      </c>
      <c r="H138" s="19" t="s">
        <v>437</v>
      </c>
      <c r="I138" s="58">
        <v>1500000</v>
      </c>
    </row>
    <row r="139" spans="1:9" ht="105" x14ac:dyDescent="0.25">
      <c r="A139" s="12" t="s">
        <v>575</v>
      </c>
      <c r="B139" s="40">
        <v>46160</v>
      </c>
      <c r="C139" s="50" t="s">
        <v>579</v>
      </c>
      <c r="D139" s="51" t="s">
        <v>469</v>
      </c>
      <c r="E139" s="52" t="s">
        <v>409</v>
      </c>
      <c r="F139" s="17" t="s">
        <v>133</v>
      </c>
      <c r="G139" s="17" t="s">
        <v>470</v>
      </c>
      <c r="H139" s="19" t="s">
        <v>446</v>
      </c>
      <c r="I139" s="58">
        <v>1500000</v>
      </c>
    </row>
    <row r="140" spans="1:9" ht="45" x14ac:dyDescent="0.25">
      <c r="A140" s="12" t="s">
        <v>575</v>
      </c>
      <c r="B140" s="40">
        <v>46160</v>
      </c>
      <c r="C140" s="50" t="s">
        <v>580</v>
      </c>
      <c r="D140" s="51" t="s">
        <v>493</v>
      </c>
      <c r="E140" s="52" t="s">
        <v>355</v>
      </c>
      <c r="F140" s="17" t="s">
        <v>49</v>
      </c>
      <c r="G140" s="18" t="s">
        <v>494</v>
      </c>
      <c r="H140" s="19" t="s">
        <v>437</v>
      </c>
      <c r="I140" s="58">
        <v>3000000</v>
      </c>
    </row>
    <row r="141" spans="1:9" ht="45" x14ac:dyDescent="0.25">
      <c r="A141" s="12" t="s">
        <v>575</v>
      </c>
      <c r="B141" s="40">
        <v>46160</v>
      </c>
      <c r="C141" s="50" t="s">
        <v>580</v>
      </c>
      <c r="D141" s="51" t="s">
        <v>493</v>
      </c>
      <c r="E141" s="52" t="s">
        <v>341</v>
      </c>
      <c r="F141" s="17" t="s">
        <v>251</v>
      </c>
      <c r="G141" s="18" t="s">
        <v>495</v>
      </c>
      <c r="H141" s="19" t="s">
        <v>437</v>
      </c>
      <c r="I141" s="58">
        <v>3000000</v>
      </c>
    </row>
    <row r="142" spans="1:9" ht="60" x14ac:dyDescent="0.25">
      <c r="A142" s="12" t="s">
        <v>581</v>
      </c>
      <c r="B142" s="40">
        <v>46161</v>
      </c>
      <c r="C142" s="50" t="s">
        <v>434</v>
      </c>
      <c r="D142" s="51" t="s">
        <v>452</v>
      </c>
      <c r="E142" s="52" t="s">
        <v>420</v>
      </c>
      <c r="F142" s="17" t="s">
        <v>240</v>
      </c>
      <c r="G142" s="17">
        <v>44365777</v>
      </c>
      <c r="H142" s="19" t="s">
        <v>438</v>
      </c>
      <c r="I142" s="58">
        <v>1500000</v>
      </c>
    </row>
    <row r="143" spans="1:9" ht="60" x14ac:dyDescent="0.25">
      <c r="A143" s="12" t="s">
        <v>581</v>
      </c>
      <c r="B143" s="40">
        <v>46161</v>
      </c>
      <c r="C143" s="50" t="s">
        <v>434</v>
      </c>
      <c r="D143" s="51" t="s">
        <v>452</v>
      </c>
      <c r="E143" s="52" t="s">
        <v>363</v>
      </c>
      <c r="F143" s="17" t="s">
        <v>305</v>
      </c>
      <c r="G143" s="18">
        <v>102871393941</v>
      </c>
      <c r="H143" s="19" t="s">
        <v>455</v>
      </c>
      <c r="I143" s="58">
        <v>1500000</v>
      </c>
    </row>
    <row r="144" spans="1:9" ht="75" x14ac:dyDescent="0.25">
      <c r="A144" s="12" t="s">
        <v>581</v>
      </c>
      <c r="B144" s="40">
        <v>46161</v>
      </c>
      <c r="C144" s="50" t="s">
        <v>582</v>
      </c>
      <c r="D144" s="51" t="s">
        <v>583</v>
      </c>
      <c r="E144" s="52" t="s">
        <v>390</v>
      </c>
      <c r="F144" s="17" t="s">
        <v>287</v>
      </c>
      <c r="G144" s="17" t="s">
        <v>490</v>
      </c>
      <c r="H144" s="19" t="s">
        <v>491</v>
      </c>
      <c r="I144" s="58">
        <v>1500000</v>
      </c>
    </row>
    <row r="145" spans="1:9" ht="45" x14ac:dyDescent="0.25">
      <c r="A145" s="12" t="s">
        <v>581</v>
      </c>
      <c r="B145" s="40">
        <v>46161</v>
      </c>
      <c r="C145" s="50" t="s">
        <v>584</v>
      </c>
      <c r="D145" s="51" t="s">
        <v>585</v>
      </c>
      <c r="E145" s="52" t="s">
        <v>342</v>
      </c>
      <c r="F145" s="17" t="s">
        <v>68</v>
      </c>
      <c r="G145" s="18" t="s">
        <v>586</v>
      </c>
      <c r="H145" s="19" t="s">
        <v>587</v>
      </c>
      <c r="I145" s="58">
        <v>3000000</v>
      </c>
    </row>
    <row r="146" spans="1:9" ht="45" x14ac:dyDescent="0.25">
      <c r="A146" s="12" t="s">
        <v>542</v>
      </c>
      <c r="B146" s="40">
        <v>46161</v>
      </c>
      <c r="C146" s="50" t="s">
        <v>584</v>
      </c>
      <c r="D146" s="51" t="s">
        <v>585</v>
      </c>
      <c r="E146" s="52" t="s">
        <v>347</v>
      </c>
      <c r="F146" s="17" t="s">
        <v>249</v>
      </c>
      <c r="G146" s="18" t="s">
        <v>588</v>
      </c>
      <c r="H146" s="19" t="s">
        <v>451</v>
      </c>
      <c r="I146" s="58">
        <v>3000000</v>
      </c>
    </row>
    <row r="147" spans="1:9" ht="45" x14ac:dyDescent="0.25">
      <c r="A147" s="12" t="s">
        <v>581</v>
      </c>
      <c r="B147" s="40">
        <v>46161</v>
      </c>
      <c r="C147" s="50" t="s">
        <v>589</v>
      </c>
      <c r="D147" s="51" t="s">
        <v>590</v>
      </c>
      <c r="E147" s="52" t="s">
        <v>344</v>
      </c>
      <c r="F147" s="17" t="s">
        <v>261</v>
      </c>
      <c r="G147" s="18" t="s">
        <v>591</v>
      </c>
      <c r="H147" s="19" t="s">
        <v>451</v>
      </c>
      <c r="I147" s="58">
        <v>3000000</v>
      </c>
    </row>
    <row r="148" spans="1:9" ht="45" x14ac:dyDescent="0.25">
      <c r="A148" s="12" t="s">
        <v>581</v>
      </c>
      <c r="B148" s="40">
        <v>46161</v>
      </c>
      <c r="C148" s="50" t="s">
        <v>589</v>
      </c>
      <c r="D148" s="51" t="s">
        <v>590</v>
      </c>
      <c r="E148" s="52" t="s">
        <v>354</v>
      </c>
      <c r="F148" s="17" t="s">
        <v>330</v>
      </c>
      <c r="G148" s="18" t="s">
        <v>592</v>
      </c>
      <c r="H148" s="19" t="s">
        <v>446</v>
      </c>
      <c r="I148" s="58">
        <v>3000000</v>
      </c>
    </row>
    <row r="149" spans="1:9" ht="31.5" x14ac:dyDescent="0.25">
      <c r="A149" s="12" t="s">
        <v>593</v>
      </c>
      <c r="B149" s="40">
        <v>46162</v>
      </c>
      <c r="C149" s="50" t="s">
        <v>594</v>
      </c>
      <c r="D149" s="51" t="s">
        <v>496</v>
      </c>
      <c r="E149" s="52" t="s">
        <v>370</v>
      </c>
      <c r="F149" s="17" t="s">
        <v>264</v>
      </c>
      <c r="G149" s="18">
        <v>48810000602191</v>
      </c>
      <c r="H149" s="19" t="s">
        <v>442</v>
      </c>
      <c r="I149" s="58">
        <v>3000000</v>
      </c>
    </row>
    <row r="150" spans="1:9" ht="31.5" x14ac:dyDescent="0.25">
      <c r="A150" s="12" t="s">
        <v>443</v>
      </c>
      <c r="B150" s="40">
        <v>46162</v>
      </c>
      <c r="C150" s="50" t="s">
        <v>594</v>
      </c>
      <c r="D150" s="51" t="s">
        <v>496</v>
      </c>
      <c r="E150" s="59" t="s">
        <v>353</v>
      </c>
      <c r="F150" s="17" t="s">
        <v>231</v>
      </c>
      <c r="G150" s="18" t="s">
        <v>497</v>
      </c>
      <c r="H150" s="19" t="s">
        <v>438</v>
      </c>
      <c r="I150" s="58">
        <v>3000000</v>
      </c>
    </row>
    <row r="151" spans="1:9" ht="60" x14ac:dyDescent="0.25">
      <c r="A151" s="12" t="s">
        <v>593</v>
      </c>
      <c r="B151" s="40">
        <v>46162</v>
      </c>
      <c r="C151" s="50" t="s">
        <v>434</v>
      </c>
      <c r="D151" s="51" t="s">
        <v>485</v>
      </c>
      <c r="E151" s="52" t="s">
        <v>402</v>
      </c>
      <c r="F151" s="17" t="s">
        <v>226</v>
      </c>
      <c r="G151" s="17">
        <v>109872813241</v>
      </c>
      <c r="H151" s="19" t="s">
        <v>455</v>
      </c>
      <c r="I151" s="58">
        <v>1500000</v>
      </c>
    </row>
    <row r="152" spans="1:9" ht="60" x14ac:dyDescent="0.25">
      <c r="A152" s="12" t="s">
        <v>593</v>
      </c>
      <c r="B152" s="40">
        <v>46162</v>
      </c>
      <c r="C152" s="50" t="s">
        <v>434</v>
      </c>
      <c r="D152" s="51" t="s">
        <v>485</v>
      </c>
      <c r="E152" s="52" t="s">
        <v>403</v>
      </c>
      <c r="F152" s="17" t="s">
        <v>234</v>
      </c>
      <c r="G152" s="17">
        <v>63333266789</v>
      </c>
      <c r="H152" s="19" t="s">
        <v>446</v>
      </c>
      <c r="I152" s="58">
        <v>1500000</v>
      </c>
    </row>
    <row r="153" spans="1:9" ht="45" x14ac:dyDescent="0.25">
      <c r="A153" s="12" t="s">
        <v>593</v>
      </c>
      <c r="B153" s="40">
        <v>46162</v>
      </c>
      <c r="C153" s="50" t="s">
        <v>456</v>
      </c>
      <c r="D153" s="51" t="s">
        <v>503</v>
      </c>
      <c r="E153" s="52" t="s">
        <v>371</v>
      </c>
      <c r="F153" s="17" t="s">
        <v>128</v>
      </c>
      <c r="G153" s="18">
        <v>9374264292</v>
      </c>
      <c r="H153" s="19" t="s">
        <v>505</v>
      </c>
      <c r="I153" s="58">
        <v>1500000</v>
      </c>
    </row>
    <row r="154" spans="1:9" ht="45" x14ac:dyDescent="0.25">
      <c r="A154" s="12" t="s">
        <v>593</v>
      </c>
      <c r="B154" s="40">
        <v>46162</v>
      </c>
      <c r="C154" s="50" t="s">
        <v>456</v>
      </c>
      <c r="D154" s="51" t="s">
        <v>503</v>
      </c>
      <c r="E154" s="52" t="s">
        <v>361</v>
      </c>
      <c r="F154" s="17" t="s">
        <v>117</v>
      </c>
      <c r="G154" s="18" t="s">
        <v>504</v>
      </c>
      <c r="H154" s="19" t="s">
        <v>437</v>
      </c>
      <c r="I154" s="58">
        <v>1500000</v>
      </c>
    </row>
    <row r="155" spans="1:9" ht="31.5" x14ac:dyDescent="0.25">
      <c r="A155" s="12" t="s">
        <v>443</v>
      </c>
      <c r="B155" s="40">
        <v>46163</v>
      </c>
      <c r="C155" s="50" t="s">
        <v>484</v>
      </c>
      <c r="D155" s="51" t="s">
        <v>477</v>
      </c>
      <c r="E155" s="52" t="s">
        <v>391</v>
      </c>
      <c r="F155" s="17" t="s">
        <v>273</v>
      </c>
      <c r="G155" s="17">
        <v>4491966778899</v>
      </c>
      <c r="H155" s="19" t="s">
        <v>446</v>
      </c>
      <c r="I155" s="58">
        <v>1500000</v>
      </c>
    </row>
    <row r="156" spans="1:9" ht="60" x14ac:dyDescent="0.25">
      <c r="A156" s="12" t="s">
        <v>595</v>
      </c>
      <c r="B156" s="40">
        <v>46163</v>
      </c>
      <c r="C156" s="50" t="s">
        <v>596</v>
      </c>
      <c r="D156" s="51" t="s">
        <v>513</v>
      </c>
      <c r="E156" s="52" t="s">
        <v>374</v>
      </c>
      <c r="F156" s="17" t="s">
        <v>161</v>
      </c>
      <c r="G156" s="18">
        <v>1029818132</v>
      </c>
      <c r="H156" s="19" t="s">
        <v>437</v>
      </c>
      <c r="I156" s="58">
        <v>1500000</v>
      </c>
    </row>
    <row r="157" spans="1:9" ht="60" x14ac:dyDescent="0.25">
      <c r="A157" s="12" t="s">
        <v>595</v>
      </c>
      <c r="B157" s="40">
        <v>46163</v>
      </c>
      <c r="C157" s="50" t="s">
        <v>596</v>
      </c>
      <c r="D157" s="51" t="s">
        <v>513</v>
      </c>
      <c r="E157" s="52" t="s">
        <v>373</v>
      </c>
      <c r="F157" s="17" t="s">
        <v>153</v>
      </c>
      <c r="G157" s="18">
        <v>4962874377</v>
      </c>
      <c r="H157" s="19" t="s">
        <v>472</v>
      </c>
      <c r="I157" s="58">
        <v>1500000</v>
      </c>
    </row>
    <row r="158" spans="1:9" ht="45" x14ac:dyDescent="0.25">
      <c r="A158" s="12" t="s">
        <v>595</v>
      </c>
      <c r="B158" s="40">
        <v>46163</v>
      </c>
      <c r="C158" s="50" t="s">
        <v>492</v>
      </c>
      <c r="D158" s="60" t="s">
        <v>534</v>
      </c>
      <c r="E158" s="52" t="s">
        <v>372</v>
      </c>
      <c r="F158" s="17" t="s">
        <v>192</v>
      </c>
      <c r="G158" s="18" t="s">
        <v>535</v>
      </c>
      <c r="H158" s="19" t="s">
        <v>536</v>
      </c>
      <c r="I158" s="58">
        <v>1500000</v>
      </c>
    </row>
    <row r="159" spans="1:9" ht="45" x14ac:dyDescent="0.25">
      <c r="A159" s="12" t="s">
        <v>595</v>
      </c>
      <c r="B159" s="40">
        <v>46163</v>
      </c>
      <c r="C159" s="50" t="s">
        <v>492</v>
      </c>
      <c r="D159" s="60" t="s">
        <v>534</v>
      </c>
      <c r="E159" s="52" t="s">
        <v>392</v>
      </c>
      <c r="F159" s="17" t="s">
        <v>123</v>
      </c>
      <c r="G159" s="17">
        <v>4706205245990</v>
      </c>
      <c r="H159" s="19" t="s">
        <v>451</v>
      </c>
      <c r="I159" s="58">
        <v>1500000</v>
      </c>
    </row>
    <row r="160" spans="1:9" ht="60" x14ac:dyDescent="0.25">
      <c r="A160" s="12" t="s">
        <v>597</v>
      </c>
      <c r="B160" s="40">
        <v>46163</v>
      </c>
      <c r="C160" s="50" t="s">
        <v>434</v>
      </c>
      <c r="D160" s="57" t="s">
        <v>523</v>
      </c>
      <c r="E160" s="52" t="s">
        <v>404</v>
      </c>
      <c r="F160" s="17" t="s">
        <v>28</v>
      </c>
      <c r="G160" s="17">
        <v>104882044622</v>
      </c>
      <c r="H160" s="19" t="s">
        <v>524</v>
      </c>
      <c r="I160" s="58">
        <v>1500000</v>
      </c>
    </row>
    <row r="161" spans="1:9" ht="60" x14ac:dyDescent="0.25">
      <c r="A161" s="12" t="s">
        <v>443</v>
      </c>
      <c r="B161" s="40">
        <v>46163</v>
      </c>
      <c r="C161" s="50" t="s">
        <v>434</v>
      </c>
      <c r="D161" s="51" t="s">
        <v>466</v>
      </c>
      <c r="E161" s="59" t="s">
        <v>362</v>
      </c>
      <c r="F161" s="17" t="s">
        <v>269</v>
      </c>
      <c r="G161" s="18" t="s">
        <v>468</v>
      </c>
      <c r="H161" s="19" t="s">
        <v>432</v>
      </c>
      <c r="I161" s="58">
        <v>1500000</v>
      </c>
    </row>
    <row r="162" spans="1:9" ht="60" x14ac:dyDescent="0.25">
      <c r="A162" s="12" t="s">
        <v>595</v>
      </c>
      <c r="B162" s="40">
        <v>46163</v>
      </c>
      <c r="C162" s="50" t="s">
        <v>434</v>
      </c>
      <c r="D162" s="51" t="s">
        <v>466</v>
      </c>
      <c r="E162" s="52" t="s">
        <v>364</v>
      </c>
      <c r="F162" s="17" t="s">
        <v>212</v>
      </c>
      <c r="G162" s="18" t="s">
        <v>467</v>
      </c>
      <c r="H162" s="19" t="s">
        <v>442</v>
      </c>
      <c r="I162" s="58">
        <v>1500000</v>
      </c>
    </row>
    <row r="163" spans="1:9" ht="45" x14ac:dyDescent="0.25">
      <c r="A163" s="12" t="s">
        <v>595</v>
      </c>
      <c r="B163" s="40">
        <v>46163</v>
      </c>
      <c r="C163" s="50" t="s">
        <v>456</v>
      </c>
      <c r="D163" s="51" t="s">
        <v>431</v>
      </c>
      <c r="E163" s="52" t="s">
        <v>377</v>
      </c>
      <c r="F163" s="17" t="s">
        <v>310</v>
      </c>
      <c r="G163" s="18">
        <v>23956793979</v>
      </c>
      <c r="H163" s="19" t="s">
        <v>432</v>
      </c>
      <c r="I163" s="58">
        <v>1500000</v>
      </c>
    </row>
    <row r="164" spans="1:9" ht="45" x14ac:dyDescent="0.25">
      <c r="A164" s="12" t="s">
        <v>595</v>
      </c>
      <c r="B164" s="40">
        <v>46163</v>
      </c>
      <c r="C164" s="50" t="s">
        <v>456</v>
      </c>
      <c r="D164" s="51" t="s">
        <v>431</v>
      </c>
      <c r="E164" s="52" t="s">
        <v>417</v>
      </c>
      <c r="F164" s="17" t="s">
        <v>244</v>
      </c>
      <c r="G164" s="17" t="s">
        <v>539</v>
      </c>
      <c r="H164" s="19" t="s">
        <v>540</v>
      </c>
      <c r="I164" s="58">
        <v>1500000</v>
      </c>
    </row>
    <row r="165" spans="1:9" ht="60" x14ac:dyDescent="0.25">
      <c r="A165" s="12" t="s">
        <v>595</v>
      </c>
      <c r="B165" s="40">
        <v>46163</v>
      </c>
      <c r="C165" s="50" t="s">
        <v>598</v>
      </c>
      <c r="D165" s="51" t="s">
        <v>599</v>
      </c>
      <c r="E165" s="52" t="s">
        <v>351</v>
      </c>
      <c r="F165" s="17" t="s">
        <v>57</v>
      </c>
      <c r="G165" s="18" t="s">
        <v>600</v>
      </c>
      <c r="H165" s="19" t="s">
        <v>446</v>
      </c>
      <c r="I165" s="58">
        <v>3000000</v>
      </c>
    </row>
    <row r="166" spans="1:9" ht="60" x14ac:dyDescent="0.25">
      <c r="A166" s="12" t="s">
        <v>595</v>
      </c>
      <c r="B166" s="40">
        <v>46163</v>
      </c>
      <c r="C166" s="50" t="s">
        <v>598</v>
      </c>
      <c r="D166" s="51" t="s">
        <v>599</v>
      </c>
      <c r="E166" s="52" t="s">
        <v>350</v>
      </c>
      <c r="F166" s="17" t="s">
        <v>296</v>
      </c>
      <c r="G166" s="18" t="s">
        <v>601</v>
      </c>
      <c r="H166" s="19" t="s">
        <v>451</v>
      </c>
      <c r="I166" s="58">
        <v>3000000</v>
      </c>
    </row>
    <row r="167" spans="1:9" ht="45" x14ac:dyDescent="0.25">
      <c r="A167" s="12" t="s">
        <v>602</v>
      </c>
      <c r="B167" s="40">
        <v>46164</v>
      </c>
      <c r="C167" s="50" t="s">
        <v>584</v>
      </c>
      <c r="D167" s="51" t="s">
        <v>499</v>
      </c>
      <c r="E167" s="52" t="s">
        <v>346</v>
      </c>
      <c r="F167" s="17" t="s">
        <v>323</v>
      </c>
      <c r="G167" s="18" t="s">
        <v>501</v>
      </c>
      <c r="H167" s="19" t="s">
        <v>442</v>
      </c>
      <c r="I167" s="58">
        <v>3000000</v>
      </c>
    </row>
    <row r="168" spans="1:9" ht="45" x14ac:dyDescent="0.25">
      <c r="A168" s="12" t="s">
        <v>602</v>
      </c>
      <c r="B168" s="40">
        <v>46164</v>
      </c>
      <c r="C168" s="50" t="s">
        <v>584</v>
      </c>
      <c r="D168" s="51" t="s">
        <v>499</v>
      </c>
      <c r="E168" s="52" t="s">
        <v>357</v>
      </c>
      <c r="F168" s="17" t="s">
        <v>333</v>
      </c>
      <c r="G168" s="18" t="s">
        <v>500</v>
      </c>
      <c r="H168" s="19" t="s">
        <v>442</v>
      </c>
      <c r="I168" s="58">
        <v>3000000</v>
      </c>
    </row>
    <row r="169" spans="1:9" ht="75" x14ac:dyDescent="0.25">
      <c r="A169" s="12" t="s">
        <v>602</v>
      </c>
      <c r="B169" s="40">
        <v>46164</v>
      </c>
      <c r="C169" s="50" t="s">
        <v>603</v>
      </c>
      <c r="D169" s="51" t="s">
        <v>457</v>
      </c>
      <c r="E169" s="52" t="s">
        <v>360</v>
      </c>
      <c r="F169" s="17" t="s">
        <v>278</v>
      </c>
      <c r="G169" s="18" t="s">
        <v>458</v>
      </c>
      <c r="H169" s="19" t="s">
        <v>446</v>
      </c>
      <c r="I169" s="58">
        <v>1500000</v>
      </c>
    </row>
    <row r="170" spans="1:9" ht="75" x14ac:dyDescent="0.25">
      <c r="A170" s="12" t="s">
        <v>602</v>
      </c>
      <c r="B170" s="40">
        <v>46164</v>
      </c>
      <c r="C170" s="50" t="s">
        <v>603</v>
      </c>
      <c r="D170" s="51" t="s">
        <v>457</v>
      </c>
      <c r="E170" s="52" t="s">
        <v>407</v>
      </c>
      <c r="F170" s="17" t="s">
        <v>165</v>
      </c>
      <c r="G170" s="17">
        <v>109873271749</v>
      </c>
      <c r="H170" s="19" t="s">
        <v>455</v>
      </c>
      <c r="I170" s="58">
        <v>1500000</v>
      </c>
    </row>
    <row r="171" spans="1:9" ht="75" x14ac:dyDescent="0.25">
      <c r="A171" s="12" t="s">
        <v>602</v>
      </c>
      <c r="B171" s="40">
        <v>46164</v>
      </c>
      <c r="C171" s="50" t="s">
        <v>604</v>
      </c>
      <c r="D171" s="51" t="s">
        <v>546</v>
      </c>
      <c r="E171" s="52" t="s">
        <v>340</v>
      </c>
      <c r="F171" s="17" t="s">
        <v>109</v>
      </c>
      <c r="G171" s="18" t="s">
        <v>547</v>
      </c>
      <c r="H171" s="19" t="s">
        <v>437</v>
      </c>
      <c r="I171" s="58">
        <v>3000000</v>
      </c>
    </row>
    <row r="172" spans="1:9" ht="45" x14ac:dyDescent="0.25">
      <c r="A172" s="12" t="s">
        <v>597</v>
      </c>
      <c r="B172" s="40">
        <v>46164</v>
      </c>
      <c r="C172" s="50" t="s">
        <v>605</v>
      </c>
      <c r="D172" s="51" t="s">
        <v>506</v>
      </c>
      <c r="E172" s="61" t="s">
        <v>398</v>
      </c>
      <c r="F172" s="17" t="s">
        <v>140</v>
      </c>
      <c r="G172" s="17" t="s">
        <v>507</v>
      </c>
      <c r="H172" s="19" t="s">
        <v>474</v>
      </c>
      <c r="I172" s="58">
        <v>1500000</v>
      </c>
    </row>
    <row r="173" spans="1:9" ht="45" x14ac:dyDescent="0.25">
      <c r="A173" s="12" t="s">
        <v>597</v>
      </c>
      <c r="B173" s="40">
        <v>46164</v>
      </c>
      <c r="C173" s="50" t="s">
        <v>605</v>
      </c>
      <c r="D173" s="51" t="s">
        <v>506</v>
      </c>
      <c r="E173" s="52" t="s">
        <v>399</v>
      </c>
      <c r="F173" s="17" t="s">
        <v>179</v>
      </c>
      <c r="G173" s="17" t="s">
        <v>508</v>
      </c>
      <c r="H173" s="19" t="s">
        <v>474</v>
      </c>
      <c r="I173" s="58">
        <v>1500000</v>
      </c>
    </row>
    <row r="174" spans="1:9" ht="60" x14ac:dyDescent="0.25">
      <c r="A174" s="12" t="s">
        <v>577</v>
      </c>
      <c r="B174" s="40">
        <v>46164</v>
      </c>
      <c r="C174" s="50" t="s">
        <v>434</v>
      </c>
      <c r="D174" s="51" t="s">
        <v>435</v>
      </c>
      <c r="E174" s="52" t="s">
        <v>384</v>
      </c>
      <c r="F174" s="17" t="s">
        <v>73</v>
      </c>
      <c r="G174" s="17" t="s">
        <v>436</v>
      </c>
      <c r="H174" s="19" t="s">
        <v>437</v>
      </c>
      <c r="I174" s="58">
        <v>1500000</v>
      </c>
    </row>
    <row r="175" spans="1:9" ht="60" x14ac:dyDescent="0.25">
      <c r="A175" s="12" t="s">
        <v>577</v>
      </c>
      <c r="B175" s="40">
        <v>46164</v>
      </c>
      <c r="C175" s="50" t="s">
        <v>434</v>
      </c>
      <c r="D175" s="51" t="s">
        <v>435</v>
      </c>
      <c r="E175" s="52" t="s">
        <v>406</v>
      </c>
      <c r="F175" s="17" t="s">
        <v>187</v>
      </c>
      <c r="G175" s="17">
        <v>4118927</v>
      </c>
      <c r="H175" s="19" t="s">
        <v>438</v>
      </c>
      <c r="I175" s="58">
        <v>1500000</v>
      </c>
    </row>
    <row r="176" spans="1:9" ht="45" x14ac:dyDescent="0.25">
      <c r="A176" s="12" t="s">
        <v>606</v>
      </c>
      <c r="B176" s="40">
        <v>46164</v>
      </c>
      <c r="C176" s="50" t="s">
        <v>456</v>
      </c>
      <c r="D176" s="51" t="s">
        <v>510</v>
      </c>
      <c r="E176" s="52" t="s">
        <v>378</v>
      </c>
      <c r="F176" s="17" t="s">
        <v>35</v>
      </c>
      <c r="G176" s="18">
        <v>1019710505</v>
      </c>
      <c r="H176" s="19" t="s">
        <v>437</v>
      </c>
      <c r="I176" s="58">
        <v>1500000</v>
      </c>
    </row>
    <row r="177" spans="1:9" ht="45" x14ac:dyDescent="0.25">
      <c r="A177" s="12" t="s">
        <v>606</v>
      </c>
      <c r="B177" s="40">
        <v>46164</v>
      </c>
      <c r="C177" s="50" t="s">
        <v>456</v>
      </c>
      <c r="D177" s="51" t="s">
        <v>510</v>
      </c>
      <c r="E177" s="52" t="s">
        <v>413</v>
      </c>
      <c r="F177" s="17" t="s">
        <v>91</v>
      </c>
      <c r="G177" s="17">
        <v>7985712377</v>
      </c>
      <c r="H177" s="19" t="s">
        <v>505</v>
      </c>
      <c r="I177" s="58">
        <v>1500000</v>
      </c>
    </row>
    <row r="178" spans="1:9" ht="45" x14ac:dyDescent="0.25">
      <c r="A178" s="12" t="s">
        <v>607</v>
      </c>
      <c r="B178" s="40">
        <v>46165</v>
      </c>
      <c r="C178" s="50" t="s">
        <v>608</v>
      </c>
      <c r="D178" s="57" t="s">
        <v>550</v>
      </c>
      <c r="E178" s="52" t="s">
        <v>343</v>
      </c>
      <c r="F178" s="17" t="s">
        <v>60</v>
      </c>
      <c r="G178" s="18" t="s">
        <v>551</v>
      </c>
      <c r="H178" s="19" t="s">
        <v>451</v>
      </c>
      <c r="I178" s="58">
        <v>3000000</v>
      </c>
    </row>
    <row r="179" spans="1:9" ht="60" x14ac:dyDescent="0.25">
      <c r="A179" s="12" t="s">
        <v>607</v>
      </c>
      <c r="B179" s="40">
        <v>46165</v>
      </c>
      <c r="C179" s="50" t="s">
        <v>434</v>
      </c>
      <c r="D179" s="51" t="s">
        <v>555</v>
      </c>
      <c r="E179" s="52" t="s">
        <v>368</v>
      </c>
      <c r="F179" s="17" t="s">
        <v>175</v>
      </c>
      <c r="G179" s="18" t="s">
        <v>462</v>
      </c>
      <c r="H179" s="19" t="s">
        <v>432</v>
      </c>
      <c r="I179" s="58">
        <v>1500000</v>
      </c>
    </row>
    <row r="180" spans="1:9" ht="60" x14ac:dyDescent="0.25">
      <c r="A180" s="12" t="s">
        <v>607</v>
      </c>
      <c r="B180" s="40">
        <v>46165</v>
      </c>
      <c r="C180" s="50" t="s">
        <v>434</v>
      </c>
      <c r="D180" s="51" t="s">
        <v>555</v>
      </c>
      <c r="E180" s="52" t="s">
        <v>369</v>
      </c>
      <c r="F180" s="17" t="s">
        <v>326</v>
      </c>
      <c r="G180" s="18" t="s">
        <v>463</v>
      </c>
      <c r="H180" s="19" t="s">
        <v>455</v>
      </c>
      <c r="I180" s="58">
        <v>1500000</v>
      </c>
    </row>
    <row r="181" spans="1:9" ht="60" x14ac:dyDescent="0.25">
      <c r="A181" s="12" t="s">
        <v>577</v>
      </c>
      <c r="B181" s="40">
        <v>46165</v>
      </c>
      <c r="C181" s="50" t="s">
        <v>434</v>
      </c>
      <c r="D181" s="51" t="s">
        <v>533</v>
      </c>
      <c r="E181" s="52" t="s">
        <v>415</v>
      </c>
      <c r="F181" s="17" t="s">
        <v>100</v>
      </c>
      <c r="G181" s="17">
        <v>83862288888</v>
      </c>
      <c r="H181" s="19" t="s">
        <v>432</v>
      </c>
      <c r="I181" s="58">
        <v>1500000</v>
      </c>
    </row>
    <row r="182" spans="1:9" ht="60" x14ac:dyDescent="0.25">
      <c r="A182" s="12" t="s">
        <v>577</v>
      </c>
      <c r="B182" s="40">
        <v>46165</v>
      </c>
      <c r="C182" s="50" t="s">
        <v>434</v>
      </c>
      <c r="D182" s="51" t="s">
        <v>533</v>
      </c>
      <c r="E182" s="52" t="s">
        <v>416</v>
      </c>
      <c r="F182" s="17" t="s">
        <v>217</v>
      </c>
      <c r="G182" s="17">
        <v>7777720033333</v>
      </c>
      <c r="H182" s="19" t="s">
        <v>432</v>
      </c>
      <c r="I182" s="58">
        <v>1500000</v>
      </c>
    </row>
    <row r="183" spans="1:9" ht="31.5" x14ac:dyDescent="0.25">
      <c r="A183" s="12" t="s">
        <v>609</v>
      </c>
      <c r="B183" s="40">
        <v>46166</v>
      </c>
      <c r="C183" s="62" t="s">
        <v>571</v>
      </c>
      <c r="D183" s="51" t="s">
        <v>544</v>
      </c>
      <c r="E183" s="62" t="s">
        <v>610</v>
      </c>
      <c r="F183" s="17" t="s">
        <v>52</v>
      </c>
      <c r="G183" s="18">
        <v>5810108918888</v>
      </c>
      <c r="H183" s="19" t="s">
        <v>432</v>
      </c>
      <c r="I183" s="58">
        <v>3000000</v>
      </c>
    </row>
    <row r="184" spans="1:9" ht="31.5" x14ac:dyDescent="0.25">
      <c r="A184" s="12" t="s">
        <v>609</v>
      </c>
      <c r="B184" s="40">
        <v>46166</v>
      </c>
      <c r="C184" s="62" t="s">
        <v>571</v>
      </c>
      <c r="D184" s="51" t="s">
        <v>544</v>
      </c>
      <c r="E184" s="62" t="s">
        <v>393</v>
      </c>
      <c r="F184" s="17" t="s">
        <v>196</v>
      </c>
      <c r="G184" s="17">
        <v>31169222</v>
      </c>
      <c r="H184" s="19" t="s">
        <v>432</v>
      </c>
      <c r="I184" s="58">
        <v>3000000</v>
      </c>
    </row>
    <row r="185" spans="1:9" ht="31.5" x14ac:dyDescent="0.25">
      <c r="A185" s="12" t="s">
        <v>611</v>
      </c>
      <c r="B185" s="40">
        <v>46166</v>
      </c>
      <c r="C185" s="63" t="s">
        <v>612</v>
      </c>
      <c r="D185" s="54" t="s">
        <v>487</v>
      </c>
      <c r="E185" s="52" t="s">
        <v>396</v>
      </c>
      <c r="F185" s="17" t="s">
        <v>170</v>
      </c>
      <c r="G185" s="17" t="s">
        <v>478</v>
      </c>
      <c r="H185" s="19" t="s">
        <v>437</v>
      </c>
      <c r="I185" s="55">
        <v>1500000</v>
      </c>
    </row>
    <row r="186" spans="1:9" ht="31.5" x14ac:dyDescent="0.25">
      <c r="A186" s="12" t="s">
        <v>611</v>
      </c>
      <c r="B186" s="40">
        <v>46166</v>
      </c>
      <c r="C186" s="63" t="s">
        <v>612</v>
      </c>
      <c r="D186" s="54" t="s">
        <v>487</v>
      </c>
      <c r="E186" s="52" t="s">
        <v>397</v>
      </c>
      <c r="F186" s="17" t="s">
        <v>145</v>
      </c>
      <c r="G186" s="17" t="s">
        <v>479</v>
      </c>
      <c r="H186" s="19" t="s">
        <v>432</v>
      </c>
      <c r="I186" s="55">
        <v>1500000</v>
      </c>
    </row>
    <row r="187" spans="1:9" ht="60" x14ac:dyDescent="0.25">
      <c r="A187" s="12" t="s">
        <v>597</v>
      </c>
      <c r="B187" s="40">
        <v>46166</v>
      </c>
      <c r="C187" s="50" t="s">
        <v>434</v>
      </c>
      <c r="D187" s="51" t="s">
        <v>583</v>
      </c>
      <c r="E187" s="52" t="s">
        <v>390</v>
      </c>
      <c r="F187" s="17" t="s">
        <v>287</v>
      </c>
      <c r="G187" s="17" t="s">
        <v>490</v>
      </c>
      <c r="H187" s="19" t="s">
        <v>491</v>
      </c>
      <c r="I187" s="55">
        <v>1500000</v>
      </c>
    </row>
    <row r="188" spans="1:9" ht="45" x14ac:dyDescent="0.25">
      <c r="A188" s="12" t="s">
        <v>606</v>
      </c>
      <c r="B188" s="40">
        <v>46166</v>
      </c>
      <c r="C188" s="50" t="s">
        <v>456</v>
      </c>
      <c r="D188" s="51" t="s">
        <v>480</v>
      </c>
      <c r="E188" s="52" t="s">
        <v>388</v>
      </c>
      <c r="F188" s="17" t="s">
        <v>87</v>
      </c>
      <c r="G188" s="17">
        <v>866086379</v>
      </c>
      <c r="H188" s="19" t="s">
        <v>432</v>
      </c>
      <c r="I188" s="55">
        <v>1500000</v>
      </c>
    </row>
    <row r="189" spans="1:9" ht="45" x14ac:dyDescent="0.25">
      <c r="A189" s="12" t="s">
        <v>606</v>
      </c>
      <c r="B189" s="40">
        <v>46166</v>
      </c>
      <c r="C189" s="50" t="s">
        <v>456</v>
      </c>
      <c r="D189" s="51" t="s">
        <v>480</v>
      </c>
      <c r="E189" s="52" t="s">
        <v>389</v>
      </c>
      <c r="F189" s="17" t="s">
        <v>44</v>
      </c>
      <c r="G189" s="17">
        <v>957979779</v>
      </c>
      <c r="H189" s="19" t="s">
        <v>481</v>
      </c>
      <c r="I189" s="55">
        <v>1500000</v>
      </c>
    </row>
    <row r="190" spans="1:9" ht="60" x14ac:dyDescent="0.25">
      <c r="A190" s="12" t="s">
        <v>613</v>
      </c>
      <c r="B190" s="40">
        <v>46167</v>
      </c>
      <c r="C190" s="50" t="s">
        <v>434</v>
      </c>
      <c r="D190" s="51" t="s">
        <v>452</v>
      </c>
      <c r="E190" s="52" t="s">
        <v>363</v>
      </c>
      <c r="F190" s="17" t="s">
        <v>305</v>
      </c>
      <c r="G190" s="18">
        <v>102871393941</v>
      </c>
      <c r="H190" s="19" t="s">
        <v>455</v>
      </c>
      <c r="I190" s="58">
        <v>1500000</v>
      </c>
    </row>
    <row r="191" spans="1:9" ht="60" x14ac:dyDescent="0.25">
      <c r="A191" s="12" t="s">
        <v>613</v>
      </c>
      <c r="B191" s="40">
        <v>46167</v>
      </c>
      <c r="C191" s="50" t="s">
        <v>434</v>
      </c>
      <c r="D191" s="51" t="s">
        <v>452</v>
      </c>
      <c r="E191" s="52" t="s">
        <v>420</v>
      </c>
      <c r="F191" s="17" t="s">
        <v>240</v>
      </c>
      <c r="G191" s="17">
        <v>44365777</v>
      </c>
      <c r="H191" s="19" t="s">
        <v>438</v>
      </c>
      <c r="I191" s="58">
        <v>1500000</v>
      </c>
    </row>
    <row r="192" spans="1:9" ht="45" x14ac:dyDescent="0.25">
      <c r="A192" s="12" t="s">
        <v>597</v>
      </c>
      <c r="B192" s="40">
        <v>46167</v>
      </c>
      <c r="C192" s="50" t="s">
        <v>614</v>
      </c>
      <c r="D192" s="57" t="s">
        <v>560</v>
      </c>
      <c r="E192" s="53" t="s">
        <v>386</v>
      </c>
      <c r="F192" s="17" t="s">
        <v>283</v>
      </c>
      <c r="G192" s="17">
        <v>9804092001</v>
      </c>
      <c r="H192" s="19" t="s">
        <v>446</v>
      </c>
      <c r="I192" s="58">
        <v>1500000</v>
      </c>
    </row>
    <row r="193" spans="1:9" ht="45" x14ac:dyDescent="0.25">
      <c r="A193" s="12" t="s">
        <v>597</v>
      </c>
      <c r="B193" s="40">
        <v>46167</v>
      </c>
      <c r="C193" s="50" t="s">
        <v>614</v>
      </c>
      <c r="D193" s="57" t="s">
        <v>560</v>
      </c>
      <c r="E193" s="52" t="s">
        <v>417</v>
      </c>
      <c r="F193" s="17" t="s">
        <v>244</v>
      </c>
      <c r="G193" s="17" t="s">
        <v>539</v>
      </c>
      <c r="H193" s="19" t="s">
        <v>540</v>
      </c>
      <c r="I193" s="58">
        <v>1500000</v>
      </c>
    </row>
    <row r="194" spans="1:9" ht="45" x14ac:dyDescent="0.25">
      <c r="A194" s="12" t="s">
        <v>615</v>
      </c>
      <c r="B194" s="40">
        <v>46168</v>
      </c>
      <c r="C194" s="50" t="s">
        <v>614</v>
      </c>
      <c r="D194" s="51" t="s">
        <v>440</v>
      </c>
      <c r="E194" s="52" t="s">
        <v>337</v>
      </c>
      <c r="F194" s="17" t="s">
        <v>298</v>
      </c>
      <c r="G194" s="18" t="s">
        <v>441</v>
      </c>
      <c r="H194" s="19" t="s">
        <v>437</v>
      </c>
      <c r="I194" s="58">
        <v>1500000</v>
      </c>
    </row>
    <row r="195" spans="1:9" ht="45" x14ac:dyDescent="0.25">
      <c r="A195" s="12" t="s">
        <v>443</v>
      </c>
      <c r="B195" s="40">
        <v>46168</v>
      </c>
      <c r="C195" s="50" t="s">
        <v>614</v>
      </c>
      <c r="D195" s="51" t="s">
        <v>440</v>
      </c>
      <c r="E195" s="59" t="s">
        <v>418</v>
      </c>
      <c r="F195" s="17" t="s">
        <v>184</v>
      </c>
      <c r="G195" s="17">
        <v>19038442831015</v>
      </c>
      <c r="H195" s="19" t="s">
        <v>472</v>
      </c>
      <c r="I195" s="58">
        <v>1500000</v>
      </c>
    </row>
    <row r="196" spans="1:9" ht="45" x14ac:dyDescent="0.25">
      <c r="A196" s="12" t="s">
        <v>615</v>
      </c>
      <c r="B196" s="40">
        <v>46168</v>
      </c>
      <c r="C196" s="50" t="s">
        <v>492</v>
      </c>
      <c r="D196" s="57" t="s">
        <v>552</v>
      </c>
      <c r="E196" s="52" t="s">
        <v>616</v>
      </c>
      <c r="F196" s="17" t="s">
        <v>80</v>
      </c>
      <c r="G196" s="18" t="s">
        <v>553</v>
      </c>
      <c r="H196" s="19" t="s">
        <v>528</v>
      </c>
      <c r="I196" s="58">
        <v>3000000</v>
      </c>
    </row>
    <row r="197" spans="1:9" ht="45" x14ac:dyDescent="0.25">
      <c r="A197" s="12" t="s">
        <v>615</v>
      </c>
      <c r="B197" s="40">
        <v>46168</v>
      </c>
      <c r="C197" s="50" t="s">
        <v>492</v>
      </c>
      <c r="D197" s="57" t="s">
        <v>552</v>
      </c>
      <c r="E197" s="52" t="s">
        <v>349</v>
      </c>
      <c r="F197" s="17" t="s">
        <v>84</v>
      </c>
      <c r="G197" s="18" t="s">
        <v>554</v>
      </c>
      <c r="H197" s="19" t="s">
        <v>442</v>
      </c>
      <c r="I197" s="58">
        <v>3000000</v>
      </c>
    </row>
    <row r="198" spans="1:9" ht="45" x14ac:dyDescent="0.25">
      <c r="A198" s="12" t="s">
        <v>611</v>
      </c>
      <c r="B198" s="40">
        <v>46169</v>
      </c>
      <c r="C198" s="50" t="s">
        <v>617</v>
      </c>
      <c r="D198" s="51" t="s">
        <v>431</v>
      </c>
      <c r="E198" s="52" t="s">
        <v>377</v>
      </c>
      <c r="F198" s="17" t="s">
        <v>310</v>
      </c>
      <c r="G198" s="18">
        <v>23956793979</v>
      </c>
      <c r="H198" s="19" t="s">
        <v>432</v>
      </c>
      <c r="I198" s="58">
        <v>1500000</v>
      </c>
    </row>
    <row r="199" spans="1:9" ht="90" x14ac:dyDescent="0.25">
      <c r="A199" s="12" t="s">
        <v>611</v>
      </c>
      <c r="B199" s="40">
        <v>46169</v>
      </c>
      <c r="C199" s="50" t="s">
        <v>618</v>
      </c>
      <c r="D199" s="51" t="s">
        <v>460</v>
      </c>
      <c r="E199" s="52" t="s">
        <v>376</v>
      </c>
      <c r="F199" s="17" t="s">
        <v>254</v>
      </c>
      <c r="G199" s="18">
        <v>1061644437</v>
      </c>
      <c r="H199" s="19" t="s">
        <v>437</v>
      </c>
      <c r="I199" s="58">
        <v>1500000</v>
      </c>
    </row>
    <row r="200" spans="1:9" ht="90" x14ac:dyDescent="0.25">
      <c r="A200" s="12" t="s">
        <v>611</v>
      </c>
      <c r="B200" s="40">
        <v>46169</v>
      </c>
      <c r="C200" s="50" t="s">
        <v>618</v>
      </c>
      <c r="D200" s="51" t="s">
        <v>460</v>
      </c>
      <c r="E200" s="52" t="s">
        <v>410</v>
      </c>
      <c r="F200" s="17" t="s">
        <v>204</v>
      </c>
      <c r="G200" s="17">
        <v>797908032000</v>
      </c>
      <c r="H200" s="19" t="s">
        <v>432</v>
      </c>
      <c r="I200" s="58">
        <v>1500000</v>
      </c>
    </row>
    <row r="201" spans="1:9" ht="45" x14ac:dyDescent="0.25">
      <c r="A201" s="12" t="s">
        <v>606</v>
      </c>
      <c r="B201" s="40">
        <v>46169</v>
      </c>
      <c r="C201" s="50" t="s">
        <v>456</v>
      </c>
      <c r="D201" s="51" t="s">
        <v>503</v>
      </c>
      <c r="E201" s="52" t="s">
        <v>361</v>
      </c>
      <c r="F201" s="17" t="s">
        <v>117</v>
      </c>
      <c r="G201" s="18" t="s">
        <v>504</v>
      </c>
      <c r="H201" s="19" t="s">
        <v>437</v>
      </c>
      <c r="I201" s="58">
        <v>1500000</v>
      </c>
    </row>
    <row r="202" spans="1:9" ht="45" x14ac:dyDescent="0.25">
      <c r="A202" s="12" t="s">
        <v>606</v>
      </c>
      <c r="B202" s="40">
        <v>46169</v>
      </c>
      <c r="C202" s="50" t="s">
        <v>456</v>
      </c>
      <c r="D202" s="51" t="s">
        <v>503</v>
      </c>
      <c r="E202" s="52" t="s">
        <v>371</v>
      </c>
      <c r="F202" s="17" t="s">
        <v>128</v>
      </c>
      <c r="G202" s="18">
        <v>9374264292</v>
      </c>
      <c r="H202" s="19" t="s">
        <v>505</v>
      </c>
      <c r="I202" s="58">
        <v>1500000</v>
      </c>
    </row>
    <row r="203" spans="1:9" ht="60" x14ac:dyDescent="0.25">
      <c r="A203" s="12" t="s">
        <v>611</v>
      </c>
      <c r="B203" s="40">
        <v>46169</v>
      </c>
      <c r="C203" s="50" t="s">
        <v>434</v>
      </c>
      <c r="D203" s="51" t="s">
        <v>466</v>
      </c>
      <c r="E203" s="52" t="s">
        <v>364</v>
      </c>
      <c r="F203" s="17" t="s">
        <v>212</v>
      </c>
      <c r="G203" s="18" t="s">
        <v>467</v>
      </c>
      <c r="H203" s="19" t="s">
        <v>442</v>
      </c>
      <c r="I203" s="58">
        <v>1500000</v>
      </c>
    </row>
    <row r="204" spans="1:9" ht="60" x14ac:dyDescent="0.25">
      <c r="A204" s="12" t="s">
        <v>611</v>
      </c>
      <c r="B204" s="40">
        <v>46169</v>
      </c>
      <c r="C204" s="50" t="s">
        <v>434</v>
      </c>
      <c r="D204" s="51" t="s">
        <v>466</v>
      </c>
      <c r="E204" s="52" t="s">
        <v>402</v>
      </c>
      <c r="F204" s="17" t="s">
        <v>226</v>
      </c>
      <c r="G204" s="17">
        <v>109872813241</v>
      </c>
      <c r="H204" s="19" t="s">
        <v>455</v>
      </c>
      <c r="I204" s="58">
        <v>1500000</v>
      </c>
    </row>
    <row r="205" spans="1:9" ht="75" x14ac:dyDescent="0.25">
      <c r="A205" s="12" t="s">
        <v>443</v>
      </c>
      <c r="B205" s="40">
        <v>46169</v>
      </c>
      <c r="C205" s="50" t="s">
        <v>619</v>
      </c>
      <c r="D205" s="51" t="s">
        <v>585</v>
      </c>
      <c r="E205" s="59" t="s">
        <v>421</v>
      </c>
      <c r="F205" s="17" t="s">
        <v>267</v>
      </c>
      <c r="G205" s="17">
        <v>1027944806</v>
      </c>
      <c r="H205" s="19" t="s">
        <v>491</v>
      </c>
      <c r="I205" s="58">
        <v>3000000</v>
      </c>
    </row>
    <row r="206" spans="1:9" ht="60" x14ac:dyDescent="0.25">
      <c r="A206" s="12" t="s">
        <v>611</v>
      </c>
      <c r="B206" s="40">
        <v>46170</v>
      </c>
      <c r="C206" s="50" t="s">
        <v>620</v>
      </c>
      <c r="D206" s="51" t="s">
        <v>533</v>
      </c>
      <c r="E206" s="52" t="s">
        <v>415</v>
      </c>
      <c r="F206" s="17" t="s">
        <v>100</v>
      </c>
      <c r="G206" s="17">
        <v>83862288888</v>
      </c>
      <c r="H206" s="19" t="s">
        <v>432</v>
      </c>
      <c r="I206" s="58">
        <v>1500000</v>
      </c>
    </row>
    <row r="207" spans="1:9" ht="60" x14ac:dyDescent="0.25">
      <c r="A207" s="12" t="s">
        <v>611</v>
      </c>
      <c r="B207" s="40">
        <v>46170</v>
      </c>
      <c r="C207" s="50" t="s">
        <v>620</v>
      </c>
      <c r="D207" s="51" t="s">
        <v>533</v>
      </c>
      <c r="E207" s="52" t="s">
        <v>416</v>
      </c>
      <c r="F207" s="17" t="s">
        <v>217</v>
      </c>
      <c r="G207" s="17">
        <v>7777720033333</v>
      </c>
      <c r="H207" s="19" t="s">
        <v>432</v>
      </c>
      <c r="I207" s="58">
        <v>1500000</v>
      </c>
    </row>
    <row r="208" spans="1:9" ht="45" x14ac:dyDescent="0.25">
      <c r="A208" s="12" t="s">
        <v>613</v>
      </c>
      <c r="B208" s="24">
        <v>46171</v>
      </c>
      <c r="C208" s="50" t="s">
        <v>456</v>
      </c>
      <c r="D208" s="60" t="s">
        <v>534</v>
      </c>
      <c r="E208" s="52" t="s">
        <v>372</v>
      </c>
      <c r="F208" s="17" t="s">
        <v>192</v>
      </c>
      <c r="G208" s="18" t="s">
        <v>535</v>
      </c>
      <c r="H208" s="19" t="s">
        <v>536</v>
      </c>
      <c r="I208" s="58">
        <v>1500000</v>
      </c>
    </row>
    <row r="209" spans="1:9" ht="45" x14ac:dyDescent="0.25">
      <c r="A209" s="12" t="s">
        <v>613</v>
      </c>
      <c r="B209" s="24">
        <v>46171</v>
      </c>
      <c r="C209" s="50" t="s">
        <v>456</v>
      </c>
      <c r="D209" s="60" t="s">
        <v>534</v>
      </c>
      <c r="E209" s="52" t="s">
        <v>392</v>
      </c>
      <c r="F209" s="17" t="s">
        <v>123</v>
      </c>
      <c r="G209" s="17">
        <v>4706205245990</v>
      </c>
      <c r="H209" s="19" t="s">
        <v>451</v>
      </c>
      <c r="I209" s="58">
        <v>1500000</v>
      </c>
    </row>
    <row r="210" spans="1:9" ht="45" x14ac:dyDescent="0.25">
      <c r="A210" s="12" t="s">
        <v>613</v>
      </c>
      <c r="B210" s="24">
        <v>46172</v>
      </c>
      <c r="C210" s="50" t="s">
        <v>621</v>
      </c>
      <c r="D210" s="51" t="s">
        <v>590</v>
      </c>
      <c r="E210" s="52" t="s">
        <v>622</v>
      </c>
      <c r="F210" s="17" t="s">
        <v>261</v>
      </c>
      <c r="G210" s="18" t="s">
        <v>591</v>
      </c>
      <c r="H210" s="19" t="s">
        <v>451</v>
      </c>
      <c r="I210" s="58">
        <v>3000000</v>
      </c>
    </row>
    <row r="211" spans="1:9" ht="45" x14ac:dyDescent="0.25">
      <c r="A211" s="12" t="s">
        <v>606</v>
      </c>
      <c r="B211" s="24">
        <v>46172</v>
      </c>
      <c r="C211" s="50" t="s">
        <v>621</v>
      </c>
      <c r="D211" s="51" t="s">
        <v>590</v>
      </c>
      <c r="E211" s="52" t="s">
        <v>354</v>
      </c>
      <c r="F211" s="17" t="s">
        <v>330</v>
      </c>
      <c r="G211" s="18" t="s">
        <v>592</v>
      </c>
      <c r="H211" s="19" t="s">
        <v>446</v>
      </c>
      <c r="I211" s="58">
        <v>3000000</v>
      </c>
    </row>
    <row r="212" spans="1:9" ht="45" x14ac:dyDescent="0.25">
      <c r="A212" s="19" t="s">
        <v>623</v>
      </c>
      <c r="B212" s="24">
        <v>46154</v>
      </c>
      <c r="C212" s="50" t="s">
        <v>624</v>
      </c>
      <c r="D212" s="51" t="s">
        <v>450</v>
      </c>
      <c r="E212" s="52" t="s">
        <v>375</v>
      </c>
      <c r="F212" s="17" t="s">
        <v>17</v>
      </c>
      <c r="G212" s="18">
        <v>1012732996</v>
      </c>
      <c r="H212" s="19" t="s">
        <v>437</v>
      </c>
      <c r="I212" s="58">
        <v>1500000</v>
      </c>
    </row>
    <row r="213" spans="1:9" ht="45" x14ac:dyDescent="0.25">
      <c r="A213" s="19" t="s">
        <v>623</v>
      </c>
      <c r="B213" s="24">
        <v>46154</v>
      </c>
      <c r="C213" s="50" t="s">
        <v>624</v>
      </c>
      <c r="D213" s="51" t="s">
        <v>450</v>
      </c>
      <c r="E213" s="52" t="s">
        <v>411</v>
      </c>
      <c r="F213" s="17" t="s">
        <v>157</v>
      </c>
      <c r="G213" s="17">
        <v>3615205296080</v>
      </c>
      <c r="H213" s="19" t="s">
        <v>451</v>
      </c>
      <c r="I213" s="58">
        <v>1500000</v>
      </c>
    </row>
  </sheetData>
  <conditionalFormatting sqref="E2 E39 E66">
    <cfRule type="expression" dxfId="0" priority="1">
      <formula>COUNTIF(E:E,E2)&gt;1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Dữ liệu ứng lương T05.26</vt:lpstr>
      <vt:lpstr>Kế toán</vt:lpstr>
      <vt:lpstr>Sheet4</vt:lpstr>
      <vt:lpstr>phòng hàng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2026-06-23T02:30:29Z</dcterms:modified>
</cp:coreProperties>
</file>